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jizhu\Desktop\LIRV\Assignment\"/>
    </mc:Choice>
  </mc:AlternateContent>
  <bookViews>
    <workbookView xWindow="240" yWindow="105" windowWidth="14805" windowHeight="8010" tabRatio="703" activeTab="4"/>
  </bookViews>
  <sheets>
    <sheet name="Note" sheetId="9" r:id="rId1"/>
    <sheet name="1.a Assumptions" sheetId="1" r:id="rId2"/>
    <sheet name="1.b Flowchart" sheetId="11" r:id="rId3"/>
    <sheet name="1.c Calculation --&gt;" sheetId="6" r:id="rId4"/>
    <sheet name="Decrements" sheetId="8" r:id="rId5"/>
    <sheet name="PUC_Projection" sheetId="2" r:id="rId6"/>
    <sheet name="EAN_Projection" sheetId="10" r:id="rId7"/>
    <sheet name="Input --&gt;" sheetId="7" r:id="rId8"/>
    <sheet name="opening demographics" sheetId="3" r:id="rId9"/>
  </sheets>
  <definedNames>
    <definedName name="_xlnm._FilterDatabase" localSheetId="8" hidden="1">'opening demographics'!$B$2:$B$11</definedName>
    <definedName name="accrual_rate_A">'1.a Assumptions'!$B$6</definedName>
    <definedName name="accrual_rate_B">'1.a Assumptions'!$B$7</definedName>
    <definedName name="e_A">'1.a Assumptions'!$B$24</definedName>
    <definedName name="e_B">'1.a Assumptions'!$B$25</definedName>
    <definedName name="i">'1.a Assumptions'!$B$27</definedName>
    <definedName name="mort_rate_A">'1.a Assumptions'!#REF!</definedName>
    <definedName name="NRA_A">'1.a Assumptions'!$B$10</definedName>
    <definedName name="NRA_B">'1.a Assumptions'!$B$11</definedName>
    <definedName name="retire_rate_A">'1.a Assumptions'!#REF!</definedName>
    <definedName name="withdraw_rate">'1.a Assumptions'!$B$20</definedName>
  </definedNames>
  <calcPr calcId="152511"/>
</workbook>
</file>

<file path=xl/calcChain.xml><?xml version="1.0" encoding="utf-8"?>
<calcChain xmlns="http://schemas.openxmlformats.org/spreadsheetml/2006/main">
  <c r="B3" i="2" l="1"/>
  <c r="B3" i="8" s="1"/>
  <c r="J10" i="8"/>
  <c r="L10" i="8"/>
  <c r="M10" i="8" s="1"/>
  <c r="N10" i="8" s="1"/>
  <c r="O10" i="8" s="1"/>
  <c r="P10" i="8" s="1"/>
  <c r="Q10" i="8" s="1"/>
  <c r="R10" i="8" s="1"/>
  <c r="S10" i="8" s="1"/>
  <c r="T10" i="8" s="1"/>
  <c r="U10" i="8" s="1"/>
  <c r="V10" i="8" s="1"/>
  <c r="W10" i="8" s="1"/>
  <c r="X10" i="8" s="1"/>
  <c r="Y10" i="8" s="1"/>
  <c r="Z10" i="8" s="1"/>
  <c r="D9" i="10"/>
  <c r="A34" i="1" l="1"/>
  <c r="A35" i="1" s="1"/>
  <c r="A36" i="1" s="1"/>
  <c r="A37" i="1" s="1"/>
  <c r="A38" i="1" s="1"/>
  <c r="A39" i="1" s="1"/>
  <c r="A40" i="1" s="1"/>
  <c r="A41" i="1" s="1"/>
  <c r="A42" i="1" s="1"/>
  <c r="A43" i="1" s="1"/>
  <c r="A44" i="1" s="1"/>
  <c r="A45" i="1" s="1"/>
  <c r="A46" i="1" s="1"/>
  <c r="A47" i="1" s="1"/>
  <c r="A48" i="1" s="1"/>
  <c r="I86" i="2" l="1"/>
  <c r="Q8" i="10" l="1"/>
  <c r="P8" i="10"/>
  <c r="O8" i="10"/>
  <c r="N8" i="10"/>
  <c r="M8" i="10"/>
  <c r="L8" i="10"/>
  <c r="K8" i="10"/>
  <c r="J8" i="10"/>
  <c r="I8" i="10"/>
  <c r="H8" i="10"/>
  <c r="J10" i="2"/>
  <c r="I10" i="2"/>
  <c r="D3" i="10" l="1"/>
  <c r="G4" i="10" s="1"/>
  <c r="K84" i="10"/>
  <c r="G14" i="10"/>
  <c r="G3" i="10" l="1"/>
  <c r="D4" i="10"/>
  <c r="C14" i="10" s="1"/>
  <c r="D2" i="10"/>
  <c r="D7" i="10"/>
  <c r="E14" i="10" s="1"/>
  <c r="G3" i="2"/>
  <c r="J9" i="2"/>
  <c r="I9" i="2"/>
  <c r="V86" i="2"/>
  <c r="D6" i="10"/>
  <c r="D5" i="10"/>
  <c r="C15" i="10" l="1"/>
  <c r="D14" i="10"/>
  <c r="I11" i="2"/>
  <c r="J11" i="2"/>
  <c r="D3" i="8"/>
  <c r="D7" i="2"/>
  <c r="E16" i="2" s="1"/>
  <c r="D4" i="8"/>
  <c r="C11" i="8" s="1"/>
  <c r="D7" i="8"/>
  <c r="D2" i="8"/>
  <c r="B25" i="1"/>
  <c r="B24" i="1"/>
  <c r="A3" i="3"/>
  <c r="A4" i="3"/>
  <c r="A5" i="3"/>
  <c r="A6" i="3"/>
  <c r="A7" i="3"/>
  <c r="A8" i="3"/>
  <c r="A9" i="3"/>
  <c r="A10" i="3"/>
  <c r="A11" i="3"/>
  <c r="A12" i="3"/>
  <c r="A13" i="3"/>
  <c r="A2" i="3"/>
  <c r="G12" i="3"/>
  <c r="F12" i="3"/>
  <c r="G4" i="3"/>
  <c r="G6" i="3"/>
  <c r="G8" i="3"/>
  <c r="G10" i="3"/>
  <c r="F11" i="3"/>
  <c r="F9" i="3"/>
  <c r="F7" i="3"/>
  <c r="F5" i="3"/>
  <c r="D8" i="8"/>
  <c r="D8" i="10"/>
  <c r="D6" i="8"/>
  <c r="K11" i="8" l="1"/>
  <c r="AB11" i="8" s="1"/>
  <c r="C16" i="10"/>
  <c r="G11" i="8"/>
  <c r="D10" i="10"/>
  <c r="I14" i="10" s="1"/>
  <c r="F14" i="10"/>
  <c r="E15" i="10" s="1"/>
  <c r="G15" i="10"/>
  <c r="B15" i="10"/>
  <c r="D15" i="10"/>
  <c r="D3" i="2"/>
  <c r="G4" i="2" s="1"/>
  <c r="D2" i="2"/>
  <c r="D4" i="2"/>
  <c r="C16" i="2" s="1"/>
  <c r="G16" i="2"/>
  <c r="D5" i="2"/>
  <c r="D6" i="2"/>
  <c r="D8" i="2"/>
  <c r="D5" i="8"/>
  <c r="M14" i="10" l="1"/>
  <c r="C17" i="10"/>
  <c r="C17" i="2"/>
  <c r="F11" i="8"/>
  <c r="F15" i="10"/>
  <c r="E16" i="10" s="1"/>
  <c r="H14" i="10"/>
  <c r="I15" i="10"/>
  <c r="G6" i="10"/>
  <c r="G16" i="10"/>
  <c r="I16" i="10"/>
  <c r="B16" i="10"/>
  <c r="D16" i="10"/>
  <c r="F16" i="2"/>
  <c r="D16" i="2"/>
  <c r="C12" i="8"/>
  <c r="J12" i="8" s="1"/>
  <c r="M15" i="10" l="1"/>
  <c r="C18" i="10"/>
  <c r="H16" i="2"/>
  <c r="I16" i="2" s="1"/>
  <c r="M16" i="2" s="1"/>
  <c r="C18" i="2"/>
  <c r="J16" i="2"/>
  <c r="K16" i="2" s="1"/>
  <c r="E11" i="8"/>
  <c r="J15" i="10"/>
  <c r="L15" i="10" s="1"/>
  <c r="F16" i="10"/>
  <c r="F17" i="10" s="1"/>
  <c r="J14" i="10"/>
  <c r="L14" i="10" s="1"/>
  <c r="I17" i="10"/>
  <c r="B17" i="10"/>
  <c r="G17" i="10"/>
  <c r="D17" i="10"/>
  <c r="B17" i="2"/>
  <c r="E17" i="2"/>
  <c r="G17" i="2"/>
  <c r="D17" i="2"/>
  <c r="F17" i="2"/>
  <c r="B12" i="8"/>
  <c r="C13" i="8"/>
  <c r="J13" i="8" s="1"/>
  <c r="Y11" i="8" l="1"/>
  <c r="Z11" i="8"/>
  <c r="Q16" i="2" s="1"/>
  <c r="L11" i="8"/>
  <c r="W11" i="8"/>
  <c r="X11" i="8"/>
  <c r="V11" i="8"/>
  <c r="M11" i="8"/>
  <c r="Q11" i="8"/>
  <c r="U11" i="8"/>
  <c r="N11" i="8"/>
  <c r="R11" i="8"/>
  <c r="O11" i="8"/>
  <c r="S11" i="8"/>
  <c r="P11" i="8"/>
  <c r="T11" i="8"/>
  <c r="H11" i="8"/>
  <c r="T14" i="10"/>
  <c r="M16" i="10"/>
  <c r="P14" i="10"/>
  <c r="C19" i="10"/>
  <c r="Q14" i="10"/>
  <c r="K14" i="10"/>
  <c r="O14" i="10" s="1"/>
  <c r="H17" i="2"/>
  <c r="C19" i="2"/>
  <c r="J17" i="2"/>
  <c r="P16" i="2" s="1"/>
  <c r="N16" i="2"/>
  <c r="E17" i="10"/>
  <c r="E18" i="10" s="1"/>
  <c r="J16" i="10"/>
  <c r="L16" i="10" s="1"/>
  <c r="T15" i="10" s="1"/>
  <c r="K15" i="10"/>
  <c r="G6" i="2"/>
  <c r="G18" i="10"/>
  <c r="I18" i="10"/>
  <c r="B18" i="10"/>
  <c r="F18" i="10"/>
  <c r="J17" i="10"/>
  <c r="D18" i="10"/>
  <c r="B18" i="2"/>
  <c r="E18" i="2"/>
  <c r="F18" i="2"/>
  <c r="D18" i="2"/>
  <c r="C14" i="8"/>
  <c r="J14" i="8" s="1"/>
  <c r="B13" i="8"/>
  <c r="G18" i="2"/>
  <c r="R14" i="10" l="1"/>
  <c r="W15" i="10"/>
  <c r="M18" i="10"/>
  <c r="M17" i="10"/>
  <c r="W14" i="10"/>
  <c r="X14" i="10"/>
  <c r="U14" i="10"/>
  <c r="L17" i="10"/>
  <c r="T16" i="10" s="1"/>
  <c r="O16" i="2"/>
  <c r="K17" i="2"/>
  <c r="C20" i="10"/>
  <c r="G5" i="10"/>
  <c r="H18" i="2"/>
  <c r="C20" i="2"/>
  <c r="J18" i="2"/>
  <c r="K18" i="2" s="1"/>
  <c r="D12" i="8"/>
  <c r="Z12" i="8" s="1"/>
  <c r="I17" i="2"/>
  <c r="G5" i="2"/>
  <c r="K16" i="10"/>
  <c r="G19" i="10"/>
  <c r="I19" i="10"/>
  <c r="F19" i="10"/>
  <c r="B19" i="10"/>
  <c r="E19" i="10"/>
  <c r="K17" i="10"/>
  <c r="J18" i="10"/>
  <c r="L18" i="10" s="1"/>
  <c r="D19" i="10"/>
  <c r="B19" i="2"/>
  <c r="G19" i="2"/>
  <c r="D19" i="2"/>
  <c r="E19" i="2"/>
  <c r="F19" i="2"/>
  <c r="C15" i="8"/>
  <c r="J15" i="8" s="1"/>
  <c r="B14" i="8"/>
  <c r="U12" i="8" l="1"/>
  <c r="Y12" i="8"/>
  <c r="Q17" i="2" s="1"/>
  <c r="S12" i="8"/>
  <c r="M12" i="8"/>
  <c r="Q12" i="8"/>
  <c r="P12" i="8"/>
  <c r="R12" i="8"/>
  <c r="T12" i="8"/>
  <c r="N12" i="8"/>
  <c r="O12" i="8"/>
  <c r="V12" i="8"/>
  <c r="W12" i="8"/>
  <c r="X12" i="8"/>
  <c r="L12" i="8"/>
  <c r="K12" i="8"/>
  <c r="AB12" i="8" s="1"/>
  <c r="T17" i="10"/>
  <c r="X15" i="10"/>
  <c r="Y15" i="10" s="1"/>
  <c r="U15" i="10"/>
  <c r="W16" i="10"/>
  <c r="M17" i="2"/>
  <c r="P17" i="2" s="1"/>
  <c r="M19" i="10"/>
  <c r="Y14" i="10"/>
  <c r="C21" i="10"/>
  <c r="H19" i="2"/>
  <c r="C21" i="2"/>
  <c r="J19" i="2"/>
  <c r="K19" i="2" s="1"/>
  <c r="G12" i="8"/>
  <c r="O15" i="10"/>
  <c r="I18" i="2"/>
  <c r="V16" i="2"/>
  <c r="W16" i="2" s="1"/>
  <c r="F20" i="10"/>
  <c r="I20" i="10"/>
  <c r="B20" i="10"/>
  <c r="G20" i="10"/>
  <c r="D20" i="10"/>
  <c r="E20" i="10"/>
  <c r="K18" i="10"/>
  <c r="J19" i="10"/>
  <c r="L19" i="10" s="1"/>
  <c r="T18" i="10" s="1"/>
  <c r="G20" i="2"/>
  <c r="B20" i="2"/>
  <c r="D20" i="2"/>
  <c r="E20" i="2"/>
  <c r="F20" i="2"/>
  <c r="B15" i="8"/>
  <c r="C16" i="8"/>
  <c r="J16" i="8" s="1"/>
  <c r="F12" i="8" l="1"/>
  <c r="R15" i="10"/>
  <c r="X16" i="10"/>
  <c r="Y16" i="10" s="1"/>
  <c r="U16" i="10"/>
  <c r="U18" i="10"/>
  <c r="M20" i="10"/>
  <c r="U17" i="10"/>
  <c r="X17" i="10"/>
  <c r="W17" i="10"/>
  <c r="C22" i="10"/>
  <c r="H20" i="2"/>
  <c r="C22" i="2"/>
  <c r="J20" i="2"/>
  <c r="K20" i="2" s="1"/>
  <c r="E12" i="8"/>
  <c r="I19" i="2"/>
  <c r="F21" i="10"/>
  <c r="I21" i="10"/>
  <c r="E21" i="10"/>
  <c r="G21" i="10"/>
  <c r="B21" i="10"/>
  <c r="J20" i="10"/>
  <c r="L20" i="10" s="1"/>
  <c r="T19" i="10" s="1"/>
  <c r="D21" i="10"/>
  <c r="K19" i="10"/>
  <c r="G21" i="2"/>
  <c r="B21" i="2"/>
  <c r="D21" i="2"/>
  <c r="E21" i="2"/>
  <c r="F21" i="2"/>
  <c r="B16" i="8"/>
  <c r="C17" i="8"/>
  <c r="J17" i="8" s="1"/>
  <c r="Q15" i="10" l="1"/>
  <c r="H12" i="8"/>
  <c r="X18" i="10"/>
  <c r="U19" i="10"/>
  <c r="M21" i="10"/>
  <c r="P15" i="10"/>
  <c r="Y17" i="10"/>
  <c r="W18" i="10"/>
  <c r="C23" i="10"/>
  <c r="H21" i="2"/>
  <c r="C23" i="2"/>
  <c r="J21" i="2"/>
  <c r="K21" i="2" s="1"/>
  <c r="N17" i="2"/>
  <c r="O17" i="2"/>
  <c r="I20" i="2"/>
  <c r="V17" i="2"/>
  <c r="W17" i="2" s="1"/>
  <c r="K20" i="10"/>
  <c r="J21" i="10"/>
  <c r="L21" i="10" s="1"/>
  <c r="T20" i="10" s="1"/>
  <c r="D22" i="10"/>
  <c r="I22" i="10"/>
  <c r="F22" i="10"/>
  <c r="G22" i="10"/>
  <c r="E22" i="10"/>
  <c r="B22" i="10"/>
  <c r="F22" i="2"/>
  <c r="G22" i="2"/>
  <c r="D22" i="2"/>
  <c r="B22" i="2"/>
  <c r="E22" i="2"/>
  <c r="C18" i="8"/>
  <c r="J18" i="8" s="1"/>
  <c r="B17" i="8"/>
  <c r="D13" i="8" l="1"/>
  <c r="Z13" i="8" s="1"/>
  <c r="X19" i="10"/>
  <c r="Y18" i="10"/>
  <c r="X20" i="10"/>
  <c r="M22" i="10"/>
  <c r="W19" i="10"/>
  <c r="C24" i="10"/>
  <c r="H22" i="2"/>
  <c r="C24" i="2"/>
  <c r="J22" i="2"/>
  <c r="K22" i="2" s="1"/>
  <c r="I21" i="2"/>
  <c r="V18" i="2"/>
  <c r="W18" i="2" s="1"/>
  <c r="K21" i="10"/>
  <c r="J22" i="10"/>
  <c r="L22" i="10" s="1"/>
  <c r="T21" i="10" s="1"/>
  <c r="D23" i="10"/>
  <c r="F23" i="10"/>
  <c r="B23" i="10"/>
  <c r="G23" i="10"/>
  <c r="I23" i="10"/>
  <c r="E23" i="10"/>
  <c r="F23" i="2"/>
  <c r="D23" i="2"/>
  <c r="B23" i="2"/>
  <c r="G23" i="2"/>
  <c r="E23" i="2"/>
  <c r="C19" i="8"/>
  <c r="J19" i="8" s="1"/>
  <c r="B18" i="8"/>
  <c r="O16" i="10" l="1"/>
  <c r="R16" i="10" s="1"/>
  <c r="Y13" i="8"/>
  <c r="G13" i="8"/>
  <c r="F13" i="8" s="1"/>
  <c r="O18" i="2" s="1"/>
  <c r="V13" i="8"/>
  <c r="W13" i="8"/>
  <c r="X13" i="8"/>
  <c r="Q18" i="2" s="1"/>
  <c r="S13" i="8"/>
  <c r="P13" i="8"/>
  <c r="Q13" i="8"/>
  <c r="M13" i="8"/>
  <c r="U13" i="8"/>
  <c r="O13" i="8"/>
  <c r="N13" i="8"/>
  <c r="T13" i="8"/>
  <c r="R13" i="8"/>
  <c r="K13" i="8"/>
  <c r="L13" i="8"/>
  <c r="M18" i="2"/>
  <c r="P18" i="2" s="1"/>
  <c r="Y19" i="10"/>
  <c r="U20" i="10"/>
  <c r="U21" i="10"/>
  <c r="M23" i="10"/>
  <c r="W20" i="10"/>
  <c r="Y20" i="10" s="1"/>
  <c r="C25" i="10"/>
  <c r="H23" i="2"/>
  <c r="C25" i="2"/>
  <c r="J23" i="2"/>
  <c r="K23" i="2" s="1"/>
  <c r="I22" i="2"/>
  <c r="K22" i="10"/>
  <c r="F24" i="10"/>
  <c r="I24" i="10"/>
  <c r="J23" i="10"/>
  <c r="L23" i="10" s="1"/>
  <c r="T22" i="10" s="1"/>
  <c r="D24" i="10"/>
  <c r="E24" i="10"/>
  <c r="B24" i="10"/>
  <c r="G24" i="10"/>
  <c r="F24" i="2"/>
  <c r="E24" i="2"/>
  <c r="B24" i="2"/>
  <c r="D24" i="2"/>
  <c r="G24" i="2"/>
  <c r="B19" i="8"/>
  <c r="C20" i="8"/>
  <c r="J20" i="8" s="1"/>
  <c r="AB13" i="8" l="1"/>
  <c r="E13" i="8"/>
  <c r="H13" i="8" s="1"/>
  <c r="Q16" i="10"/>
  <c r="W21" i="10"/>
  <c r="X21" i="10"/>
  <c r="X22" i="10"/>
  <c r="M24" i="10"/>
  <c r="C26" i="10"/>
  <c r="H24" i="2"/>
  <c r="C26" i="2"/>
  <c r="J24" i="2"/>
  <c r="K24" i="2" s="1"/>
  <c r="I23" i="2"/>
  <c r="V19" i="2"/>
  <c r="W19" i="2" s="1"/>
  <c r="K23" i="10"/>
  <c r="J24" i="10"/>
  <c r="L24" i="10" s="1"/>
  <c r="T23" i="10" s="1"/>
  <c r="F25" i="10"/>
  <c r="I25" i="10"/>
  <c r="D25" i="10"/>
  <c r="E25" i="10"/>
  <c r="G25" i="10"/>
  <c r="B25" i="10"/>
  <c r="F25" i="2"/>
  <c r="D25" i="2"/>
  <c r="B25" i="2"/>
  <c r="G25" i="2"/>
  <c r="E25" i="2"/>
  <c r="B20" i="8"/>
  <c r="C21" i="8"/>
  <c r="J21" i="8" s="1"/>
  <c r="N18" i="2" l="1"/>
  <c r="P16" i="10"/>
  <c r="D14" i="8"/>
  <c r="Z14" i="8" s="1"/>
  <c r="W22" i="10"/>
  <c r="Y22" i="10" s="1"/>
  <c r="Y21" i="10"/>
  <c r="U22" i="10"/>
  <c r="U23" i="10"/>
  <c r="C27" i="2"/>
  <c r="M25" i="10"/>
  <c r="C27" i="10"/>
  <c r="H25" i="2"/>
  <c r="J25" i="2"/>
  <c r="K25" i="2" s="1"/>
  <c r="I24" i="2"/>
  <c r="K24" i="10"/>
  <c r="F26" i="10"/>
  <c r="G26" i="10"/>
  <c r="I26" i="10"/>
  <c r="J25" i="10"/>
  <c r="L25" i="10" s="1"/>
  <c r="T24" i="10" s="1"/>
  <c r="B26" i="10"/>
  <c r="E26" i="10"/>
  <c r="D26" i="10"/>
  <c r="E26" i="2"/>
  <c r="G26" i="2"/>
  <c r="B26" i="2"/>
  <c r="D26" i="2"/>
  <c r="F26" i="2"/>
  <c r="C22" i="8"/>
  <c r="J22" i="8" s="1"/>
  <c r="B21" i="8"/>
  <c r="G14" i="8" l="1"/>
  <c r="F14" i="8" s="1"/>
  <c r="Y14" i="8"/>
  <c r="O17" i="10"/>
  <c r="R17" i="10" s="1"/>
  <c r="M19" i="2"/>
  <c r="P19" i="2" s="1"/>
  <c r="V14" i="8"/>
  <c r="W14" i="8"/>
  <c r="Q19" i="2" s="1"/>
  <c r="X14" i="8"/>
  <c r="N14" i="8"/>
  <c r="T14" i="8"/>
  <c r="R14" i="8"/>
  <c r="O14" i="8"/>
  <c r="S14" i="8"/>
  <c r="Q14" i="8"/>
  <c r="M14" i="8"/>
  <c r="U14" i="8"/>
  <c r="P14" i="8"/>
  <c r="K14" i="8"/>
  <c r="AB14" i="8" s="1"/>
  <c r="L14" i="8"/>
  <c r="X23" i="10"/>
  <c r="U24" i="10"/>
  <c r="C28" i="2"/>
  <c r="M26" i="10"/>
  <c r="W23" i="10"/>
  <c r="C28" i="10"/>
  <c r="H26" i="2"/>
  <c r="J26" i="2"/>
  <c r="K26" i="2" s="1"/>
  <c r="I25" i="2"/>
  <c r="V20" i="2"/>
  <c r="W20" i="2" s="1"/>
  <c r="I27" i="10"/>
  <c r="G27" i="10"/>
  <c r="B27" i="10"/>
  <c r="F27" i="10"/>
  <c r="K25" i="10"/>
  <c r="J26" i="10"/>
  <c r="L26" i="10" s="1"/>
  <c r="T25" i="10" s="1"/>
  <c r="E27" i="10"/>
  <c r="D27" i="10"/>
  <c r="B27" i="2"/>
  <c r="E27" i="2"/>
  <c r="D27" i="2"/>
  <c r="G27" i="2"/>
  <c r="F27" i="2"/>
  <c r="C23" i="8"/>
  <c r="J23" i="8" s="1"/>
  <c r="B22" i="8"/>
  <c r="E14" i="8" l="1"/>
  <c r="P17" i="10" s="1"/>
  <c r="O19" i="2"/>
  <c r="Q17" i="10"/>
  <c r="Y23" i="10"/>
  <c r="X24" i="10"/>
  <c r="U25" i="10"/>
  <c r="C29" i="2"/>
  <c r="M27" i="10"/>
  <c r="W24" i="10"/>
  <c r="C29" i="10"/>
  <c r="H27" i="2"/>
  <c r="J27" i="2"/>
  <c r="K27" i="2" s="1"/>
  <c r="I26" i="2"/>
  <c r="K26" i="10"/>
  <c r="B28" i="10"/>
  <c r="I28" i="10"/>
  <c r="G28" i="10"/>
  <c r="F28" i="10"/>
  <c r="J27" i="10"/>
  <c r="L27" i="10" s="1"/>
  <c r="T26" i="10" s="1"/>
  <c r="E28" i="10"/>
  <c r="D28" i="10"/>
  <c r="B28" i="2"/>
  <c r="G28" i="2"/>
  <c r="D28" i="2"/>
  <c r="F28" i="2"/>
  <c r="E28" i="2"/>
  <c r="B23" i="8"/>
  <c r="C24" i="8"/>
  <c r="J24" i="8" s="1"/>
  <c r="H14" i="8" l="1"/>
  <c r="D15" i="8" s="1"/>
  <c r="Z15" i="8" s="1"/>
  <c r="N19" i="2"/>
  <c r="Y24" i="10"/>
  <c r="X25" i="10"/>
  <c r="U26" i="10"/>
  <c r="C30" i="2"/>
  <c r="M28" i="10"/>
  <c r="W25" i="10"/>
  <c r="C30" i="10"/>
  <c r="H28" i="2"/>
  <c r="J28" i="2"/>
  <c r="K28" i="2" s="1"/>
  <c r="I27" i="2"/>
  <c r="V21" i="2"/>
  <c r="W21" i="2" s="1"/>
  <c r="F29" i="10"/>
  <c r="K27" i="10"/>
  <c r="I29" i="10"/>
  <c r="G29" i="10"/>
  <c r="D29" i="10"/>
  <c r="B29" i="10"/>
  <c r="E29" i="10"/>
  <c r="J28" i="10"/>
  <c r="L28" i="10" s="1"/>
  <c r="T27" i="10" s="1"/>
  <c r="B29" i="2"/>
  <c r="F29" i="2"/>
  <c r="E29" i="2"/>
  <c r="D29" i="2"/>
  <c r="G29" i="2"/>
  <c r="B24" i="8"/>
  <c r="C25" i="8"/>
  <c r="J25" i="8" s="1"/>
  <c r="G15" i="8" l="1"/>
  <c r="F15" i="8" s="1"/>
  <c r="O20" i="2" s="1"/>
  <c r="Y15" i="8"/>
  <c r="V15" i="8"/>
  <c r="Q20" i="2" s="1"/>
  <c r="W15" i="8"/>
  <c r="X15" i="8"/>
  <c r="U15" i="8"/>
  <c r="P15" i="8"/>
  <c r="O15" i="8"/>
  <c r="N15" i="8"/>
  <c r="T15" i="8"/>
  <c r="R15" i="8"/>
  <c r="S15" i="8"/>
  <c r="Q15" i="8"/>
  <c r="M15" i="8"/>
  <c r="K15" i="8"/>
  <c r="AB15" i="8" s="1"/>
  <c r="L15" i="8"/>
  <c r="M20" i="2"/>
  <c r="P20" i="2" s="1"/>
  <c r="O18" i="10"/>
  <c r="R18" i="10" s="1"/>
  <c r="Y25" i="10"/>
  <c r="X26" i="10"/>
  <c r="U27" i="10"/>
  <c r="C31" i="2"/>
  <c r="M29" i="10"/>
  <c r="W26" i="10"/>
  <c r="C31" i="10"/>
  <c r="H29" i="2"/>
  <c r="J29" i="2"/>
  <c r="K29" i="2" s="1"/>
  <c r="I28" i="2"/>
  <c r="J29" i="10"/>
  <c r="L29" i="10" s="1"/>
  <c r="T28" i="10" s="1"/>
  <c r="B30" i="10"/>
  <c r="G30" i="10"/>
  <c r="D30" i="10"/>
  <c r="F30" i="10"/>
  <c r="E30" i="10"/>
  <c r="I30" i="10"/>
  <c r="K28" i="10"/>
  <c r="G30" i="2"/>
  <c r="B30" i="2"/>
  <c r="D30" i="2"/>
  <c r="E30" i="2"/>
  <c r="F30" i="2"/>
  <c r="B25" i="8"/>
  <c r="C26" i="8"/>
  <c r="J26" i="8" s="1"/>
  <c r="E15" i="8" l="1"/>
  <c r="N20" i="2" s="1"/>
  <c r="Q18" i="10"/>
  <c r="Y26" i="10"/>
  <c r="X27" i="10"/>
  <c r="X28" i="10"/>
  <c r="C32" i="2"/>
  <c r="M30" i="10"/>
  <c r="W27" i="10"/>
  <c r="C32" i="10"/>
  <c r="H30" i="2"/>
  <c r="J30" i="2"/>
  <c r="K30" i="2" s="1"/>
  <c r="I29" i="2"/>
  <c r="V22" i="2"/>
  <c r="W22" i="2" s="1"/>
  <c r="D31" i="10"/>
  <c r="K29" i="10"/>
  <c r="I31" i="10"/>
  <c r="G31" i="10"/>
  <c r="B31" i="10"/>
  <c r="E31" i="10"/>
  <c r="J30" i="10"/>
  <c r="L30" i="10" s="1"/>
  <c r="T29" i="10" s="1"/>
  <c r="F31" i="10"/>
  <c r="G31" i="2"/>
  <c r="D31" i="2"/>
  <c r="F31" i="2"/>
  <c r="B31" i="2"/>
  <c r="E31" i="2"/>
  <c r="B26" i="8"/>
  <c r="C27" i="8"/>
  <c r="H15" i="8" l="1"/>
  <c r="D16" i="8" s="1"/>
  <c r="Z16" i="8" s="1"/>
  <c r="P18" i="10"/>
  <c r="Y27" i="10"/>
  <c r="U28" i="10"/>
  <c r="X29" i="10"/>
  <c r="C33" i="2"/>
  <c r="M31" i="10"/>
  <c r="W28" i="10"/>
  <c r="Y28" i="10" s="1"/>
  <c r="C33" i="10"/>
  <c r="H31" i="2"/>
  <c r="J31" i="2"/>
  <c r="K31" i="2" s="1"/>
  <c r="I30" i="2"/>
  <c r="G32" i="10"/>
  <c r="D32" i="10"/>
  <c r="B32" i="10"/>
  <c r="I32" i="10"/>
  <c r="E32" i="10"/>
  <c r="F32" i="10"/>
  <c r="J31" i="10"/>
  <c r="L31" i="10" s="1"/>
  <c r="T30" i="10" s="1"/>
  <c r="K30" i="10"/>
  <c r="D32" i="2"/>
  <c r="B32" i="2"/>
  <c r="G32" i="2"/>
  <c r="E32" i="2"/>
  <c r="F32" i="2"/>
  <c r="B27" i="8"/>
  <c r="C28" i="8"/>
  <c r="O19" i="10" l="1"/>
  <c r="R19" i="10" s="1"/>
  <c r="Y16" i="8"/>
  <c r="G16" i="8"/>
  <c r="E16" i="8" s="1"/>
  <c r="M21" i="2"/>
  <c r="P21" i="2" s="1"/>
  <c r="V16" i="8"/>
  <c r="X16" i="8"/>
  <c r="W16" i="8"/>
  <c r="Q16" i="8"/>
  <c r="M16" i="8"/>
  <c r="U16" i="8"/>
  <c r="Q21" i="2" s="1"/>
  <c r="P16" i="8"/>
  <c r="O16" i="8"/>
  <c r="N16" i="8"/>
  <c r="T16" i="8"/>
  <c r="R16" i="8"/>
  <c r="S16" i="8"/>
  <c r="K16" i="8"/>
  <c r="AB16" i="8" s="1"/>
  <c r="L16" i="8"/>
  <c r="U29" i="10"/>
  <c r="W29" i="10"/>
  <c r="Y29" i="10" s="1"/>
  <c r="X30" i="10"/>
  <c r="C34" i="2"/>
  <c r="M32" i="10"/>
  <c r="C34" i="10"/>
  <c r="H32" i="2"/>
  <c r="J32" i="2"/>
  <c r="K32" i="2" s="1"/>
  <c r="I31" i="2"/>
  <c r="G33" i="10"/>
  <c r="D33" i="10"/>
  <c r="B33" i="10"/>
  <c r="I33" i="10"/>
  <c r="E33" i="10"/>
  <c r="F33" i="10"/>
  <c r="J32" i="10"/>
  <c r="L32" i="10" s="1"/>
  <c r="T31" i="10" s="1"/>
  <c r="K31" i="10"/>
  <c r="F33" i="2"/>
  <c r="B33" i="2"/>
  <c r="D33" i="2"/>
  <c r="G33" i="2"/>
  <c r="E33" i="2"/>
  <c r="C29" i="8"/>
  <c r="B28" i="8"/>
  <c r="F16" i="8" l="1"/>
  <c r="O21" i="2" s="1"/>
  <c r="U30" i="10"/>
  <c r="U31" i="10"/>
  <c r="C35" i="2"/>
  <c r="P19" i="10"/>
  <c r="M33" i="10"/>
  <c r="W30" i="10"/>
  <c r="Y30" i="10" s="1"/>
  <c r="C35" i="10"/>
  <c r="H33" i="2"/>
  <c r="J33" i="2"/>
  <c r="K33" i="2" s="1"/>
  <c r="N21" i="2"/>
  <c r="I32" i="2"/>
  <c r="V23" i="2"/>
  <c r="W23" i="2" s="1"/>
  <c r="G34" i="10"/>
  <c r="I34" i="10"/>
  <c r="J33" i="10"/>
  <c r="L33" i="10" s="1"/>
  <c r="T32" i="10" s="1"/>
  <c r="D34" i="10"/>
  <c r="K32" i="10"/>
  <c r="B34" i="10"/>
  <c r="F34" i="10"/>
  <c r="E34" i="10"/>
  <c r="F34" i="2"/>
  <c r="E34" i="2"/>
  <c r="G34" i="2"/>
  <c r="B34" i="2"/>
  <c r="D34" i="2"/>
  <c r="B29" i="8"/>
  <c r="C30" i="8"/>
  <c r="H16" i="8" l="1"/>
  <c r="D17" i="8" s="1"/>
  <c r="Z17" i="8" s="1"/>
  <c r="Q19" i="10"/>
  <c r="X31" i="10"/>
  <c r="U32" i="10"/>
  <c r="C36" i="2"/>
  <c r="M34" i="10"/>
  <c r="W31" i="10"/>
  <c r="C36" i="10"/>
  <c r="H34" i="2"/>
  <c r="J34" i="2"/>
  <c r="K34" i="2" s="1"/>
  <c r="I33" i="2"/>
  <c r="V24" i="2"/>
  <c r="W24" i="2" s="1"/>
  <c r="B35" i="10"/>
  <c r="K33" i="10"/>
  <c r="D35" i="10"/>
  <c r="I35" i="10"/>
  <c r="G35" i="10"/>
  <c r="J34" i="10"/>
  <c r="K34" i="10" s="1"/>
  <c r="F35" i="10"/>
  <c r="E35" i="10"/>
  <c r="F35" i="2"/>
  <c r="G35" i="2"/>
  <c r="B35" i="2"/>
  <c r="D35" i="2"/>
  <c r="E35" i="2"/>
  <c r="B30" i="8"/>
  <c r="C31" i="8"/>
  <c r="O20" i="10" l="1"/>
  <c r="R20" i="10" s="1"/>
  <c r="Y17" i="8"/>
  <c r="M22" i="2"/>
  <c r="P22" i="2" s="1"/>
  <c r="V17" i="8"/>
  <c r="X17" i="8"/>
  <c r="W17" i="8"/>
  <c r="S17" i="8"/>
  <c r="Q17" i="8"/>
  <c r="M17" i="8"/>
  <c r="N17" i="8"/>
  <c r="T17" i="8"/>
  <c r="Q22" i="2" s="1"/>
  <c r="R17" i="8"/>
  <c r="U17" i="8"/>
  <c r="P17" i="8"/>
  <c r="O17" i="8"/>
  <c r="G17" i="8"/>
  <c r="L17" i="8"/>
  <c r="K17" i="8"/>
  <c r="AB17" i="8" s="1"/>
  <c r="Y31" i="10"/>
  <c r="X32" i="10"/>
  <c r="C37" i="2"/>
  <c r="M35" i="10"/>
  <c r="W32" i="10"/>
  <c r="L34" i="10"/>
  <c r="T33" i="10" s="1"/>
  <c r="C37" i="10"/>
  <c r="H35" i="2"/>
  <c r="J35" i="2"/>
  <c r="K35" i="2" s="1"/>
  <c r="I34" i="2"/>
  <c r="B36" i="10"/>
  <c r="D36" i="10"/>
  <c r="F36" i="10"/>
  <c r="G36" i="10"/>
  <c r="E36" i="10"/>
  <c r="I36" i="10"/>
  <c r="J35" i="10"/>
  <c r="L35" i="10" s="1"/>
  <c r="B36" i="2"/>
  <c r="F36" i="2"/>
  <c r="G36" i="2"/>
  <c r="D36" i="2"/>
  <c r="E36" i="2"/>
  <c r="B31" i="8"/>
  <c r="C32" i="8"/>
  <c r="T34" i="10" l="1"/>
  <c r="U34" i="10" s="1"/>
  <c r="E17" i="8"/>
  <c r="P20" i="10" s="1"/>
  <c r="F17" i="8"/>
  <c r="Y32" i="10"/>
  <c r="X33" i="10"/>
  <c r="C38" i="2"/>
  <c r="M36" i="10"/>
  <c r="C38" i="10"/>
  <c r="H36" i="2"/>
  <c r="I36" i="2" s="1"/>
  <c r="I35" i="2"/>
  <c r="J36" i="2"/>
  <c r="K36" i="2" s="1"/>
  <c r="V25" i="2"/>
  <c r="W25" i="2" s="1"/>
  <c r="E37" i="10"/>
  <c r="J36" i="10"/>
  <c r="K36" i="10" s="1"/>
  <c r="I37" i="10"/>
  <c r="D37" i="10"/>
  <c r="K35" i="10"/>
  <c r="B37" i="10"/>
  <c r="G37" i="10"/>
  <c r="F37" i="10"/>
  <c r="D37" i="2"/>
  <c r="F37" i="2"/>
  <c r="E37" i="2"/>
  <c r="G37" i="2"/>
  <c r="B37" i="2"/>
  <c r="C33" i="8"/>
  <c r="B32" i="8"/>
  <c r="N22" i="2" l="1"/>
  <c r="Q20" i="10"/>
  <c r="O22" i="2"/>
  <c r="H17" i="8"/>
  <c r="D18" i="8" s="1"/>
  <c r="W33" i="10"/>
  <c r="Y33" i="10" s="1"/>
  <c r="U33" i="10"/>
  <c r="C39" i="2"/>
  <c r="M37" i="10"/>
  <c r="X34" i="10"/>
  <c r="W34" i="10"/>
  <c r="L36" i="10"/>
  <c r="T35" i="10" s="1"/>
  <c r="C39" i="10"/>
  <c r="H37" i="2"/>
  <c r="I37" i="2" s="1"/>
  <c r="J37" i="2"/>
  <c r="K37" i="2" s="1"/>
  <c r="J37" i="10"/>
  <c r="K37" i="10" s="1"/>
  <c r="F38" i="10"/>
  <c r="E38" i="10"/>
  <c r="B38" i="10"/>
  <c r="G38" i="10"/>
  <c r="D38" i="10"/>
  <c r="I38" i="10"/>
  <c r="E38" i="2"/>
  <c r="F38" i="2"/>
  <c r="B38" i="2"/>
  <c r="D38" i="2"/>
  <c r="G38" i="2"/>
  <c r="C34" i="8"/>
  <c r="B33" i="8"/>
  <c r="Y18" i="8" l="1"/>
  <c r="Z18" i="8"/>
  <c r="X18" i="8"/>
  <c r="V18" i="8"/>
  <c r="W18" i="8"/>
  <c r="N18" i="8"/>
  <c r="T18" i="8"/>
  <c r="R18" i="8"/>
  <c r="S18" i="8"/>
  <c r="Q23" i="2" s="1"/>
  <c r="P18" i="8"/>
  <c r="Q18" i="8"/>
  <c r="M18" i="8"/>
  <c r="U18" i="8"/>
  <c r="O18" i="8"/>
  <c r="G18" i="8"/>
  <c r="F18" i="8" s="1"/>
  <c r="O21" i="10"/>
  <c r="R21" i="10" s="1"/>
  <c r="K18" i="8"/>
  <c r="AB18" i="8" s="1"/>
  <c r="L18" i="8"/>
  <c r="M23" i="2"/>
  <c r="P23" i="2" s="1"/>
  <c r="U35" i="10"/>
  <c r="C40" i="2"/>
  <c r="M38" i="10"/>
  <c r="Y34" i="10"/>
  <c r="L37" i="10"/>
  <c r="T36" i="10" s="1"/>
  <c r="C40" i="10"/>
  <c r="H38" i="2"/>
  <c r="I38" i="2" s="1"/>
  <c r="J38" i="2"/>
  <c r="K38" i="2" s="1"/>
  <c r="V26" i="2"/>
  <c r="W26" i="2" s="1"/>
  <c r="F39" i="10"/>
  <c r="B39" i="10"/>
  <c r="D39" i="10"/>
  <c r="J38" i="10"/>
  <c r="K38" i="10" s="1"/>
  <c r="G39" i="10"/>
  <c r="I39" i="10"/>
  <c r="E39" i="10"/>
  <c r="B39" i="2"/>
  <c r="F39" i="2"/>
  <c r="G39" i="2"/>
  <c r="E39" i="2"/>
  <c r="D39" i="2"/>
  <c r="C35" i="8"/>
  <c r="B34" i="8"/>
  <c r="E18" i="8" l="1"/>
  <c r="N23" i="2" s="1"/>
  <c r="Q21" i="10"/>
  <c r="O23" i="2"/>
  <c r="W35" i="10"/>
  <c r="X35" i="10"/>
  <c r="U36" i="10"/>
  <c r="C41" i="2"/>
  <c r="M39" i="10"/>
  <c r="L38" i="10"/>
  <c r="T37" i="10" s="1"/>
  <c r="C41" i="10"/>
  <c r="H39" i="2"/>
  <c r="I39" i="2" s="1"/>
  <c r="J39" i="2"/>
  <c r="K39" i="2" s="1"/>
  <c r="I40" i="10"/>
  <c r="D40" i="10"/>
  <c r="G40" i="10"/>
  <c r="B40" i="10"/>
  <c r="F40" i="10"/>
  <c r="E40" i="10"/>
  <c r="J39" i="10"/>
  <c r="L39" i="10" s="1"/>
  <c r="F40" i="2"/>
  <c r="G40" i="2"/>
  <c r="D40" i="2"/>
  <c r="B40" i="2"/>
  <c r="E40" i="2"/>
  <c r="B35" i="8"/>
  <c r="C36" i="8"/>
  <c r="T38" i="10" l="1"/>
  <c r="U38" i="10" s="1"/>
  <c r="Y35" i="10"/>
  <c r="P21" i="10"/>
  <c r="H18" i="8"/>
  <c r="D19" i="8" s="1"/>
  <c r="W36" i="10"/>
  <c r="X36" i="10"/>
  <c r="X37" i="10"/>
  <c r="C42" i="2"/>
  <c r="M40" i="10"/>
  <c r="C42" i="10"/>
  <c r="H40" i="2"/>
  <c r="I40" i="2" s="1"/>
  <c r="J40" i="2"/>
  <c r="K40" i="2" s="1"/>
  <c r="V27" i="2"/>
  <c r="W27" i="2" s="1"/>
  <c r="D41" i="10"/>
  <c r="G41" i="10"/>
  <c r="I41" i="10"/>
  <c r="B41" i="10"/>
  <c r="J40" i="10"/>
  <c r="K40" i="10" s="1"/>
  <c r="F41" i="10"/>
  <c r="E41" i="10"/>
  <c r="K39" i="10"/>
  <c r="G41" i="2"/>
  <c r="F41" i="2"/>
  <c r="D41" i="2"/>
  <c r="E41" i="2"/>
  <c r="B41" i="2"/>
  <c r="B36" i="8"/>
  <c r="C37" i="8"/>
  <c r="Y36" i="10" l="1"/>
  <c r="Y19" i="8"/>
  <c r="Z19" i="8"/>
  <c r="G19" i="8"/>
  <c r="E19" i="8" s="1"/>
  <c r="O22" i="10"/>
  <c r="R22" i="10" s="1"/>
  <c r="M24" i="2"/>
  <c r="P24" i="2" s="1"/>
  <c r="K19" i="8"/>
  <c r="AB19" i="8" s="1"/>
  <c r="X19" i="8"/>
  <c r="V19" i="8"/>
  <c r="W19" i="8"/>
  <c r="U19" i="8"/>
  <c r="O19" i="8"/>
  <c r="N19" i="8"/>
  <c r="T19" i="8"/>
  <c r="R19" i="8"/>
  <c r="Q24" i="2" s="1"/>
  <c r="S19" i="8"/>
  <c r="P19" i="8"/>
  <c r="Q19" i="8"/>
  <c r="M19" i="8"/>
  <c r="L19" i="8"/>
  <c r="W37" i="10"/>
  <c r="Y37" i="10" s="1"/>
  <c r="U37" i="10"/>
  <c r="C43" i="2"/>
  <c r="M41" i="10"/>
  <c r="X38" i="10"/>
  <c r="L40" i="10"/>
  <c r="T39" i="10" s="1"/>
  <c r="W38" i="10"/>
  <c r="C43" i="10"/>
  <c r="H41" i="2"/>
  <c r="I41" i="2" s="1"/>
  <c r="J41" i="2"/>
  <c r="K41" i="2" s="1"/>
  <c r="I42" i="10"/>
  <c r="G42" i="10"/>
  <c r="D42" i="10"/>
  <c r="B42" i="10"/>
  <c r="J41" i="10"/>
  <c r="K41" i="10" s="1"/>
  <c r="F42" i="10"/>
  <c r="E42" i="10"/>
  <c r="E42" i="2"/>
  <c r="G42" i="2"/>
  <c r="D42" i="2"/>
  <c r="B42" i="2"/>
  <c r="F42" i="2"/>
  <c r="C38" i="8"/>
  <c r="B37" i="8"/>
  <c r="Y38" i="10" l="1"/>
  <c r="F19" i="8"/>
  <c r="O24" i="2" s="1"/>
  <c r="X39" i="10"/>
  <c r="C44" i="2"/>
  <c r="M42" i="10"/>
  <c r="N24" i="2"/>
  <c r="P22" i="10"/>
  <c r="L41" i="10"/>
  <c r="T40" i="10" s="1"/>
  <c r="C44" i="10"/>
  <c r="H42" i="2"/>
  <c r="I42" i="2" s="1"/>
  <c r="J42" i="2"/>
  <c r="K42" i="2" s="1"/>
  <c r="V28" i="2"/>
  <c r="W28" i="2" s="1"/>
  <c r="I43" i="10"/>
  <c r="F43" i="10"/>
  <c r="J42" i="10"/>
  <c r="L42" i="10" s="1"/>
  <c r="G43" i="10"/>
  <c r="D43" i="10"/>
  <c r="B43" i="10"/>
  <c r="E43" i="10"/>
  <c r="D43" i="2"/>
  <c r="G43" i="2"/>
  <c r="F43" i="2"/>
  <c r="B43" i="2"/>
  <c r="E43" i="2"/>
  <c r="C39" i="8"/>
  <c r="B38" i="8"/>
  <c r="T41" i="10" l="1"/>
  <c r="U41" i="10" s="1"/>
  <c r="H19" i="8"/>
  <c r="D20" i="8" s="1"/>
  <c r="Z20" i="8" s="1"/>
  <c r="Q22" i="10"/>
  <c r="W39" i="10"/>
  <c r="Y39" i="10" s="1"/>
  <c r="U39" i="10"/>
  <c r="U40" i="10"/>
  <c r="C45" i="2"/>
  <c r="M43" i="10"/>
  <c r="C45" i="10"/>
  <c r="T44" i="10" s="1"/>
  <c r="H43" i="2"/>
  <c r="I43" i="2" s="1"/>
  <c r="J43" i="2"/>
  <c r="K43" i="2" s="1"/>
  <c r="K42" i="10"/>
  <c r="I44" i="10"/>
  <c r="D44" i="10"/>
  <c r="F44" i="10"/>
  <c r="E44" i="10"/>
  <c r="B44" i="10"/>
  <c r="G44" i="10"/>
  <c r="J43" i="10"/>
  <c r="K43" i="10" s="1"/>
  <c r="G44" i="2"/>
  <c r="F44" i="2"/>
  <c r="D44" i="2"/>
  <c r="B44" i="2"/>
  <c r="E44" i="2"/>
  <c r="B39" i="8"/>
  <c r="C40" i="8"/>
  <c r="G20" i="8" l="1"/>
  <c r="F20" i="8" s="1"/>
  <c r="Y20" i="8"/>
  <c r="X20" i="8"/>
  <c r="V20" i="8"/>
  <c r="W20" i="8"/>
  <c r="U20" i="8"/>
  <c r="O20" i="8"/>
  <c r="N20" i="8"/>
  <c r="T20" i="8"/>
  <c r="R20" i="8"/>
  <c r="S20" i="8"/>
  <c r="P20" i="8"/>
  <c r="Q20" i="8"/>
  <c r="Q25" i="2" s="1"/>
  <c r="M20" i="8"/>
  <c r="K20" i="8"/>
  <c r="AB20" i="8" s="1"/>
  <c r="L20" i="8"/>
  <c r="O23" i="10"/>
  <c r="R23" i="10" s="1"/>
  <c r="M25" i="2"/>
  <c r="P25" i="2" s="1"/>
  <c r="X40" i="10"/>
  <c r="W40" i="10"/>
  <c r="X41" i="10"/>
  <c r="C46" i="2"/>
  <c r="M44" i="10"/>
  <c r="Y44" i="10"/>
  <c r="W41" i="10"/>
  <c r="Y41" i="10" s="1"/>
  <c r="L43" i="10"/>
  <c r="T42" i="10" s="1"/>
  <c r="C46" i="10"/>
  <c r="T45" i="10" s="1"/>
  <c r="H44" i="2"/>
  <c r="I44" i="2" s="1"/>
  <c r="J44" i="2"/>
  <c r="K44" i="2" s="1"/>
  <c r="V29" i="2"/>
  <c r="W29" i="2" s="1"/>
  <c r="D45" i="10"/>
  <c r="E45" i="10"/>
  <c r="F45" i="10"/>
  <c r="I45" i="10"/>
  <c r="B45" i="10"/>
  <c r="G45" i="10"/>
  <c r="J44" i="10"/>
  <c r="L44" i="10" s="1"/>
  <c r="G45" i="2"/>
  <c r="D45" i="2"/>
  <c r="B45" i="2"/>
  <c r="F45" i="2"/>
  <c r="E45" i="2"/>
  <c r="B40" i="8"/>
  <c r="C41" i="8"/>
  <c r="T43" i="10" l="1"/>
  <c r="U43" i="10" s="1"/>
  <c r="Y40" i="10"/>
  <c r="U42" i="10"/>
  <c r="C47" i="2"/>
  <c r="M45" i="10"/>
  <c r="X44" i="10"/>
  <c r="W44" i="10"/>
  <c r="U44" i="10"/>
  <c r="W45" i="10"/>
  <c r="L45" i="10"/>
  <c r="C47" i="10"/>
  <c r="T46" i="10" s="1"/>
  <c r="H45" i="2"/>
  <c r="I45" i="2" s="1"/>
  <c r="J45" i="2"/>
  <c r="K45" i="2" s="1"/>
  <c r="J45" i="10"/>
  <c r="K44" i="10"/>
  <c r="E46" i="10"/>
  <c r="I46" i="10"/>
  <c r="B46" i="10"/>
  <c r="D46" i="10"/>
  <c r="F46" i="10"/>
  <c r="G46" i="10"/>
  <c r="B46" i="2"/>
  <c r="G46" i="2"/>
  <c r="D46" i="2"/>
  <c r="E46" i="2"/>
  <c r="F46" i="2"/>
  <c r="C42" i="8"/>
  <c r="B41" i="8"/>
  <c r="X43" i="10" l="1"/>
  <c r="X42" i="10"/>
  <c r="W42" i="10"/>
  <c r="C48" i="2"/>
  <c r="M46" i="10"/>
  <c r="U45" i="10"/>
  <c r="Y45" i="10"/>
  <c r="X45" i="10"/>
  <c r="U46" i="10"/>
  <c r="W43" i="10"/>
  <c r="L46" i="10"/>
  <c r="C48" i="10"/>
  <c r="T47" i="10" s="1"/>
  <c r="H46" i="2"/>
  <c r="I46" i="2" s="1"/>
  <c r="J46" i="2"/>
  <c r="K46" i="2" s="1"/>
  <c r="K45" i="10"/>
  <c r="J46" i="10"/>
  <c r="E47" i="10"/>
  <c r="G47" i="10"/>
  <c r="B47" i="10"/>
  <c r="I47" i="10"/>
  <c r="D47" i="10"/>
  <c r="F47" i="10"/>
  <c r="E47" i="2"/>
  <c r="B47" i="2"/>
  <c r="D47" i="2"/>
  <c r="G47" i="2"/>
  <c r="F47" i="2"/>
  <c r="B42" i="8"/>
  <c r="C43" i="8"/>
  <c r="Y43" i="10" l="1"/>
  <c r="Y42" i="10"/>
  <c r="C49" i="2"/>
  <c r="M47" i="10"/>
  <c r="Y46" i="10"/>
  <c r="X46" i="10"/>
  <c r="W46" i="10"/>
  <c r="X47" i="10"/>
  <c r="L47" i="10"/>
  <c r="C49" i="10"/>
  <c r="T48" i="10" s="1"/>
  <c r="H47" i="2"/>
  <c r="I47" i="2" s="1"/>
  <c r="J47" i="2"/>
  <c r="K47" i="2" s="1"/>
  <c r="V30" i="2"/>
  <c r="W30" i="2" s="1"/>
  <c r="K46" i="10"/>
  <c r="J47" i="10"/>
  <c r="G48" i="10"/>
  <c r="I48" i="10"/>
  <c r="E48" i="10"/>
  <c r="F48" i="10"/>
  <c r="D48" i="10"/>
  <c r="B48" i="10"/>
  <c r="F48" i="2"/>
  <c r="B48" i="2"/>
  <c r="D48" i="2"/>
  <c r="G48" i="2"/>
  <c r="E48" i="2"/>
  <c r="B43" i="8"/>
  <c r="C44" i="8"/>
  <c r="C50" i="2" l="1"/>
  <c r="M48" i="10"/>
  <c r="W47" i="10"/>
  <c r="U47" i="10"/>
  <c r="Y47" i="10"/>
  <c r="W48" i="10"/>
  <c r="L48" i="10"/>
  <c r="C50" i="10"/>
  <c r="T49" i="10" s="1"/>
  <c r="H48" i="2"/>
  <c r="I48" i="2" s="1"/>
  <c r="J48" i="2"/>
  <c r="K48" i="2" s="1"/>
  <c r="V31" i="2"/>
  <c r="W31" i="2" s="1"/>
  <c r="V46" i="2"/>
  <c r="W46" i="2" s="1"/>
  <c r="K47" i="10"/>
  <c r="J48" i="10"/>
  <c r="E49" i="10"/>
  <c r="D49" i="10"/>
  <c r="F49" i="10"/>
  <c r="I49" i="10"/>
  <c r="B49" i="10"/>
  <c r="G49" i="10"/>
  <c r="G49" i="2"/>
  <c r="D49" i="2"/>
  <c r="F49" i="2"/>
  <c r="E49" i="2"/>
  <c r="B49" i="2"/>
  <c r="B44" i="8"/>
  <c r="C45" i="8"/>
  <c r="C51" i="2" l="1"/>
  <c r="M49" i="10"/>
  <c r="U48" i="10"/>
  <c r="Y48" i="10"/>
  <c r="X48" i="10"/>
  <c r="W49" i="10"/>
  <c r="M50" i="10"/>
  <c r="L50" i="10"/>
  <c r="L49" i="10"/>
  <c r="C51" i="10"/>
  <c r="T50" i="10" s="1"/>
  <c r="H49" i="2"/>
  <c r="I49" i="2" s="1"/>
  <c r="J49" i="2"/>
  <c r="K49" i="2" s="1"/>
  <c r="V47" i="2"/>
  <c r="W47" i="2" s="1"/>
  <c r="D50" i="10"/>
  <c r="K48" i="10"/>
  <c r="J49" i="10"/>
  <c r="F50" i="10"/>
  <c r="G50" i="10"/>
  <c r="I50" i="10"/>
  <c r="E50" i="10"/>
  <c r="B50" i="10"/>
  <c r="B50" i="2"/>
  <c r="F50" i="2"/>
  <c r="D50" i="2"/>
  <c r="E50" i="2"/>
  <c r="G50" i="2"/>
  <c r="C46" i="8"/>
  <c r="B45" i="8"/>
  <c r="C52" i="2" l="1"/>
  <c r="M52" i="2" s="1"/>
  <c r="U49" i="10"/>
  <c r="Y49" i="10"/>
  <c r="X49" i="10"/>
  <c r="X50" i="10"/>
  <c r="M51" i="10"/>
  <c r="L51" i="10"/>
  <c r="C52" i="10"/>
  <c r="T51" i="10" s="1"/>
  <c r="H50" i="2"/>
  <c r="I50" i="2" s="1"/>
  <c r="J50" i="2"/>
  <c r="K50" i="2" s="1"/>
  <c r="V48" i="2"/>
  <c r="W48" i="2" s="1"/>
  <c r="K49" i="10"/>
  <c r="J50" i="10"/>
  <c r="B51" i="10"/>
  <c r="G51" i="10"/>
  <c r="E51" i="10"/>
  <c r="I51" i="10"/>
  <c r="D51" i="10"/>
  <c r="F51" i="10"/>
  <c r="D51" i="2"/>
  <c r="B51" i="2"/>
  <c r="F51" i="2"/>
  <c r="G51" i="2"/>
  <c r="E51" i="2"/>
  <c r="B46" i="8"/>
  <c r="C47" i="8"/>
  <c r="H52" i="2" l="1"/>
  <c r="C53" i="2"/>
  <c r="M53" i="2" s="1"/>
  <c r="W50" i="10"/>
  <c r="U50" i="10"/>
  <c r="W51" i="10"/>
  <c r="M52" i="10"/>
  <c r="Y50" i="10"/>
  <c r="L52" i="10"/>
  <c r="C53" i="10"/>
  <c r="T52" i="10" s="1"/>
  <c r="H51" i="2"/>
  <c r="J51" i="2"/>
  <c r="K51" i="2" s="1"/>
  <c r="V32" i="2"/>
  <c r="W32" i="2" s="1"/>
  <c r="V49" i="2"/>
  <c r="W49" i="2" s="1"/>
  <c r="J51" i="10"/>
  <c r="K50" i="10"/>
  <c r="I51" i="2"/>
  <c r="G52" i="10"/>
  <c r="D52" i="10"/>
  <c r="I52" i="10"/>
  <c r="E52" i="10"/>
  <c r="B52" i="10"/>
  <c r="F52" i="10"/>
  <c r="D52" i="2"/>
  <c r="F52" i="2"/>
  <c r="B52" i="2"/>
  <c r="G52" i="2"/>
  <c r="E52" i="2"/>
  <c r="B47" i="8"/>
  <c r="C48" i="8"/>
  <c r="H53" i="2" l="1"/>
  <c r="C54" i="2"/>
  <c r="M54" i="2" s="1"/>
  <c r="U51" i="10"/>
  <c r="Y51" i="10"/>
  <c r="X51" i="10"/>
  <c r="X52" i="10"/>
  <c r="M53" i="10"/>
  <c r="L53" i="10"/>
  <c r="C54" i="10"/>
  <c r="T53" i="10" s="1"/>
  <c r="J52" i="2"/>
  <c r="K52" i="2" s="1"/>
  <c r="V50" i="2"/>
  <c r="W50" i="2" s="1"/>
  <c r="K51" i="10"/>
  <c r="J52" i="10"/>
  <c r="F53" i="10"/>
  <c r="I53" i="10"/>
  <c r="G53" i="10"/>
  <c r="E53" i="10"/>
  <c r="D53" i="10"/>
  <c r="B53" i="10"/>
  <c r="I52" i="2"/>
  <c r="F53" i="2"/>
  <c r="B53" i="2"/>
  <c r="D53" i="2"/>
  <c r="G53" i="2"/>
  <c r="E53" i="2"/>
  <c r="B48" i="8"/>
  <c r="C49" i="8"/>
  <c r="H54" i="2" l="1"/>
  <c r="C55" i="2"/>
  <c r="M55" i="2" s="1"/>
  <c r="W52" i="10"/>
  <c r="U52" i="10"/>
  <c r="X53" i="10"/>
  <c r="M54" i="10"/>
  <c r="Y52" i="10"/>
  <c r="L54" i="10"/>
  <c r="C55" i="10"/>
  <c r="T54" i="10" s="1"/>
  <c r="J53" i="2"/>
  <c r="V33" i="2"/>
  <c r="W33" i="2" s="1"/>
  <c r="V51" i="2"/>
  <c r="W51" i="2" s="1"/>
  <c r="K52" i="10"/>
  <c r="J53" i="10"/>
  <c r="F54" i="10"/>
  <c r="B54" i="10"/>
  <c r="D54" i="10"/>
  <c r="G54" i="10"/>
  <c r="E54" i="10"/>
  <c r="I54" i="10"/>
  <c r="I53" i="2"/>
  <c r="D54" i="2"/>
  <c r="B54" i="2"/>
  <c r="G54" i="2"/>
  <c r="F54" i="2"/>
  <c r="E54" i="2"/>
  <c r="C50" i="8"/>
  <c r="B49" i="8"/>
  <c r="K53" i="2" l="1"/>
  <c r="H55" i="2"/>
  <c r="C56" i="2"/>
  <c r="M56" i="2" s="1"/>
  <c r="W53" i="10"/>
  <c r="Y53" i="10"/>
  <c r="U53" i="10"/>
  <c r="X54" i="10"/>
  <c r="M55" i="10"/>
  <c r="L55" i="10"/>
  <c r="C56" i="10"/>
  <c r="T55" i="10" s="1"/>
  <c r="J54" i="2"/>
  <c r="V34" i="2"/>
  <c r="W34" i="2" s="1"/>
  <c r="V52" i="2"/>
  <c r="W52" i="2" s="1"/>
  <c r="K53" i="10"/>
  <c r="J54" i="10"/>
  <c r="E55" i="10"/>
  <c r="D55" i="10"/>
  <c r="G55" i="10"/>
  <c r="B55" i="10"/>
  <c r="I55" i="10"/>
  <c r="F55" i="10"/>
  <c r="I54" i="2"/>
  <c r="B55" i="2"/>
  <c r="D55" i="2"/>
  <c r="F55" i="2"/>
  <c r="G55" i="2"/>
  <c r="E55" i="2"/>
  <c r="C51" i="8"/>
  <c r="B50" i="8"/>
  <c r="K54" i="2" l="1"/>
  <c r="H56" i="2"/>
  <c r="C57" i="2"/>
  <c r="M57" i="2" s="1"/>
  <c r="W54" i="10"/>
  <c r="Y54" i="10"/>
  <c r="U54" i="10"/>
  <c r="Y55" i="10"/>
  <c r="M56" i="10"/>
  <c r="L56" i="10"/>
  <c r="C57" i="10"/>
  <c r="T56" i="10" s="1"/>
  <c r="J55" i="2"/>
  <c r="I56" i="10"/>
  <c r="V53" i="2"/>
  <c r="W53" i="2" s="1"/>
  <c r="K54" i="10"/>
  <c r="J55" i="10"/>
  <c r="D56" i="10"/>
  <c r="F56" i="10"/>
  <c r="B56" i="10"/>
  <c r="E56" i="10"/>
  <c r="G56" i="10"/>
  <c r="I55" i="2"/>
  <c r="G56" i="2"/>
  <c r="D56" i="2"/>
  <c r="F56" i="2"/>
  <c r="B56" i="2"/>
  <c r="E56" i="2"/>
  <c r="B51" i="8"/>
  <c r="C52" i="8"/>
  <c r="K55" i="2" l="1"/>
  <c r="H57" i="2"/>
  <c r="C58" i="2"/>
  <c r="M58" i="2" s="1"/>
  <c r="U55" i="10"/>
  <c r="X55" i="10"/>
  <c r="W55" i="10"/>
  <c r="X56" i="10"/>
  <c r="M57" i="10"/>
  <c r="L57" i="10"/>
  <c r="C58" i="10"/>
  <c r="T57" i="10" s="1"/>
  <c r="J56" i="2"/>
  <c r="V54" i="2"/>
  <c r="W54" i="2" s="1"/>
  <c r="K55" i="10"/>
  <c r="J56" i="10"/>
  <c r="E57" i="10"/>
  <c r="B57" i="10"/>
  <c r="D57" i="10"/>
  <c r="G57" i="10"/>
  <c r="F57" i="10"/>
  <c r="I57" i="10"/>
  <c r="I56" i="2"/>
  <c r="F57" i="2"/>
  <c r="D57" i="2"/>
  <c r="B57" i="2"/>
  <c r="G57" i="2"/>
  <c r="E57" i="2"/>
  <c r="C53" i="8"/>
  <c r="B52" i="8"/>
  <c r="K56" i="2" l="1"/>
  <c r="H58" i="2"/>
  <c r="C59" i="2"/>
  <c r="M59" i="2" s="1"/>
  <c r="W56" i="10"/>
  <c r="Y56" i="10"/>
  <c r="U56" i="10"/>
  <c r="W57" i="10"/>
  <c r="M58" i="10"/>
  <c r="L58" i="10"/>
  <c r="C59" i="10"/>
  <c r="T58" i="10" s="1"/>
  <c r="J57" i="2"/>
  <c r="V35" i="2"/>
  <c r="W35" i="2" s="1"/>
  <c r="V55" i="2"/>
  <c r="W55" i="2" s="1"/>
  <c r="K56" i="10"/>
  <c r="J57" i="10"/>
  <c r="E58" i="10"/>
  <c r="B58" i="10"/>
  <c r="G58" i="10"/>
  <c r="F58" i="10"/>
  <c r="D58" i="10"/>
  <c r="I58" i="10"/>
  <c r="I57" i="2"/>
  <c r="G58" i="2"/>
  <c r="F58" i="2"/>
  <c r="E58" i="2"/>
  <c r="D58" i="2"/>
  <c r="B58" i="2"/>
  <c r="C54" i="8"/>
  <c r="B53" i="8"/>
  <c r="K57" i="2" l="1"/>
  <c r="H59" i="2"/>
  <c r="C60" i="2"/>
  <c r="M60" i="2" s="1"/>
  <c r="U57" i="10"/>
  <c r="Y57" i="10"/>
  <c r="W58" i="10"/>
  <c r="M59" i="10"/>
  <c r="X57" i="10"/>
  <c r="L59" i="10"/>
  <c r="C60" i="10"/>
  <c r="T59" i="10" s="1"/>
  <c r="J58" i="2"/>
  <c r="V56" i="2"/>
  <c r="W56" i="2" s="1"/>
  <c r="K57" i="10"/>
  <c r="J58" i="10"/>
  <c r="G59" i="10"/>
  <c r="E59" i="10"/>
  <c r="B59" i="10"/>
  <c r="I59" i="10"/>
  <c r="D59" i="10"/>
  <c r="F59" i="10"/>
  <c r="I58" i="2"/>
  <c r="F59" i="2"/>
  <c r="D59" i="2"/>
  <c r="G59" i="2"/>
  <c r="B59" i="2"/>
  <c r="E59" i="2"/>
  <c r="C55" i="8"/>
  <c r="B54" i="8"/>
  <c r="K58" i="2" l="1"/>
  <c r="H60" i="2"/>
  <c r="C61" i="2"/>
  <c r="M61" i="2" s="1"/>
  <c r="U58" i="10"/>
  <c r="Y58" i="10"/>
  <c r="X59" i="10"/>
  <c r="M60" i="10"/>
  <c r="X58" i="10"/>
  <c r="L60" i="10"/>
  <c r="C61" i="10"/>
  <c r="T60" i="10" s="1"/>
  <c r="J59" i="2"/>
  <c r="V36" i="2"/>
  <c r="W36" i="2" s="1"/>
  <c r="V57" i="2"/>
  <c r="W57" i="2" s="1"/>
  <c r="K58" i="10"/>
  <c r="J59" i="10"/>
  <c r="F60" i="10"/>
  <c r="E60" i="10"/>
  <c r="G60" i="10"/>
  <c r="B60" i="10"/>
  <c r="I60" i="10"/>
  <c r="D60" i="10"/>
  <c r="I59" i="2"/>
  <c r="D60" i="2"/>
  <c r="B60" i="2"/>
  <c r="G60" i="2"/>
  <c r="F60" i="2"/>
  <c r="E60" i="2"/>
  <c r="B55" i="8"/>
  <c r="C56" i="8"/>
  <c r="K59" i="2" l="1"/>
  <c r="H61" i="2"/>
  <c r="C62" i="2"/>
  <c r="M62" i="2" s="1"/>
  <c r="W59" i="10"/>
  <c r="Y59" i="10"/>
  <c r="U59" i="10"/>
  <c r="Y60" i="10"/>
  <c r="M61" i="10"/>
  <c r="L61" i="10"/>
  <c r="C62" i="10"/>
  <c r="T61" i="10" s="1"/>
  <c r="J60" i="2"/>
  <c r="V58" i="2"/>
  <c r="W58" i="2" s="1"/>
  <c r="K59" i="10"/>
  <c r="J60" i="10"/>
  <c r="F61" i="10"/>
  <c r="B61" i="10"/>
  <c r="G61" i="10"/>
  <c r="D61" i="10"/>
  <c r="E61" i="10"/>
  <c r="I61" i="10"/>
  <c r="I60" i="2"/>
  <c r="E61" i="2"/>
  <c r="G61" i="2"/>
  <c r="F61" i="2"/>
  <c r="D61" i="2"/>
  <c r="B61" i="2"/>
  <c r="B56" i="8"/>
  <c r="C57" i="8"/>
  <c r="K60" i="2" l="1"/>
  <c r="H62" i="2"/>
  <c r="C63" i="2"/>
  <c r="M63" i="2" s="1"/>
  <c r="U60" i="10"/>
  <c r="X60" i="10"/>
  <c r="W60" i="10"/>
  <c r="X61" i="10"/>
  <c r="M62" i="10"/>
  <c r="L62" i="10"/>
  <c r="C63" i="10"/>
  <c r="T62" i="10" s="1"/>
  <c r="J61" i="2"/>
  <c r="V37" i="2"/>
  <c r="W37" i="2" s="1"/>
  <c r="V59" i="2"/>
  <c r="W59" i="2" s="1"/>
  <c r="K60" i="10"/>
  <c r="J61" i="10"/>
  <c r="F62" i="10"/>
  <c r="E62" i="10"/>
  <c r="B62" i="10"/>
  <c r="I62" i="10"/>
  <c r="G62" i="10"/>
  <c r="D62" i="10"/>
  <c r="I61" i="2"/>
  <c r="F62" i="2"/>
  <c r="G62" i="2"/>
  <c r="B62" i="2"/>
  <c r="E62" i="2"/>
  <c r="D62" i="2"/>
  <c r="B57" i="8"/>
  <c r="C58" i="8"/>
  <c r="K61" i="2" l="1"/>
  <c r="H63" i="2"/>
  <c r="C64" i="2"/>
  <c r="M64" i="2" s="1"/>
  <c r="W61" i="10"/>
  <c r="U61" i="10"/>
  <c r="X62" i="10"/>
  <c r="M63" i="10"/>
  <c r="Y61" i="10"/>
  <c r="L63" i="10"/>
  <c r="C64" i="10"/>
  <c r="T63" i="10" s="1"/>
  <c r="J62" i="2"/>
  <c r="V60" i="2"/>
  <c r="W60" i="2" s="1"/>
  <c r="K61" i="10"/>
  <c r="J62" i="10"/>
  <c r="G63" i="10"/>
  <c r="B63" i="10"/>
  <c r="F63" i="10"/>
  <c r="I63" i="10"/>
  <c r="E63" i="10"/>
  <c r="D63" i="10"/>
  <c r="I62" i="2"/>
  <c r="G63" i="2"/>
  <c r="F63" i="2"/>
  <c r="E63" i="2"/>
  <c r="D63" i="2"/>
  <c r="B63" i="2"/>
  <c r="C59" i="8"/>
  <c r="B58" i="8"/>
  <c r="K62" i="2" l="1"/>
  <c r="H64" i="2"/>
  <c r="C65" i="2"/>
  <c r="M65" i="2" s="1"/>
  <c r="U62" i="10"/>
  <c r="Y62" i="10"/>
  <c r="W62" i="10"/>
  <c r="X63" i="10"/>
  <c r="M64" i="10"/>
  <c r="L64" i="10"/>
  <c r="C65" i="10"/>
  <c r="T64" i="10" s="1"/>
  <c r="J63" i="2"/>
  <c r="V38" i="2"/>
  <c r="W38" i="2" s="1"/>
  <c r="V61" i="2"/>
  <c r="W61" i="2" s="1"/>
  <c r="J63" i="10"/>
  <c r="K62" i="10"/>
  <c r="D64" i="10"/>
  <c r="F64" i="10"/>
  <c r="I64" i="10"/>
  <c r="G64" i="10"/>
  <c r="E64" i="10"/>
  <c r="B64" i="10"/>
  <c r="I63" i="2"/>
  <c r="E64" i="2"/>
  <c r="D64" i="2"/>
  <c r="B64" i="2"/>
  <c r="F64" i="2"/>
  <c r="G64" i="2"/>
  <c r="C60" i="8"/>
  <c r="B59" i="8"/>
  <c r="K63" i="2" l="1"/>
  <c r="H65" i="2"/>
  <c r="C66" i="2"/>
  <c r="M66" i="2" s="1"/>
  <c r="W63" i="10"/>
  <c r="U63" i="10"/>
  <c r="Y63" i="10"/>
  <c r="W64" i="10"/>
  <c r="M65" i="10"/>
  <c r="L65" i="10"/>
  <c r="C66" i="10"/>
  <c r="T65" i="10" s="1"/>
  <c r="J64" i="2"/>
  <c r="I65" i="10"/>
  <c r="V62" i="2"/>
  <c r="W62" i="2" s="1"/>
  <c r="J64" i="10"/>
  <c r="K63" i="10"/>
  <c r="B65" i="10"/>
  <c r="D65" i="10"/>
  <c r="F65" i="10"/>
  <c r="E65" i="10"/>
  <c r="G65" i="10"/>
  <c r="I64" i="2"/>
  <c r="G65" i="2"/>
  <c r="E65" i="2"/>
  <c r="F65" i="2"/>
  <c r="B65" i="2"/>
  <c r="D65" i="2"/>
  <c r="B60" i="8"/>
  <c r="C61" i="8"/>
  <c r="K64" i="2" l="1"/>
  <c r="H66" i="2"/>
  <c r="C67" i="2"/>
  <c r="M67" i="2" s="1"/>
  <c r="U64" i="10"/>
  <c r="Y64" i="10"/>
  <c r="X64" i="10"/>
  <c r="W65" i="10"/>
  <c r="M66" i="10"/>
  <c r="L66" i="10"/>
  <c r="C67" i="10"/>
  <c r="T66" i="10" s="1"/>
  <c r="J65" i="2"/>
  <c r="V39" i="2"/>
  <c r="W39" i="2" s="1"/>
  <c r="V63" i="2"/>
  <c r="W63" i="2" s="1"/>
  <c r="K64" i="10"/>
  <c r="I65" i="2"/>
  <c r="J65" i="10"/>
  <c r="F66" i="10"/>
  <c r="D66" i="10"/>
  <c r="E66" i="10"/>
  <c r="I66" i="10"/>
  <c r="B66" i="10"/>
  <c r="G66" i="10"/>
  <c r="D66" i="2"/>
  <c r="E66" i="2"/>
  <c r="G66" i="2"/>
  <c r="B66" i="2"/>
  <c r="F66" i="2"/>
  <c r="B61" i="8"/>
  <c r="C62" i="8"/>
  <c r="K65" i="2" l="1"/>
  <c r="H67" i="2"/>
  <c r="C68" i="2"/>
  <c r="M68" i="2" s="1"/>
  <c r="U65" i="10"/>
  <c r="Y65" i="10"/>
  <c r="X65" i="10"/>
  <c r="W66" i="10"/>
  <c r="M67" i="10"/>
  <c r="L67" i="10"/>
  <c r="C68" i="10"/>
  <c r="T67" i="10" s="1"/>
  <c r="J66" i="2"/>
  <c r="V64" i="2"/>
  <c r="W64" i="2" s="1"/>
  <c r="K65" i="10"/>
  <c r="J66" i="10"/>
  <c r="K66" i="10" s="1"/>
  <c r="B67" i="10"/>
  <c r="G67" i="10"/>
  <c r="I67" i="10"/>
  <c r="E67" i="10"/>
  <c r="D67" i="10"/>
  <c r="F67" i="10"/>
  <c r="I66" i="2"/>
  <c r="B67" i="2"/>
  <c r="F67" i="2"/>
  <c r="E67" i="2"/>
  <c r="D67" i="2"/>
  <c r="G67" i="2"/>
  <c r="C63" i="8"/>
  <c r="B62" i="8"/>
  <c r="K66" i="2" l="1"/>
  <c r="H68" i="2"/>
  <c r="C69" i="2"/>
  <c r="M69" i="2" s="1"/>
  <c r="U66" i="10"/>
  <c r="Y66" i="10"/>
  <c r="U67" i="10"/>
  <c r="M68" i="10"/>
  <c r="X66" i="10"/>
  <c r="L68" i="10"/>
  <c r="C69" i="10"/>
  <c r="T68" i="10" s="1"/>
  <c r="J67" i="2"/>
  <c r="V40" i="2"/>
  <c r="W40" i="2" s="1"/>
  <c r="V65" i="2"/>
  <c r="W65" i="2" s="1"/>
  <c r="J67" i="10"/>
  <c r="B68" i="10"/>
  <c r="D68" i="10"/>
  <c r="E68" i="10"/>
  <c r="I68" i="10"/>
  <c r="G68" i="10"/>
  <c r="F68" i="10"/>
  <c r="I67" i="2"/>
  <c r="E68" i="2"/>
  <c r="G68" i="2"/>
  <c r="B68" i="2"/>
  <c r="D68" i="2"/>
  <c r="F68" i="2"/>
  <c r="C64" i="8"/>
  <c r="B63" i="8"/>
  <c r="K67" i="2" l="1"/>
  <c r="H69" i="2"/>
  <c r="C70" i="2"/>
  <c r="M70" i="2" s="1"/>
  <c r="W67" i="10"/>
  <c r="Y67" i="10"/>
  <c r="X67" i="10"/>
  <c r="Y68" i="10"/>
  <c r="M69" i="10"/>
  <c r="L69" i="10"/>
  <c r="C70" i="10"/>
  <c r="T69" i="10" s="1"/>
  <c r="J68" i="2"/>
  <c r="V66" i="2"/>
  <c r="W66" i="2" s="1"/>
  <c r="K67" i="10"/>
  <c r="J68" i="10"/>
  <c r="I68" i="2"/>
  <c r="G69" i="10"/>
  <c r="D69" i="10"/>
  <c r="B69" i="10"/>
  <c r="I69" i="10"/>
  <c r="F69" i="10"/>
  <c r="E69" i="10"/>
  <c r="E69" i="2"/>
  <c r="F69" i="2"/>
  <c r="B69" i="2"/>
  <c r="D69" i="2"/>
  <c r="G69" i="2"/>
  <c r="B64" i="8"/>
  <c r="C65" i="8"/>
  <c r="K68" i="2" l="1"/>
  <c r="H70" i="2"/>
  <c r="C71" i="2"/>
  <c r="M71" i="2" s="1"/>
  <c r="U68" i="10"/>
  <c r="X68" i="10"/>
  <c r="W68" i="10"/>
  <c r="W69" i="10"/>
  <c r="M70" i="10"/>
  <c r="L70" i="10"/>
  <c r="C71" i="10"/>
  <c r="T70" i="10" s="1"/>
  <c r="J69" i="2"/>
  <c r="V41" i="2"/>
  <c r="W41" i="2" s="1"/>
  <c r="I70" i="10"/>
  <c r="V67" i="2"/>
  <c r="W67" i="2" s="1"/>
  <c r="K68" i="10"/>
  <c r="J69" i="10"/>
  <c r="B70" i="10"/>
  <c r="F70" i="10"/>
  <c r="G70" i="10"/>
  <c r="E70" i="10"/>
  <c r="D70" i="10"/>
  <c r="I69" i="2"/>
  <c r="B70" i="2"/>
  <c r="G70" i="2"/>
  <c r="F70" i="2"/>
  <c r="D70" i="2"/>
  <c r="E70" i="2"/>
  <c r="B65" i="8"/>
  <c r="C66" i="8"/>
  <c r="K69" i="2" l="1"/>
  <c r="H71" i="2"/>
  <c r="C72" i="2"/>
  <c r="M72" i="2" s="1"/>
  <c r="U69" i="10"/>
  <c r="Y69" i="10"/>
  <c r="X69" i="10"/>
  <c r="W70" i="10"/>
  <c r="M71" i="10"/>
  <c r="L71" i="10"/>
  <c r="C72" i="10"/>
  <c r="T71" i="10" s="1"/>
  <c r="J70" i="2"/>
  <c r="V68" i="2"/>
  <c r="W68" i="2" s="1"/>
  <c r="K69" i="10"/>
  <c r="J70" i="10"/>
  <c r="F71" i="10"/>
  <c r="E71" i="10"/>
  <c r="B71" i="10"/>
  <c r="D71" i="10"/>
  <c r="I71" i="10"/>
  <c r="G71" i="10"/>
  <c r="I70" i="2"/>
  <c r="E71" i="2"/>
  <c r="D71" i="2"/>
  <c r="G71" i="2"/>
  <c r="F71" i="2"/>
  <c r="B71" i="2"/>
  <c r="C67" i="8"/>
  <c r="B66" i="8"/>
  <c r="K70" i="2" l="1"/>
  <c r="H72" i="2"/>
  <c r="C73" i="2"/>
  <c r="M73" i="2" s="1"/>
  <c r="Y70" i="10"/>
  <c r="U70" i="10"/>
  <c r="U71" i="10"/>
  <c r="M72" i="10"/>
  <c r="X70" i="10"/>
  <c r="L72" i="10"/>
  <c r="C73" i="10"/>
  <c r="T72" i="10" s="1"/>
  <c r="J71" i="2"/>
  <c r="V42" i="2"/>
  <c r="W42" i="2" s="1"/>
  <c r="V69" i="2"/>
  <c r="W69" i="2" s="1"/>
  <c r="K70" i="10"/>
  <c r="J71" i="10"/>
  <c r="F72" i="10"/>
  <c r="D72" i="10"/>
  <c r="E72" i="10"/>
  <c r="I72" i="10"/>
  <c r="G72" i="10"/>
  <c r="B72" i="10"/>
  <c r="I71" i="2"/>
  <c r="F72" i="2"/>
  <c r="G72" i="2"/>
  <c r="D72" i="2"/>
  <c r="B72" i="2"/>
  <c r="E72" i="2"/>
  <c r="C68" i="8"/>
  <c r="B67" i="8"/>
  <c r="K71" i="2" l="1"/>
  <c r="H73" i="2"/>
  <c r="C74" i="2"/>
  <c r="M74" i="2" s="1"/>
  <c r="Y71" i="10"/>
  <c r="X71" i="10"/>
  <c r="W71" i="10"/>
  <c r="W72" i="10"/>
  <c r="M73" i="10"/>
  <c r="L73" i="10"/>
  <c r="C74" i="10"/>
  <c r="T73" i="10" s="1"/>
  <c r="J72" i="2"/>
  <c r="V70" i="2"/>
  <c r="W70" i="2" s="1"/>
  <c r="B73" i="10"/>
  <c r="D73" i="10"/>
  <c r="K71" i="10"/>
  <c r="J72" i="10"/>
  <c r="F73" i="10"/>
  <c r="E73" i="10"/>
  <c r="I73" i="10"/>
  <c r="G73" i="10"/>
  <c r="I72" i="2"/>
  <c r="E73" i="2"/>
  <c r="B73" i="2"/>
  <c r="D73" i="2"/>
  <c r="F73" i="2"/>
  <c r="G73" i="2"/>
  <c r="B68" i="8"/>
  <c r="C69" i="8"/>
  <c r="K72" i="2" l="1"/>
  <c r="H74" i="2"/>
  <c r="C75" i="2"/>
  <c r="M75" i="2" s="1"/>
  <c r="U72" i="10"/>
  <c r="X72" i="10"/>
  <c r="Y72" i="10"/>
  <c r="Y73" i="10"/>
  <c r="M74" i="10"/>
  <c r="L74" i="10"/>
  <c r="C75" i="10"/>
  <c r="T74" i="10" s="1"/>
  <c r="J73" i="2"/>
  <c r="V43" i="2"/>
  <c r="W43" i="2" s="1"/>
  <c r="I74" i="10"/>
  <c r="V71" i="2"/>
  <c r="W71" i="2" s="1"/>
  <c r="B74" i="10"/>
  <c r="K72" i="10"/>
  <c r="J73" i="10"/>
  <c r="K73" i="10" s="1"/>
  <c r="G74" i="10"/>
  <c r="F74" i="10"/>
  <c r="E74" i="10"/>
  <c r="D74" i="10"/>
  <c r="I73" i="2"/>
  <c r="E74" i="2"/>
  <c r="G74" i="2"/>
  <c r="D74" i="2"/>
  <c r="F74" i="2"/>
  <c r="B74" i="2"/>
  <c r="B69" i="8"/>
  <c r="C70" i="8"/>
  <c r="K73" i="2" l="1"/>
  <c r="H75" i="2"/>
  <c r="C76" i="2"/>
  <c r="M76" i="2" s="1"/>
  <c r="U73" i="10"/>
  <c r="X73" i="10"/>
  <c r="W73" i="10"/>
  <c r="W74" i="10"/>
  <c r="M75" i="10"/>
  <c r="L75" i="10"/>
  <c r="C76" i="10"/>
  <c r="T75" i="10" s="1"/>
  <c r="J74" i="2"/>
  <c r="V72" i="2"/>
  <c r="W72" i="2" s="1"/>
  <c r="B75" i="10"/>
  <c r="J74" i="10"/>
  <c r="K74" i="10" s="1"/>
  <c r="E75" i="10"/>
  <c r="F75" i="10"/>
  <c r="D75" i="10"/>
  <c r="G75" i="10"/>
  <c r="I75" i="10"/>
  <c r="I74" i="2"/>
  <c r="G75" i="2"/>
  <c r="B75" i="2"/>
  <c r="D75" i="2"/>
  <c r="F75" i="2"/>
  <c r="E75" i="2"/>
  <c r="C71" i="8"/>
  <c r="B70" i="8"/>
  <c r="K74" i="2" l="1"/>
  <c r="H76" i="2"/>
  <c r="C77" i="2"/>
  <c r="M77" i="2" s="1"/>
  <c r="U74" i="10"/>
  <c r="Y74" i="10"/>
  <c r="U75" i="10"/>
  <c r="M76" i="10"/>
  <c r="X74" i="10"/>
  <c r="L76" i="10"/>
  <c r="C77" i="10"/>
  <c r="T76" i="10" s="1"/>
  <c r="J75" i="2"/>
  <c r="V44" i="2"/>
  <c r="W44" i="2" s="1"/>
  <c r="B76" i="10"/>
  <c r="V73" i="2"/>
  <c r="W73" i="2" s="1"/>
  <c r="G76" i="10"/>
  <c r="I76" i="10"/>
  <c r="D76" i="10"/>
  <c r="E76" i="10"/>
  <c r="F76" i="10"/>
  <c r="J75" i="10"/>
  <c r="K75" i="10" s="1"/>
  <c r="I75" i="2"/>
  <c r="E76" i="2"/>
  <c r="F76" i="2"/>
  <c r="D76" i="2"/>
  <c r="B76" i="2"/>
  <c r="G76" i="2"/>
  <c r="C72" i="8"/>
  <c r="B71" i="8"/>
  <c r="K75" i="2" l="1"/>
  <c r="H77" i="2"/>
  <c r="C78" i="2"/>
  <c r="M78" i="2" s="1"/>
  <c r="Y75" i="10"/>
  <c r="X75" i="10"/>
  <c r="W75" i="10"/>
  <c r="Y76" i="10"/>
  <c r="M77" i="10"/>
  <c r="L77" i="10"/>
  <c r="C78" i="10"/>
  <c r="T77" i="10" s="1"/>
  <c r="J76" i="2"/>
  <c r="V45" i="2"/>
  <c r="W45" i="2" s="1"/>
  <c r="V74" i="2"/>
  <c r="W74" i="2" s="1"/>
  <c r="D77" i="10"/>
  <c r="I77" i="10"/>
  <c r="B77" i="10"/>
  <c r="F77" i="10"/>
  <c r="E77" i="10"/>
  <c r="J76" i="10"/>
  <c r="K76" i="10" s="1"/>
  <c r="G77" i="10"/>
  <c r="I76" i="2"/>
  <c r="G77" i="2"/>
  <c r="F77" i="2"/>
  <c r="B77" i="2"/>
  <c r="D77" i="2"/>
  <c r="E77" i="2"/>
  <c r="B72" i="8"/>
  <c r="C73" i="8"/>
  <c r="K76" i="2" l="1"/>
  <c r="H78" i="2"/>
  <c r="C79" i="2"/>
  <c r="M79" i="2" s="1"/>
  <c r="W76" i="10"/>
  <c r="U76" i="10"/>
  <c r="X76" i="10"/>
  <c r="Y77" i="10"/>
  <c r="M78" i="10"/>
  <c r="L78" i="10"/>
  <c r="C79" i="10"/>
  <c r="T78" i="10" s="1"/>
  <c r="J77" i="2"/>
  <c r="V75" i="2"/>
  <c r="W75" i="2" s="1"/>
  <c r="I78" i="10"/>
  <c r="F78" i="10"/>
  <c r="G78" i="10"/>
  <c r="D78" i="10"/>
  <c r="J77" i="10"/>
  <c r="K77" i="10" s="1"/>
  <c r="B78" i="10"/>
  <c r="E78" i="10"/>
  <c r="I77" i="2"/>
  <c r="B78" i="2"/>
  <c r="G78" i="2"/>
  <c r="E78" i="2"/>
  <c r="D78" i="2"/>
  <c r="F78" i="2"/>
  <c r="B73" i="8"/>
  <c r="C74" i="8"/>
  <c r="K77" i="2" l="1"/>
  <c r="H79" i="2"/>
  <c r="C80" i="2"/>
  <c r="M80" i="2" s="1"/>
  <c r="U77" i="10"/>
  <c r="X77" i="10"/>
  <c r="W77" i="10"/>
  <c r="W78" i="10"/>
  <c r="M79" i="10"/>
  <c r="L79" i="10"/>
  <c r="C80" i="10"/>
  <c r="T79" i="10" s="1"/>
  <c r="J78" i="2"/>
  <c r="F79" i="10"/>
  <c r="D79" i="10"/>
  <c r="I79" i="10"/>
  <c r="B79" i="10"/>
  <c r="G79" i="10"/>
  <c r="V76" i="2"/>
  <c r="W76" i="2" s="1"/>
  <c r="J78" i="10"/>
  <c r="K78" i="10" s="1"/>
  <c r="E79" i="10"/>
  <c r="I78" i="2"/>
  <c r="E79" i="2"/>
  <c r="F79" i="2"/>
  <c r="G79" i="2"/>
  <c r="D79" i="2"/>
  <c r="B79" i="2"/>
  <c r="C75" i="8"/>
  <c r="B74" i="8"/>
  <c r="K78" i="2" l="1"/>
  <c r="H80" i="2"/>
  <c r="C81" i="2"/>
  <c r="M81" i="2" s="1"/>
  <c r="U78" i="10"/>
  <c r="Y78" i="10"/>
  <c r="X78" i="10"/>
  <c r="W79" i="10"/>
  <c r="M80" i="10"/>
  <c r="L80" i="10"/>
  <c r="C81" i="10"/>
  <c r="T80" i="10" s="1"/>
  <c r="J79" i="2"/>
  <c r="J79" i="10"/>
  <c r="B80" i="10"/>
  <c r="I80" i="10"/>
  <c r="D80" i="10"/>
  <c r="G80" i="10"/>
  <c r="F80" i="10"/>
  <c r="E80" i="10"/>
  <c r="V77" i="2"/>
  <c r="W77" i="2" s="1"/>
  <c r="I79" i="2"/>
  <c r="G80" i="2"/>
  <c r="B80" i="2"/>
  <c r="D80" i="2"/>
  <c r="F80" i="2"/>
  <c r="E80" i="2"/>
  <c r="C76" i="8"/>
  <c r="B75" i="8"/>
  <c r="K79" i="2" l="1"/>
  <c r="H81" i="2"/>
  <c r="C82" i="2"/>
  <c r="M82" i="2" s="1"/>
  <c r="U79" i="10"/>
  <c r="X79" i="10"/>
  <c r="Y79" i="10"/>
  <c r="W80" i="10"/>
  <c r="M81" i="10"/>
  <c r="L81" i="10"/>
  <c r="C82" i="10"/>
  <c r="T81" i="10" s="1"/>
  <c r="J80" i="2"/>
  <c r="K79" i="10"/>
  <c r="J80" i="10"/>
  <c r="F81" i="10"/>
  <c r="E81" i="10"/>
  <c r="G81" i="10"/>
  <c r="D81" i="10"/>
  <c r="I81" i="10"/>
  <c r="B81" i="10"/>
  <c r="V78" i="2"/>
  <c r="W78" i="2" s="1"/>
  <c r="I80" i="2"/>
  <c r="B81" i="2"/>
  <c r="E81" i="2"/>
  <c r="F81" i="2"/>
  <c r="D81" i="2"/>
  <c r="G81" i="2"/>
  <c r="B76" i="8"/>
  <c r="C77" i="8"/>
  <c r="K80" i="2" l="1"/>
  <c r="H82" i="2"/>
  <c r="C83" i="2"/>
  <c r="M83" i="2" s="1"/>
  <c r="Y80" i="10"/>
  <c r="U80" i="10"/>
  <c r="U81" i="10"/>
  <c r="M82" i="10"/>
  <c r="X80" i="10"/>
  <c r="L82" i="10"/>
  <c r="C83" i="10"/>
  <c r="T82" i="10" s="1"/>
  <c r="J81" i="2"/>
  <c r="K80" i="10"/>
  <c r="J81" i="10"/>
  <c r="G82" i="10"/>
  <c r="I82" i="10"/>
  <c r="F82" i="10"/>
  <c r="E82" i="10"/>
  <c r="D82" i="10"/>
  <c r="B82" i="10"/>
  <c r="V79" i="2"/>
  <c r="W79" i="2" s="1"/>
  <c r="I81" i="2"/>
  <c r="B82" i="2"/>
  <c r="F82" i="2"/>
  <c r="D82" i="2"/>
  <c r="G82" i="2"/>
  <c r="E82" i="2"/>
  <c r="B77" i="8"/>
  <c r="C78" i="8"/>
  <c r="K81" i="2" l="1"/>
  <c r="H83" i="2"/>
  <c r="C84" i="2"/>
  <c r="M84" i="2" s="1"/>
  <c r="Y81" i="10"/>
  <c r="X81" i="10"/>
  <c r="W81" i="10"/>
  <c r="W82" i="10"/>
  <c r="M83" i="10"/>
  <c r="L83" i="10"/>
  <c r="C84" i="10"/>
  <c r="T83" i="10" s="1"/>
  <c r="J82" i="2"/>
  <c r="K81" i="10"/>
  <c r="J82" i="10"/>
  <c r="F83" i="10"/>
  <c r="D83" i="10"/>
  <c r="B83" i="10"/>
  <c r="I83" i="10"/>
  <c r="G83" i="10"/>
  <c r="E83" i="10"/>
  <c r="V80" i="2"/>
  <c r="W80" i="2" s="1"/>
  <c r="I82" i="2"/>
  <c r="E83" i="2"/>
  <c r="D83" i="2"/>
  <c r="G83" i="2"/>
  <c r="F83" i="2"/>
  <c r="B83" i="2"/>
  <c r="C79" i="8"/>
  <c r="B78" i="8"/>
  <c r="K82" i="2" l="1"/>
  <c r="H84" i="2"/>
  <c r="C85" i="2"/>
  <c r="M85" i="2" s="1"/>
  <c r="Y82" i="10"/>
  <c r="U82" i="10"/>
  <c r="X82" i="10"/>
  <c r="Y83" i="10"/>
  <c r="M84" i="10"/>
  <c r="L84" i="10"/>
  <c r="J83" i="2"/>
  <c r="K82" i="10"/>
  <c r="J83" i="10"/>
  <c r="D84" i="10"/>
  <c r="F84" i="10"/>
  <c r="G84" i="10"/>
  <c r="I84" i="10"/>
  <c r="E84" i="10"/>
  <c r="B84" i="10"/>
  <c r="V81" i="2"/>
  <c r="W81" i="2" s="1"/>
  <c r="I83" i="2"/>
  <c r="F84" i="2"/>
  <c r="B84" i="2"/>
  <c r="D84" i="2"/>
  <c r="G84" i="2"/>
  <c r="E84" i="2"/>
  <c r="C80" i="8"/>
  <c r="B79" i="8"/>
  <c r="K83" i="2" l="1"/>
  <c r="H85" i="2"/>
  <c r="C86" i="2"/>
  <c r="M86" i="2" s="1"/>
  <c r="U83" i="10"/>
  <c r="X83" i="10"/>
  <c r="W83" i="10"/>
  <c r="J84" i="2"/>
  <c r="K83" i="10"/>
  <c r="J84" i="10"/>
  <c r="V82" i="2"/>
  <c r="W82" i="2" s="1"/>
  <c r="I84" i="2"/>
  <c r="B85" i="2"/>
  <c r="G85" i="2"/>
  <c r="D85" i="2"/>
  <c r="E85" i="2"/>
  <c r="F85" i="2"/>
  <c r="B80" i="8"/>
  <c r="C81" i="8"/>
  <c r="K84" i="2" l="1"/>
  <c r="U13" i="10"/>
  <c r="G7" i="10" s="1"/>
  <c r="H86" i="2"/>
  <c r="J85" i="2"/>
  <c r="V83" i="2"/>
  <c r="W83" i="2" s="1"/>
  <c r="I85" i="2"/>
  <c r="F86" i="2"/>
  <c r="B86" i="2"/>
  <c r="E86" i="2"/>
  <c r="G86" i="2"/>
  <c r="D86" i="2"/>
  <c r="B81" i="8"/>
  <c r="K85" i="2" l="1"/>
  <c r="J86" i="2"/>
  <c r="V84" i="2"/>
  <c r="W84" i="2" s="1"/>
  <c r="K86" i="2" l="1"/>
  <c r="Y13" i="10"/>
  <c r="V85" i="2"/>
  <c r="W85" i="2" s="1"/>
  <c r="W86" i="2"/>
  <c r="W15" i="2" l="1"/>
  <c r="G7" i="2" s="1"/>
  <c r="Q23" i="10"/>
  <c r="E20" i="8"/>
  <c r="H20" i="8" l="1"/>
  <c r="N25" i="2"/>
  <c r="O25" i="2"/>
  <c r="P23" i="10"/>
  <c r="D21" i="8" l="1"/>
  <c r="Y21" i="8" l="1"/>
  <c r="Z21" i="8"/>
  <c r="V21" i="8"/>
  <c r="X21" i="8"/>
  <c r="W21" i="8"/>
  <c r="S21" i="8"/>
  <c r="P21" i="8"/>
  <c r="Q26" i="2" s="1"/>
  <c r="Q21" i="8"/>
  <c r="M21" i="8"/>
  <c r="T21" i="8"/>
  <c r="U21" i="8"/>
  <c r="O21" i="8"/>
  <c r="N21" i="8"/>
  <c r="R21" i="8"/>
  <c r="K21" i="8"/>
  <c r="AB21" i="8" s="1"/>
  <c r="L21" i="8"/>
  <c r="G21" i="8"/>
  <c r="E21" i="8" s="1"/>
  <c r="M26" i="2"/>
  <c r="P26" i="2" s="1"/>
  <c r="O24" i="10"/>
  <c r="R24" i="10" s="1"/>
  <c r="F21" i="8" l="1"/>
  <c r="P24" i="10"/>
  <c r="N26" i="2"/>
  <c r="O26" i="2" l="1"/>
  <c r="Q24" i="10"/>
  <c r="H21" i="8"/>
  <c r="D22" i="8" l="1"/>
  <c r="Z22" i="8" s="1"/>
  <c r="G22" i="8" l="1"/>
  <c r="E22" i="8" s="1"/>
  <c r="N27" i="2" s="1"/>
  <c r="Y22" i="8"/>
  <c r="K22" i="8"/>
  <c r="AB22" i="8" s="1"/>
  <c r="V22" i="8"/>
  <c r="W22" i="8"/>
  <c r="X22" i="8"/>
  <c r="N22" i="8"/>
  <c r="T22" i="8"/>
  <c r="R22" i="8"/>
  <c r="U22" i="8"/>
  <c r="O22" i="8"/>
  <c r="Q27" i="2" s="1"/>
  <c r="S22" i="8"/>
  <c r="Q22" i="8"/>
  <c r="M22" i="8"/>
  <c r="P22" i="8"/>
  <c r="O25" i="10"/>
  <c r="R25" i="10" s="1"/>
  <c r="M27" i="2"/>
  <c r="P27" i="2" s="1"/>
  <c r="L22" i="8"/>
  <c r="P25" i="10" l="1"/>
  <c r="F22" i="8"/>
  <c r="H22" i="8" s="1"/>
  <c r="D23" i="8" s="1"/>
  <c r="Y23" i="8" l="1"/>
  <c r="Z23" i="8"/>
  <c r="Q25" i="10"/>
  <c r="O26" i="10" s="1"/>
  <c r="R26" i="10" s="1"/>
  <c r="O27" i="2"/>
  <c r="M28" i="2" s="1"/>
  <c r="P28" i="2" s="1"/>
  <c r="V23" i="8"/>
  <c r="X23" i="8"/>
  <c r="W23" i="8"/>
  <c r="U23" i="8"/>
  <c r="O23" i="8"/>
  <c r="T23" i="8"/>
  <c r="P23" i="8"/>
  <c r="N23" i="8"/>
  <c r="Q28" i="2" s="1"/>
  <c r="R23" i="8"/>
  <c r="S23" i="8"/>
  <c r="Q23" i="8"/>
  <c r="M23" i="8"/>
  <c r="K23" i="8"/>
  <c r="AB23" i="8" s="1"/>
  <c r="L23" i="8"/>
  <c r="G23" i="8"/>
  <c r="F23" i="8" l="1"/>
  <c r="Q26" i="10" s="1"/>
  <c r="E23" i="8"/>
  <c r="O28" i="2" l="1"/>
  <c r="H23" i="8"/>
  <c r="D24" i="8" s="1"/>
  <c r="N28" i="2"/>
  <c r="P26" i="10"/>
  <c r="Y24" i="8" l="1"/>
  <c r="Z24" i="8"/>
  <c r="X24" i="8"/>
  <c r="V24" i="8"/>
  <c r="W24" i="8"/>
  <c r="Q24" i="8"/>
  <c r="M24" i="8"/>
  <c r="Q29" i="2" s="1"/>
  <c r="U24" i="8"/>
  <c r="O24" i="8"/>
  <c r="T24" i="8"/>
  <c r="R24" i="8"/>
  <c r="N24" i="8"/>
  <c r="S24" i="8"/>
  <c r="P24" i="8"/>
  <c r="K24" i="8"/>
  <c r="AB24" i="8" s="1"/>
  <c r="L24" i="8"/>
  <c r="G24" i="8"/>
  <c r="F24" i="8" s="1"/>
  <c r="M29" i="2"/>
  <c r="P29" i="2" s="1"/>
  <c r="O27" i="10"/>
  <c r="R27" i="10" s="1"/>
  <c r="Q27" i="10" l="1"/>
  <c r="E24" i="8"/>
  <c r="O29" i="2"/>
  <c r="H24" i="8" l="1"/>
  <c r="D25" i="8" s="1"/>
  <c r="P27" i="10"/>
  <c r="N29" i="2"/>
  <c r="Y25" i="8" l="1"/>
  <c r="Z25" i="8"/>
  <c r="L25" i="8"/>
  <c r="Q30" i="2" s="1"/>
  <c r="V25" i="8"/>
  <c r="W25" i="8"/>
  <c r="X25" i="8"/>
  <c r="S25" i="8"/>
  <c r="P25" i="8"/>
  <c r="Q25" i="8"/>
  <c r="M25" i="8"/>
  <c r="N25" i="8"/>
  <c r="U25" i="8"/>
  <c r="O25" i="8"/>
  <c r="R25" i="8"/>
  <c r="T25" i="8"/>
  <c r="O28" i="10"/>
  <c r="R28" i="10" s="1"/>
  <c r="G25" i="8"/>
  <c r="M30" i="2"/>
  <c r="P30" i="2" s="1"/>
  <c r="K25" i="8"/>
  <c r="AB25" i="8" s="1"/>
  <c r="F25" i="8" l="1"/>
  <c r="O30" i="2" s="1"/>
  <c r="E25" i="8"/>
  <c r="H25" i="8" l="1"/>
  <c r="D26" i="8" s="1"/>
  <c r="N30" i="2"/>
  <c r="Q28" i="10"/>
  <c r="P28" i="10"/>
  <c r="Y26" i="8" l="1"/>
  <c r="Z26" i="8"/>
  <c r="K26" i="8"/>
  <c r="P26" i="8"/>
  <c r="U26" i="8"/>
  <c r="W26" i="8"/>
  <c r="L26" i="8"/>
  <c r="N26" i="8"/>
  <c r="X26" i="8"/>
  <c r="T26" i="8"/>
  <c r="Q26" i="8"/>
  <c r="V26" i="8"/>
  <c r="O26" i="8"/>
  <c r="R26" i="8"/>
  <c r="S26" i="8"/>
  <c r="M26" i="8"/>
  <c r="M31" i="2"/>
  <c r="P31" i="2" s="1"/>
  <c r="O29" i="10"/>
  <c r="R29" i="10" s="1"/>
  <c r="G26" i="8"/>
  <c r="F26" i="8" s="1"/>
  <c r="Q29" i="10" s="1"/>
  <c r="AB26" i="8" l="1"/>
  <c r="Q31" i="2"/>
  <c r="R16" i="2" s="1"/>
  <c r="E26" i="8"/>
  <c r="H26" i="8" s="1"/>
  <c r="D27" i="8" s="1"/>
  <c r="G27" i="8" s="1"/>
  <c r="F27" i="8" s="1"/>
  <c r="O32" i="2" s="1"/>
  <c r="O31" i="2"/>
  <c r="N31" i="2" l="1"/>
  <c r="M32" i="2" s="1"/>
  <c r="P32" i="2" s="1"/>
  <c r="P29" i="10"/>
  <c r="O30" i="10" s="1"/>
  <c r="R30" i="10" s="1"/>
  <c r="E27" i="8"/>
  <c r="Q30" i="10"/>
  <c r="N32" i="2" l="1"/>
  <c r="H27" i="8"/>
  <c r="D28" i="8" s="1"/>
  <c r="P30" i="10"/>
  <c r="M33" i="2" l="1"/>
  <c r="P33" i="2" s="1"/>
  <c r="G28" i="8"/>
  <c r="O31" i="10"/>
  <c r="R31" i="10" l="1"/>
  <c r="F28" i="8"/>
  <c r="E28" i="8"/>
  <c r="H28" i="8" l="1"/>
  <c r="D29" i="8" s="1"/>
  <c r="P31" i="10"/>
  <c r="N33" i="2"/>
  <c r="O33" i="2"/>
  <c r="Q31" i="10"/>
  <c r="M34" i="2" l="1"/>
  <c r="P34" i="2" s="1"/>
  <c r="O32" i="10"/>
  <c r="G29" i="8"/>
  <c r="R32" i="10" l="1"/>
  <c r="F29" i="8"/>
  <c r="E29" i="8"/>
  <c r="H29" i="8" l="1"/>
  <c r="P32" i="10"/>
  <c r="N34" i="2"/>
  <c r="O34" i="2"/>
  <c r="Q32" i="10"/>
  <c r="D30" i="8" l="1"/>
  <c r="M35" i="2" s="1"/>
  <c r="P35" i="2" s="1"/>
  <c r="G30" i="8" l="1"/>
  <c r="F30" i="8" s="1"/>
  <c r="O33" i="10"/>
  <c r="R33" i="10" s="1"/>
  <c r="E30" i="8" l="1"/>
  <c r="H30" i="8" s="1"/>
  <c r="D31" i="8" s="1"/>
  <c r="O35" i="2"/>
  <c r="Q33" i="10"/>
  <c r="N35" i="2" l="1"/>
  <c r="M36" i="2" s="1"/>
  <c r="P36" i="2" s="1"/>
  <c r="P33" i="10"/>
  <c r="O34" i="10" s="1"/>
  <c r="G31" i="8"/>
  <c r="R34" i="10" l="1"/>
  <c r="F31" i="8"/>
  <c r="E31" i="8"/>
  <c r="H31" i="8" l="1"/>
  <c r="D32" i="8" s="1"/>
  <c r="N36" i="2"/>
  <c r="P34" i="10"/>
  <c r="Q34" i="10"/>
  <c r="O36" i="2"/>
  <c r="M37" i="2" l="1"/>
  <c r="P37" i="2" s="1"/>
  <c r="O35" i="10"/>
  <c r="G32" i="8"/>
  <c r="R35" i="10" l="1"/>
  <c r="F32" i="8"/>
  <c r="E32" i="8"/>
  <c r="H32" i="8" l="1"/>
  <c r="D33" i="8" s="1"/>
  <c r="P35" i="10"/>
  <c r="N37" i="2"/>
  <c r="Q35" i="10"/>
  <c r="O37" i="2"/>
  <c r="M38" i="2" l="1"/>
  <c r="P38" i="2" s="1"/>
  <c r="O36" i="10"/>
  <c r="G33" i="8"/>
  <c r="R36" i="10" l="1"/>
  <c r="F33" i="8"/>
  <c r="E33" i="8"/>
  <c r="H33" i="8" l="1"/>
  <c r="D34" i="8" s="1"/>
  <c r="N38" i="2"/>
  <c r="P36" i="10"/>
  <c r="O38" i="2"/>
  <c r="Q36" i="10"/>
  <c r="M39" i="2" l="1"/>
  <c r="P39" i="2" s="1"/>
  <c r="O37" i="10"/>
  <c r="G34" i="8"/>
  <c r="R37" i="10" l="1"/>
  <c r="F34" i="8"/>
  <c r="E34" i="8"/>
  <c r="H34" i="8" l="1"/>
  <c r="D35" i="8" s="1"/>
  <c r="N39" i="2"/>
  <c r="P37" i="10"/>
  <c r="O39" i="2"/>
  <c r="Q37" i="10"/>
  <c r="M40" i="2" l="1"/>
  <c r="P40" i="2" s="1"/>
  <c r="O38" i="10"/>
  <c r="G35" i="8"/>
  <c r="R38" i="10" l="1"/>
  <c r="F35" i="8"/>
  <c r="E35" i="8"/>
  <c r="H35" i="8" l="1"/>
  <c r="D36" i="8" s="1"/>
  <c r="O40" i="2"/>
  <c r="Q38" i="10"/>
  <c r="P38" i="10"/>
  <c r="N40" i="2"/>
  <c r="M41" i="2" l="1"/>
  <c r="P41" i="2" s="1"/>
  <c r="O39" i="10"/>
  <c r="G36" i="8"/>
  <c r="R39" i="10" l="1"/>
  <c r="F36" i="8"/>
  <c r="E36" i="8"/>
  <c r="H36" i="8" l="1"/>
  <c r="D37" i="8" s="1"/>
  <c r="O41" i="2"/>
  <c r="Q39" i="10"/>
  <c r="P39" i="10"/>
  <c r="N41" i="2"/>
  <c r="M42" i="2" l="1"/>
  <c r="P42" i="2" s="1"/>
  <c r="O40" i="10"/>
  <c r="G37" i="8"/>
  <c r="R40" i="10" l="1"/>
  <c r="F37" i="8"/>
  <c r="E37" i="8"/>
  <c r="H37" i="8" l="1"/>
  <c r="D38" i="8" s="1"/>
  <c r="O42" i="2"/>
  <c r="Q40" i="10"/>
  <c r="N42" i="2"/>
  <c r="P40" i="10"/>
  <c r="M43" i="2" l="1"/>
  <c r="P43" i="2" s="1"/>
  <c r="O41" i="10"/>
  <c r="G38" i="8"/>
  <c r="F38" i="8" s="1"/>
  <c r="R41" i="10" l="1"/>
  <c r="Q41" i="10"/>
  <c r="O43" i="2"/>
  <c r="E38" i="8"/>
  <c r="H38" i="8" s="1"/>
  <c r="P41" i="10" l="1"/>
  <c r="N43" i="2"/>
  <c r="D39" i="8"/>
  <c r="M44" i="2" l="1"/>
  <c r="P44" i="2" s="1"/>
  <c r="O42" i="10"/>
  <c r="G39" i="8"/>
  <c r="F39" i="8" s="1"/>
  <c r="R42" i="10" l="1"/>
  <c r="Q42" i="10"/>
  <c r="O44" i="2"/>
  <c r="E39" i="8"/>
  <c r="H39" i="8" s="1"/>
  <c r="N44" i="2" l="1"/>
  <c r="P42" i="10"/>
  <c r="D40" i="8"/>
  <c r="M45" i="2" l="1"/>
  <c r="P45" i="2" s="1"/>
  <c r="O43" i="10"/>
  <c r="G40" i="8"/>
  <c r="F40" i="8" s="1"/>
  <c r="R43" i="10" l="1"/>
  <c r="Q43" i="10"/>
  <c r="O45" i="2"/>
  <c r="E40" i="8"/>
  <c r="H40" i="8" s="1"/>
  <c r="P43" i="10" l="1"/>
  <c r="N45" i="2"/>
  <c r="D41" i="8"/>
  <c r="M46" i="2" l="1"/>
  <c r="P46" i="2" s="1"/>
  <c r="O44" i="10"/>
  <c r="G41" i="8"/>
  <c r="F41" i="8" s="1"/>
  <c r="R44" i="10" l="1"/>
  <c r="E41" i="8"/>
  <c r="H41" i="8" s="1"/>
  <c r="O46" i="2"/>
  <c r="Q44" i="10"/>
  <c r="P44" i="10" l="1"/>
  <c r="N46" i="2"/>
  <c r="D42" i="8"/>
  <c r="M47" i="2" l="1"/>
  <c r="P47" i="2" s="1"/>
  <c r="O45" i="10"/>
  <c r="G42" i="8"/>
  <c r="F42" i="8" s="1"/>
  <c r="R45" i="10" l="1"/>
  <c r="O47" i="2"/>
  <c r="Q45" i="10"/>
  <c r="E42" i="8"/>
  <c r="H42" i="8" s="1"/>
  <c r="P45" i="10" l="1"/>
  <c r="N47" i="2"/>
  <c r="D43" i="8"/>
  <c r="M48" i="2" l="1"/>
  <c r="P48" i="2" s="1"/>
  <c r="O46" i="10"/>
  <c r="G43" i="8"/>
  <c r="F43" i="8" s="1"/>
  <c r="R46" i="10" l="1"/>
  <c r="Q46" i="10"/>
  <c r="O48" i="2"/>
  <c r="E43" i="8"/>
  <c r="H43" i="8" s="1"/>
  <c r="P46" i="10" l="1"/>
  <c r="N48" i="2"/>
  <c r="D44" i="8"/>
  <c r="M49" i="2" l="1"/>
  <c r="P49" i="2" s="1"/>
  <c r="O47" i="10"/>
  <c r="G44" i="8"/>
  <c r="F44" i="8" s="1"/>
  <c r="R47" i="10" l="1"/>
  <c r="E44" i="8"/>
  <c r="H44" i="8" s="1"/>
  <c r="O49" i="2"/>
  <c r="Q47" i="10"/>
  <c r="P47" i="10" l="1"/>
  <c r="N49" i="2"/>
  <c r="D45" i="8"/>
  <c r="M50" i="2" l="1"/>
  <c r="P50" i="2" s="1"/>
  <c r="O48" i="10"/>
  <c r="G45" i="8"/>
  <c r="F45" i="8" s="1"/>
  <c r="R48" i="10" l="1"/>
  <c r="E45" i="8"/>
  <c r="Q48" i="10"/>
  <c r="O50" i="2"/>
  <c r="N50" i="2" l="1"/>
  <c r="H45" i="8"/>
  <c r="D46" i="8" s="1"/>
  <c r="P48" i="10"/>
  <c r="O50" i="10"/>
  <c r="M51" i="2" l="1"/>
  <c r="P51" i="2" s="1"/>
  <c r="O49" i="10"/>
  <c r="G46" i="8"/>
  <c r="F46" i="8" s="1"/>
  <c r="O51" i="2" s="1"/>
  <c r="R49" i="10" l="1"/>
  <c r="E46" i="8"/>
  <c r="Q49" i="10"/>
  <c r="P49" i="10" l="1"/>
  <c r="H46" i="8"/>
  <c r="D47" i="8" s="1"/>
  <c r="P52" i="2" s="1"/>
  <c r="N51" i="2"/>
  <c r="O51" i="10"/>
  <c r="R50" i="10" l="1"/>
  <c r="G47" i="8"/>
  <c r="F47" i="8" s="1"/>
  <c r="O52" i="2" s="1"/>
  <c r="Q50" i="10" l="1"/>
  <c r="E47" i="8"/>
  <c r="H47" i="8" l="1"/>
  <c r="D48" i="8" s="1"/>
  <c r="P53" i="2" s="1"/>
  <c r="P50" i="10"/>
  <c r="N52" i="2"/>
  <c r="O52" i="10"/>
  <c r="R51" i="10" l="1"/>
  <c r="G48" i="8"/>
  <c r="F48" i="8" s="1"/>
  <c r="O53" i="2" s="1"/>
  <c r="Q51" i="10" l="1"/>
  <c r="E48" i="8"/>
  <c r="H48" i="8" s="1"/>
  <c r="D49" i="8" s="1"/>
  <c r="P54" i="2" s="1"/>
  <c r="O53" i="10"/>
  <c r="R52" i="10" l="1"/>
  <c r="P51" i="10"/>
  <c r="N53" i="2"/>
  <c r="G49" i="8"/>
  <c r="E49" i="8" s="1"/>
  <c r="P52" i="10" l="1"/>
  <c r="N54" i="2"/>
  <c r="F49" i="8"/>
  <c r="H49" i="8" s="1"/>
  <c r="Q52" i="10" l="1"/>
  <c r="O54" i="2"/>
  <c r="D50" i="8"/>
  <c r="P55" i="2" s="1"/>
  <c r="O54" i="10"/>
  <c r="R53" i="10" l="1"/>
  <c r="G50" i="8"/>
  <c r="F50" i="8" s="1"/>
  <c r="Q53" i="10" l="1"/>
  <c r="O55" i="2"/>
  <c r="E50" i="8"/>
  <c r="H50" i="8" s="1"/>
  <c r="N55" i="2" l="1"/>
  <c r="P53" i="10"/>
  <c r="D51" i="8"/>
  <c r="P56" i="2" s="1"/>
  <c r="O55" i="10"/>
  <c r="R54" i="10" l="1"/>
  <c r="G51" i="8"/>
  <c r="F51" i="8" s="1"/>
  <c r="O56" i="2" l="1"/>
  <c r="Q54" i="10"/>
  <c r="E51" i="8"/>
  <c r="H51" i="8" s="1"/>
  <c r="N56" i="2" l="1"/>
  <c r="P54" i="10"/>
  <c r="D52" i="8"/>
  <c r="P57" i="2" s="1"/>
  <c r="R55" i="10" l="1"/>
  <c r="G52" i="8"/>
  <c r="F52" i="8" s="1"/>
  <c r="Q55" i="10" l="1"/>
  <c r="O57" i="2"/>
  <c r="E52" i="8"/>
  <c r="H52" i="8" s="1"/>
  <c r="O57" i="10"/>
  <c r="P55" i="10" l="1"/>
  <c r="O56" i="10" s="1"/>
  <c r="N57" i="2"/>
  <c r="D53" i="8"/>
  <c r="P58" i="2" s="1"/>
  <c r="R56" i="10" l="1"/>
  <c r="G53" i="8"/>
  <c r="F53" i="8" s="1"/>
  <c r="Q56" i="10" l="1"/>
  <c r="O58" i="2"/>
  <c r="E53" i="8"/>
  <c r="H53" i="8" s="1"/>
  <c r="O58" i="10"/>
  <c r="P56" i="10" l="1"/>
  <c r="N58" i="2"/>
  <c r="D54" i="8"/>
  <c r="P59" i="2" s="1"/>
  <c r="R57" i="10" l="1"/>
  <c r="G54" i="8"/>
  <c r="F54" i="8" s="1"/>
  <c r="Q57" i="10" l="1"/>
  <c r="O59" i="2"/>
  <c r="E54" i="8"/>
  <c r="H54" i="8" s="1"/>
  <c r="O59" i="10"/>
  <c r="P57" i="10" l="1"/>
  <c r="N59" i="2"/>
  <c r="D55" i="8"/>
  <c r="P60" i="2" s="1"/>
  <c r="R58" i="10" l="1"/>
  <c r="G55" i="8"/>
  <c r="F55" i="8" s="1"/>
  <c r="O60" i="10"/>
  <c r="Q58" i="10" l="1"/>
  <c r="O60" i="2"/>
  <c r="E55" i="8"/>
  <c r="H55" i="8" s="1"/>
  <c r="P58" i="10" l="1"/>
  <c r="N60" i="2"/>
  <c r="D56" i="8"/>
  <c r="P61" i="2" s="1"/>
  <c r="R59" i="10" l="1"/>
  <c r="G56" i="8"/>
  <c r="F56" i="8" s="1"/>
  <c r="O61" i="10"/>
  <c r="O61" i="2" l="1"/>
  <c r="Q59" i="10"/>
  <c r="E56" i="8"/>
  <c r="H56" i="8" s="1"/>
  <c r="P59" i="10" l="1"/>
  <c r="N61" i="2"/>
  <c r="D57" i="8"/>
  <c r="P62" i="2" s="1"/>
  <c r="R60" i="10" l="1"/>
  <c r="G57" i="8"/>
  <c r="F57" i="8" s="1"/>
  <c r="O62" i="10"/>
  <c r="O62" i="2" l="1"/>
  <c r="Q60" i="10"/>
  <c r="E57" i="8"/>
  <c r="H57" i="8" s="1"/>
  <c r="N62" i="2" l="1"/>
  <c r="P60" i="10"/>
  <c r="D58" i="8"/>
  <c r="P63" i="2" s="1"/>
  <c r="O63" i="10"/>
  <c r="R61" i="10" l="1"/>
  <c r="G58" i="8"/>
  <c r="F58" i="8" s="1"/>
  <c r="Q61" i="10" l="1"/>
  <c r="O63" i="2"/>
  <c r="E58" i="8"/>
  <c r="H58" i="8" s="1"/>
  <c r="N63" i="2" l="1"/>
  <c r="P61" i="10"/>
  <c r="D59" i="8"/>
  <c r="P64" i="2" s="1"/>
  <c r="R62" i="10" l="1"/>
  <c r="G59" i="8"/>
  <c r="F59" i="8" s="1"/>
  <c r="Q62" i="10" l="1"/>
  <c r="O64" i="2"/>
  <c r="E59" i="8"/>
  <c r="H59" i="8" s="1"/>
  <c r="O65" i="10"/>
  <c r="N64" i="2" l="1"/>
  <c r="P62" i="10"/>
  <c r="D60" i="8"/>
  <c r="P65" i="2" s="1"/>
  <c r="R63" i="10" l="1"/>
  <c r="G60" i="8"/>
  <c r="F60" i="8" s="1"/>
  <c r="O65" i="2" l="1"/>
  <c r="Q63" i="10"/>
  <c r="E60" i="8"/>
  <c r="H60" i="8" s="1"/>
  <c r="O66" i="10"/>
  <c r="P63" i="10" l="1"/>
  <c r="O64" i="10" s="1"/>
  <c r="N65" i="2"/>
  <c r="D61" i="8"/>
  <c r="P66" i="2" s="1"/>
  <c r="R64" i="10" l="1"/>
  <c r="G61" i="8"/>
  <c r="F61" i="8" s="1"/>
  <c r="E61" i="8" l="1"/>
  <c r="H61" i="8" s="1"/>
  <c r="Q64" i="10"/>
  <c r="O66" i="2"/>
  <c r="O67" i="10"/>
  <c r="N66" i="2" l="1"/>
  <c r="P64" i="10"/>
  <c r="D62" i="8"/>
  <c r="P67" i="2" s="1"/>
  <c r="R65" i="10" l="1"/>
  <c r="G62" i="8"/>
  <c r="F62" i="8" s="1"/>
  <c r="E62" i="8" l="1"/>
  <c r="H62" i="8" s="1"/>
  <c r="O67" i="2"/>
  <c r="Q65" i="10"/>
  <c r="O68" i="10"/>
  <c r="N67" i="2" l="1"/>
  <c r="P65" i="10"/>
  <c r="D63" i="8"/>
  <c r="P68" i="2" s="1"/>
  <c r="R66" i="10" l="1"/>
  <c r="G63" i="8"/>
  <c r="F63" i="8" s="1"/>
  <c r="Q66" i="10" l="1"/>
  <c r="O68" i="2"/>
  <c r="E63" i="8"/>
  <c r="H63" i="8" s="1"/>
  <c r="O69" i="10"/>
  <c r="N68" i="2" l="1"/>
  <c r="P66" i="10"/>
  <c r="D64" i="8"/>
  <c r="P69" i="2" s="1"/>
  <c r="R67" i="10" l="1"/>
  <c r="G64" i="8"/>
  <c r="F64" i="8" s="1"/>
  <c r="E64" i="8" l="1"/>
  <c r="Q67" i="10"/>
  <c r="O69" i="2"/>
  <c r="O70" i="10"/>
  <c r="H64" i="8" l="1"/>
  <c r="D65" i="8" s="1"/>
  <c r="P70" i="2" s="1"/>
  <c r="N69" i="2"/>
  <c r="P67" i="10"/>
  <c r="R68" i="10" l="1"/>
  <c r="G65" i="8"/>
  <c r="F65" i="8" s="1"/>
  <c r="O70" i="2" s="1"/>
  <c r="E65" i="8" l="1"/>
  <c r="H65" i="8" s="1"/>
  <c r="D66" i="8" s="1"/>
  <c r="P71" i="2" s="1"/>
  <c r="Q68" i="10"/>
  <c r="O71" i="10"/>
  <c r="R69" i="10" l="1"/>
  <c r="N70" i="2"/>
  <c r="P68" i="10"/>
  <c r="G66" i="8"/>
  <c r="F66" i="8" s="1"/>
  <c r="E66" i="8" l="1"/>
  <c r="H66" i="8" s="1"/>
  <c r="O71" i="2"/>
  <c r="Q69" i="10"/>
  <c r="P69" i="10" l="1"/>
  <c r="N71" i="2"/>
  <c r="D67" i="8"/>
  <c r="P72" i="2" s="1"/>
  <c r="O72" i="10"/>
  <c r="R70" i="10" l="1"/>
  <c r="G67" i="8"/>
  <c r="F67" i="8" s="1"/>
  <c r="E67" i="8" l="1"/>
  <c r="H67" i="8" s="1"/>
  <c r="O72" i="2"/>
  <c r="Q70" i="10"/>
  <c r="N72" i="2" l="1"/>
  <c r="P70" i="10"/>
  <c r="D68" i="8"/>
  <c r="P73" i="2" s="1"/>
  <c r="O73" i="10"/>
  <c r="R71" i="10" l="1"/>
  <c r="G68" i="8"/>
  <c r="F68" i="8" s="1"/>
  <c r="E68" i="8" l="1"/>
  <c r="O73" i="2"/>
  <c r="Q71" i="10"/>
  <c r="H68" i="8" l="1"/>
  <c r="D69" i="8" s="1"/>
  <c r="P74" i="2" s="1"/>
  <c r="N73" i="2"/>
  <c r="P71" i="10"/>
  <c r="O74" i="10"/>
  <c r="R72" i="10" l="1"/>
  <c r="G69" i="8"/>
  <c r="F69" i="8" s="1"/>
  <c r="O74" i="2" s="1"/>
  <c r="Q72" i="10" l="1"/>
  <c r="E69" i="8"/>
  <c r="H69" i="8" s="1"/>
  <c r="D70" i="8" s="1"/>
  <c r="P75" i="2" s="1"/>
  <c r="R73" i="10" l="1"/>
  <c r="P72" i="10"/>
  <c r="N74" i="2"/>
  <c r="G70" i="8"/>
  <c r="F70" i="8" s="1"/>
  <c r="O75" i="10"/>
  <c r="E70" i="8" l="1"/>
  <c r="O75" i="2"/>
  <c r="Q73" i="10"/>
  <c r="H70" i="8" l="1"/>
  <c r="D71" i="8" s="1"/>
  <c r="P76" i="2" s="1"/>
  <c r="N75" i="2"/>
  <c r="P73" i="10"/>
  <c r="R74" i="10" l="1"/>
  <c r="G71" i="8"/>
  <c r="F71" i="8" s="1"/>
  <c r="Q74" i="10" s="1"/>
  <c r="O76" i="10"/>
  <c r="E71" i="8" l="1"/>
  <c r="H71" i="8" s="1"/>
  <c r="D72" i="8" s="1"/>
  <c r="P77" i="2" s="1"/>
  <c r="O76" i="2"/>
  <c r="R75" i="10" l="1"/>
  <c r="P74" i="10"/>
  <c r="N76" i="2"/>
  <c r="G72" i="8"/>
  <c r="F72" i="8" s="1"/>
  <c r="E72" i="8" l="1"/>
  <c r="H72" i="8" s="1"/>
  <c r="Q75" i="10"/>
  <c r="O77" i="2"/>
  <c r="O77" i="10"/>
  <c r="P75" i="10" l="1"/>
  <c r="N77" i="2"/>
  <c r="D73" i="8"/>
  <c r="P78" i="2" s="1"/>
  <c r="R76" i="10" l="1"/>
  <c r="G73" i="8"/>
  <c r="F73" i="8" l="1"/>
  <c r="E73" i="8"/>
  <c r="O78" i="10"/>
  <c r="H73" i="8" l="1"/>
  <c r="D74" i="8" s="1"/>
  <c r="P79" i="2" s="1"/>
  <c r="N78" i="2"/>
  <c r="P76" i="10"/>
  <c r="Q76" i="10"/>
  <c r="O78" i="2"/>
  <c r="R77" i="10" l="1"/>
  <c r="G74" i="8"/>
  <c r="F74" i="8" s="1"/>
  <c r="E74" i="8" l="1"/>
  <c r="O79" i="2"/>
  <c r="Q77" i="10"/>
  <c r="O79" i="10"/>
  <c r="P77" i="10" l="1"/>
  <c r="H74" i="8"/>
  <c r="D75" i="8" s="1"/>
  <c r="P80" i="2" s="1"/>
  <c r="N79" i="2"/>
  <c r="R78" i="10" l="1"/>
  <c r="G75" i="8"/>
  <c r="E75" i="8" s="1"/>
  <c r="F75" i="8" l="1"/>
  <c r="P78" i="10"/>
  <c r="N80" i="2"/>
  <c r="O80" i="10"/>
  <c r="H75" i="8" l="1"/>
  <c r="D76" i="8" s="1"/>
  <c r="P81" i="2" s="1"/>
  <c r="Q78" i="10"/>
  <c r="O80" i="2"/>
  <c r="R79" i="10" l="1"/>
  <c r="G76" i="8"/>
  <c r="E76" i="8" s="1"/>
  <c r="F76" i="8" l="1"/>
  <c r="H76" i="8" s="1"/>
  <c r="D77" i="8" s="1"/>
  <c r="P82" i="2" s="1"/>
  <c r="P79" i="10"/>
  <c r="N81" i="2"/>
  <c r="O81" i="10"/>
  <c r="R80" i="10" l="1"/>
  <c r="Q79" i="10"/>
  <c r="O81" i="2"/>
  <c r="G77" i="8"/>
  <c r="F77" i="8" l="1"/>
  <c r="E77" i="8"/>
  <c r="H77" i="8" l="1"/>
  <c r="D78" i="8" s="1"/>
  <c r="P83" i="2" s="1"/>
  <c r="O82" i="2"/>
  <c r="Q80" i="10"/>
  <c r="N82" i="2"/>
  <c r="P80" i="10"/>
  <c r="O82" i="10"/>
  <c r="R81" i="10" l="1"/>
  <c r="G78" i="8"/>
  <c r="F78" i="8" s="1"/>
  <c r="Q81" i="10" l="1"/>
  <c r="O83" i="2"/>
  <c r="E78" i="8"/>
  <c r="H78" i="8" s="1"/>
  <c r="P81" i="10" l="1"/>
  <c r="N83" i="2"/>
  <c r="D79" i="8"/>
  <c r="P84" i="2" s="1"/>
  <c r="O83" i="10"/>
  <c r="R82" i="10" l="1"/>
  <c r="G79" i="8"/>
  <c r="F79" i="8" s="1"/>
  <c r="E79" i="8" l="1"/>
  <c r="H79" i="8" s="1"/>
  <c r="O84" i="2"/>
  <c r="Q82" i="10"/>
  <c r="P82" i="10" l="1"/>
  <c r="N84" i="2"/>
  <c r="D80" i="8"/>
  <c r="P85" i="2" s="1"/>
  <c r="R83" i="10" l="1"/>
  <c r="G80" i="8"/>
  <c r="E80" i="8" s="1"/>
  <c r="N85" i="2" s="1"/>
  <c r="P83" i="10" l="1"/>
  <c r="F80" i="8"/>
  <c r="H80" i="8" s="1"/>
  <c r="O85" i="2" l="1"/>
  <c r="Q83" i="10"/>
  <c r="O84" i="10" s="1"/>
  <c r="D81" i="8"/>
  <c r="P86" i="2" s="1"/>
  <c r="R84" i="10" l="1"/>
  <c r="G81" i="8"/>
  <c r="E81" i="8" s="1"/>
  <c r="P84" i="10" l="1"/>
  <c r="N86" i="2"/>
  <c r="F81" i="8"/>
  <c r="H81" i="8" s="1"/>
  <c r="O86" i="2" l="1"/>
  <c r="Q84" i="10"/>
</calcChain>
</file>

<file path=xl/comments1.xml><?xml version="1.0" encoding="utf-8"?>
<comments xmlns="http://schemas.openxmlformats.org/spreadsheetml/2006/main">
  <authors>
    <author>Zhu, Vincent</author>
  </authors>
  <commentList>
    <comment ref="H15" authorId="0" shapeId="0">
      <text>
        <r>
          <rPr>
            <b/>
            <sz val="10"/>
            <color indexed="81"/>
            <rFont val="Tahoma"/>
            <family val="2"/>
          </rPr>
          <t>For grade A, SCR =</t>
        </r>
        <r>
          <rPr>
            <sz val="10"/>
            <color indexed="81"/>
            <rFont val="Tahoma"/>
            <family val="2"/>
          </rPr>
          <t xml:space="preserve">
before NRA: k*[(1+e)/(1+i)]^(NRA-x-1)
post NRA: k*[P(e-i)+(1+e)]/(1+e)</t>
        </r>
      </text>
    </comment>
    <comment ref="J15" authorId="0" shapeId="0">
      <text>
        <r>
          <rPr>
            <b/>
            <sz val="10"/>
            <color indexed="81"/>
            <rFont val="Tahoma"/>
            <family val="2"/>
          </rPr>
          <t>For grade A, AL =</t>
        </r>
        <r>
          <rPr>
            <sz val="10"/>
            <color indexed="81"/>
            <rFont val="Tahoma"/>
            <family val="2"/>
          </rPr>
          <t xml:space="preserve">
before NRA: k*P*S*[(1+e)/(1+i)]^(NRA-x)
post NRA: k*P*S</t>
        </r>
      </text>
    </comment>
    <comment ref="K15" authorId="0" shapeId="0">
      <text>
        <r>
          <rPr>
            <sz val="10"/>
            <color indexed="81"/>
            <rFont val="Tahoma"/>
            <family val="2"/>
          </rPr>
          <t>AR = VPS</t>
        </r>
      </text>
    </comment>
    <comment ref="V15" authorId="0" shapeId="0">
      <text>
        <r>
          <rPr>
            <sz val="10"/>
            <color indexed="81"/>
            <rFont val="Tahoma"/>
            <family val="2"/>
          </rPr>
          <t>AL</t>
        </r>
        <r>
          <rPr>
            <vertAlign val="subscript"/>
            <sz val="10"/>
            <color indexed="81"/>
            <rFont val="Tahoma"/>
            <family val="2"/>
          </rPr>
          <t>x</t>
        </r>
        <r>
          <rPr>
            <sz val="10"/>
            <color indexed="81"/>
            <rFont val="Tahoma"/>
            <family val="2"/>
          </rPr>
          <t xml:space="preserve"> with one year interest plus contribution should equal to AL</t>
        </r>
        <r>
          <rPr>
            <vertAlign val="subscript"/>
            <sz val="10"/>
            <color indexed="81"/>
            <rFont val="Tahoma"/>
            <family val="2"/>
          </rPr>
          <t>x+1</t>
        </r>
      </text>
    </comment>
  </commentList>
</comments>
</file>

<file path=xl/comments2.xml><?xml version="1.0" encoding="utf-8"?>
<comments xmlns="http://schemas.openxmlformats.org/spreadsheetml/2006/main">
  <authors>
    <author>Author</author>
    <author>Zhu, Vincent</author>
  </authors>
  <commentList>
    <comment ref="D9" authorId="0" shapeId="0">
      <text>
        <r>
          <rPr>
            <sz val="9"/>
            <color indexed="81"/>
            <rFont val="Tahoma"/>
            <family val="2"/>
          </rPr>
          <t>Assume average entry age is 30 for both Grade A and B.</t>
        </r>
      </text>
    </comment>
    <comment ref="H13" authorId="1" shapeId="0">
      <text>
        <r>
          <rPr>
            <sz val="10"/>
            <color indexed="81"/>
            <rFont val="Tahoma"/>
            <family val="2"/>
          </rPr>
          <t>Assume that there are no withdrawals or deaths prior to the retirement age when determining AL at each valuation date.</t>
        </r>
      </text>
    </comment>
    <comment ref="L13" authorId="1" shapeId="0">
      <text>
        <r>
          <rPr>
            <b/>
            <sz val="10"/>
            <color indexed="81"/>
            <rFont val="Tahoma"/>
            <family val="2"/>
          </rPr>
          <t>For grade A, AL=</t>
        </r>
        <r>
          <rPr>
            <sz val="10"/>
            <color indexed="81"/>
            <rFont val="Tahoma"/>
            <family val="2"/>
          </rPr>
          <t xml:space="preserve">
before NRA: 
k*(P+F)*S*[(1+e)/(1+i)]^(NRA-x) - SCR*(S*a</t>
        </r>
        <r>
          <rPr>
            <vertAlign val="subscript"/>
            <sz val="10"/>
            <color indexed="81"/>
            <rFont val="Tahoma"/>
            <family val="2"/>
          </rPr>
          <t>NRA-x</t>
        </r>
        <r>
          <rPr>
            <sz val="10"/>
            <color indexed="81"/>
            <rFont val="Tahoma"/>
            <family val="2"/>
          </rPr>
          <t>)
post NRA: k*P*S</t>
        </r>
      </text>
    </comment>
    <comment ref="M13" authorId="1" shapeId="0">
      <text>
        <r>
          <rPr>
            <sz val="10"/>
            <color indexed="81"/>
            <rFont val="Tahoma"/>
            <family val="2"/>
          </rPr>
          <t>AR = VPS</t>
        </r>
      </text>
    </comment>
    <comment ref="T13" authorId="1" shapeId="0">
      <text>
        <r>
          <rPr>
            <sz val="10"/>
            <color indexed="81"/>
            <rFont val="Tahoma"/>
            <family val="2"/>
          </rPr>
          <t>AL</t>
        </r>
        <r>
          <rPr>
            <vertAlign val="subscript"/>
            <sz val="10"/>
            <color indexed="81"/>
            <rFont val="Tahoma"/>
            <family val="2"/>
          </rPr>
          <t>x</t>
        </r>
        <r>
          <rPr>
            <sz val="10"/>
            <color indexed="81"/>
            <rFont val="Tahoma"/>
            <family val="2"/>
          </rPr>
          <t xml:space="preserve"> with one year interest plus contribution should equal to AL</t>
        </r>
        <r>
          <rPr>
            <vertAlign val="subscript"/>
            <sz val="10"/>
            <color indexed="81"/>
            <rFont val="Tahoma"/>
            <family val="2"/>
          </rPr>
          <t>x+1</t>
        </r>
      </text>
    </comment>
    <comment ref="W13" authorId="1" shapeId="0">
      <text>
        <r>
          <rPr>
            <sz val="10"/>
            <color indexed="81"/>
            <rFont val="Tahoma"/>
            <family val="2"/>
          </rPr>
          <t>The relationship (F/a</t>
        </r>
        <r>
          <rPr>
            <vertAlign val="subscript"/>
            <sz val="10"/>
            <color indexed="81"/>
            <rFont val="Tahoma"/>
            <family val="2"/>
          </rPr>
          <t>F</t>
        </r>
        <r>
          <rPr>
            <sz val="10"/>
            <color indexed="81"/>
            <rFont val="Tahoma"/>
            <family val="2"/>
          </rPr>
          <t>*v'</t>
        </r>
        <r>
          <rPr>
            <vertAlign val="superscript"/>
            <sz val="10"/>
            <color indexed="81"/>
            <rFont val="Tahoma"/>
            <family val="2"/>
          </rPr>
          <t xml:space="preserve">x-EA </t>
        </r>
        <r>
          <rPr>
            <sz val="10"/>
            <color indexed="81"/>
            <rFont val="Tahoma"/>
            <family val="2"/>
          </rPr>
          <t>) between SCR</t>
        </r>
        <r>
          <rPr>
            <vertAlign val="subscript"/>
            <sz val="10"/>
            <color indexed="81"/>
            <rFont val="Tahoma"/>
            <family val="2"/>
          </rPr>
          <t xml:space="preserve">EAN </t>
        </r>
        <r>
          <rPr>
            <sz val="10"/>
            <color indexed="81"/>
            <rFont val="Tahoma"/>
            <family val="2"/>
          </rPr>
          <t>and SCR</t>
        </r>
        <r>
          <rPr>
            <vertAlign val="subscript"/>
            <sz val="10"/>
            <color indexed="81"/>
            <rFont val="Tahoma"/>
            <family val="2"/>
          </rPr>
          <t>PUC</t>
        </r>
        <r>
          <rPr>
            <sz val="10"/>
            <color indexed="81"/>
            <rFont val="Tahoma"/>
            <family val="2"/>
          </rPr>
          <t xml:space="preserve"> should always holds.</t>
        </r>
      </text>
    </comment>
    <comment ref="O14" authorId="1" shapeId="0">
      <text>
        <r>
          <rPr>
            <sz val="10"/>
            <color indexed="81"/>
            <rFont val="Tahoma"/>
            <family val="2"/>
          </rPr>
          <t>Assume: do not fund the initial deficit if there is any.</t>
        </r>
      </text>
    </comment>
  </commentList>
</comments>
</file>

<file path=xl/sharedStrings.xml><?xml version="1.0" encoding="utf-8"?>
<sst xmlns="http://schemas.openxmlformats.org/spreadsheetml/2006/main" count="208" uniqueCount="135">
  <si>
    <t>The scheme is a new scheme, benefits will only allow for service from the date the scheme started for all the current employees.</t>
  </si>
  <si>
    <t>Expense</t>
  </si>
  <si>
    <t>Withdraw</t>
  </si>
  <si>
    <t>Age at start of year</t>
  </si>
  <si>
    <t>Number of employees</t>
  </si>
  <si>
    <t>Average Salary $</t>
  </si>
  <si>
    <t xml:space="preserve">Grade </t>
  </si>
  <si>
    <t>B</t>
  </si>
  <si>
    <t>A</t>
  </si>
  <si>
    <t>Accrual rate</t>
  </si>
  <si>
    <t>Grade A</t>
  </si>
  <si>
    <t>Grade B</t>
  </si>
  <si>
    <t>Investment return</t>
  </si>
  <si>
    <t>Normal Retirement Age</t>
  </si>
  <si>
    <t>Contribution</t>
  </si>
  <si>
    <t>&gt;50</t>
  </si>
  <si>
    <t>=&lt;50</t>
  </si>
  <si>
    <t>Group</t>
  </si>
  <si>
    <t>30A</t>
  </si>
  <si>
    <t>Accrual rate
(k)</t>
  </si>
  <si>
    <t>Investment return
(i)</t>
  </si>
  <si>
    <t>Current age
BOY
(X)</t>
  </si>
  <si>
    <t>Pensionable salary
BOY
(S)</t>
  </si>
  <si>
    <t>Check</t>
  </si>
  <si>
    <t>Withdraw benefit % of AR</t>
  </si>
  <si>
    <t>Grade:</t>
  </si>
  <si>
    <t>Age at start of year:</t>
  </si>
  <si>
    <t>NRA:</t>
  </si>
  <si>
    <t>Accrual rate:</t>
  </si>
  <si>
    <t>Average Salary:</t>
  </si>
  <si>
    <t>Salary increase:</t>
  </si>
  <si>
    <t>Entry Age:</t>
  </si>
  <si>
    <t>Inforce
BOY</t>
  </si>
  <si>
    <t>Inforce
EOY</t>
  </si>
  <si>
    <t>to vary by age</t>
  </si>
  <si>
    <t>to justify</t>
  </si>
  <si>
    <t>Mortality after retirement</t>
  </si>
  <si>
    <t>For Grade A, members who die after normal retirement age will be treated as normal retirement, receiving the normal retirement lump-sum benefit.</t>
  </si>
  <si>
    <t>white-collar</t>
  </si>
  <si>
    <t>Deaths uniform throughout the year</t>
  </si>
  <si>
    <t>Withdrawals/Retirement at end of year</t>
  </si>
  <si>
    <t>Decrement table</t>
  </si>
  <si>
    <t>Assumptions</t>
  </si>
  <si>
    <t xml:space="preserve">It would  be reasonable to place an upper limit on retirement decrements ie an age where decrement is 100%. At what age is up to the actuary, you have the scheme's own experience, local legislation, age pension thresholds etc to take into account. </t>
  </si>
  <si>
    <t>Contribution
EOY</t>
  </si>
  <si>
    <t>Description</t>
  </si>
  <si>
    <t>Includes assumptions required</t>
  </si>
  <si>
    <t>Data</t>
  </si>
  <si>
    <t>Includes a breakdown of expenses and policy statistics from 2017 to 2019 as well as forecast policy statistics for 2020</t>
  </si>
  <si>
    <t>Solutions</t>
  </si>
  <si>
    <t>Includes calculation of 2020 recommended expenses and 2020 expenses derived from applying inflation to 2017 expenses for comparison</t>
  </si>
  <si>
    <t>Depreciation</t>
  </si>
  <si>
    <t>breakdown of the derivation of depreciation assumptions</t>
  </si>
  <si>
    <t>Macro</t>
  </si>
  <si>
    <t>PUC Projection</t>
  </si>
  <si>
    <t>EAN Projection</t>
  </si>
  <si>
    <t>30B</t>
  </si>
  <si>
    <t>40B</t>
  </si>
  <si>
    <t>40A</t>
  </si>
  <si>
    <t>45B</t>
  </si>
  <si>
    <t>45A</t>
  </si>
  <si>
    <t>50B</t>
  </si>
  <si>
    <t>50A</t>
  </si>
  <si>
    <t>55B</t>
  </si>
  <si>
    <t>55A</t>
  </si>
  <si>
    <t>Total Contribution</t>
  </si>
  <si>
    <t>Total Salary</t>
  </si>
  <si>
    <t>Initial SCR</t>
  </si>
  <si>
    <t>Current Group</t>
  </si>
  <si>
    <t>No. of Employees</t>
  </si>
  <si>
    <t>No. of years of past service
(P)</t>
  </si>
  <si>
    <t>Salary EOY</t>
  </si>
  <si>
    <t>No. of employees:</t>
  </si>
  <si>
    <t>Data table - Summary for all the groups as of the end of year 1</t>
  </si>
  <si>
    <t>Reasonability check on contribution</t>
  </si>
  <si>
    <t>Grade</t>
  </si>
  <si>
    <t>i'=(1+i)/(1+e)-1</t>
  </si>
  <si>
    <t>The design will also influence behaviour and therefore your assumptions for exits at older ages.</t>
  </si>
  <si>
    <t>Typically the definition of the death or TPD benefit means that on reaching the normal retirement age the death/TPD benefit is exactly the same as the normal retirement benefit.</t>
  </si>
  <si>
    <t>So, it may be possible to simplify assumptions and modelling for exits after the normal retirement age without materially affecting the scheme liability valuation or determination of long term funding SCR</t>
  </si>
  <si>
    <t>If a member remains in the scheme beyond the normal retirement age, the death/TPD and retirement benefits may continue to be the same amount. Again, check the scheme design.</t>
  </si>
  <si>
    <t>Consider materiality of the benefit - both dollar value and probability of being paid, relative to the primary benefit (retirement) - and likely impact on SCR.</t>
  </si>
  <si>
    <t>Yes the accrued liability can take into account the present value of any future benefit potentially payable to the member.</t>
  </si>
  <si>
    <t>When close to new member</t>
  </si>
  <si>
    <t>Post NRA</t>
  </si>
  <si>
    <t xml:space="preserve">What does AL contain: AL represents the liabilities that should be funded by now under the given funding method = VPS + VFS - VFC. </t>
  </si>
  <si>
    <t>To-do</t>
  </si>
  <si>
    <t>AL post NRA</t>
  </si>
  <si>
    <t>AL contains withdraw</t>
  </si>
  <si>
    <t>New member</t>
  </si>
  <si>
    <t>Ferris paper</t>
  </si>
  <si>
    <t>Allow for Decrement</t>
  </si>
  <si>
    <t>applying past service (to date of withdrawal) only: AL is normally = VPS + VFS - VFC, but this means set AL = VPS?</t>
  </si>
  <si>
    <t>Actuarial Reserve
BOY
(AR)</t>
  </si>
  <si>
    <t>Verify economic assumptions</t>
  </si>
  <si>
    <t>A better phrase may be to state that the experience is similar to Australia. You have to avoid the temptation of using specific Australian legislation as that is not relevant.</t>
  </si>
  <si>
    <t>Both</t>
  </si>
  <si>
    <t>Watch the video on multi decrement tables</t>
  </si>
  <si>
    <t>New employee joining rate / employee turnover</t>
  </si>
  <si>
    <t>noting that the scheme's actual operating expenses are likely independent of the funding method selected, consider whether the expenses are going to be material to your findings</t>
  </si>
  <si>
    <t>No mortaility, only withdraw, so managing expense could be immaterial.</t>
  </si>
  <si>
    <t>VEA
EOY</t>
  </si>
  <si>
    <t>Salary inflation
(e)</t>
  </si>
  <si>
    <t>Actuarial Liability
BOY
(AL)</t>
  </si>
  <si>
    <t>CF Projection
==&gt;</t>
  </si>
  <si>
    <t>Withdraw Benefit
EOY</t>
  </si>
  <si>
    <t>Retirement Benefit
EOY</t>
  </si>
  <si>
    <r>
      <t>Check btw EAN and PUC
SCR</t>
    </r>
    <r>
      <rPr>
        <vertAlign val="subscript"/>
        <sz val="10"/>
        <color theme="0"/>
        <rFont val="Century Gothic"/>
        <family val="2"/>
      </rPr>
      <t>EAN</t>
    </r>
    <r>
      <rPr>
        <sz val="10"/>
        <color theme="0"/>
        <rFont val="Century Gothic"/>
        <family val="2"/>
      </rPr>
      <t>/SCR</t>
    </r>
    <r>
      <rPr>
        <vertAlign val="subscript"/>
        <sz val="10"/>
        <color theme="0"/>
        <rFont val="Century Gothic"/>
        <family val="2"/>
      </rPr>
      <t>PUC</t>
    </r>
  </si>
  <si>
    <r>
      <t>F/a</t>
    </r>
    <r>
      <rPr>
        <vertAlign val="subscript"/>
        <sz val="10"/>
        <color theme="0"/>
        <rFont val="Century Gothic"/>
        <family val="2"/>
      </rPr>
      <t>F</t>
    </r>
    <r>
      <rPr>
        <sz val="10"/>
        <color theme="0"/>
        <rFont val="Century Gothic"/>
        <family val="2"/>
      </rPr>
      <t>*v'</t>
    </r>
    <r>
      <rPr>
        <vertAlign val="superscript"/>
        <sz val="10"/>
        <color theme="0"/>
        <rFont val="Century Gothic"/>
        <family val="2"/>
      </rPr>
      <t>x-EA</t>
    </r>
  </si>
  <si>
    <r>
      <rPr>
        <sz val="11"/>
        <color theme="0"/>
        <rFont val="Century Gothic"/>
        <family val="2"/>
      </rPr>
      <t>a</t>
    </r>
    <r>
      <rPr>
        <vertAlign val="subscript"/>
        <sz val="10"/>
        <color theme="0"/>
        <rFont val="Century Gothic"/>
        <family val="2"/>
      </rPr>
      <t xml:space="preserve">NRA-EA </t>
    </r>
    <r>
      <rPr>
        <sz val="10"/>
        <color theme="0"/>
        <rFont val="Century Gothic"/>
        <family val="2"/>
      </rPr>
      <t>@ i'</t>
    </r>
  </si>
  <si>
    <r>
      <rPr>
        <sz val="11"/>
        <color theme="0"/>
        <rFont val="Century Gothic"/>
        <family val="2"/>
      </rPr>
      <t>a</t>
    </r>
    <r>
      <rPr>
        <vertAlign val="subscript"/>
        <sz val="10"/>
        <color theme="0"/>
        <rFont val="Century Gothic"/>
        <family val="2"/>
      </rPr>
      <t xml:space="preserve">NRA-x </t>
    </r>
    <r>
      <rPr>
        <sz val="10"/>
        <color theme="0"/>
        <rFont val="Century Gothic"/>
        <family val="2"/>
      </rPr>
      <t>@ i'</t>
    </r>
  </si>
  <si>
    <r>
      <t>SCR = k*(NRA-EA)*[(1+e)/(1+i)]^(NRA-EA)/a</t>
    </r>
    <r>
      <rPr>
        <vertAlign val="subscript"/>
        <sz val="10"/>
        <color theme="0"/>
        <rFont val="Century Gothic"/>
        <family val="2"/>
      </rPr>
      <t>NRA-EA</t>
    </r>
  </si>
  <si>
    <r>
      <t>If</t>
    </r>
    <r>
      <rPr>
        <sz val="10"/>
        <color theme="1"/>
        <rFont val="Century Gothic"/>
        <family val="2"/>
      </rPr>
      <t xml:space="preserve"> a member can remain in the scheme beyond the defined normal retirement age, the retirement benefit definition </t>
    </r>
    <r>
      <rPr>
        <b/>
        <sz val="10"/>
        <color theme="1"/>
        <rFont val="Century Gothic"/>
        <family val="2"/>
      </rPr>
      <t>may</t>
    </r>
    <r>
      <rPr>
        <sz val="10"/>
        <color theme="1"/>
        <rFont val="Century Gothic"/>
        <family val="2"/>
      </rPr>
      <t xml:space="preserve"> increase with further salary increases and </t>
    </r>
    <r>
      <rPr>
        <b/>
        <sz val="10"/>
        <color theme="1"/>
        <rFont val="Century Gothic"/>
        <family val="2"/>
      </rPr>
      <t>may</t>
    </r>
    <r>
      <rPr>
        <sz val="10"/>
        <color theme="1"/>
        <rFont val="Century Gothic"/>
        <family val="2"/>
      </rPr>
      <t xml:space="preserve"> continue to accrue for further completed service.</t>
    </r>
  </si>
  <si>
    <r>
      <t>Withdrawal</t>
    </r>
    <r>
      <rPr>
        <sz val="10"/>
        <color theme="1"/>
        <rFont val="Century Gothic"/>
        <family val="2"/>
      </rPr>
      <t xml:space="preserve"> benefits are very likely and in most jurisdictions have a material value so should be incorporated.</t>
    </r>
  </si>
  <si>
    <r>
      <t>Redundancy</t>
    </r>
    <r>
      <rPr>
        <sz val="10"/>
        <color theme="1"/>
        <rFont val="Century Gothic"/>
        <family val="2"/>
      </rPr>
      <t xml:space="preserve"> benefits are probably less likely than withdrawal/retirement, but may be more generous than the withdrawal benefit or the accrued retirement benefit.  What is the expected experience? Why would you set an decrement assumption other than 0% if the employer has no stated redundancy program? I am aware of some employers that do have publicised voluntary redundancy programs from time to time and these are readily then incorporated into a scheme's valuation assumptions as another decrement.</t>
    </r>
  </si>
  <si>
    <r>
      <t xml:space="preserve">For general interest, note that </t>
    </r>
    <r>
      <rPr>
        <b/>
        <sz val="10"/>
        <color theme="1"/>
        <rFont val="Century Gothic"/>
        <family val="2"/>
      </rPr>
      <t xml:space="preserve">in Australia </t>
    </r>
    <r>
      <rPr>
        <sz val="10"/>
        <color theme="1"/>
        <rFont val="Century Gothic"/>
        <family val="2"/>
      </rPr>
      <t>, there are redundancy benefits paid outside superannuation. So schemes may not have an explicit redundancy benefit. It may be reasonable to ignore redundancies altogether when preparing valuations or contribution rate advice, but to assess at a given date whether the scheme has sufficient assets to pay everyone their redundancy benefits (if the employer was wound up and everyone lost their jobs) and/or termination benefits (if the scheme was wound up for any reason).</t>
    </r>
  </si>
  <si>
    <t xml:space="preserve">Mortality Rate </t>
  </si>
  <si>
    <t>SCR</t>
  </si>
  <si>
    <t>Retirement and mortality post-NRA for Grade A</t>
  </si>
  <si>
    <t>Age</t>
  </si>
  <si>
    <t>You might like to research the assumptions used in actuarial valuations for large government schemes (as these are usually publicly available) or consider any available workforce statistics on turnover.</t>
  </si>
  <si>
    <t>Retirement Rate</t>
  </si>
  <si>
    <t>Retirement</t>
  </si>
  <si>
    <t>Flowchart</t>
  </si>
  <si>
    <t>Legend</t>
  </si>
  <si>
    <t>The following flowchart shows the calculation logic for the determination of the initial contribution rate using PUC method under each grade.</t>
  </si>
  <si>
    <t>Surplus/Deficit
EOY</t>
  </si>
  <si>
    <t>Average Entry Age</t>
  </si>
  <si>
    <t>Salary inflation</t>
  </si>
  <si>
    <t>What does SCR contribute to? Only retirement or retirement + withdraw?</t>
  </si>
  <si>
    <r>
      <t xml:space="preserve">Might give them incentive to stay if </t>
    </r>
    <r>
      <rPr>
        <sz val="10"/>
        <color rgb="FFC00000"/>
        <rFont val="Century Gothic"/>
        <family val="2"/>
      </rPr>
      <t xml:space="preserve"> the retirement benefit definition may increase with further salary increases and may continue to accrue for further completed service.</t>
    </r>
  </si>
  <si>
    <r>
      <t>Added to liability measure (VPS</t>
    </r>
    <r>
      <rPr>
        <vertAlign val="subscript"/>
        <sz val="10"/>
        <color rgb="FF006100"/>
        <rFont val="Century Gothic"/>
        <family val="2"/>
      </rPr>
      <t>expense</t>
    </r>
    <r>
      <rPr>
        <sz val="10"/>
        <color rgb="FF006100"/>
        <rFont val="Century Gothic"/>
        <family val="2"/>
      </rPr>
      <t>) rather than Deducted from future contributions</t>
    </r>
  </si>
  <si>
    <t>Time</t>
  </si>
  <si>
    <t>---&gt;</t>
  </si>
  <si>
    <t>No. of Employees at time 15 EOY</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</si>
</sst>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44" formatCode="_(&quot;$&quot;* #,##0.00_);_(&quot;$&quot;* \(#,##0.00\);_(&quot;$&quot;* &quot;-&quot;??_);_(@_)"/>
    <numFmt numFmtId="43" formatCode="_(* #,##0.00_);_(* \(#,##0.00\);_(* &quot;-&quot;??_);_(@_)"/>
    <numFmt numFmtId="164" formatCode="_(* #,##0_);_(* \(#,##0\);_(* &quot;-&quot;??_);_(@_)"/>
    <numFmt numFmtId="165" formatCode="_(&quot;$&quot;* #,##0_);_(&quot;$&quot;* \(#,##0\);_(&quot;$&quot;* &quot;-&quot;??_);_(@_)"/>
    <numFmt numFmtId="166" formatCode="0.0%"/>
    <numFmt numFmtId="167" formatCode="_(* #,##0.0000_);_(* \(#,##0.0000\);_(* &quot;-&quot;??_);_(@_)"/>
    <numFmt numFmtId="168" formatCode="_-* #,##0.00_-;\-* #,##0.00_-;_-* &quot;-&quot;??_-;_-@_-"/>
    <numFmt numFmtId="172" formatCode="_(* #,##0.00_);_(* \(#,##0.00\);_(* &quot;-&quot;????_);_(@_)"/>
    <numFmt numFmtId="174" formatCode="0.0000"/>
  </numFmts>
  <fonts count="41" x14ac:knownFonts="1">
    <font>
      <sz val="11"/>
      <color theme="1"/>
      <name val="Calibri"/>
      <family val="2"/>
      <scheme val="minor"/>
    </font>
    <font>
      <sz val="11"/>
      <color theme="1"/>
      <name val="Calibri"/>
      <family val="2"/>
      <scheme val="minor"/>
    </font>
    <font>
      <sz val="10"/>
      <color rgb="FFFFFFFF"/>
      <name val="Century Gothic"/>
      <family val="2"/>
    </font>
    <font>
      <sz val="10"/>
      <color rgb="FF000000"/>
      <name val="Century Gothic"/>
      <family val="2"/>
    </font>
    <font>
      <sz val="10"/>
      <color theme="1"/>
      <name val="Century Gothic"/>
      <family val="2"/>
    </font>
    <font>
      <sz val="9"/>
      <color indexed="81"/>
      <name val="Tahoma"/>
      <family val="2"/>
    </font>
    <font>
      <sz val="10"/>
      <name val="Arial"/>
    </font>
    <font>
      <sz val="10"/>
      <name val="Century Gothic"/>
      <family val="2"/>
    </font>
    <font>
      <b/>
      <sz val="10"/>
      <name val="Century Gothic"/>
      <family val="2"/>
    </font>
    <font>
      <sz val="11"/>
      <color rgb="FF9C6500"/>
      <name val="Calibri"/>
      <family val="2"/>
      <scheme val="minor"/>
    </font>
    <font>
      <sz val="10"/>
      <color indexed="81"/>
      <name val="Tahoma"/>
      <family val="2"/>
    </font>
    <font>
      <sz val="11"/>
      <color rgb="FF006100"/>
      <name val="Calibri"/>
      <family val="2"/>
      <scheme val="minor"/>
    </font>
    <font>
      <sz val="11"/>
      <color rgb="FF9C0006"/>
      <name val="Calibri"/>
      <family val="2"/>
      <scheme val="minor"/>
    </font>
    <font>
      <vertAlign val="subscript"/>
      <sz val="10"/>
      <color indexed="81"/>
      <name val="Tahoma"/>
      <family val="2"/>
    </font>
    <font>
      <sz val="11"/>
      <color theme="1"/>
      <name val="Century Gothic"/>
      <family val="2"/>
    </font>
    <font>
      <b/>
      <i/>
      <sz val="10"/>
      <color theme="1"/>
      <name val="Century Gothic"/>
      <family val="2"/>
    </font>
    <font>
      <b/>
      <sz val="10"/>
      <color theme="1"/>
      <name val="Century Gothic"/>
      <family val="2"/>
    </font>
    <font>
      <i/>
      <sz val="10"/>
      <color theme="1"/>
      <name val="Century Gothic"/>
      <family val="2"/>
    </font>
    <font>
      <b/>
      <i/>
      <sz val="10"/>
      <name val="Century Gothic"/>
      <family val="2"/>
    </font>
    <font>
      <b/>
      <u/>
      <sz val="10"/>
      <color rgb="FFC00000"/>
      <name val="Century Gothic"/>
      <family val="2"/>
    </font>
    <font>
      <i/>
      <sz val="10"/>
      <color theme="0" tint="-0.499984740745262"/>
      <name val="Century Gothic"/>
      <family val="2"/>
    </font>
    <font>
      <b/>
      <i/>
      <u/>
      <sz val="10"/>
      <color rgb="FFC00000"/>
      <name val="Century Gothic"/>
      <family val="2"/>
    </font>
    <font>
      <u/>
      <sz val="10"/>
      <color theme="1"/>
      <name val="Century Gothic"/>
      <family val="2"/>
    </font>
    <font>
      <sz val="10"/>
      <color theme="0" tint="-0.499984740745262"/>
      <name val="Century Gothic"/>
      <family val="2"/>
    </font>
    <font>
      <sz val="10"/>
      <color theme="0"/>
      <name val="Century Gothic"/>
      <family val="2"/>
    </font>
    <font>
      <vertAlign val="subscript"/>
      <sz val="10"/>
      <color theme="0"/>
      <name val="Century Gothic"/>
      <family val="2"/>
    </font>
    <font>
      <vertAlign val="superscript"/>
      <sz val="10"/>
      <color theme="0"/>
      <name val="Century Gothic"/>
      <family val="2"/>
    </font>
    <font>
      <sz val="11"/>
      <color theme="0"/>
      <name val="Century Gothic"/>
      <family val="2"/>
    </font>
    <font>
      <i/>
      <sz val="10"/>
      <color rgb="FF0070C0"/>
      <name val="Century Gothic"/>
      <family val="2"/>
    </font>
    <font>
      <sz val="10"/>
      <color rgb="FF006100"/>
      <name val="Century Gothic"/>
      <family val="2"/>
    </font>
    <font>
      <i/>
      <sz val="10"/>
      <color rgb="FFC00000"/>
      <name val="Century Gothic"/>
      <family val="2"/>
    </font>
    <font>
      <sz val="10"/>
      <color rgb="FF9C6500"/>
      <name val="Century Gothic"/>
      <family val="2"/>
    </font>
    <font>
      <vertAlign val="subscript"/>
      <sz val="10"/>
      <color rgb="FF006100"/>
      <name val="Century Gothic"/>
      <family val="2"/>
    </font>
    <font>
      <sz val="10"/>
      <color rgb="FFFF0000"/>
      <name val="Century Gothic"/>
      <family val="2"/>
    </font>
    <font>
      <b/>
      <sz val="10"/>
      <color rgb="FFC00000"/>
      <name val="Century Gothic"/>
      <family val="2"/>
    </font>
    <font>
      <sz val="10"/>
      <color rgb="FFC00000"/>
      <name val="Century Gothic"/>
      <family val="2"/>
    </font>
    <font>
      <b/>
      <sz val="10"/>
      <color indexed="81"/>
      <name val="Tahoma"/>
      <family val="2"/>
    </font>
    <font>
      <b/>
      <i/>
      <sz val="11"/>
      <color theme="1"/>
      <name val="Century Gothic"/>
      <family val="2"/>
    </font>
    <font>
      <b/>
      <sz val="11"/>
      <color theme="1"/>
      <name val="Century Gothic"/>
      <family val="2"/>
    </font>
    <font>
      <i/>
      <sz val="11"/>
      <color theme="1"/>
      <name val="Century Gothic"/>
      <family val="2"/>
    </font>
    <font>
      <vertAlign val="superscript"/>
      <sz val="10"/>
      <color indexed="81"/>
      <name val="Tahoma"/>
      <family val="2"/>
    </font>
  </fonts>
  <fills count="18">
    <fill>
      <patternFill patternType="none"/>
    </fill>
    <fill>
      <patternFill patternType="gray125"/>
    </fill>
    <fill>
      <patternFill patternType="solid">
        <fgColor rgb="FF002060"/>
        <bgColor indexed="64"/>
      </patternFill>
    </fill>
    <fill>
      <patternFill patternType="solid">
        <fgColor theme="4" tint="0.79998168889431442"/>
        <bgColor indexed="64"/>
      </patternFill>
    </fill>
    <fill>
      <patternFill patternType="solid">
        <fgColor rgb="FFFFFF00"/>
        <bgColor indexed="64"/>
      </patternFill>
    </fill>
    <fill>
      <patternFill patternType="solid">
        <fgColor theme="6" tint="-0.249977111117893"/>
        <bgColor indexed="64"/>
      </patternFill>
    </fill>
    <fill>
      <patternFill patternType="solid">
        <fgColor rgb="FFFFC000"/>
        <bgColor indexed="64"/>
      </patternFill>
    </fill>
    <fill>
      <patternFill patternType="solid">
        <fgColor theme="5" tint="0.79998168889431442"/>
        <bgColor indexed="64"/>
      </patternFill>
    </fill>
    <fill>
      <patternFill patternType="solid">
        <fgColor theme="4" tint="-0.499984740745262"/>
        <bgColor indexed="64"/>
      </patternFill>
    </fill>
    <fill>
      <patternFill patternType="solid">
        <fgColor theme="0" tint="-0.249977111117893"/>
        <bgColor indexed="64"/>
      </patternFill>
    </fill>
    <fill>
      <patternFill patternType="solid">
        <fgColor rgb="FFF2A900"/>
        <bgColor indexed="64"/>
      </patternFill>
    </fill>
    <fill>
      <patternFill patternType="solid">
        <fgColor rgb="FFFFEB9C"/>
      </patternFill>
    </fill>
    <fill>
      <patternFill patternType="solid">
        <fgColor theme="0" tint="-0.14999847407452621"/>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rgb="FFC6EFCE"/>
      </patternFill>
    </fill>
    <fill>
      <patternFill patternType="solid">
        <fgColor rgb="FFFFC7CE"/>
      </patternFill>
    </fill>
    <fill>
      <patternFill patternType="solid">
        <fgColor theme="4" tint="0.59999389629810485"/>
        <bgColor indexed="64"/>
      </patternFill>
    </fill>
  </fills>
  <borders count="35">
    <border>
      <left/>
      <right/>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style="thin">
        <color indexed="64"/>
      </bottom>
      <diagonal/>
    </border>
    <border>
      <left/>
      <right/>
      <top style="medium">
        <color indexed="64"/>
      </top>
      <bottom style="medium">
        <color indexed="64"/>
      </bottom>
      <diagonal/>
    </border>
    <border>
      <left/>
      <right/>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right style="thin">
        <color indexed="64"/>
      </right>
      <top style="medium">
        <color indexed="64"/>
      </top>
      <bottom/>
      <diagonal/>
    </border>
    <border>
      <left/>
      <right style="medium">
        <color indexed="64"/>
      </right>
      <top style="medium">
        <color indexed="64"/>
      </top>
      <bottom/>
      <diagonal/>
    </border>
    <border>
      <left/>
      <right style="thin">
        <color indexed="64"/>
      </right>
      <top/>
      <bottom/>
      <diagonal/>
    </border>
    <border>
      <left/>
      <right style="medium">
        <color indexed="64"/>
      </right>
      <top/>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style="medium">
        <color indexed="64"/>
      </top>
      <bottom/>
      <diagonal/>
    </border>
    <border>
      <left style="thin">
        <color indexed="64"/>
      </left>
      <right style="thin">
        <color indexed="64"/>
      </right>
      <top style="thin">
        <color indexed="64"/>
      </top>
      <bottom style="thin">
        <color indexed="64"/>
      </bottom>
      <diagonal/>
    </border>
    <border>
      <left/>
      <right/>
      <top style="medium">
        <color indexed="64"/>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top/>
      <bottom style="medium">
        <color indexed="64"/>
      </bottom>
      <diagonal/>
    </border>
    <border>
      <left style="medium">
        <color indexed="64"/>
      </left>
      <right style="medium">
        <color indexed="64"/>
      </right>
      <top style="medium">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style="thin">
        <color indexed="64"/>
      </right>
      <top/>
      <bottom style="thin">
        <color indexed="64"/>
      </bottom>
      <diagonal/>
    </border>
  </borders>
  <cellStyleXfs count="10">
    <xf numFmtId="0" fontId="0" fillId="0" borderId="0"/>
    <xf numFmtId="43"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0" fontId="6" fillId="0" borderId="0"/>
    <xf numFmtId="168" fontId="6" fillId="0" borderId="0" applyFont="0" applyFill="0" applyBorder="0" applyAlignment="0" applyProtection="0"/>
    <xf numFmtId="9" fontId="6" fillId="0" borderId="0" applyFont="0" applyFill="0" applyBorder="0" applyAlignment="0" applyProtection="0"/>
    <xf numFmtId="0" fontId="9" fillId="11" borderId="0" applyNumberFormat="0" applyBorder="0" applyAlignment="0" applyProtection="0"/>
    <xf numFmtId="0" fontId="11" fillId="15" borderId="0" applyNumberFormat="0" applyBorder="0" applyAlignment="0" applyProtection="0"/>
    <xf numFmtId="0" fontId="12" fillId="16" borderId="0" applyNumberFormat="0" applyBorder="0" applyAlignment="0" applyProtection="0"/>
  </cellStyleXfs>
  <cellXfs count="143">
    <xf numFmtId="0" fontId="0" fillId="0" borderId="0" xfId="0"/>
    <xf numFmtId="0" fontId="2" fillId="2" borderId="0" xfId="0" applyFont="1" applyFill="1" applyAlignment="1">
      <alignment horizontal="center" vertical="center" wrapText="1"/>
    </xf>
    <xf numFmtId="0" fontId="3" fillId="0" borderId="1" xfId="0" applyFont="1" applyBorder="1" applyAlignment="1">
      <alignment horizontal="center" vertical="center"/>
    </xf>
    <xf numFmtId="0" fontId="3" fillId="0" borderId="2" xfId="0" applyFont="1" applyBorder="1" applyAlignment="1">
      <alignment horizontal="center" vertical="center"/>
    </xf>
    <xf numFmtId="3" fontId="3" fillId="0" borderId="2" xfId="0" applyNumberFormat="1" applyFont="1" applyBorder="1" applyAlignment="1">
      <alignment horizontal="center" vertical="center"/>
    </xf>
    <xf numFmtId="0" fontId="3" fillId="0" borderId="3" xfId="0" applyFont="1" applyBorder="1" applyAlignment="1">
      <alignment horizontal="center" vertical="center"/>
    </xf>
    <xf numFmtId="0" fontId="3" fillId="0" borderId="4" xfId="0" applyFont="1" applyBorder="1" applyAlignment="1">
      <alignment horizontal="center" vertical="center"/>
    </xf>
    <xf numFmtId="3" fontId="3" fillId="0" borderId="4" xfId="0" applyNumberFormat="1" applyFont="1" applyBorder="1" applyAlignment="1">
      <alignment horizontal="center" vertical="center"/>
    </xf>
    <xf numFmtId="0" fontId="2" fillId="5" borderId="0" xfId="0" applyFont="1" applyFill="1" applyAlignment="1">
      <alignment horizontal="center" vertical="center" wrapText="1"/>
    </xf>
    <xf numFmtId="0" fontId="3" fillId="0" borderId="11" xfId="0" applyFont="1" applyBorder="1" applyAlignment="1">
      <alignment horizontal="center" vertical="center"/>
    </xf>
    <xf numFmtId="0" fontId="3" fillId="0" borderId="12" xfId="0" applyFont="1" applyBorder="1" applyAlignment="1">
      <alignment horizontal="center" vertical="center"/>
    </xf>
    <xf numFmtId="0" fontId="2" fillId="5" borderId="8" xfId="0" applyFont="1" applyFill="1" applyBorder="1" applyAlignment="1">
      <alignment horizontal="center" vertical="center" wrapText="1"/>
    </xf>
    <xf numFmtId="0" fontId="2" fillId="5" borderId="13" xfId="0" applyFont="1" applyFill="1" applyBorder="1" applyAlignment="1">
      <alignment horizontal="center" vertical="center" wrapText="1"/>
    </xf>
    <xf numFmtId="0" fontId="4" fillId="0" borderId="0" xfId="0" applyFont="1"/>
    <xf numFmtId="0" fontId="7" fillId="0" borderId="0" xfId="4" applyFont="1"/>
    <xf numFmtId="0" fontId="8" fillId="0" borderId="0" xfId="4" applyFont="1"/>
    <xf numFmtId="0" fontId="7" fillId="10" borderId="0" xfId="4" applyFont="1" applyFill="1"/>
    <xf numFmtId="0" fontId="14" fillId="0" borderId="0" xfId="0" applyFont="1"/>
    <xf numFmtId="0" fontId="15" fillId="0" borderId="0" xfId="0" applyFont="1"/>
    <xf numFmtId="0" fontId="16" fillId="6" borderId="31" xfId="0" applyFont="1" applyFill="1" applyBorder="1" applyAlignment="1">
      <alignment horizontal="center" vertical="center"/>
    </xf>
    <xf numFmtId="0" fontId="15" fillId="7" borderId="0" xfId="0" applyFont="1" applyFill="1" applyAlignment="1">
      <alignment horizontal="right" vertical="center"/>
    </xf>
    <xf numFmtId="0" fontId="17" fillId="7" borderId="0" xfId="0" applyFont="1" applyFill="1" applyAlignment="1">
      <alignment horizontal="right"/>
    </xf>
    <xf numFmtId="0" fontId="18" fillId="13" borderId="0" xfId="0" applyFont="1" applyFill="1" applyAlignment="1">
      <alignment horizontal="centerContinuous"/>
    </xf>
    <xf numFmtId="0" fontId="7" fillId="13" borderId="0" xfId="0" applyFont="1" applyFill="1" applyAlignment="1">
      <alignment horizontal="centerContinuous"/>
    </xf>
    <xf numFmtId="0" fontId="16" fillId="6" borderId="3" xfId="0" applyFont="1" applyFill="1" applyBorder="1" applyAlignment="1">
      <alignment horizontal="center" vertical="center"/>
    </xf>
    <xf numFmtId="0" fontId="15" fillId="12" borderId="16" xfId="0" applyFont="1" applyFill="1" applyBorder="1" applyAlignment="1">
      <alignment horizontal="right" vertical="center"/>
    </xf>
    <xf numFmtId="0" fontId="17" fillId="12" borderId="19" xfId="0" applyFont="1" applyFill="1" applyBorder="1" applyAlignment="1">
      <alignment horizontal="right" vertical="center"/>
    </xf>
    <xf numFmtId="0" fontId="16" fillId="0" borderId="16" xfId="0" applyFont="1" applyBorder="1" applyAlignment="1">
      <alignment horizontal="center" vertical="center"/>
    </xf>
    <xf numFmtId="0" fontId="16" fillId="0" borderId="27" xfId="0" applyFont="1" applyBorder="1" applyAlignment="1">
      <alignment horizontal="center" vertical="center"/>
    </xf>
    <xf numFmtId="0" fontId="16" fillId="0" borderId="18" xfId="0" applyFont="1" applyBorder="1" applyAlignment="1">
      <alignment horizontal="center" vertical="center"/>
    </xf>
    <xf numFmtId="0" fontId="16" fillId="0" borderId="25" xfId="0" applyFont="1" applyBorder="1" applyAlignment="1">
      <alignment horizontal="center" vertical="center"/>
    </xf>
    <xf numFmtId="0" fontId="16" fillId="0" borderId="19" xfId="0" applyFont="1" applyBorder="1" applyAlignment="1">
      <alignment horizontal="center" vertical="center"/>
    </xf>
    <xf numFmtId="0" fontId="15" fillId="12" borderId="17" xfId="0" applyFont="1" applyFill="1" applyBorder="1" applyAlignment="1">
      <alignment horizontal="right" vertical="center"/>
    </xf>
    <xf numFmtId="0" fontId="17" fillId="12" borderId="21" xfId="0" applyFont="1" applyFill="1" applyBorder="1" applyAlignment="1">
      <alignment vertical="center"/>
    </xf>
    <xf numFmtId="164" fontId="4" fillId="0" borderId="17" xfId="1" applyNumberFormat="1" applyFont="1" applyBorder="1" applyAlignment="1">
      <alignment horizontal="center" vertical="center"/>
    </xf>
    <xf numFmtId="164" fontId="4" fillId="0" borderId="0" xfId="1" applyNumberFormat="1" applyFont="1" applyBorder="1" applyAlignment="1">
      <alignment horizontal="center" vertical="center"/>
    </xf>
    <xf numFmtId="164" fontId="4" fillId="0" borderId="20" xfId="1" applyNumberFormat="1" applyFont="1" applyBorder="1" applyAlignment="1">
      <alignment horizontal="center" vertical="center"/>
    </xf>
    <xf numFmtId="164" fontId="4" fillId="0" borderId="6" xfId="1" applyNumberFormat="1" applyFont="1" applyBorder="1" applyAlignment="1">
      <alignment horizontal="center" vertical="center"/>
    </xf>
    <xf numFmtId="164" fontId="4" fillId="0" borderId="21" xfId="1" applyNumberFormat="1" applyFont="1" applyBorder="1" applyAlignment="1">
      <alignment horizontal="center" vertical="center"/>
    </xf>
    <xf numFmtId="164" fontId="17" fillId="12" borderId="21" xfId="1" applyNumberFormat="1" applyFont="1" applyFill="1" applyBorder="1" applyAlignment="1">
      <alignment vertical="center"/>
    </xf>
    <xf numFmtId="9" fontId="17" fillId="7" borderId="0" xfId="3" applyFont="1" applyFill="1" applyAlignment="1">
      <alignment horizontal="right"/>
    </xf>
    <xf numFmtId="165" fontId="17" fillId="7" borderId="0" xfId="2" applyNumberFormat="1" applyFont="1" applyFill="1" applyAlignment="1">
      <alignment horizontal="right"/>
    </xf>
    <xf numFmtId="0" fontId="15" fillId="12" borderId="30" xfId="0" applyFont="1" applyFill="1" applyBorder="1" applyAlignment="1">
      <alignment horizontal="right" vertical="center"/>
    </xf>
    <xf numFmtId="164" fontId="17" fillId="12" borderId="4" xfId="1" applyNumberFormat="1" applyFont="1" applyFill="1" applyBorder="1" applyAlignment="1">
      <alignment horizontal="right" vertical="center"/>
    </xf>
    <xf numFmtId="0" fontId="15" fillId="9" borderId="22" xfId="0" applyFont="1" applyFill="1" applyBorder="1" applyAlignment="1">
      <alignment horizontal="right" vertical="center" wrapText="1"/>
    </xf>
    <xf numFmtId="0" fontId="15" fillId="9" borderId="5" xfId="0" applyFont="1" applyFill="1" applyBorder="1" applyAlignment="1">
      <alignment horizontal="right" vertical="center" wrapText="1"/>
    </xf>
    <xf numFmtId="0" fontId="15" fillId="9" borderId="10" xfId="0" applyFont="1" applyFill="1" applyBorder="1" applyAlignment="1">
      <alignment horizontal="right" vertical="center" wrapText="1"/>
    </xf>
    <xf numFmtId="0" fontId="15" fillId="9" borderId="23" xfId="0" applyFont="1" applyFill="1" applyBorder="1" applyAlignment="1">
      <alignment horizontal="right" vertical="center" wrapText="1"/>
    </xf>
    <xf numFmtId="10" fontId="17" fillId="7" borderId="0" xfId="3" applyNumberFormat="1" applyFont="1" applyFill="1" applyAlignment="1">
      <alignment horizontal="right"/>
    </xf>
    <xf numFmtId="0" fontId="15" fillId="4" borderId="34" xfId="1" applyNumberFormat="1" applyFont="1" applyFill="1" applyBorder="1" applyAlignment="1">
      <alignment horizontal="right"/>
    </xf>
    <xf numFmtId="0" fontId="15" fillId="4" borderId="15" xfId="0" applyFont="1" applyFill="1" applyBorder="1" applyAlignment="1">
      <alignment horizontal="center"/>
    </xf>
    <xf numFmtId="0" fontId="4" fillId="0" borderId="0" xfId="0" applyFont="1" applyBorder="1"/>
    <xf numFmtId="0" fontId="4" fillId="0" borderId="21" xfId="0" applyFont="1" applyBorder="1"/>
    <xf numFmtId="0" fontId="15" fillId="4" borderId="28" xfId="1" applyNumberFormat="1" applyFont="1" applyFill="1" applyBorder="1" applyAlignment="1">
      <alignment horizontal="right"/>
    </xf>
    <xf numFmtId="164" fontId="4" fillId="4" borderId="26" xfId="1" applyNumberFormat="1" applyFont="1" applyFill="1" applyBorder="1"/>
    <xf numFmtId="0" fontId="15" fillId="4" borderId="29" xfId="3" applyNumberFormat="1" applyFont="1" applyFill="1" applyBorder="1" applyAlignment="1">
      <alignment horizontal="right"/>
    </xf>
    <xf numFmtId="10" fontId="19" fillId="4" borderId="24" xfId="3" applyNumberFormat="1" applyFont="1" applyFill="1" applyBorder="1"/>
    <xf numFmtId="0" fontId="4" fillId="0" borderId="12" xfId="0" applyFont="1" applyBorder="1"/>
    <xf numFmtId="0" fontId="4" fillId="0" borderId="4" xfId="0" applyFont="1" applyBorder="1"/>
    <xf numFmtId="0" fontId="4" fillId="0" borderId="0" xfId="0" applyFont="1" applyAlignment="1"/>
    <xf numFmtId="0" fontId="15" fillId="9" borderId="0" xfId="0" applyFont="1" applyFill="1" applyAlignment="1">
      <alignment horizontal="center" vertical="center" wrapText="1"/>
    </xf>
    <xf numFmtId="0" fontId="4" fillId="0" borderId="0" xfId="0" applyFont="1" applyAlignment="1">
      <alignment horizontal="center"/>
    </xf>
    <xf numFmtId="0" fontId="4" fillId="7" borderId="0" xfId="0" applyFont="1" applyFill="1" applyAlignment="1">
      <alignment horizontal="center" vertical="center"/>
    </xf>
    <xf numFmtId="9" fontId="4" fillId="7" borderId="0" xfId="3" applyFont="1" applyFill="1" applyAlignment="1">
      <alignment horizontal="center" vertical="center"/>
    </xf>
    <xf numFmtId="3" fontId="4" fillId="7" borderId="0" xfId="0" applyNumberFormat="1" applyFont="1" applyFill="1" applyAlignment="1">
      <alignment horizontal="center" vertical="center"/>
    </xf>
    <xf numFmtId="166" fontId="4" fillId="7" borderId="0" xfId="3" applyNumberFormat="1" applyFont="1" applyFill="1" applyAlignment="1">
      <alignment horizontal="center" vertical="center"/>
    </xf>
    <xf numFmtId="166" fontId="4" fillId="0" borderId="0" xfId="3" applyNumberFormat="1" applyFont="1" applyAlignment="1">
      <alignment horizontal="center" vertical="center"/>
    </xf>
    <xf numFmtId="10" fontId="4" fillId="0" borderId="0" xfId="3" applyNumberFormat="1" applyFont="1" applyAlignment="1">
      <alignment horizontal="center" vertical="center"/>
    </xf>
    <xf numFmtId="43" fontId="4" fillId="0" borderId="0" xfId="1" applyNumberFormat="1" applyFont="1" applyAlignment="1">
      <alignment horizontal="center" vertical="center"/>
    </xf>
    <xf numFmtId="43" fontId="4" fillId="0" borderId="0" xfId="1" applyFont="1" applyAlignment="1">
      <alignment horizontal="center" vertical="center"/>
    </xf>
    <xf numFmtId="43" fontId="4" fillId="0" borderId="0" xfId="0" applyNumberFormat="1" applyFont="1" applyAlignment="1">
      <alignment horizontal="center" vertical="center"/>
    </xf>
    <xf numFmtId="43" fontId="4" fillId="0" borderId="0" xfId="3" applyNumberFormat="1" applyFont="1"/>
    <xf numFmtId="43" fontId="4" fillId="0" borderId="0" xfId="0" applyNumberFormat="1" applyFont="1"/>
    <xf numFmtId="164" fontId="20" fillId="0" borderId="0" xfId="0" applyNumberFormat="1" applyFont="1" applyAlignment="1">
      <alignment horizontal="center" vertical="center"/>
    </xf>
    <xf numFmtId="43" fontId="20" fillId="0" borderId="0" xfId="0" applyNumberFormat="1" applyFont="1"/>
    <xf numFmtId="0" fontId="4" fillId="0" borderId="0" xfId="0" applyFont="1" applyAlignment="1">
      <alignment horizontal="center" vertical="center"/>
    </xf>
    <xf numFmtId="9" fontId="4" fillId="0" borderId="0" xfId="3" applyFont="1" applyAlignment="1">
      <alignment horizontal="center" vertical="center"/>
    </xf>
    <xf numFmtId="3" fontId="4" fillId="0" borderId="0" xfId="0" applyNumberFormat="1" applyFont="1" applyAlignment="1">
      <alignment horizontal="center" vertical="center"/>
    </xf>
    <xf numFmtId="164" fontId="4" fillId="0" borderId="0" xfId="1" applyNumberFormat="1" applyFont="1"/>
    <xf numFmtId="9" fontId="4" fillId="0" borderId="0" xfId="3" applyFont="1"/>
    <xf numFmtId="166" fontId="4" fillId="0" borderId="6" xfId="0" applyNumberFormat="1" applyFont="1" applyBorder="1"/>
    <xf numFmtId="166" fontId="4" fillId="0" borderId="14" xfId="3" applyNumberFormat="1" applyFont="1" applyBorder="1"/>
    <xf numFmtId="166" fontId="4" fillId="0" borderId="6" xfId="3" applyNumberFormat="1" applyFont="1" applyBorder="1"/>
    <xf numFmtId="166" fontId="4" fillId="0" borderId="14" xfId="0" applyNumberFormat="1" applyFont="1" applyBorder="1"/>
    <xf numFmtId="166" fontId="4" fillId="0" borderId="7" xfId="3" applyNumberFormat="1" applyFont="1" applyBorder="1"/>
    <xf numFmtId="166" fontId="4" fillId="0" borderId="15" xfId="0" applyNumberFormat="1" applyFont="1" applyBorder="1"/>
    <xf numFmtId="0" fontId="4" fillId="0" borderId="5" xfId="0" applyFont="1" applyBorder="1"/>
    <xf numFmtId="166" fontId="17" fillId="0" borderId="13" xfId="0" applyNumberFormat="1" applyFont="1" applyBorder="1"/>
    <xf numFmtId="0" fontId="4" fillId="0" borderId="9" xfId="0" quotePrefix="1" applyFont="1" applyBorder="1"/>
    <xf numFmtId="9" fontId="4" fillId="0" borderId="15" xfId="0" applyNumberFormat="1" applyFont="1" applyBorder="1"/>
    <xf numFmtId="0" fontId="4" fillId="0" borderId="10" xfId="0" applyFont="1" applyBorder="1"/>
    <xf numFmtId="0" fontId="17" fillId="12" borderId="27" xfId="0" applyFont="1" applyFill="1" applyBorder="1" applyAlignment="1">
      <alignment horizontal="right" vertical="center"/>
    </xf>
    <xf numFmtId="0" fontId="17" fillId="12" borderId="0" xfId="0" applyFont="1" applyFill="1" applyBorder="1" applyAlignment="1">
      <alignment vertical="center"/>
    </xf>
    <xf numFmtId="164" fontId="17" fillId="12" borderId="0" xfId="1" applyNumberFormat="1" applyFont="1" applyFill="1" applyBorder="1" applyAlignment="1">
      <alignment vertical="center"/>
    </xf>
    <xf numFmtId="164" fontId="17" fillId="12" borderId="12" xfId="1" applyNumberFormat="1" applyFont="1" applyFill="1" applyBorder="1" applyAlignment="1">
      <alignment horizontal="right" vertical="center"/>
    </xf>
    <xf numFmtId="0" fontId="15" fillId="4" borderId="32" xfId="3" applyNumberFormat="1" applyFont="1" applyFill="1" applyBorder="1" applyAlignment="1">
      <alignment horizontal="right"/>
    </xf>
    <xf numFmtId="10" fontId="21" fillId="4" borderId="30" xfId="3" applyNumberFormat="1" applyFont="1" applyFill="1" applyBorder="1" applyAlignment="1">
      <alignment horizontal="right"/>
    </xf>
    <xf numFmtId="10" fontId="15" fillId="4" borderId="12" xfId="3" applyNumberFormat="1" applyFont="1" applyFill="1" applyBorder="1" applyAlignment="1">
      <alignment horizontal="right"/>
    </xf>
    <xf numFmtId="10" fontId="15" fillId="4" borderId="33" xfId="3" applyNumberFormat="1" applyFont="1" applyFill="1" applyBorder="1" applyAlignment="1">
      <alignment horizontal="right"/>
    </xf>
    <xf numFmtId="10" fontId="21" fillId="4" borderId="12" xfId="3" applyNumberFormat="1" applyFont="1" applyFill="1" applyBorder="1" applyAlignment="1">
      <alignment horizontal="right"/>
    </xf>
    <xf numFmtId="10" fontId="15" fillId="4" borderId="4" xfId="3" applyNumberFormat="1" applyFont="1" applyFill="1" applyBorder="1" applyAlignment="1">
      <alignment horizontal="right"/>
    </xf>
    <xf numFmtId="164" fontId="17" fillId="7" borderId="0" xfId="1" applyNumberFormat="1" applyFont="1" applyFill="1" applyAlignment="1">
      <alignment horizontal="right"/>
    </xf>
    <xf numFmtId="0" fontId="22" fillId="0" borderId="0" xfId="0" applyFont="1"/>
    <xf numFmtId="43" fontId="4" fillId="0" borderId="0" xfId="1" applyFont="1"/>
    <xf numFmtId="0" fontId="23" fillId="0" borderId="0" xfId="0" applyFont="1"/>
    <xf numFmtId="10" fontId="20" fillId="0" borderId="0" xfId="3" applyNumberFormat="1" applyFont="1"/>
    <xf numFmtId="10" fontId="20" fillId="0" borderId="0" xfId="0" applyNumberFormat="1" applyFont="1"/>
    <xf numFmtId="0" fontId="24" fillId="14" borderId="0" xfId="0" applyFont="1" applyFill="1" applyAlignment="1">
      <alignment horizontal="center" vertical="center" wrapText="1"/>
    </xf>
    <xf numFmtId="0" fontId="24" fillId="8" borderId="0" xfId="0" applyFont="1" applyFill="1" applyAlignment="1">
      <alignment horizontal="center" vertical="center" wrapText="1"/>
    </xf>
    <xf numFmtId="0" fontId="16" fillId="0" borderId="0" xfId="0" applyFont="1"/>
    <xf numFmtId="0" fontId="28" fillId="0" borderId="0" xfId="0" applyFont="1" applyAlignment="1">
      <alignment horizontal="center" vertical="center" wrapText="1"/>
    </xf>
    <xf numFmtId="167" fontId="4" fillId="7" borderId="0" xfId="1" applyNumberFormat="1" applyFont="1" applyFill="1" applyAlignment="1">
      <alignment horizontal="center" vertical="center"/>
    </xf>
    <xf numFmtId="167" fontId="4" fillId="0" borderId="0" xfId="1" applyNumberFormat="1" applyFont="1" applyAlignment="1">
      <alignment horizontal="center" vertical="center"/>
    </xf>
    <xf numFmtId="9" fontId="4" fillId="3" borderId="0" xfId="0" applyNumberFormat="1" applyFont="1" applyFill="1"/>
    <xf numFmtId="0" fontId="4" fillId="3" borderId="0" xfId="0" applyFont="1" applyFill="1"/>
    <xf numFmtId="0" fontId="29" fillId="15" borderId="0" xfId="8" applyFont="1"/>
    <xf numFmtId="0" fontId="30" fillId="0" borderId="0" xfId="0" applyFont="1"/>
    <xf numFmtId="0" fontId="31" fillId="11" borderId="0" xfId="7" applyFont="1"/>
    <xf numFmtId="0" fontId="33" fillId="0" borderId="0" xfId="0" applyFont="1"/>
    <xf numFmtId="166" fontId="4" fillId="3" borderId="0" xfId="0" applyNumberFormat="1" applyFont="1" applyFill="1"/>
    <xf numFmtId="0" fontId="34" fillId="0" borderId="0" xfId="0" applyFont="1"/>
    <xf numFmtId="0" fontId="11" fillId="15" borderId="0" xfId="8" applyAlignment="1"/>
    <xf numFmtId="9" fontId="4" fillId="3" borderId="0" xfId="3" applyFont="1" applyFill="1"/>
    <xf numFmtId="0" fontId="4" fillId="0" borderId="0" xfId="0" applyFont="1" applyAlignment="1">
      <alignment horizontal="right"/>
    </xf>
    <xf numFmtId="0" fontId="11" fillId="15" borderId="0" xfId="8"/>
    <xf numFmtId="9" fontId="4" fillId="0" borderId="0" xfId="0" applyNumberFormat="1" applyFont="1"/>
    <xf numFmtId="0" fontId="12" fillId="16" borderId="0" xfId="9"/>
    <xf numFmtId="0" fontId="37" fillId="0" borderId="0" xfId="0" applyFont="1"/>
    <xf numFmtId="0" fontId="38" fillId="0" borderId="0" xfId="0" applyFont="1"/>
    <xf numFmtId="0" fontId="39" fillId="0" borderId="0" xfId="0" applyFont="1"/>
    <xf numFmtId="0" fontId="8" fillId="17" borderId="0" xfId="0" applyFont="1" applyFill="1" applyAlignment="1">
      <alignment horizontal="center" vertical="center" wrapText="1"/>
    </xf>
    <xf numFmtId="166" fontId="17" fillId="0" borderId="13" xfId="0" applyNumberFormat="1" applyFont="1" applyBorder="1" applyAlignment="1">
      <alignment horizontal="center" vertical="center"/>
    </xf>
    <xf numFmtId="166" fontId="17" fillId="0" borderId="15" xfId="0" applyNumberFormat="1" applyFont="1" applyBorder="1" applyAlignment="1">
      <alignment horizontal="center" vertical="center"/>
    </xf>
    <xf numFmtId="164" fontId="4" fillId="3" borderId="0" xfId="1" applyNumberFormat="1" applyFont="1" applyFill="1"/>
    <xf numFmtId="172" fontId="14" fillId="0" borderId="0" xfId="0" applyNumberFormat="1" applyFont="1"/>
    <xf numFmtId="172" fontId="14" fillId="13" borderId="0" xfId="0" applyNumberFormat="1" applyFont="1" applyFill="1"/>
    <xf numFmtId="43" fontId="14" fillId="0" borderId="0" xfId="0" applyNumberFormat="1" applyFont="1"/>
    <xf numFmtId="43" fontId="38" fillId="0" borderId="0" xfId="0" applyNumberFormat="1" applyFont="1"/>
    <xf numFmtId="0" fontId="14" fillId="0" borderId="0" xfId="0" quotePrefix="1" applyFont="1" applyAlignment="1">
      <alignment horizontal="center"/>
    </xf>
    <xf numFmtId="0" fontId="14" fillId="0" borderId="0" xfId="0" applyFont="1" applyAlignment="1">
      <alignment horizontal="center" vertical="center"/>
    </xf>
    <xf numFmtId="43" fontId="38" fillId="4" borderId="0" xfId="0" applyNumberFormat="1" applyFont="1" applyFill="1"/>
    <xf numFmtId="172" fontId="14" fillId="4" borderId="0" xfId="0" applyNumberFormat="1" applyFont="1" applyFill="1"/>
    <xf numFmtId="174" fontId="4" fillId="0" borderId="0" xfId="0" applyNumberFormat="1" applyFont="1"/>
  </cellXfs>
  <cellStyles count="10">
    <cellStyle name="Bad" xfId="9" builtinId="27"/>
    <cellStyle name="Comma" xfId="1" builtinId="3"/>
    <cellStyle name="Comma 2" xfId="5"/>
    <cellStyle name="Currency" xfId="2" builtinId="4"/>
    <cellStyle name="Good" xfId="8" builtinId="26"/>
    <cellStyle name="Neutral" xfId="7" builtinId="28"/>
    <cellStyle name="Normal" xfId="0" builtinId="0"/>
    <cellStyle name="Normal 2" xfId="4"/>
    <cellStyle name="Percent" xfId="3" builtinId="5"/>
    <cellStyle name="Percent 2" xfId="6"/>
  </cellStyles>
  <dxfs count="14">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Medium9"/>
  <colors>
    <mruColors>
      <color rgb="FFECA402"/>
      <color rgb="FF43CE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1</xdr:col>
      <xdr:colOff>47624</xdr:colOff>
      <xdr:row>13</xdr:row>
      <xdr:rowOff>0</xdr:rowOff>
    </xdr:from>
    <xdr:to>
      <xdr:col>16</xdr:col>
      <xdr:colOff>457200</xdr:colOff>
      <xdr:row>31</xdr:row>
      <xdr:rowOff>171450</xdr:rowOff>
    </xdr:to>
    <xdr:grpSp>
      <xdr:nvGrpSpPr>
        <xdr:cNvPr id="2" name="Group 1"/>
        <xdr:cNvGrpSpPr/>
      </xdr:nvGrpSpPr>
      <xdr:grpSpPr>
        <a:xfrm>
          <a:off x="209549" y="2190750"/>
          <a:ext cx="9553576" cy="3600450"/>
          <a:chOff x="141698" y="3857922"/>
          <a:chExt cx="9027428" cy="2889019"/>
        </a:xfrm>
      </xdr:grpSpPr>
      <xdr:sp macro="" textlink="">
        <xdr:nvSpPr>
          <xdr:cNvPr id="3" name="Rectangle 2"/>
          <xdr:cNvSpPr/>
        </xdr:nvSpPr>
        <xdr:spPr bwMode="auto">
          <a:xfrm>
            <a:off x="735439" y="4370663"/>
            <a:ext cx="372126" cy="312731"/>
          </a:xfrm>
          <a:prstGeom prst="rect">
            <a:avLst/>
          </a:prstGeom>
          <a:solidFill>
            <a:schemeClr val="accent2">
              <a:lumMod val="20000"/>
              <a:lumOff val="80000"/>
            </a:schemeClr>
          </a:solidFill>
          <a:ln w="12700">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lIns="45720" rIns="4572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defRPr/>
            </a:pPr>
            <a:r>
              <a:rPr lang="en-US" sz="900" b="1">
                <a:solidFill>
                  <a:schemeClr val="tx1"/>
                </a:solidFill>
                <a:latin typeface="Century Gothic" panose="020B0502020202020204" pitchFamily="34" charset="0"/>
              </a:rPr>
              <a:t>k</a:t>
            </a:r>
            <a:endParaRPr lang="en-US" sz="900">
              <a:solidFill>
                <a:schemeClr val="tx1"/>
              </a:solidFill>
              <a:latin typeface="Century Gothic" panose="020B0502020202020204" pitchFamily="34" charset="0"/>
            </a:endParaRPr>
          </a:p>
        </xdr:txBody>
      </xdr:sp>
      <xdr:sp macro="" textlink="">
        <xdr:nvSpPr>
          <xdr:cNvPr id="4" name="Rectangle 3"/>
          <xdr:cNvSpPr/>
        </xdr:nvSpPr>
        <xdr:spPr bwMode="auto">
          <a:xfrm>
            <a:off x="735439" y="4784187"/>
            <a:ext cx="372126" cy="312731"/>
          </a:xfrm>
          <a:prstGeom prst="rect">
            <a:avLst/>
          </a:prstGeom>
          <a:solidFill>
            <a:schemeClr val="accent2">
              <a:lumMod val="20000"/>
              <a:lumOff val="80000"/>
            </a:schemeClr>
          </a:solidFill>
          <a:ln w="12700">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lIns="45720" rIns="4572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defRPr/>
            </a:pPr>
            <a:r>
              <a:rPr lang="en-US" sz="900" b="1">
                <a:solidFill>
                  <a:schemeClr val="tx1"/>
                </a:solidFill>
                <a:latin typeface="Century Gothic" panose="020B0502020202020204" pitchFamily="34" charset="0"/>
              </a:rPr>
              <a:t>e</a:t>
            </a:r>
            <a:endParaRPr lang="en-US" sz="900">
              <a:solidFill>
                <a:schemeClr val="tx1"/>
              </a:solidFill>
              <a:latin typeface="Century Gothic" panose="020B0502020202020204" pitchFamily="34" charset="0"/>
            </a:endParaRPr>
          </a:p>
        </xdr:txBody>
      </xdr:sp>
      <xdr:sp macro="" textlink="">
        <xdr:nvSpPr>
          <xdr:cNvPr id="5" name="Rectangle 4"/>
          <xdr:cNvSpPr/>
        </xdr:nvSpPr>
        <xdr:spPr bwMode="auto">
          <a:xfrm>
            <a:off x="735439" y="5204497"/>
            <a:ext cx="372126" cy="312731"/>
          </a:xfrm>
          <a:prstGeom prst="rect">
            <a:avLst/>
          </a:prstGeom>
          <a:solidFill>
            <a:schemeClr val="accent2">
              <a:lumMod val="20000"/>
              <a:lumOff val="80000"/>
            </a:schemeClr>
          </a:solidFill>
          <a:ln w="12700">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lIns="45720" rIns="4572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defRPr/>
            </a:pPr>
            <a:r>
              <a:rPr lang="en-US" sz="900" b="1">
                <a:solidFill>
                  <a:schemeClr val="tx1"/>
                </a:solidFill>
                <a:latin typeface="Century Gothic" panose="020B0502020202020204" pitchFamily="34" charset="0"/>
              </a:rPr>
              <a:t>i</a:t>
            </a:r>
            <a:endParaRPr lang="en-US" sz="900">
              <a:solidFill>
                <a:schemeClr val="tx1"/>
              </a:solidFill>
              <a:latin typeface="Century Gothic" panose="020B0502020202020204" pitchFamily="34" charset="0"/>
            </a:endParaRPr>
          </a:p>
        </xdr:txBody>
      </xdr:sp>
      <xdr:cxnSp macro="">
        <xdr:nvCxnSpPr>
          <xdr:cNvPr id="6" name="Straight Arrow Connector 5"/>
          <xdr:cNvCxnSpPr/>
        </xdr:nvCxnSpPr>
        <xdr:spPr>
          <a:xfrm>
            <a:off x="1347888" y="4937869"/>
            <a:ext cx="400795" cy="0"/>
          </a:xfrm>
          <a:prstGeom prst="straightConnector1">
            <a:avLst/>
          </a:prstGeom>
          <a:ln w="12700">
            <a:solidFill>
              <a:schemeClr val="tx1"/>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sp macro="" textlink="">
        <xdr:nvSpPr>
          <xdr:cNvPr id="7" name="Rectangle 6"/>
          <xdr:cNvSpPr/>
        </xdr:nvSpPr>
        <xdr:spPr bwMode="auto">
          <a:xfrm>
            <a:off x="1797523" y="4784187"/>
            <a:ext cx="372126" cy="312731"/>
          </a:xfrm>
          <a:prstGeom prst="rect">
            <a:avLst/>
          </a:prstGeom>
          <a:solidFill>
            <a:schemeClr val="accent1">
              <a:lumMod val="20000"/>
              <a:lumOff val="80000"/>
            </a:schemeClr>
          </a:solidFill>
          <a:ln w="12700">
            <a:solidFill>
              <a:schemeClr val="accent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lIns="45720" rIns="4572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defRPr/>
            </a:pPr>
            <a:r>
              <a:rPr lang="en-US" sz="900" b="1">
                <a:solidFill>
                  <a:schemeClr val="tx1"/>
                </a:solidFill>
                <a:latin typeface="Century Gothic" panose="020B0502020202020204" pitchFamily="34" charset="0"/>
              </a:rPr>
              <a:t>SCR</a:t>
            </a:r>
            <a:endParaRPr lang="en-US" sz="900">
              <a:solidFill>
                <a:schemeClr val="tx1"/>
              </a:solidFill>
              <a:latin typeface="Century Gothic" panose="020B0502020202020204" pitchFamily="34" charset="0"/>
            </a:endParaRPr>
          </a:p>
        </xdr:txBody>
      </xdr:sp>
      <xdr:sp macro="" textlink="">
        <xdr:nvSpPr>
          <xdr:cNvPr id="8" name="Rectangle 7"/>
          <xdr:cNvSpPr/>
        </xdr:nvSpPr>
        <xdr:spPr bwMode="auto">
          <a:xfrm>
            <a:off x="1797523" y="5204497"/>
            <a:ext cx="372126" cy="312731"/>
          </a:xfrm>
          <a:prstGeom prst="rect">
            <a:avLst/>
          </a:prstGeom>
          <a:solidFill>
            <a:schemeClr val="accent2">
              <a:lumMod val="20000"/>
              <a:lumOff val="80000"/>
            </a:schemeClr>
          </a:solidFill>
          <a:ln w="12700">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lIns="45720" rIns="4572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defRPr/>
            </a:pPr>
            <a:r>
              <a:rPr lang="en-US" sz="900" b="1">
                <a:solidFill>
                  <a:schemeClr val="tx1"/>
                </a:solidFill>
                <a:latin typeface="Century Gothic" panose="020B0502020202020204" pitchFamily="34" charset="0"/>
              </a:rPr>
              <a:t>S</a:t>
            </a:r>
            <a:r>
              <a:rPr lang="en-US" sz="900" b="1" baseline="-25000">
                <a:solidFill>
                  <a:schemeClr val="tx1"/>
                </a:solidFill>
                <a:latin typeface="Century Gothic" panose="020B0502020202020204" pitchFamily="34" charset="0"/>
              </a:rPr>
              <a:t>x</a:t>
            </a:r>
            <a:endParaRPr lang="en-US" sz="900">
              <a:solidFill>
                <a:schemeClr val="tx1"/>
              </a:solidFill>
              <a:latin typeface="Century Gothic" panose="020B0502020202020204" pitchFamily="34" charset="0"/>
            </a:endParaRPr>
          </a:p>
        </xdr:txBody>
      </xdr:sp>
      <xdr:sp macro="" textlink="">
        <xdr:nvSpPr>
          <xdr:cNvPr id="9" name="Rectangle 8"/>
          <xdr:cNvSpPr/>
        </xdr:nvSpPr>
        <xdr:spPr bwMode="auto">
          <a:xfrm>
            <a:off x="229464" y="4599945"/>
            <a:ext cx="372126" cy="312731"/>
          </a:xfrm>
          <a:prstGeom prst="rect">
            <a:avLst/>
          </a:prstGeom>
          <a:solidFill>
            <a:srgbClr val="ECA402"/>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wrap="square" lIns="45720" rIns="4572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defRPr/>
            </a:pPr>
            <a:r>
              <a:rPr lang="en-US" sz="900" b="1">
                <a:solidFill>
                  <a:schemeClr val="tx1"/>
                </a:solidFill>
                <a:latin typeface="Century Gothic" panose="020B0502020202020204" pitchFamily="34" charset="0"/>
              </a:rPr>
              <a:t>X</a:t>
            </a:r>
            <a:endParaRPr lang="en-US" sz="900">
              <a:solidFill>
                <a:schemeClr val="tx1"/>
              </a:solidFill>
              <a:latin typeface="Century Gothic" panose="020B0502020202020204" pitchFamily="34" charset="0"/>
            </a:endParaRPr>
          </a:p>
        </xdr:txBody>
      </xdr:sp>
      <xdr:sp macro="" textlink="">
        <xdr:nvSpPr>
          <xdr:cNvPr id="10" name="Rectangle 9"/>
          <xdr:cNvSpPr/>
        </xdr:nvSpPr>
        <xdr:spPr bwMode="auto">
          <a:xfrm>
            <a:off x="229464" y="5013469"/>
            <a:ext cx="372126" cy="312731"/>
          </a:xfrm>
          <a:prstGeom prst="rect">
            <a:avLst/>
          </a:prstGeom>
          <a:solidFill>
            <a:schemeClr val="accent2">
              <a:lumMod val="20000"/>
              <a:lumOff val="80000"/>
            </a:schemeClr>
          </a:solidFill>
          <a:ln w="12700">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lIns="45720" rIns="4572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defRPr/>
            </a:pPr>
            <a:r>
              <a:rPr lang="en-US" sz="900" b="1">
                <a:solidFill>
                  <a:schemeClr val="tx1"/>
                </a:solidFill>
                <a:latin typeface="Century Gothic" panose="020B0502020202020204" pitchFamily="34" charset="0"/>
              </a:rPr>
              <a:t>NRA</a:t>
            </a:r>
            <a:endParaRPr lang="en-US" sz="900">
              <a:solidFill>
                <a:schemeClr val="tx1"/>
              </a:solidFill>
              <a:latin typeface="Century Gothic" panose="020B0502020202020204" pitchFamily="34" charset="0"/>
            </a:endParaRPr>
          </a:p>
        </xdr:txBody>
      </xdr:sp>
      <xdr:sp macro="" textlink="">
        <xdr:nvSpPr>
          <xdr:cNvPr id="11" name="Rectangle 10"/>
          <xdr:cNvSpPr/>
        </xdr:nvSpPr>
        <xdr:spPr bwMode="auto">
          <a:xfrm>
            <a:off x="1797523" y="4363877"/>
            <a:ext cx="372126" cy="312731"/>
          </a:xfrm>
          <a:prstGeom prst="rect">
            <a:avLst/>
          </a:prstGeom>
          <a:solidFill>
            <a:schemeClr val="accent2">
              <a:lumMod val="20000"/>
              <a:lumOff val="80000"/>
            </a:schemeClr>
          </a:solidFill>
          <a:ln w="12700">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lIns="45720" rIns="4572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defRPr/>
            </a:pPr>
            <a:r>
              <a:rPr lang="en-US" sz="900" b="1">
                <a:solidFill>
                  <a:schemeClr val="tx1"/>
                </a:solidFill>
                <a:latin typeface="Century Gothic" panose="020B0502020202020204" pitchFamily="34" charset="0"/>
              </a:rPr>
              <a:t>e</a:t>
            </a:r>
            <a:endParaRPr lang="en-US" sz="900">
              <a:solidFill>
                <a:schemeClr val="tx1"/>
              </a:solidFill>
              <a:latin typeface="Century Gothic" panose="020B0502020202020204" pitchFamily="34" charset="0"/>
            </a:endParaRPr>
          </a:p>
        </xdr:txBody>
      </xdr:sp>
      <xdr:cxnSp macro="">
        <xdr:nvCxnSpPr>
          <xdr:cNvPr id="12" name="Straight Arrow Connector 11"/>
          <xdr:cNvCxnSpPr/>
        </xdr:nvCxnSpPr>
        <xdr:spPr>
          <a:xfrm>
            <a:off x="2453593" y="4981827"/>
            <a:ext cx="400795" cy="0"/>
          </a:xfrm>
          <a:prstGeom prst="straightConnector1">
            <a:avLst/>
          </a:prstGeom>
          <a:ln w="12700">
            <a:solidFill>
              <a:schemeClr val="tx1"/>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sp macro="" textlink="">
        <xdr:nvSpPr>
          <xdr:cNvPr id="13" name="Right Brace 12"/>
          <xdr:cNvSpPr/>
        </xdr:nvSpPr>
        <xdr:spPr>
          <a:xfrm>
            <a:off x="2246732" y="4596179"/>
            <a:ext cx="197709" cy="771296"/>
          </a:xfrm>
          <a:prstGeom prst="rightBrace">
            <a:avLst>
              <a:gd name="adj1" fmla="val 37500"/>
              <a:gd name="adj2" fmla="val 50000"/>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endParaRPr lang="en-US"/>
          </a:p>
        </xdr:txBody>
      </xdr:sp>
      <xdr:sp macro="" textlink="">
        <xdr:nvSpPr>
          <xdr:cNvPr id="14" name="Rectangle 13"/>
          <xdr:cNvSpPr/>
        </xdr:nvSpPr>
        <xdr:spPr bwMode="auto">
          <a:xfrm>
            <a:off x="2921822" y="4771672"/>
            <a:ext cx="791983" cy="420310"/>
          </a:xfrm>
          <a:prstGeom prst="rect">
            <a:avLst/>
          </a:prstGeom>
          <a:solidFill>
            <a:schemeClr val="accent1">
              <a:lumMod val="20000"/>
              <a:lumOff val="80000"/>
            </a:schemeClr>
          </a:solidFill>
          <a:ln w="12700">
            <a:solidFill>
              <a:schemeClr val="accent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lIns="45720" rIns="4572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defRPr/>
            </a:pPr>
            <a:r>
              <a:rPr lang="en-US" sz="900" b="1">
                <a:solidFill>
                  <a:schemeClr val="tx1"/>
                </a:solidFill>
                <a:latin typeface="Century Gothic" panose="020B0502020202020204" pitchFamily="34" charset="0"/>
              </a:rPr>
              <a:t>Contribution</a:t>
            </a:r>
            <a:r>
              <a:rPr lang="en-US" sz="900">
                <a:solidFill>
                  <a:schemeClr val="tx1"/>
                </a:solidFill>
                <a:latin typeface="Century Gothic" panose="020B0502020202020204" pitchFamily="34" charset="0"/>
              </a:rPr>
              <a:t> for each member</a:t>
            </a:r>
          </a:p>
        </xdr:txBody>
      </xdr:sp>
      <xdr:sp macro="" textlink="">
        <xdr:nvSpPr>
          <xdr:cNvPr id="15" name="Right Brace 14"/>
          <xdr:cNvSpPr/>
        </xdr:nvSpPr>
        <xdr:spPr>
          <a:xfrm>
            <a:off x="1150179" y="4552221"/>
            <a:ext cx="197709" cy="771296"/>
          </a:xfrm>
          <a:prstGeom prst="rightBrace">
            <a:avLst>
              <a:gd name="adj1" fmla="val 37500"/>
              <a:gd name="adj2" fmla="val 50000"/>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endParaRPr lang="en-US"/>
          </a:p>
        </xdr:txBody>
      </xdr:sp>
      <xdr:cxnSp macro="">
        <xdr:nvCxnSpPr>
          <xdr:cNvPr id="16" name="Straight Arrow Connector 15"/>
          <xdr:cNvCxnSpPr/>
        </xdr:nvCxnSpPr>
        <xdr:spPr>
          <a:xfrm>
            <a:off x="3977010" y="5199084"/>
            <a:ext cx="400795" cy="0"/>
          </a:xfrm>
          <a:prstGeom prst="straightConnector1">
            <a:avLst/>
          </a:prstGeom>
          <a:ln w="12700">
            <a:solidFill>
              <a:schemeClr val="tx1"/>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sp macro="" textlink="">
        <xdr:nvSpPr>
          <xdr:cNvPr id="17" name="Right Brace 16"/>
          <xdr:cNvSpPr/>
        </xdr:nvSpPr>
        <xdr:spPr>
          <a:xfrm>
            <a:off x="3779301" y="4953252"/>
            <a:ext cx="197709" cy="491665"/>
          </a:xfrm>
          <a:prstGeom prst="rightBrace">
            <a:avLst>
              <a:gd name="adj1" fmla="val 37500"/>
              <a:gd name="adj2" fmla="val 50000"/>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endParaRPr lang="en-US"/>
          </a:p>
        </xdr:txBody>
      </xdr:sp>
      <xdr:sp macro="" textlink="">
        <xdr:nvSpPr>
          <xdr:cNvPr id="18" name="Rectangle 17"/>
          <xdr:cNvSpPr/>
        </xdr:nvSpPr>
        <xdr:spPr bwMode="auto">
          <a:xfrm>
            <a:off x="4454391" y="4988929"/>
            <a:ext cx="791983" cy="420310"/>
          </a:xfrm>
          <a:prstGeom prst="rect">
            <a:avLst/>
          </a:prstGeom>
          <a:solidFill>
            <a:schemeClr val="accent1">
              <a:lumMod val="20000"/>
              <a:lumOff val="80000"/>
            </a:schemeClr>
          </a:solidFill>
          <a:ln w="12700">
            <a:solidFill>
              <a:schemeClr val="accent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lIns="45720" rIns="4572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defRPr/>
            </a:pPr>
            <a:r>
              <a:rPr lang="en-US" sz="900" b="1">
                <a:solidFill>
                  <a:schemeClr val="tx1"/>
                </a:solidFill>
                <a:latin typeface="Century Gothic" panose="020B0502020202020204" pitchFamily="34" charset="0"/>
              </a:rPr>
              <a:t>Contribution</a:t>
            </a:r>
            <a:r>
              <a:rPr lang="en-US" sz="900">
                <a:solidFill>
                  <a:schemeClr val="tx1"/>
                </a:solidFill>
                <a:latin typeface="Century Gothic" panose="020B0502020202020204" pitchFamily="34" charset="0"/>
              </a:rPr>
              <a:t> for each group</a:t>
            </a:r>
          </a:p>
        </xdr:txBody>
      </xdr:sp>
      <xdr:sp macro="" textlink="">
        <xdr:nvSpPr>
          <xdr:cNvPr id="19" name="Rectangle 18"/>
          <xdr:cNvSpPr/>
        </xdr:nvSpPr>
        <xdr:spPr bwMode="auto">
          <a:xfrm>
            <a:off x="3330589" y="5803509"/>
            <a:ext cx="372126" cy="312731"/>
          </a:xfrm>
          <a:prstGeom prst="rect">
            <a:avLst/>
          </a:prstGeom>
          <a:solidFill>
            <a:schemeClr val="accent2">
              <a:lumMod val="20000"/>
              <a:lumOff val="80000"/>
            </a:schemeClr>
          </a:solidFill>
          <a:ln w="12700">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lIns="45720" rIns="4572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defRPr/>
            </a:pPr>
            <a:r>
              <a:rPr lang="en-US" sz="900" b="1">
                <a:solidFill>
                  <a:schemeClr val="tx1"/>
                </a:solidFill>
                <a:latin typeface="Century Gothic" panose="020B0502020202020204" pitchFamily="34" charset="0"/>
              </a:rPr>
              <a:t>S</a:t>
            </a:r>
            <a:r>
              <a:rPr lang="en-US" sz="900" b="1" baseline="-25000">
                <a:solidFill>
                  <a:schemeClr val="tx1"/>
                </a:solidFill>
                <a:latin typeface="Century Gothic" panose="020B0502020202020204" pitchFamily="34" charset="0"/>
              </a:rPr>
              <a:t>x</a:t>
            </a:r>
            <a:endParaRPr lang="en-US" sz="900">
              <a:solidFill>
                <a:schemeClr val="tx1"/>
              </a:solidFill>
              <a:latin typeface="Century Gothic" panose="020B0502020202020204" pitchFamily="34" charset="0"/>
            </a:endParaRPr>
          </a:p>
        </xdr:txBody>
      </xdr:sp>
      <xdr:sp macro="" textlink="">
        <xdr:nvSpPr>
          <xdr:cNvPr id="20" name="Rectangle 19"/>
          <xdr:cNvSpPr/>
        </xdr:nvSpPr>
        <xdr:spPr bwMode="auto">
          <a:xfrm>
            <a:off x="3330589" y="6255718"/>
            <a:ext cx="372126" cy="312731"/>
          </a:xfrm>
          <a:prstGeom prst="rect">
            <a:avLst/>
          </a:prstGeom>
          <a:solidFill>
            <a:schemeClr val="accent2">
              <a:lumMod val="20000"/>
              <a:lumOff val="80000"/>
            </a:schemeClr>
          </a:solidFill>
          <a:ln w="12700">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lIns="45720" rIns="4572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defRPr/>
            </a:pPr>
            <a:r>
              <a:rPr lang="en-US" sz="900" b="1">
                <a:solidFill>
                  <a:schemeClr val="tx1"/>
                </a:solidFill>
                <a:latin typeface="Century Gothic" panose="020B0502020202020204" pitchFamily="34" charset="0"/>
              </a:rPr>
              <a:t>e</a:t>
            </a:r>
            <a:endParaRPr lang="en-US" sz="900">
              <a:solidFill>
                <a:schemeClr val="tx1"/>
              </a:solidFill>
              <a:latin typeface="Century Gothic" panose="020B0502020202020204" pitchFamily="34" charset="0"/>
            </a:endParaRPr>
          </a:p>
        </xdr:txBody>
      </xdr:sp>
      <xdr:cxnSp macro="">
        <xdr:nvCxnSpPr>
          <xdr:cNvPr id="21" name="Straight Arrow Connector 20"/>
          <xdr:cNvCxnSpPr/>
        </xdr:nvCxnSpPr>
        <xdr:spPr>
          <a:xfrm>
            <a:off x="7875586" y="5571209"/>
            <a:ext cx="400795" cy="0"/>
          </a:xfrm>
          <a:prstGeom prst="straightConnector1">
            <a:avLst/>
          </a:prstGeom>
          <a:ln w="12700">
            <a:solidFill>
              <a:schemeClr val="tx1"/>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sp macro="" textlink="">
        <xdr:nvSpPr>
          <xdr:cNvPr id="22" name="Right Brace 21"/>
          <xdr:cNvSpPr/>
        </xdr:nvSpPr>
        <xdr:spPr>
          <a:xfrm>
            <a:off x="7677877" y="5185676"/>
            <a:ext cx="197709" cy="771066"/>
          </a:xfrm>
          <a:prstGeom prst="rightBrace">
            <a:avLst>
              <a:gd name="adj1" fmla="val 37500"/>
              <a:gd name="adj2" fmla="val 50000"/>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endParaRPr lang="en-US"/>
          </a:p>
        </xdr:txBody>
      </xdr:sp>
      <xdr:sp macro="" textlink="">
        <xdr:nvSpPr>
          <xdr:cNvPr id="23" name="Rectangle 22"/>
          <xdr:cNvSpPr/>
        </xdr:nvSpPr>
        <xdr:spPr bwMode="auto">
          <a:xfrm>
            <a:off x="4454391" y="5749719"/>
            <a:ext cx="791983" cy="420310"/>
          </a:xfrm>
          <a:prstGeom prst="rect">
            <a:avLst/>
          </a:prstGeom>
          <a:solidFill>
            <a:schemeClr val="accent1">
              <a:lumMod val="20000"/>
              <a:lumOff val="80000"/>
            </a:schemeClr>
          </a:solidFill>
          <a:ln w="12700">
            <a:solidFill>
              <a:schemeClr val="accent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lIns="45720" rIns="4572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defRPr/>
            </a:pPr>
            <a:r>
              <a:rPr lang="en-US" sz="900" b="1">
                <a:solidFill>
                  <a:schemeClr val="tx1"/>
                </a:solidFill>
                <a:latin typeface="Century Gothic" panose="020B0502020202020204" pitchFamily="34" charset="0"/>
              </a:rPr>
              <a:t>Total Salary </a:t>
            </a:r>
            <a:r>
              <a:rPr lang="en-US" sz="900">
                <a:solidFill>
                  <a:schemeClr val="tx1"/>
                </a:solidFill>
                <a:latin typeface="Century Gothic" panose="020B0502020202020204" pitchFamily="34" charset="0"/>
              </a:rPr>
              <a:t>for each group</a:t>
            </a:r>
          </a:p>
        </xdr:txBody>
      </xdr:sp>
      <xdr:sp macro="" textlink="">
        <xdr:nvSpPr>
          <xdr:cNvPr id="24" name="Rectangle 23"/>
          <xdr:cNvSpPr/>
        </xdr:nvSpPr>
        <xdr:spPr bwMode="auto">
          <a:xfrm>
            <a:off x="3330589" y="5351300"/>
            <a:ext cx="372126" cy="312731"/>
          </a:xfrm>
          <a:prstGeom prst="rect">
            <a:avLst/>
          </a:prstGeom>
          <a:solidFill>
            <a:schemeClr val="accent2">
              <a:lumMod val="20000"/>
              <a:lumOff val="80000"/>
            </a:schemeClr>
          </a:solidFill>
          <a:ln w="12700">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lIns="45720" rIns="4572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defRPr/>
            </a:pPr>
            <a:r>
              <a:rPr lang="en-US" sz="900" b="1">
                <a:solidFill>
                  <a:schemeClr val="tx1"/>
                </a:solidFill>
                <a:latin typeface="Century Gothic" panose="020B0502020202020204" pitchFamily="34" charset="0"/>
              </a:rPr>
              <a:t>N</a:t>
            </a:r>
            <a:r>
              <a:rPr lang="en-US" sz="900" b="1" baseline="-25000">
                <a:solidFill>
                  <a:schemeClr val="tx1"/>
                </a:solidFill>
                <a:latin typeface="Century Gothic" panose="020B0502020202020204" pitchFamily="34" charset="0"/>
              </a:rPr>
              <a:t>x</a:t>
            </a:r>
            <a:endParaRPr lang="en-US" sz="900">
              <a:solidFill>
                <a:schemeClr val="tx1"/>
              </a:solidFill>
              <a:latin typeface="Century Gothic" panose="020B0502020202020204" pitchFamily="34" charset="0"/>
            </a:endParaRPr>
          </a:p>
        </xdr:txBody>
      </xdr:sp>
      <xdr:cxnSp macro="">
        <xdr:nvCxnSpPr>
          <xdr:cNvPr id="25" name="Straight Arrow Connector 24"/>
          <xdr:cNvCxnSpPr/>
        </xdr:nvCxnSpPr>
        <xdr:spPr>
          <a:xfrm>
            <a:off x="5442500" y="5191982"/>
            <a:ext cx="1266772" cy="0"/>
          </a:xfrm>
          <a:prstGeom prst="straightConnector1">
            <a:avLst/>
          </a:prstGeom>
          <a:ln w="12700">
            <a:solidFill>
              <a:schemeClr val="tx1"/>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sp macro="" textlink="">
        <xdr:nvSpPr>
          <xdr:cNvPr id="26" name="TextBox 11"/>
          <xdr:cNvSpPr txBox="1"/>
        </xdr:nvSpPr>
        <xdr:spPr>
          <a:xfrm>
            <a:off x="5377185" y="4937380"/>
            <a:ext cx="1400667" cy="187640"/>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900" b="1" i="1">
                <a:latin typeface="Century Gothic" panose="020B0502020202020204" pitchFamily="34" charset="0"/>
              </a:rPr>
              <a:t>Sum across all groups</a:t>
            </a:r>
          </a:p>
        </xdr:txBody>
      </xdr:sp>
      <xdr:cxnSp macro="">
        <xdr:nvCxnSpPr>
          <xdr:cNvPr id="27" name="Straight Arrow Connector 26"/>
          <xdr:cNvCxnSpPr/>
        </xdr:nvCxnSpPr>
        <xdr:spPr>
          <a:xfrm>
            <a:off x="5442500" y="5959874"/>
            <a:ext cx="1266772" cy="0"/>
          </a:xfrm>
          <a:prstGeom prst="straightConnector1">
            <a:avLst/>
          </a:prstGeom>
          <a:ln w="12700">
            <a:solidFill>
              <a:schemeClr val="tx1"/>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sp macro="" textlink="">
        <xdr:nvSpPr>
          <xdr:cNvPr id="28" name="TextBox 88"/>
          <xdr:cNvSpPr txBox="1"/>
        </xdr:nvSpPr>
        <xdr:spPr>
          <a:xfrm>
            <a:off x="5377185" y="5705272"/>
            <a:ext cx="1400667" cy="187640"/>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900" b="1" i="1">
                <a:latin typeface="Century Gothic" panose="020B0502020202020204" pitchFamily="34" charset="0"/>
              </a:rPr>
              <a:t>Sum across all groups</a:t>
            </a:r>
          </a:p>
        </xdr:txBody>
      </xdr:sp>
      <xdr:sp macro="" textlink="">
        <xdr:nvSpPr>
          <xdr:cNvPr id="29" name="Rectangle 28"/>
          <xdr:cNvSpPr/>
        </xdr:nvSpPr>
        <xdr:spPr bwMode="auto">
          <a:xfrm>
            <a:off x="6812088" y="4889856"/>
            <a:ext cx="791983" cy="604252"/>
          </a:xfrm>
          <a:prstGeom prst="rect">
            <a:avLst/>
          </a:prstGeom>
          <a:solidFill>
            <a:schemeClr val="accent1">
              <a:lumMod val="20000"/>
              <a:lumOff val="80000"/>
            </a:schemeClr>
          </a:solidFill>
          <a:ln>
            <a:solidFill>
              <a:schemeClr val="accent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lIns="45720" rIns="4572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defRPr/>
            </a:pPr>
            <a:r>
              <a:rPr lang="en-US" sz="900" b="1">
                <a:solidFill>
                  <a:schemeClr val="tx1"/>
                </a:solidFill>
                <a:latin typeface="Century Gothic" panose="020B0502020202020204" pitchFamily="34" charset="0"/>
              </a:rPr>
              <a:t>Total Contribution</a:t>
            </a:r>
            <a:r>
              <a:rPr lang="en-US" sz="900">
                <a:solidFill>
                  <a:schemeClr val="tx1"/>
                </a:solidFill>
                <a:latin typeface="Century Gothic" panose="020B0502020202020204" pitchFamily="34" charset="0"/>
              </a:rPr>
              <a:t> for all members</a:t>
            </a:r>
          </a:p>
        </xdr:txBody>
      </xdr:sp>
      <xdr:sp macro="" textlink="">
        <xdr:nvSpPr>
          <xdr:cNvPr id="30" name="Rectangle 29"/>
          <xdr:cNvSpPr/>
        </xdr:nvSpPr>
        <xdr:spPr bwMode="auto">
          <a:xfrm>
            <a:off x="6812088" y="5649826"/>
            <a:ext cx="791983" cy="605892"/>
          </a:xfrm>
          <a:prstGeom prst="rect">
            <a:avLst/>
          </a:prstGeom>
          <a:solidFill>
            <a:schemeClr val="accent1">
              <a:lumMod val="20000"/>
              <a:lumOff val="80000"/>
            </a:schemeClr>
          </a:solidFill>
          <a:ln>
            <a:solidFill>
              <a:schemeClr val="accent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lIns="45720" rIns="4572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defRPr/>
            </a:pPr>
            <a:r>
              <a:rPr lang="en-US" sz="900" b="1">
                <a:solidFill>
                  <a:schemeClr val="tx1"/>
                </a:solidFill>
                <a:latin typeface="Century Gothic" panose="020B0502020202020204" pitchFamily="34" charset="0"/>
              </a:rPr>
              <a:t>Total Salary </a:t>
            </a:r>
            <a:r>
              <a:rPr lang="en-US" sz="900">
                <a:solidFill>
                  <a:schemeClr val="tx1"/>
                </a:solidFill>
                <a:latin typeface="Century Gothic" panose="020B0502020202020204" pitchFamily="34" charset="0"/>
              </a:rPr>
              <a:t>for all members</a:t>
            </a:r>
          </a:p>
        </xdr:txBody>
      </xdr:sp>
      <xdr:sp macro="" textlink="">
        <xdr:nvSpPr>
          <xdr:cNvPr id="31" name="Rectangle 30"/>
          <xdr:cNvSpPr/>
        </xdr:nvSpPr>
        <xdr:spPr bwMode="auto">
          <a:xfrm>
            <a:off x="8377143" y="5268263"/>
            <a:ext cx="791983" cy="605892"/>
          </a:xfrm>
          <a:prstGeom prst="rect">
            <a:avLst/>
          </a:prstGeom>
          <a:solidFill>
            <a:schemeClr val="accent3">
              <a:lumMod val="20000"/>
              <a:lumOff val="80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lIns="45720" rIns="4572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defRPr/>
            </a:pPr>
            <a:r>
              <a:rPr lang="en-US" sz="900" b="1">
                <a:solidFill>
                  <a:schemeClr val="tx1"/>
                </a:solidFill>
                <a:latin typeface="Century Gothic" panose="020B0502020202020204" pitchFamily="34" charset="0"/>
              </a:rPr>
              <a:t>Initial Contribution Rate</a:t>
            </a:r>
            <a:endParaRPr lang="en-US" sz="900">
              <a:solidFill>
                <a:schemeClr val="tx1"/>
              </a:solidFill>
              <a:latin typeface="Century Gothic" panose="020B0502020202020204" pitchFamily="34" charset="0"/>
            </a:endParaRPr>
          </a:p>
        </xdr:txBody>
      </xdr:sp>
      <xdr:cxnSp macro="">
        <xdr:nvCxnSpPr>
          <xdr:cNvPr id="32" name="Straight Arrow Connector 31"/>
          <xdr:cNvCxnSpPr/>
        </xdr:nvCxnSpPr>
        <xdr:spPr>
          <a:xfrm>
            <a:off x="3993506" y="5956742"/>
            <a:ext cx="400795" cy="0"/>
          </a:xfrm>
          <a:prstGeom prst="straightConnector1">
            <a:avLst/>
          </a:prstGeom>
          <a:ln w="12700">
            <a:solidFill>
              <a:schemeClr val="tx1"/>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sp macro="" textlink="">
        <xdr:nvSpPr>
          <xdr:cNvPr id="33" name="Right Brace 32"/>
          <xdr:cNvSpPr/>
        </xdr:nvSpPr>
        <xdr:spPr>
          <a:xfrm>
            <a:off x="3795797" y="5571209"/>
            <a:ext cx="197709" cy="771066"/>
          </a:xfrm>
          <a:prstGeom prst="rightBrace">
            <a:avLst>
              <a:gd name="adj1" fmla="val 37500"/>
              <a:gd name="adj2" fmla="val 50000"/>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endParaRPr lang="en-US"/>
          </a:p>
        </xdr:txBody>
      </xdr:sp>
      <xdr:sp macro="" textlink="">
        <xdr:nvSpPr>
          <xdr:cNvPr id="34" name="Rectangle 33"/>
          <xdr:cNvSpPr/>
        </xdr:nvSpPr>
        <xdr:spPr bwMode="auto">
          <a:xfrm>
            <a:off x="145431" y="4262159"/>
            <a:ext cx="5231754" cy="2484782"/>
          </a:xfrm>
          <a:prstGeom prst="rect">
            <a:avLst/>
          </a:prstGeom>
          <a:noFill/>
          <a:ln w="19050">
            <a:solidFill>
              <a:schemeClr val="tx1"/>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wrap="square" lIns="45720" rIns="4572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defRPr/>
            </a:pPr>
            <a:endParaRPr lang="en-US" sz="900">
              <a:solidFill>
                <a:schemeClr val="tx1"/>
              </a:solidFill>
              <a:latin typeface="Century Gothic" panose="020B0502020202020204" pitchFamily="34" charset="0"/>
            </a:endParaRPr>
          </a:p>
        </xdr:txBody>
      </xdr:sp>
      <xdr:sp macro="" textlink="">
        <xdr:nvSpPr>
          <xdr:cNvPr id="35" name="Rectangle 34"/>
          <xdr:cNvSpPr/>
        </xdr:nvSpPr>
        <xdr:spPr>
          <a:xfrm>
            <a:off x="141698" y="3857922"/>
            <a:ext cx="5235487" cy="349353"/>
          </a:xfrm>
          <a:prstGeom prst="rect">
            <a:avLst/>
          </a:prstGeom>
          <a:solidFill>
            <a:srgbClr val="ECA402"/>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100" b="1" i="1">
                <a:latin typeface="Century Gothic" panose="020B0502020202020204" pitchFamily="34" charset="0"/>
              </a:rPr>
              <a:t>Run the calculation for each group X</a:t>
            </a:r>
          </a:p>
        </xdr:txBody>
      </xdr:sp>
    </xdr:grpSp>
    <xdr:clientData/>
  </xdr:twoCellAnchor>
  <xdr:twoCellAnchor>
    <xdr:from>
      <xdr:col>1</xdr:col>
      <xdr:colOff>19050</xdr:colOff>
      <xdr:row>3</xdr:row>
      <xdr:rowOff>85725</xdr:rowOff>
    </xdr:from>
    <xdr:to>
      <xdr:col>16</xdr:col>
      <xdr:colOff>470675</xdr:colOff>
      <xdr:row>9</xdr:row>
      <xdr:rowOff>87920</xdr:rowOff>
    </xdr:to>
    <xdr:grpSp>
      <xdr:nvGrpSpPr>
        <xdr:cNvPr id="36" name="Group 35"/>
        <xdr:cNvGrpSpPr/>
      </xdr:nvGrpSpPr>
      <xdr:grpSpPr>
        <a:xfrm>
          <a:off x="180975" y="561975"/>
          <a:ext cx="9595625" cy="1049945"/>
          <a:chOff x="141698" y="147342"/>
          <a:chExt cx="9595625" cy="1126145"/>
        </a:xfrm>
      </xdr:grpSpPr>
      <xdr:sp macro="" textlink="">
        <xdr:nvSpPr>
          <xdr:cNvPr id="37" name="Rectangle 36"/>
          <xdr:cNvSpPr/>
        </xdr:nvSpPr>
        <xdr:spPr bwMode="auto">
          <a:xfrm>
            <a:off x="141698" y="147342"/>
            <a:ext cx="981193" cy="426872"/>
          </a:xfrm>
          <a:prstGeom prst="rect">
            <a:avLst/>
          </a:prstGeom>
          <a:solidFill>
            <a:schemeClr val="accent2">
              <a:lumMod val="20000"/>
              <a:lumOff val="80000"/>
            </a:schemeClr>
          </a:solidFill>
          <a:ln w="12700">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lIns="45720" rIns="4572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defRPr/>
            </a:pPr>
            <a:r>
              <a:rPr lang="en-US" sz="900" b="1">
                <a:solidFill>
                  <a:schemeClr val="tx1"/>
                </a:solidFill>
                <a:latin typeface="Century Gothic" panose="020B0502020202020204" pitchFamily="34" charset="0"/>
              </a:rPr>
              <a:t>Financial Assumptions</a:t>
            </a:r>
          </a:p>
        </xdr:txBody>
      </xdr:sp>
      <xdr:sp macro="" textlink="">
        <xdr:nvSpPr>
          <xdr:cNvPr id="38" name="Rectangle 37"/>
          <xdr:cNvSpPr/>
        </xdr:nvSpPr>
        <xdr:spPr bwMode="auto">
          <a:xfrm>
            <a:off x="1310099" y="218903"/>
            <a:ext cx="981193" cy="426872"/>
          </a:xfrm>
          <a:prstGeom prst="rect">
            <a:avLst/>
          </a:prstGeom>
          <a:solidFill>
            <a:schemeClr val="accent2">
              <a:lumMod val="20000"/>
              <a:lumOff val="80000"/>
            </a:schemeClr>
          </a:solidFill>
          <a:ln w="12700">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lIns="45720" rIns="4572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defRPr/>
            </a:pPr>
            <a:r>
              <a:rPr lang="en-US" sz="900" b="1">
                <a:solidFill>
                  <a:schemeClr val="tx1"/>
                </a:solidFill>
                <a:latin typeface="Century Gothic" panose="020B0502020202020204" pitchFamily="34" charset="0"/>
              </a:rPr>
              <a:t>e</a:t>
            </a:r>
            <a:r>
              <a:rPr lang="en-US" sz="900">
                <a:solidFill>
                  <a:schemeClr val="tx1"/>
                </a:solidFill>
                <a:latin typeface="Century Gothic" panose="020B0502020202020204" pitchFamily="34" charset="0"/>
              </a:rPr>
              <a:t>: Salary inflation</a:t>
            </a:r>
          </a:p>
        </xdr:txBody>
      </xdr:sp>
      <xdr:sp macro="" textlink="">
        <xdr:nvSpPr>
          <xdr:cNvPr id="39" name="Rectangle 38"/>
          <xdr:cNvSpPr/>
        </xdr:nvSpPr>
        <xdr:spPr bwMode="auto">
          <a:xfrm>
            <a:off x="1310098" y="714920"/>
            <a:ext cx="981193" cy="426872"/>
          </a:xfrm>
          <a:prstGeom prst="rect">
            <a:avLst/>
          </a:prstGeom>
          <a:solidFill>
            <a:schemeClr val="accent2">
              <a:lumMod val="20000"/>
              <a:lumOff val="80000"/>
            </a:schemeClr>
          </a:solidFill>
          <a:ln w="12700">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defRPr/>
            </a:pPr>
            <a:r>
              <a:rPr lang="en-US" sz="900" b="1">
                <a:solidFill>
                  <a:schemeClr val="tx1"/>
                </a:solidFill>
                <a:latin typeface="Century Gothic" panose="020B0502020202020204" pitchFamily="34" charset="0"/>
              </a:rPr>
              <a:t>i</a:t>
            </a:r>
            <a:r>
              <a:rPr lang="en-US" sz="900">
                <a:solidFill>
                  <a:schemeClr val="tx1"/>
                </a:solidFill>
                <a:latin typeface="Century Gothic" panose="020B0502020202020204" pitchFamily="34" charset="0"/>
              </a:rPr>
              <a:t>: Investment rate</a:t>
            </a:r>
          </a:p>
        </xdr:txBody>
      </xdr:sp>
      <xdr:sp macro="" textlink="">
        <xdr:nvSpPr>
          <xdr:cNvPr id="40" name="Rectangle 39"/>
          <xdr:cNvSpPr/>
        </xdr:nvSpPr>
        <xdr:spPr bwMode="auto">
          <a:xfrm>
            <a:off x="2797711" y="156353"/>
            <a:ext cx="981193" cy="426872"/>
          </a:xfrm>
          <a:prstGeom prst="rect">
            <a:avLst/>
          </a:prstGeom>
          <a:solidFill>
            <a:schemeClr val="accent2">
              <a:lumMod val="20000"/>
              <a:lumOff val="80000"/>
            </a:schemeClr>
          </a:solidFill>
          <a:ln w="12700">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lIns="45720" rIns="4572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defRPr/>
            </a:pPr>
            <a:r>
              <a:rPr lang="en-US" sz="900" b="1">
                <a:solidFill>
                  <a:schemeClr val="tx1"/>
                </a:solidFill>
                <a:latin typeface="Century Gothic" panose="020B0502020202020204" pitchFamily="34" charset="0"/>
              </a:rPr>
              <a:t>Demographic Assumptions</a:t>
            </a:r>
          </a:p>
        </xdr:txBody>
      </xdr:sp>
      <xdr:sp macro="" textlink="">
        <xdr:nvSpPr>
          <xdr:cNvPr id="41" name="Rectangle 40"/>
          <xdr:cNvSpPr/>
        </xdr:nvSpPr>
        <xdr:spPr bwMode="auto">
          <a:xfrm>
            <a:off x="5014392" y="241103"/>
            <a:ext cx="981193" cy="426872"/>
          </a:xfrm>
          <a:prstGeom prst="rect">
            <a:avLst/>
          </a:prstGeom>
          <a:solidFill>
            <a:schemeClr val="accent2">
              <a:lumMod val="20000"/>
              <a:lumOff val="80000"/>
            </a:schemeClr>
          </a:solidFill>
          <a:ln w="12700">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lIns="45720" rIns="4572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defRPr/>
            </a:pPr>
            <a:r>
              <a:rPr lang="en-US" sz="900" b="1">
                <a:solidFill>
                  <a:schemeClr val="tx1"/>
                </a:solidFill>
                <a:latin typeface="Century Gothic" panose="020B0502020202020204" pitchFamily="34" charset="0"/>
              </a:rPr>
              <a:t>S</a:t>
            </a:r>
            <a:r>
              <a:rPr lang="en-US" sz="900" b="1" baseline="-25000">
                <a:solidFill>
                  <a:schemeClr val="tx1"/>
                </a:solidFill>
                <a:latin typeface="Century Gothic" panose="020B0502020202020204" pitchFamily="34" charset="0"/>
              </a:rPr>
              <a:t>x</a:t>
            </a:r>
            <a:r>
              <a:rPr lang="en-US" sz="900">
                <a:solidFill>
                  <a:schemeClr val="tx1"/>
                </a:solidFill>
                <a:latin typeface="Century Gothic" panose="020B0502020202020204" pitchFamily="34" charset="0"/>
              </a:rPr>
              <a:t>: Pensionable salary</a:t>
            </a:r>
          </a:p>
        </xdr:txBody>
      </xdr:sp>
      <xdr:sp macro="" textlink="">
        <xdr:nvSpPr>
          <xdr:cNvPr id="42" name="Rectangle 41"/>
          <xdr:cNvSpPr/>
        </xdr:nvSpPr>
        <xdr:spPr bwMode="auto">
          <a:xfrm>
            <a:off x="3941241" y="241103"/>
            <a:ext cx="981193" cy="426872"/>
          </a:xfrm>
          <a:prstGeom prst="rect">
            <a:avLst/>
          </a:prstGeom>
          <a:solidFill>
            <a:schemeClr val="accent2">
              <a:lumMod val="20000"/>
              <a:lumOff val="80000"/>
            </a:schemeClr>
          </a:solidFill>
          <a:ln w="12700">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lIns="45720" rIns="4572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defRPr/>
            </a:pPr>
            <a:r>
              <a:rPr lang="en-US" sz="900" b="1">
                <a:solidFill>
                  <a:schemeClr val="tx1"/>
                </a:solidFill>
                <a:latin typeface="Century Gothic" panose="020B0502020202020204" pitchFamily="34" charset="0"/>
              </a:rPr>
              <a:t>X</a:t>
            </a:r>
            <a:r>
              <a:rPr lang="en-US" sz="900">
                <a:solidFill>
                  <a:schemeClr val="tx1"/>
                </a:solidFill>
                <a:latin typeface="Century Gothic" panose="020B0502020202020204" pitchFamily="34" charset="0"/>
              </a:rPr>
              <a:t>: Current age</a:t>
            </a:r>
          </a:p>
        </xdr:txBody>
      </xdr:sp>
      <xdr:sp macro="" textlink="">
        <xdr:nvSpPr>
          <xdr:cNvPr id="43" name="Rectangle 42"/>
          <xdr:cNvSpPr/>
        </xdr:nvSpPr>
        <xdr:spPr bwMode="auto">
          <a:xfrm>
            <a:off x="7599899" y="225108"/>
            <a:ext cx="981193" cy="426872"/>
          </a:xfrm>
          <a:prstGeom prst="rect">
            <a:avLst/>
          </a:prstGeom>
          <a:solidFill>
            <a:schemeClr val="accent2">
              <a:lumMod val="20000"/>
              <a:lumOff val="80000"/>
            </a:schemeClr>
          </a:solidFill>
          <a:ln w="12700">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defRPr/>
            </a:pPr>
            <a:r>
              <a:rPr lang="en-US" sz="900" b="1">
                <a:solidFill>
                  <a:schemeClr val="tx1"/>
                </a:solidFill>
                <a:latin typeface="Century Gothic" panose="020B0502020202020204" pitchFamily="34" charset="0"/>
              </a:rPr>
              <a:t>k</a:t>
            </a:r>
            <a:r>
              <a:rPr lang="en-US" sz="900">
                <a:solidFill>
                  <a:schemeClr val="tx1"/>
                </a:solidFill>
                <a:latin typeface="Century Gothic" panose="020B0502020202020204" pitchFamily="34" charset="0"/>
              </a:rPr>
              <a:t>: Accrual rate</a:t>
            </a:r>
          </a:p>
        </xdr:txBody>
      </xdr:sp>
      <xdr:sp macro="" textlink="">
        <xdr:nvSpPr>
          <xdr:cNvPr id="44" name="Rectangle 43"/>
          <xdr:cNvSpPr/>
        </xdr:nvSpPr>
        <xdr:spPr bwMode="auto">
          <a:xfrm>
            <a:off x="3941240" y="752105"/>
            <a:ext cx="981193" cy="426872"/>
          </a:xfrm>
          <a:prstGeom prst="rect">
            <a:avLst/>
          </a:prstGeom>
          <a:solidFill>
            <a:schemeClr val="accent2">
              <a:lumMod val="20000"/>
              <a:lumOff val="80000"/>
            </a:schemeClr>
          </a:solidFill>
          <a:ln w="12700">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defRPr/>
            </a:pPr>
            <a:r>
              <a:rPr lang="en-US" sz="900" b="1">
                <a:solidFill>
                  <a:schemeClr val="tx1"/>
                </a:solidFill>
                <a:latin typeface="Century Gothic" panose="020B0502020202020204" pitchFamily="34" charset="0"/>
              </a:rPr>
              <a:t>NRA</a:t>
            </a:r>
            <a:r>
              <a:rPr lang="en-US" sz="900">
                <a:solidFill>
                  <a:schemeClr val="tx1"/>
                </a:solidFill>
                <a:latin typeface="Century Gothic" panose="020B0502020202020204" pitchFamily="34" charset="0"/>
              </a:rPr>
              <a:t>: Normal retirement age</a:t>
            </a:r>
          </a:p>
        </xdr:txBody>
      </xdr:sp>
      <xdr:sp macro="" textlink="">
        <xdr:nvSpPr>
          <xdr:cNvPr id="45" name="Rectangle 44"/>
          <xdr:cNvSpPr/>
        </xdr:nvSpPr>
        <xdr:spPr bwMode="auto">
          <a:xfrm>
            <a:off x="1214850" y="147342"/>
            <a:ext cx="1184274" cy="1117134"/>
          </a:xfrm>
          <a:prstGeom prst="rect">
            <a:avLst/>
          </a:prstGeom>
          <a:noFill/>
          <a:ln w="12700">
            <a:solidFill>
              <a:schemeClr val="accent2">
                <a:lumMod val="75000"/>
              </a:schemeClr>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wrap="square" lIns="45720" rIns="4572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defRPr/>
            </a:pPr>
            <a:endParaRPr lang="en-US" sz="900">
              <a:solidFill>
                <a:schemeClr val="tx1"/>
              </a:solidFill>
              <a:latin typeface="Century Gothic" panose="020B0502020202020204" pitchFamily="34" charset="0"/>
            </a:endParaRPr>
          </a:p>
        </xdr:txBody>
      </xdr:sp>
      <xdr:sp macro="" textlink="">
        <xdr:nvSpPr>
          <xdr:cNvPr id="46" name="Rectangle 45"/>
          <xdr:cNvSpPr/>
        </xdr:nvSpPr>
        <xdr:spPr bwMode="auto">
          <a:xfrm>
            <a:off x="3870862" y="156353"/>
            <a:ext cx="2207801" cy="1117134"/>
          </a:xfrm>
          <a:prstGeom prst="rect">
            <a:avLst/>
          </a:prstGeom>
          <a:noFill/>
          <a:ln w="12700">
            <a:solidFill>
              <a:schemeClr val="accent2">
                <a:lumMod val="75000"/>
              </a:schemeClr>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wrap="square" lIns="45720" rIns="4572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defRPr/>
            </a:pPr>
            <a:endParaRPr lang="en-US" sz="900">
              <a:solidFill>
                <a:schemeClr val="tx1"/>
              </a:solidFill>
              <a:latin typeface="Century Gothic" panose="020B0502020202020204" pitchFamily="34" charset="0"/>
            </a:endParaRPr>
          </a:p>
        </xdr:txBody>
      </xdr:sp>
      <xdr:sp macro="" textlink="">
        <xdr:nvSpPr>
          <xdr:cNvPr id="47" name="Rectangle 46"/>
          <xdr:cNvSpPr/>
        </xdr:nvSpPr>
        <xdr:spPr bwMode="auto">
          <a:xfrm>
            <a:off x="7529522" y="147342"/>
            <a:ext cx="2207801" cy="1117134"/>
          </a:xfrm>
          <a:prstGeom prst="rect">
            <a:avLst/>
          </a:prstGeom>
          <a:noFill/>
          <a:ln w="12700">
            <a:solidFill>
              <a:schemeClr val="accent2">
                <a:lumMod val="75000"/>
              </a:schemeClr>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wrap="square" lIns="45720" rIns="4572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defRPr/>
            </a:pPr>
            <a:endParaRPr lang="en-US" sz="900">
              <a:solidFill>
                <a:schemeClr val="tx1"/>
              </a:solidFill>
              <a:latin typeface="Century Gothic" panose="020B0502020202020204" pitchFamily="34" charset="0"/>
            </a:endParaRPr>
          </a:p>
        </xdr:txBody>
      </xdr:sp>
      <xdr:sp macro="" textlink="">
        <xdr:nvSpPr>
          <xdr:cNvPr id="48" name="Rectangle 47"/>
          <xdr:cNvSpPr/>
        </xdr:nvSpPr>
        <xdr:spPr bwMode="auto">
          <a:xfrm>
            <a:off x="6456371" y="147342"/>
            <a:ext cx="981193" cy="426872"/>
          </a:xfrm>
          <a:prstGeom prst="rect">
            <a:avLst/>
          </a:prstGeom>
          <a:solidFill>
            <a:schemeClr val="accent2">
              <a:lumMod val="20000"/>
              <a:lumOff val="80000"/>
            </a:schemeClr>
          </a:solidFill>
          <a:ln w="12700">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lIns="45720" rIns="4572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defRPr/>
            </a:pPr>
            <a:r>
              <a:rPr lang="en-US" sz="900" b="1">
                <a:solidFill>
                  <a:schemeClr val="tx1"/>
                </a:solidFill>
                <a:latin typeface="Century Gothic" panose="020B0502020202020204" pitchFamily="34" charset="0"/>
              </a:rPr>
              <a:t>Other Inputs</a:t>
            </a:r>
          </a:p>
        </xdr:txBody>
      </xdr:sp>
      <xdr:sp macro="" textlink="">
        <xdr:nvSpPr>
          <xdr:cNvPr id="49" name="Rectangle 48"/>
          <xdr:cNvSpPr/>
        </xdr:nvSpPr>
        <xdr:spPr bwMode="auto">
          <a:xfrm>
            <a:off x="7599899" y="744792"/>
            <a:ext cx="2054346" cy="426872"/>
          </a:xfrm>
          <a:prstGeom prst="rect">
            <a:avLst/>
          </a:prstGeom>
          <a:solidFill>
            <a:schemeClr val="accent2">
              <a:lumMod val="20000"/>
              <a:lumOff val="80000"/>
            </a:schemeClr>
          </a:solidFill>
          <a:ln w="12700">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defRPr/>
            </a:pPr>
            <a:r>
              <a:rPr lang="en-US" sz="900" b="1">
                <a:solidFill>
                  <a:schemeClr val="tx1"/>
                </a:solidFill>
                <a:latin typeface="Century Gothic" panose="020B0502020202020204" pitchFamily="34" charset="0"/>
              </a:rPr>
              <a:t>N</a:t>
            </a:r>
            <a:r>
              <a:rPr lang="en-US" sz="900" b="1" baseline="-25000">
                <a:solidFill>
                  <a:schemeClr val="tx1"/>
                </a:solidFill>
                <a:latin typeface="Century Gothic" panose="020B0502020202020204" pitchFamily="34" charset="0"/>
              </a:rPr>
              <a:t>x</a:t>
            </a:r>
            <a:r>
              <a:rPr lang="en-US" sz="900">
                <a:solidFill>
                  <a:schemeClr val="tx1"/>
                </a:solidFill>
                <a:latin typeface="Century Gothic" panose="020B0502020202020204" pitchFamily="34" charset="0"/>
              </a:rPr>
              <a:t>: Number of employees for each group</a:t>
            </a:r>
          </a:p>
        </xdr:txBody>
      </xdr:sp>
      <xdr:sp macro="" textlink="">
        <xdr:nvSpPr>
          <xdr:cNvPr id="50" name="Rectangle 49"/>
          <xdr:cNvSpPr/>
        </xdr:nvSpPr>
        <xdr:spPr bwMode="auto">
          <a:xfrm>
            <a:off x="8673052" y="225108"/>
            <a:ext cx="981193" cy="426872"/>
          </a:xfrm>
          <a:prstGeom prst="rect">
            <a:avLst/>
          </a:prstGeom>
          <a:solidFill>
            <a:schemeClr val="accent2">
              <a:lumMod val="20000"/>
              <a:lumOff val="80000"/>
            </a:schemeClr>
          </a:solidFill>
          <a:ln w="12700">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defRPr/>
            </a:pPr>
            <a:r>
              <a:rPr lang="en-US" sz="900" b="1">
                <a:solidFill>
                  <a:schemeClr val="tx1"/>
                </a:solidFill>
                <a:latin typeface="Century Gothic" panose="020B0502020202020204" pitchFamily="34" charset="0"/>
              </a:rPr>
              <a:t>Group: </a:t>
            </a:r>
            <a:r>
              <a:rPr lang="en-US" sz="900">
                <a:solidFill>
                  <a:schemeClr val="tx1"/>
                </a:solidFill>
                <a:latin typeface="Century Gothic" panose="020B0502020202020204" pitchFamily="34" charset="0"/>
              </a:rPr>
              <a:t>30, 40, 45, 50, 55</a:t>
            </a:r>
          </a:p>
        </xdr:txBody>
      </xdr:sp>
    </xdr:grp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15"/>
  <sheetViews>
    <sheetView showGridLines="0" workbookViewId="0"/>
  </sheetViews>
  <sheetFormatPr defaultRowHeight="15" x14ac:dyDescent="0.25"/>
  <sheetData>
    <row r="1" spans="1:2" x14ac:dyDescent="0.25">
      <c r="A1" s="13"/>
      <c r="B1" s="13"/>
    </row>
    <row r="2" spans="1:2" x14ac:dyDescent="0.25">
      <c r="A2" s="13"/>
      <c r="B2" s="13"/>
    </row>
    <row r="3" spans="1:2" x14ac:dyDescent="0.25">
      <c r="A3" s="13"/>
      <c r="B3" s="13"/>
    </row>
    <row r="4" spans="1:2" x14ac:dyDescent="0.25">
      <c r="A4" s="13"/>
      <c r="B4" s="13"/>
    </row>
    <row r="5" spans="1:2" x14ac:dyDescent="0.25">
      <c r="A5" s="13"/>
      <c r="B5" s="13"/>
    </row>
    <row r="6" spans="1:2" x14ac:dyDescent="0.25">
      <c r="A6" s="13"/>
      <c r="B6" s="13"/>
    </row>
    <row r="7" spans="1:2" x14ac:dyDescent="0.25">
      <c r="A7" s="13"/>
      <c r="B7" s="13"/>
    </row>
    <row r="8" spans="1:2" x14ac:dyDescent="0.25">
      <c r="A8" s="13"/>
      <c r="B8" s="13"/>
    </row>
    <row r="9" spans="1:2" x14ac:dyDescent="0.25">
      <c r="A9" s="15" t="s">
        <v>45</v>
      </c>
      <c r="B9" s="14"/>
    </row>
    <row r="10" spans="1:2" x14ac:dyDescent="0.25">
      <c r="A10" s="16" t="s">
        <v>42</v>
      </c>
      <c r="B10" s="14" t="s">
        <v>46</v>
      </c>
    </row>
    <row r="11" spans="1:2" x14ac:dyDescent="0.25">
      <c r="A11" s="16" t="s">
        <v>47</v>
      </c>
      <c r="B11" s="14" t="s">
        <v>48</v>
      </c>
    </row>
    <row r="12" spans="1:2" x14ac:dyDescent="0.25">
      <c r="A12" s="16" t="s">
        <v>49</v>
      </c>
      <c r="B12" s="14" t="s">
        <v>50</v>
      </c>
    </row>
    <row r="13" spans="1:2" x14ac:dyDescent="0.25">
      <c r="A13" s="16" t="s">
        <v>51</v>
      </c>
      <c r="B13" s="14" t="s">
        <v>52</v>
      </c>
    </row>
    <row r="14" spans="1:2" x14ac:dyDescent="0.25">
      <c r="A14" s="13"/>
      <c r="B14" s="13"/>
    </row>
    <row r="15" spans="1:2" x14ac:dyDescent="0.25">
      <c r="A15" s="15" t="s">
        <v>53</v>
      </c>
      <c r="B15" s="13"/>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5" tint="0.59999389629810485"/>
  </sheetPr>
  <dimension ref="A1:O75"/>
  <sheetViews>
    <sheetView zoomScale="85" zoomScaleNormal="85" workbookViewId="0">
      <selection activeCell="B21" sqref="B21"/>
    </sheetView>
  </sheetViews>
  <sheetFormatPr defaultRowHeight="16.5" x14ac:dyDescent="0.3"/>
  <cols>
    <col min="1" max="1" width="23.7109375" style="17" customWidth="1"/>
    <col min="2" max="2" width="16" style="17" customWidth="1"/>
    <col min="3" max="3" width="14.5703125" style="17" bestFit="1" customWidth="1"/>
    <col min="4" max="4" width="8.85546875" style="17" customWidth="1"/>
    <col min="5" max="16384" width="9.140625" style="17"/>
  </cols>
  <sheetData>
    <row r="1" spans="1:15" x14ac:dyDescent="0.3">
      <c r="A1" s="128" t="s">
        <v>42</v>
      </c>
      <c r="B1" s="13"/>
      <c r="C1" s="13"/>
      <c r="D1" s="13"/>
      <c r="E1" s="13"/>
      <c r="F1" s="13"/>
      <c r="G1" s="13"/>
      <c r="H1" s="13"/>
      <c r="I1" s="13"/>
      <c r="J1" s="13"/>
      <c r="K1" s="13"/>
      <c r="L1" s="13"/>
      <c r="M1" s="13"/>
      <c r="N1" s="13"/>
      <c r="O1" s="13"/>
    </row>
    <row r="2" spans="1:15" x14ac:dyDescent="0.3">
      <c r="A2" s="13">
        <v>1</v>
      </c>
      <c r="B2" s="13" t="s">
        <v>0</v>
      </c>
      <c r="C2" s="13"/>
      <c r="D2" s="13"/>
      <c r="E2" s="13"/>
      <c r="F2" s="13"/>
      <c r="G2" s="13"/>
      <c r="H2" s="13"/>
      <c r="I2" s="13"/>
      <c r="J2" s="13"/>
      <c r="K2" s="13"/>
      <c r="L2" s="13"/>
      <c r="M2" s="13"/>
      <c r="N2" s="13"/>
      <c r="O2" s="13"/>
    </row>
    <row r="3" spans="1:15" x14ac:dyDescent="0.3">
      <c r="A3" s="13"/>
      <c r="B3" s="13"/>
      <c r="C3" s="13"/>
      <c r="D3" s="13"/>
      <c r="E3" s="13"/>
      <c r="F3" s="13"/>
      <c r="G3" s="13"/>
      <c r="H3" s="13"/>
      <c r="I3" s="13"/>
      <c r="J3" s="13"/>
      <c r="K3" s="13"/>
      <c r="L3" s="13"/>
      <c r="M3" s="13"/>
      <c r="N3" s="13"/>
      <c r="O3" s="13"/>
    </row>
    <row r="4" spans="1:15" x14ac:dyDescent="0.3">
      <c r="A4" s="13">
        <v>2</v>
      </c>
      <c r="B4" s="13" t="s">
        <v>37</v>
      </c>
      <c r="C4" s="13"/>
      <c r="D4" s="13"/>
      <c r="E4" s="13"/>
      <c r="F4" s="13"/>
      <c r="G4" s="13"/>
      <c r="H4" s="13"/>
      <c r="I4" s="13"/>
      <c r="J4" s="13"/>
      <c r="K4" s="13"/>
      <c r="L4" s="13"/>
      <c r="M4" s="13"/>
      <c r="N4" s="13"/>
      <c r="O4" s="13"/>
    </row>
    <row r="5" spans="1:15" x14ac:dyDescent="0.3">
      <c r="A5" s="109" t="s">
        <v>9</v>
      </c>
      <c r="B5" s="13"/>
      <c r="C5" s="13"/>
      <c r="D5" s="13"/>
      <c r="E5" s="13"/>
      <c r="F5" s="13"/>
      <c r="G5" s="13"/>
      <c r="H5" s="13"/>
      <c r="I5" s="13"/>
      <c r="J5" s="13"/>
      <c r="K5" s="13"/>
      <c r="L5" s="13"/>
      <c r="M5" s="13"/>
      <c r="N5" s="13"/>
      <c r="O5" s="13"/>
    </row>
    <row r="6" spans="1:15" x14ac:dyDescent="0.3">
      <c r="A6" s="123" t="s">
        <v>10</v>
      </c>
      <c r="B6" s="113">
        <v>0.1</v>
      </c>
      <c r="D6" s="13"/>
      <c r="E6" s="13"/>
      <c r="F6" s="13"/>
      <c r="G6" s="13"/>
      <c r="H6" s="13"/>
      <c r="I6" s="13"/>
      <c r="J6" s="13"/>
      <c r="K6" s="13"/>
      <c r="L6" s="13"/>
      <c r="M6" s="13"/>
      <c r="N6" s="13"/>
      <c r="O6" s="13"/>
    </row>
    <row r="7" spans="1:15" x14ac:dyDescent="0.3">
      <c r="A7" s="123" t="s">
        <v>11</v>
      </c>
      <c r="B7" s="113">
        <v>0.05</v>
      </c>
      <c r="D7" s="13"/>
      <c r="E7" s="13"/>
      <c r="F7" s="13"/>
      <c r="G7" s="13"/>
      <c r="H7" s="13"/>
      <c r="I7" s="13"/>
      <c r="J7" s="13"/>
      <c r="K7" s="13"/>
      <c r="L7" s="13"/>
      <c r="M7" s="13"/>
      <c r="N7" s="13"/>
      <c r="O7" s="13"/>
    </row>
    <row r="8" spans="1:15" x14ac:dyDescent="0.3">
      <c r="A8" s="13"/>
      <c r="B8" s="13"/>
      <c r="C8" s="13"/>
      <c r="D8" s="13"/>
      <c r="E8" s="13"/>
      <c r="F8" s="13"/>
      <c r="L8" s="13"/>
      <c r="M8" s="13"/>
      <c r="N8" s="13"/>
      <c r="O8" s="13"/>
    </row>
    <row r="9" spans="1:15" x14ac:dyDescent="0.3">
      <c r="A9" s="109" t="s">
        <v>13</v>
      </c>
      <c r="D9" s="13"/>
      <c r="E9" s="13"/>
      <c r="F9" s="13"/>
      <c r="L9" s="13"/>
      <c r="M9" s="13"/>
      <c r="N9" s="13"/>
      <c r="O9" s="13"/>
    </row>
    <row r="10" spans="1:15" x14ac:dyDescent="0.3">
      <c r="A10" s="123" t="s">
        <v>10</v>
      </c>
      <c r="B10" s="114">
        <v>50</v>
      </c>
      <c r="D10" s="13"/>
      <c r="E10" s="13"/>
      <c r="F10" s="13"/>
      <c r="L10" s="13"/>
      <c r="M10" s="13"/>
      <c r="N10" s="13"/>
      <c r="O10" s="13"/>
    </row>
    <row r="11" spans="1:15" x14ac:dyDescent="0.3">
      <c r="A11" s="123" t="s">
        <v>11</v>
      </c>
      <c r="B11" s="114">
        <v>60</v>
      </c>
      <c r="C11" s="13"/>
      <c r="D11" s="13"/>
      <c r="E11" s="13"/>
      <c r="F11" s="13"/>
      <c r="L11" s="13"/>
      <c r="M11" s="13"/>
      <c r="N11" s="13"/>
      <c r="O11" s="13"/>
    </row>
    <row r="12" spans="1:15" x14ac:dyDescent="0.3">
      <c r="A12" s="13"/>
      <c r="B12" s="13"/>
      <c r="C12" s="13"/>
      <c r="D12" s="13"/>
      <c r="E12" s="13"/>
      <c r="F12" s="13"/>
      <c r="L12" s="13"/>
      <c r="M12" s="13"/>
      <c r="N12" s="13"/>
      <c r="O12" s="13"/>
    </row>
    <row r="13" spans="1:15" x14ac:dyDescent="0.3">
      <c r="A13" s="109" t="s">
        <v>24</v>
      </c>
      <c r="B13" s="119">
        <v>0.75</v>
      </c>
      <c r="C13" s="13"/>
      <c r="D13" s="13"/>
      <c r="E13" s="13"/>
      <c r="F13" s="13"/>
      <c r="L13" s="13"/>
      <c r="M13" s="13"/>
      <c r="N13" s="13"/>
      <c r="O13" s="13"/>
    </row>
    <row r="14" spans="1:15" x14ac:dyDescent="0.3">
      <c r="A14" s="13"/>
      <c r="B14" s="13"/>
      <c r="C14" s="13"/>
      <c r="D14" s="13"/>
      <c r="E14" s="13"/>
      <c r="F14" s="13"/>
      <c r="L14" s="13"/>
      <c r="M14" s="13"/>
      <c r="N14" s="13"/>
      <c r="O14" s="13"/>
    </row>
    <row r="15" spans="1:15" x14ac:dyDescent="0.3">
      <c r="A15" s="117" t="s">
        <v>98</v>
      </c>
      <c r="B15" s="125">
        <v>0.03</v>
      </c>
      <c r="C15" t="s">
        <v>120</v>
      </c>
      <c r="D15" s="13"/>
      <c r="E15" s="13"/>
      <c r="F15" s="13"/>
      <c r="L15" s="13"/>
      <c r="M15" s="13"/>
      <c r="N15" s="13"/>
      <c r="O15" s="13"/>
    </row>
    <row r="16" spans="1:15" x14ac:dyDescent="0.3">
      <c r="A16" s="13"/>
      <c r="B16" s="13"/>
      <c r="C16" s="13"/>
      <c r="D16" s="13"/>
      <c r="E16" s="13"/>
      <c r="F16" s="13"/>
      <c r="L16" s="13"/>
      <c r="M16" s="13"/>
      <c r="N16" s="13"/>
    </row>
    <row r="17" spans="1:15" x14ac:dyDescent="0.3">
      <c r="A17" s="117" t="s">
        <v>1</v>
      </c>
      <c r="B17" s="115" t="s">
        <v>131</v>
      </c>
      <c r="C17" s="13"/>
      <c r="D17" s="13"/>
      <c r="E17" s="13"/>
      <c r="F17" s="13"/>
      <c r="L17" s="13"/>
      <c r="M17" s="13"/>
      <c r="N17" s="13"/>
      <c r="O17" s="13"/>
    </row>
    <row r="18" spans="1:15" x14ac:dyDescent="0.3">
      <c r="A18" s="13"/>
      <c r="B18" s="13" t="s">
        <v>99</v>
      </c>
      <c r="C18" s="13"/>
      <c r="D18" s="13"/>
      <c r="E18" s="13"/>
      <c r="F18" s="13"/>
      <c r="G18" s="13"/>
      <c r="H18" s="13"/>
      <c r="I18" s="13"/>
      <c r="J18" s="13"/>
      <c r="K18" s="13"/>
      <c r="L18" s="13"/>
      <c r="M18" s="13"/>
      <c r="N18" s="13"/>
      <c r="O18" s="13"/>
    </row>
    <row r="19" spans="1:15" x14ac:dyDescent="0.3">
      <c r="A19" s="13"/>
      <c r="B19" s="115" t="s">
        <v>100</v>
      </c>
      <c r="C19" s="13"/>
      <c r="D19" s="13"/>
      <c r="E19" s="13"/>
      <c r="F19" s="13"/>
      <c r="G19" s="13"/>
      <c r="H19" s="13"/>
      <c r="I19" s="13"/>
      <c r="J19" s="13"/>
      <c r="K19" s="13"/>
      <c r="L19" s="13"/>
      <c r="M19" s="13"/>
      <c r="N19" s="13"/>
      <c r="O19" s="13"/>
    </row>
    <row r="20" spans="1:15" x14ac:dyDescent="0.3">
      <c r="A20" s="13" t="s">
        <v>2</v>
      </c>
      <c r="B20" s="113">
        <v>0.05</v>
      </c>
      <c r="C20" s="118" t="s">
        <v>35</v>
      </c>
      <c r="D20" s="13"/>
      <c r="E20" s="13"/>
      <c r="F20" s="13"/>
      <c r="G20" s="13"/>
      <c r="H20" s="13"/>
      <c r="I20" s="13"/>
      <c r="J20" s="13"/>
      <c r="K20" s="13"/>
      <c r="L20" s="13"/>
      <c r="M20" s="13"/>
      <c r="N20" s="13"/>
      <c r="O20" s="13"/>
    </row>
    <row r="21" spans="1:15" x14ac:dyDescent="0.3">
      <c r="C21" s="13"/>
      <c r="D21" s="13"/>
      <c r="E21" s="13"/>
      <c r="F21" s="13"/>
      <c r="G21" s="13"/>
      <c r="H21" s="13"/>
      <c r="I21" s="13"/>
      <c r="J21" s="13"/>
      <c r="K21" s="13"/>
      <c r="L21" s="13"/>
      <c r="M21" s="13"/>
      <c r="N21" s="13"/>
      <c r="O21" s="13"/>
    </row>
    <row r="22" spans="1:15" x14ac:dyDescent="0.3">
      <c r="A22" s="13"/>
      <c r="B22" s="13"/>
      <c r="C22" s="13"/>
      <c r="D22" s="13"/>
      <c r="E22" s="13"/>
      <c r="F22" s="13"/>
      <c r="G22" s="13"/>
      <c r="H22" s="13"/>
      <c r="I22" s="13"/>
      <c r="J22" s="13"/>
      <c r="K22" s="13"/>
      <c r="L22" s="13"/>
      <c r="M22" s="13"/>
      <c r="N22" s="13"/>
      <c r="O22" s="13"/>
    </row>
    <row r="23" spans="1:15" x14ac:dyDescent="0.3">
      <c r="A23" s="109" t="s">
        <v>128</v>
      </c>
      <c r="E23" s="13"/>
      <c r="F23" s="13"/>
      <c r="G23" s="13"/>
      <c r="H23" s="13"/>
      <c r="I23" s="13"/>
      <c r="J23" s="13"/>
      <c r="K23" s="13"/>
      <c r="L23" s="13"/>
      <c r="M23" s="13"/>
      <c r="N23" s="13"/>
      <c r="O23" s="13"/>
    </row>
    <row r="24" spans="1:15" x14ac:dyDescent="0.3">
      <c r="A24" s="123" t="s">
        <v>10</v>
      </c>
      <c r="B24" s="119">
        <f>'opening demographics'!F12</f>
        <v>3.6484317092170926E-2</v>
      </c>
      <c r="C24" s="118" t="s">
        <v>35</v>
      </c>
      <c r="E24" s="13"/>
      <c r="F24" s="13"/>
      <c r="G24" s="13"/>
      <c r="H24" s="13"/>
      <c r="I24" s="13"/>
      <c r="J24" s="13"/>
      <c r="K24" s="13"/>
      <c r="L24" s="13"/>
      <c r="M24" s="13"/>
      <c r="N24" s="13"/>
      <c r="O24" s="13"/>
    </row>
    <row r="25" spans="1:15" x14ac:dyDescent="0.3">
      <c r="A25" s="123" t="s">
        <v>11</v>
      </c>
      <c r="B25" s="119">
        <f>'opening demographics'!G12</f>
        <v>1.501035790919647E-2</v>
      </c>
      <c r="C25" s="118" t="s">
        <v>35</v>
      </c>
      <c r="D25" s="118"/>
      <c r="E25" s="13"/>
      <c r="F25" s="13"/>
      <c r="G25" s="13"/>
      <c r="H25" s="13"/>
      <c r="I25" s="13"/>
      <c r="J25" s="13"/>
      <c r="K25" s="13"/>
      <c r="L25" s="13"/>
      <c r="M25" s="13"/>
      <c r="N25" s="13"/>
      <c r="O25" s="13"/>
    </row>
    <row r="26" spans="1:15" x14ac:dyDescent="0.3">
      <c r="A26" s="13"/>
      <c r="B26" s="13"/>
      <c r="C26" s="13"/>
      <c r="D26" s="13"/>
      <c r="E26" s="13"/>
      <c r="F26" s="13"/>
      <c r="G26" s="13"/>
      <c r="H26" s="13"/>
      <c r="I26" s="13"/>
      <c r="J26" s="13"/>
      <c r="K26" s="13"/>
      <c r="L26" s="13"/>
      <c r="M26" s="13"/>
      <c r="N26" s="13"/>
      <c r="O26" s="13"/>
    </row>
    <row r="27" spans="1:15" x14ac:dyDescent="0.3">
      <c r="A27" s="13" t="s">
        <v>12</v>
      </c>
      <c r="B27" s="113">
        <v>0.04</v>
      </c>
      <c r="C27" s="118" t="s">
        <v>35</v>
      </c>
      <c r="D27" s="13"/>
      <c r="E27" s="13"/>
      <c r="F27" s="13"/>
      <c r="G27" s="13"/>
      <c r="H27" s="13"/>
      <c r="I27" s="13"/>
      <c r="J27" s="13"/>
      <c r="K27" s="13"/>
      <c r="L27" s="13"/>
      <c r="M27" s="13"/>
      <c r="N27" s="13"/>
      <c r="O27" s="13"/>
    </row>
    <row r="28" spans="1:15" x14ac:dyDescent="0.3">
      <c r="A28" s="13"/>
      <c r="B28" s="13"/>
      <c r="C28" s="13"/>
      <c r="D28" s="13"/>
      <c r="E28" s="13"/>
      <c r="F28" s="13"/>
      <c r="G28" s="13"/>
      <c r="H28" s="13"/>
      <c r="I28" s="13"/>
      <c r="J28" s="13"/>
      <c r="K28" s="13"/>
      <c r="L28" s="13"/>
      <c r="M28" s="13"/>
      <c r="N28" s="13"/>
      <c r="O28" s="13"/>
    </row>
    <row r="29" spans="1:15" x14ac:dyDescent="0.3">
      <c r="A29" s="13" t="s">
        <v>127</v>
      </c>
      <c r="B29" s="133">
        <v>30</v>
      </c>
      <c r="C29" s="13"/>
      <c r="D29" s="13"/>
      <c r="E29" s="13"/>
      <c r="F29" s="13"/>
      <c r="G29" s="13"/>
      <c r="H29" s="13"/>
      <c r="I29" s="13"/>
      <c r="J29" s="13"/>
      <c r="K29" s="13"/>
      <c r="L29" s="13"/>
      <c r="M29" s="13"/>
      <c r="N29" s="13"/>
      <c r="O29" s="13"/>
    </row>
    <row r="30" spans="1:15" x14ac:dyDescent="0.3">
      <c r="A30" s="13"/>
      <c r="B30" s="13"/>
      <c r="C30" s="13"/>
      <c r="D30" s="13"/>
      <c r="E30" s="13"/>
      <c r="F30" s="13"/>
      <c r="H30" s="13"/>
      <c r="I30" s="13"/>
      <c r="J30" s="13"/>
      <c r="K30" s="13"/>
      <c r="L30" s="13"/>
      <c r="M30" s="13"/>
      <c r="N30" s="13"/>
      <c r="O30" s="13"/>
    </row>
    <row r="31" spans="1:15" x14ac:dyDescent="0.3">
      <c r="A31" s="109" t="s">
        <v>118</v>
      </c>
      <c r="B31" s="13"/>
      <c r="C31" s="13"/>
      <c r="D31" s="13"/>
      <c r="E31" s="13"/>
      <c r="F31" s="13"/>
      <c r="H31" s="13"/>
      <c r="I31" s="13"/>
      <c r="J31" s="13"/>
      <c r="K31" s="13"/>
      <c r="L31" s="13"/>
      <c r="M31" s="13"/>
      <c r="N31" s="13"/>
      <c r="O31" s="13"/>
    </row>
    <row r="32" spans="1:15" x14ac:dyDescent="0.3">
      <c r="A32" s="123" t="s">
        <v>119</v>
      </c>
      <c r="B32" s="61" t="s">
        <v>121</v>
      </c>
      <c r="C32" s="61" t="s">
        <v>116</v>
      </c>
      <c r="E32" s="13"/>
      <c r="F32" s="13"/>
      <c r="H32" s="13"/>
      <c r="I32" s="13"/>
      <c r="J32" s="13"/>
      <c r="K32" s="13"/>
      <c r="L32" s="13"/>
      <c r="M32" s="13"/>
      <c r="N32" s="13"/>
      <c r="O32" s="13"/>
    </row>
    <row r="33" spans="1:15" x14ac:dyDescent="0.3">
      <c r="A33" s="13">
        <v>49</v>
      </c>
      <c r="B33" s="122">
        <v>0.25</v>
      </c>
      <c r="C33" s="122">
        <v>0.1</v>
      </c>
      <c r="D33" s="13"/>
      <c r="E33" s="118" t="s">
        <v>34</v>
      </c>
      <c r="F33" s="13"/>
      <c r="G33" s="118" t="s">
        <v>38</v>
      </c>
      <c r="H33" s="13"/>
      <c r="I33" s="13"/>
      <c r="J33" s="13"/>
      <c r="K33" s="13"/>
      <c r="L33" s="13"/>
      <c r="M33" s="13"/>
      <c r="N33" s="13"/>
      <c r="O33" s="13"/>
    </row>
    <row r="34" spans="1:15" x14ac:dyDescent="0.3">
      <c r="A34" s="13">
        <f t="shared" ref="A34:A42" si="0">A33+1</f>
        <v>50</v>
      </c>
      <c r="B34" s="122">
        <v>0.25</v>
      </c>
      <c r="C34" s="122">
        <v>0.1</v>
      </c>
      <c r="D34" s="13"/>
      <c r="E34" s="13"/>
      <c r="F34" s="13"/>
      <c r="H34" s="13"/>
      <c r="I34" s="13"/>
      <c r="J34" s="13"/>
      <c r="K34" s="13"/>
      <c r="L34" s="13"/>
      <c r="M34" s="13"/>
      <c r="N34" s="13"/>
      <c r="O34" s="13"/>
    </row>
    <row r="35" spans="1:15" x14ac:dyDescent="0.3">
      <c r="A35" s="13">
        <f t="shared" si="0"/>
        <v>51</v>
      </c>
      <c r="B35" s="122">
        <v>0.25</v>
      </c>
      <c r="C35" s="122">
        <v>0.1</v>
      </c>
      <c r="D35" s="13"/>
      <c r="E35" s="13"/>
      <c r="F35" s="13"/>
      <c r="H35" s="13"/>
      <c r="I35" s="13"/>
      <c r="J35" s="13"/>
      <c r="K35" s="13"/>
      <c r="L35" s="13"/>
      <c r="M35" s="13"/>
      <c r="N35" s="13"/>
      <c r="O35" s="13"/>
    </row>
    <row r="36" spans="1:15" x14ac:dyDescent="0.3">
      <c r="A36" s="13">
        <f t="shared" si="0"/>
        <v>52</v>
      </c>
      <c r="B36" s="122">
        <v>0.25</v>
      </c>
      <c r="C36" s="122">
        <v>0.1</v>
      </c>
      <c r="D36" s="13"/>
      <c r="E36" s="13"/>
      <c r="F36" s="13"/>
      <c r="H36" s="13"/>
      <c r="I36" s="13"/>
      <c r="J36" s="13"/>
      <c r="K36" s="13"/>
      <c r="L36" s="13"/>
      <c r="M36" s="13"/>
      <c r="N36" s="13"/>
      <c r="O36" s="13"/>
    </row>
    <row r="37" spans="1:15" x14ac:dyDescent="0.3">
      <c r="A37" s="13">
        <f t="shared" si="0"/>
        <v>53</v>
      </c>
      <c r="B37" s="122">
        <v>0.25</v>
      </c>
      <c r="C37" s="122">
        <v>0.1</v>
      </c>
      <c r="D37" s="13"/>
      <c r="E37" s="13"/>
      <c r="F37" s="13"/>
      <c r="H37" s="13"/>
      <c r="I37" s="13"/>
      <c r="J37" s="13"/>
      <c r="K37" s="13"/>
      <c r="L37" s="13"/>
      <c r="M37" s="13"/>
      <c r="N37" s="13"/>
      <c r="O37" s="13"/>
    </row>
    <row r="38" spans="1:15" x14ac:dyDescent="0.3">
      <c r="A38" s="13">
        <f t="shared" si="0"/>
        <v>54</v>
      </c>
      <c r="B38" s="122">
        <v>0.25</v>
      </c>
      <c r="C38" s="122">
        <v>0.1</v>
      </c>
      <c r="D38" s="13"/>
      <c r="E38" s="13"/>
      <c r="F38" s="13"/>
      <c r="H38" s="13"/>
      <c r="I38" s="13"/>
      <c r="J38" s="13"/>
      <c r="K38" s="13"/>
      <c r="L38" s="13"/>
      <c r="M38" s="13"/>
      <c r="N38" s="13"/>
      <c r="O38" s="13"/>
    </row>
    <row r="39" spans="1:15" x14ac:dyDescent="0.3">
      <c r="A39" s="13">
        <f t="shared" si="0"/>
        <v>55</v>
      </c>
      <c r="B39" s="122">
        <v>0.25</v>
      </c>
      <c r="C39" s="122">
        <v>0.1</v>
      </c>
      <c r="D39" s="13"/>
      <c r="E39" s="13"/>
      <c r="F39" s="13"/>
      <c r="H39" s="13"/>
      <c r="I39" s="13"/>
      <c r="J39" s="13"/>
      <c r="K39" s="13"/>
      <c r="L39" s="13"/>
      <c r="M39" s="13"/>
      <c r="N39" s="13"/>
      <c r="O39" s="13"/>
    </row>
    <row r="40" spans="1:15" x14ac:dyDescent="0.3">
      <c r="A40" s="13">
        <f t="shared" si="0"/>
        <v>56</v>
      </c>
      <c r="B40" s="122">
        <v>0.25</v>
      </c>
      <c r="C40" s="122">
        <v>0.1</v>
      </c>
      <c r="D40" s="13"/>
      <c r="E40" s="13"/>
      <c r="F40" s="13"/>
      <c r="H40" s="13"/>
      <c r="I40" s="13"/>
      <c r="J40" s="13"/>
      <c r="K40" s="13"/>
      <c r="L40" s="13"/>
      <c r="M40" s="13"/>
      <c r="N40" s="13"/>
      <c r="O40" s="13"/>
    </row>
    <row r="41" spans="1:15" x14ac:dyDescent="0.3">
      <c r="A41" s="13">
        <f t="shared" si="0"/>
        <v>57</v>
      </c>
      <c r="B41" s="122">
        <v>0.25</v>
      </c>
      <c r="C41" s="122">
        <v>0.1</v>
      </c>
      <c r="D41" s="13"/>
      <c r="E41" s="13"/>
      <c r="F41" s="13"/>
      <c r="H41" s="13"/>
      <c r="I41" s="13"/>
      <c r="J41" s="13"/>
      <c r="K41" s="13"/>
      <c r="L41" s="13"/>
      <c r="M41" s="13"/>
      <c r="N41" s="13"/>
      <c r="O41" s="13"/>
    </row>
    <row r="42" spans="1:15" x14ac:dyDescent="0.3">
      <c r="A42" s="13">
        <f t="shared" si="0"/>
        <v>58</v>
      </c>
      <c r="B42" s="122">
        <v>0.25</v>
      </c>
      <c r="C42" s="122">
        <v>0.1</v>
      </c>
      <c r="D42" s="13"/>
      <c r="E42" s="13"/>
      <c r="F42" s="13"/>
      <c r="H42" s="13"/>
      <c r="I42" s="13"/>
      <c r="J42" s="13"/>
      <c r="K42" s="13"/>
      <c r="L42" s="13"/>
      <c r="M42" s="13"/>
      <c r="N42" s="13"/>
      <c r="O42" s="13"/>
    </row>
    <row r="43" spans="1:15" x14ac:dyDescent="0.3">
      <c r="A43" s="13">
        <f t="shared" ref="A43:A48" si="1">A42+1</f>
        <v>59</v>
      </c>
      <c r="B43" s="122">
        <v>0.25</v>
      </c>
      <c r="C43" s="122">
        <v>0.1</v>
      </c>
      <c r="D43" s="13"/>
      <c r="E43" s="13"/>
      <c r="F43" s="13"/>
      <c r="H43" s="13"/>
      <c r="I43" s="13"/>
      <c r="J43" s="13"/>
      <c r="K43" s="13"/>
      <c r="L43" s="13"/>
      <c r="M43" s="13"/>
      <c r="N43" s="13"/>
      <c r="O43" s="13"/>
    </row>
    <row r="44" spans="1:15" x14ac:dyDescent="0.3">
      <c r="A44" s="13">
        <f t="shared" si="1"/>
        <v>60</v>
      </c>
      <c r="B44" s="122">
        <v>0.25</v>
      </c>
      <c r="C44" s="122">
        <v>0.1</v>
      </c>
      <c r="D44" s="13"/>
      <c r="E44" s="13"/>
      <c r="F44" s="13"/>
      <c r="H44" s="13"/>
      <c r="I44" s="13"/>
      <c r="J44" s="13"/>
      <c r="K44" s="13"/>
      <c r="L44" s="13"/>
      <c r="M44" s="13"/>
      <c r="N44" s="13"/>
      <c r="O44" s="13"/>
    </row>
    <row r="45" spans="1:15" x14ac:dyDescent="0.3">
      <c r="A45" s="13">
        <f t="shared" si="1"/>
        <v>61</v>
      </c>
      <c r="B45" s="122">
        <v>0.25</v>
      </c>
      <c r="C45" s="122">
        <v>0.1</v>
      </c>
      <c r="D45" s="13"/>
      <c r="E45" s="13"/>
      <c r="F45" s="13"/>
      <c r="H45" s="13"/>
      <c r="I45" s="13"/>
      <c r="J45" s="13"/>
      <c r="K45" s="13"/>
      <c r="L45" s="13"/>
      <c r="M45" s="13"/>
      <c r="N45" s="13"/>
      <c r="O45" s="13"/>
    </row>
    <row r="46" spans="1:15" x14ac:dyDescent="0.3">
      <c r="A46" s="13">
        <f t="shared" si="1"/>
        <v>62</v>
      </c>
      <c r="B46" s="122">
        <v>0.25</v>
      </c>
      <c r="C46" s="122">
        <v>0.1</v>
      </c>
      <c r="D46" s="13"/>
      <c r="E46" s="13"/>
      <c r="F46" s="13"/>
      <c r="H46" s="13"/>
      <c r="I46" s="13"/>
      <c r="J46" s="13"/>
      <c r="K46" s="13"/>
      <c r="L46" s="13"/>
      <c r="M46" s="13"/>
      <c r="N46" s="13"/>
      <c r="O46" s="13"/>
    </row>
    <row r="47" spans="1:15" x14ac:dyDescent="0.3">
      <c r="A47" s="13">
        <f t="shared" si="1"/>
        <v>63</v>
      </c>
      <c r="B47" s="122">
        <v>0.25</v>
      </c>
      <c r="C47" s="122">
        <v>0.1</v>
      </c>
      <c r="D47" s="13"/>
      <c r="E47" s="13"/>
      <c r="F47" s="13"/>
      <c r="H47" s="13"/>
      <c r="I47" s="13"/>
      <c r="J47" s="13"/>
      <c r="K47" s="13"/>
      <c r="L47" s="13"/>
      <c r="M47" s="13"/>
      <c r="N47" s="13"/>
      <c r="O47" s="13"/>
    </row>
    <row r="48" spans="1:15" x14ac:dyDescent="0.3">
      <c r="A48" s="13">
        <f t="shared" si="1"/>
        <v>64</v>
      </c>
      <c r="B48" s="122">
        <v>1</v>
      </c>
      <c r="C48" s="122"/>
      <c r="D48" s="13"/>
      <c r="E48" s="13"/>
      <c r="F48" s="13"/>
      <c r="H48" s="13"/>
      <c r="I48" s="13"/>
      <c r="J48" s="13"/>
      <c r="K48" s="13"/>
      <c r="L48" s="13"/>
      <c r="M48" s="13"/>
      <c r="N48" s="13"/>
      <c r="O48" s="13"/>
    </row>
    <row r="49" spans="1:15" x14ac:dyDescent="0.3">
      <c r="A49" s="13"/>
      <c r="B49" s="13"/>
      <c r="C49" s="13"/>
      <c r="D49" s="13"/>
      <c r="E49" s="13"/>
      <c r="F49" s="13"/>
      <c r="H49" s="13"/>
      <c r="I49" s="13"/>
      <c r="J49" s="13"/>
      <c r="K49" s="13"/>
      <c r="L49" s="13"/>
      <c r="M49" s="13"/>
      <c r="N49" s="13"/>
      <c r="O49" s="13"/>
    </row>
    <row r="50" spans="1:15" x14ac:dyDescent="0.3">
      <c r="A50" s="18" t="s">
        <v>86</v>
      </c>
      <c r="B50" s="13"/>
      <c r="C50" s="13"/>
      <c r="D50" s="13"/>
      <c r="E50" s="13"/>
      <c r="F50" s="13"/>
      <c r="H50" s="13"/>
      <c r="I50" s="13"/>
      <c r="J50" s="13"/>
      <c r="K50" s="13"/>
      <c r="L50" s="13"/>
      <c r="M50" s="13"/>
      <c r="N50" s="13"/>
      <c r="O50" s="13"/>
    </row>
    <row r="51" spans="1:15" x14ac:dyDescent="0.3">
      <c r="A51" s="124">
        <v>1</v>
      </c>
      <c r="B51" s="13" t="s">
        <v>87</v>
      </c>
      <c r="C51" s="13"/>
      <c r="D51" s="13"/>
      <c r="E51" s="13"/>
      <c r="F51" s="13"/>
      <c r="H51" s="13"/>
      <c r="I51" s="13"/>
      <c r="J51" s="13"/>
      <c r="K51" s="13"/>
      <c r="L51" s="13"/>
      <c r="M51" s="13"/>
      <c r="N51" s="13"/>
      <c r="O51" s="13"/>
    </row>
    <row r="52" spans="1:15" x14ac:dyDescent="0.3">
      <c r="A52" s="115">
        <v>2</v>
      </c>
      <c r="B52" s="13" t="s">
        <v>88</v>
      </c>
      <c r="C52" s="13"/>
      <c r="D52" s="13"/>
      <c r="E52" s="116" t="s">
        <v>92</v>
      </c>
      <c r="F52" s="13"/>
      <c r="H52" s="13"/>
      <c r="I52" s="13"/>
      <c r="J52" s="13"/>
      <c r="K52" s="13"/>
      <c r="L52" s="13"/>
      <c r="M52" s="13"/>
      <c r="N52" s="13"/>
      <c r="O52" s="13"/>
    </row>
    <row r="53" spans="1:15" x14ac:dyDescent="0.3">
      <c r="A53" s="126">
        <v>3</v>
      </c>
      <c r="B53" s="13" t="s">
        <v>89</v>
      </c>
      <c r="C53" s="13"/>
      <c r="D53" s="13"/>
      <c r="E53" s="13"/>
      <c r="F53" s="13"/>
      <c r="H53" s="13"/>
      <c r="I53" s="13"/>
      <c r="J53" s="13"/>
      <c r="K53" s="13"/>
      <c r="L53" s="13"/>
      <c r="M53" s="13"/>
      <c r="N53" s="13"/>
      <c r="O53" s="13"/>
    </row>
    <row r="54" spans="1:15" x14ac:dyDescent="0.3">
      <c r="A54" s="115">
        <v>4</v>
      </c>
      <c r="B54" s="13" t="s">
        <v>90</v>
      </c>
      <c r="C54" s="13"/>
      <c r="D54" s="13"/>
      <c r="E54" s="13"/>
      <c r="F54" s="13"/>
      <c r="H54" s="13"/>
      <c r="I54" s="13"/>
      <c r="J54" s="13"/>
      <c r="K54" s="13"/>
      <c r="L54" s="13"/>
      <c r="M54" s="13"/>
      <c r="N54" s="13"/>
      <c r="O54" s="13"/>
    </row>
    <row r="55" spans="1:15" x14ac:dyDescent="0.3">
      <c r="A55" s="115">
        <v>5</v>
      </c>
      <c r="B55" s="13" t="s">
        <v>91</v>
      </c>
      <c r="C55" s="13"/>
      <c r="D55" s="13"/>
      <c r="E55" s="13" t="s">
        <v>97</v>
      </c>
      <c r="F55" s="13"/>
      <c r="H55" s="13"/>
      <c r="I55" s="13"/>
      <c r="J55" s="13"/>
      <c r="K55" s="13"/>
      <c r="L55" s="13"/>
      <c r="M55" s="13"/>
      <c r="N55" s="13"/>
      <c r="O55" s="13"/>
    </row>
    <row r="56" spans="1:15" x14ac:dyDescent="0.3">
      <c r="A56" s="124">
        <v>6</v>
      </c>
      <c r="B56" s="13" t="s">
        <v>129</v>
      </c>
      <c r="C56" s="13"/>
      <c r="D56" s="13"/>
      <c r="E56" s="13"/>
      <c r="F56" s="13"/>
      <c r="H56" s="13"/>
      <c r="I56" s="13"/>
      <c r="J56" s="115" t="s">
        <v>96</v>
      </c>
      <c r="K56" s="13"/>
      <c r="L56" s="13"/>
      <c r="M56" s="13"/>
      <c r="N56" s="13"/>
      <c r="O56" s="13"/>
    </row>
    <row r="57" spans="1:15" x14ac:dyDescent="0.3">
      <c r="A57" s="13">
        <v>7</v>
      </c>
      <c r="B57" s="13" t="s">
        <v>94</v>
      </c>
      <c r="C57" s="13"/>
      <c r="D57" s="13"/>
      <c r="E57" s="116" t="s">
        <v>95</v>
      </c>
      <c r="F57" s="13"/>
      <c r="H57" s="13"/>
      <c r="I57" s="13"/>
      <c r="J57" s="13"/>
      <c r="K57" s="13"/>
      <c r="L57" s="13"/>
      <c r="M57" s="13"/>
      <c r="N57" s="13"/>
      <c r="O57" s="13"/>
    </row>
    <row r="58" spans="1:15" x14ac:dyDescent="0.3">
      <c r="A58" s="120" t="s">
        <v>84</v>
      </c>
      <c r="B58" s="13"/>
      <c r="C58" s="13"/>
      <c r="D58" s="13"/>
      <c r="E58" s="13"/>
      <c r="F58" s="13"/>
      <c r="H58" s="13"/>
      <c r="I58" s="13"/>
      <c r="J58" s="13"/>
      <c r="K58" s="13"/>
      <c r="L58" s="13"/>
      <c r="M58" s="13"/>
      <c r="N58" s="13"/>
      <c r="O58" s="13"/>
    </row>
    <row r="59" spans="1:15" x14ac:dyDescent="0.3">
      <c r="A59" s="109" t="s">
        <v>112</v>
      </c>
      <c r="B59" s="13"/>
      <c r="C59" s="13"/>
      <c r="D59" s="13"/>
      <c r="E59" s="13"/>
      <c r="F59" s="13"/>
      <c r="H59" s="13"/>
      <c r="I59" s="13"/>
      <c r="J59" s="13"/>
      <c r="K59" s="13"/>
      <c r="L59" s="13"/>
      <c r="M59" s="13"/>
      <c r="N59" s="13"/>
      <c r="O59" s="13"/>
    </row>
    <row r="60" spans="1:15" x14ac:dyDescent="0.3">
      <c r="A60" s="13" t="s">
        <v>77</v>
      </c>
      <c r="B60" s="13"/>
      <c r="C60" s="13"/>
      <c r="D60" s="13"/>
      <c r="E60" s="13"/>
      <c r="F60" s="13"/>
      <c r="H60" s="13"/>
      <c r="I60" s="13"/>
      <c r="J60" s="13"/>
      <c r="K60" s="13"/>
      <c r="L60" s="13"/>
      <c r="M60" s="13"/>
      <c r="N60" s="13"/>
      <c r="O60" s="13"/>
    </row>
    <row r="61" spans="1:15" x14ac:dyDescent="0.3">
      <c r="A61" s="13" t="s">
        <v>130</v>
      </c>
      <c r="B61" s="13"/>
      <c r="C61" s="13"/>
      <c r="D61" s="13"/>
      <c r="E61" s="13"/>
      <c r="F61" s="13"/>
      <c r="H61" s="13"/>
      <c r="I61" s="13"/>
      <c r="J61" s="13"/>
      <c r="K61" s="13"/>
      <c r="L61" s="13"/>
      <c r="M61" s="13"/>
      <c r="N61" s="13"/>
      <c r="O61" s="13"/>
    </row>
    <row r="62" spans="1:15" x14ac:dyDescent="0.3">
      <c r="A62" s="13" t="s">
        <v>43</v>
      </c>
      <c r="B62" s="13"/>
      <c r="C62" s="13"/>
      <c r="D62" s="13"/>
      <c r="E62" s="13"/>
      <c r="F62" s="13"/>
      <c r="H62" s="13"/>
      <c r="I62" s="13"/>
      <c r="J62" s="13"/>
      <c r="K62" s="13"/>
      <c r="L62" s="13"/>
      <c r="M62" s="13"/>
      <c r="N62" s="13"/>
      <c r="O62" s="13"/>
    </row>
    <row r="63" spans="1:15" x14ac:dyDescent="0.3">
      <c r="A63" s="121" t="s">
        <v>78</v>
      </c>
      <c r="B63" s="13"/>
      <c r="C63" s="13"/>
      <c r="D63" s="13"/>
      <c r="E63" s="13"/>
      <c r="F63" s="13"/>
      <c r="H63" s="13"/>
      <c r="I63" s="13"/>
      <c r="J63" s="13"/>
      <c r="K63" s="13"/>
      <c r="L63" s="13"/>
      <c r="M63" s="13"/>
      <c r="N63" s="13"/>
      <c r="O63" s="13"/>
    </row>
    <row r="64" spans="1:15" x14ac:dyDescent="0.3">
      <c r="A64" s="121" t="s">
        <v>80</v>
      </c>
      <c r="B64" s="13"/>
      <c r="C64" s="13"/>
      <c r="D64" s="13"/>
      <c r="E64" s="13"/>
      <c r="F64" s="13"/>
      <c r="H64" s="13"/>
      <c r="I64" s="13"/>
      <c r="J64" s="13"/>
      <c r="K64" s="13"/>
      <c r="L64" s="13"/>
      <c r="M64" s="13"/>
      <c r="N64" s="13"/>
      <c r="O64" s="13"/>
    </row>
    <row r="65" spans="1:15" x14ac:dyDescent="0.3">
      <c r="A65" s="59" t="s">
        <v>79</v>
      </c>
      <c r="B65" s="13"/>
      <c r="C65" s="13"/>
      <c r="D65" s="13"/>
      <c r="E65" s="13"/>
      <c r="F65" s="13"/>
      <c r="H65" s="13"/>
      <c r="I65" s="13"/>
      <c r="J65" s="13"/>
      <c r="K65" s="13"/>
      <c r="L65" s="13"/>
      <c r="M65" s="13"/>
      <c r="N65" s="13"/>
      <c r="O65" s="13"/>
    </row>
    <row r="66" spans="1:15" x14ac:dyDescent="0.3">
      <c r="A66" s="13"/>
      <c r="B66" s="13"/>
      <c r="C66" s="13"/>
      <c r="D66" s="13"/>
      <c r="E66" s="13"/>
      <c r="F66" s="13"/>
      <c r="H66" s="13"/>
      <c r="I66" s="13"/>
      <c r="J66" s="13"/>
      <c r="K66" s="13"/>
      <c r="L66" s="13"/>
      <c r="M66" s="13"/>
      <c r="N66" s="13"/>
      <c r="O66" s="13"/>
    </row>
    <row r="67" spans="1:15" x14ac:dyDescent="0.3">
      <c r="A67" s="120" t="s">
        <v>85</v>
      </c>
      <c r="B67" s="13"/>
      <c r="C67" s="13"/>
      <c r="D67" s="13"/>
      <c r="E67" s="13"/>
      <c r="F67" s="13"/>
      <c r="H67" s="13"/>
      <c r="I67" s="13"/>
      <c r="J67" s="13"/>
      <c r="K67" s="13"/>
      <c r="L67" s="13"/>
      <c r="M67" s="13"/>
      <c r="N67" s="13"/>
      <c r="O67" s="13"/>
    </row>
    <row r="68" spans="1:15" x14ac:dyDescent="0.3">
      <c r="A68" s="13" t="s">
        <v>82</v>
      </c>
      <c r="B68" s="13"/>
      <c r="C68" s="13"/>
      <c r="D68" s="13"/>
      <c r="E68" s="13"/>
      <c r="F68" s="13"/>
      <c r="H68" s="13"/>
      <c r="I68" s="13"/>
      <c r="J68" s="13"/>
      <c r="K68" s="13"/>
      <c r="L68" s="13"/>
      <c r="M68" s="13"/>
      <c r="N68" s="13"/>
      <c r="O68" s="13"/>
    </row>
    <row r="69" spans="1:15" x14ac:dyDescent="0.3">
      <c r="A69" s="13" t="s">
        <v>81</v>
      </c>
    </row>
    <row r="70" spans="1:15" x14ac:dyDescent="0.3">
      <c r="A70" s="13"/>
    </row>
    <row r="71" spans="1:15" x14ac:dyDescent="0.3">
      <c r="A71" s="109" t="s">
        <v>113</v>
      </c>
    </row>
    <row r="72" spans="1:15" x14ac:dyDescent="0.3">
      <c r="A72" s="13"/>
    </row>
    <row r="73" spans="1:15" x14ac:dyDescent="0.3">
      <c r="A73" s="120" t="s">
        <v>83</v>
      </c>
    </row>
    <row r="74" spans="1:15" x14ac:dyDescent="0.3">
      <c r="A74" s="109" t="s">
        <v>114</v>
      </c>
    </row>
    <row r="75" spans="1:15" x14ac:dyDescent="0.3">
      <c r="A75" s="13" t="s">
        <v>115</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C000"/>
  </sheetPr>
  <dimension ref="A1:B13"/>
  <sheetViews>
    <sheetView showGridLines="0" zoomScaleNormal="100" workbookViewId="0">
      <selection activeCell="F36" sqref="F36"/>
    </sheetView>
  </sheetViews>
  <sheetFormatPr defaultRowHeight="15" x14ac:dyDescent="0.25"/>
  <cols>
    <col min="1" max="1" width="2.42578125" customWidth="1"/>
  </cols>
  <sheetData>
    <row r="1" spans="1:2" x14ac:dyDescent="0.25">
      <c r="A1" s="127" t="s">
        <v>123</v>
      </c>
    </row>
    <row r="2" spans="1:2" ht="7.5" customHeight="1" x14ac:dyDescent="0.25"/>
    <row r="3" spans="1:2" x14ac:dyDescent="0.25">
      <c r="B3" s="129" t="s">
        <v>124</v>
      </c>
    </row>
    <row r="4" spans="1:2" ht="7.5" customHeight="1" x14ac:dyDescent="0.25"/>
    <row r="12" spans="1:2" x14ac:dyDescent="0.25">
      <c r="B12" s="129" t="s">
        <v>125</v>
      </c>
    </row>
    <row r="13" spans="1:2" ht="7.5" customHeight="1" x14ac:dyDescent="0.25"/>
  </sheetData>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3" tint="-0.249977111117893"/>
  </sheetPr>
  <dimension ref="A1"/>
  <sheetViews>
    <sheetView showGridLines="0" workbookViewId="0">
      <selection activeCell="K31" sqref="K31"/>
    </sheetView>
  </sheetViews>
  <sheetFormatPr defaultRowHeight="15"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4" tint="0.59999389629810485"/>
  </sheetPr>
  <dimension ref="A1:AB81"/>
  <sheetViews>
    <sheetView tabSelected="1" zoomScale="85" zoomScaleNormal="85" workbookViewId="0">
      <selection activeCell="L12" sqref="L12"/>
    </sheetView>
  </sheetViews>
  <sheetFormatPr defaultRowHeight="16.5" x14ac:dyDescent="0.3"/>
  <cols>
    <col min="1" max="1" width="2.85546875" style="17" customWidth="1"/>
    <col min="2" max="2" width="14.85546875" style="17" customWidth="1"/>
    <col min="3" max="3" width="17.85546875" style="17" bestFit="1" customWidth="1"/>
    <col min="4" max="4" width="11.140625" style="17" customWidth="1"/>
    <col min="5" max="8" width="14.28515625" style="17" customWidth="1"/>
    <col min="9" max="9" width="9.140625" style="17"/>
    <col min="10" max="10" width="15" style="17" customWidth="1"/>
    <col min="11" max="11" width="11.42578125" style="17" bestFit="1" customWidth="1"/>
    <col min="12" max="16384" width="9.140625" style="17"/>
  </cols>
  <sheetData>
    <row r="1" spans="1:28" ht="15" customHeight="1" thickBot="1" x14ac:dyDescent="0.35">
      <c r="A1" s="127" t="s">
        <v>41</v>
      </c>
      <c r="B1" s="13"/>
      <c r="C1" s="13"/>
      <c r="D1" s="13"/>
      <c r="E1" s="13"/>
      <c r="F1" s="13"/>
      <c r="G1" s="13"/>
      <c r="H1" s="13"/>
    </row>
    <row r="2" spans="1:28" ht="15" customHeight="1" x14ac:dyDescent="0.3">
      <c r="A2" s="13"/>
      <c r="B2" s="19" t="s">
        <v>17</v>
      </c>
      <c r="C2" s="20" t="s">
        <v>25</v>
      </c>
      <c r="D2" s="21" t="str">
        <f>RIGHT($B$3,1)</f>
        <v>B</v>
      </c>
      <c r="E2" s="13"/>
      <c r="F2" s="13" t="s">
        <v>39</v>
      </c>
      <c r="G2" s="13"/>
      <c r="H2" s="13"/>
    </row>
    <row r="3" spans="1:28" ht="15" customHeight="1" thickBot="1" x14ac:dyDescent="0.35">
      <c r="A3" s="13"/>
      <c r="B3" s="24" t="str">
        <f>PUC_Projection!B3</f>
        <v>30B</v>
      </c>
      <c r="C3" s="20" t="s">
        <v>72</v>
      </c>
      <c r="D3" s="21">
        <f>VLOOKUP($B$3,'opening demographics'!$A$1:$E$11,3,FALSE)</f>
        <v>210</v>
      </c>
      <c r="E3" s="13"/>
      <c r="F3" s="13" t="s">
        <v>40</v>
      </c>
      <c r="G3" s="13"/>
      <c r="H3" s="13"/>
    </row>
    <row r="4" spans="1:28" ht="15" customHeight="1" x14ac:dyDescent="0.3">
      <c r="A4" s="13"/>
      <c r="B4" s="13"/>
      <c r="C4" s="20" t="s">
        <v>26</v>
      </c>
      <c r="D4" s="21">
        <f>VALUE(LEFT($B$3,2))</f>
        <v>30</v>
      </c>
      <c r="E4" s="13"/>
      <c r="F4" s="13"/>
      <c r="G4" s="13"/>
      <c r="H4" s="13"/>
    </row>
    <row r="5" spans="1:28" ht="15" customHeight="1" x14ac:dyDescent="0.3">
      <c r="A5" s="13"/>
      <c r="B5" s="13"/>
      <c r="C5" s="20" t="s">
        <v>27</v>
      </c>
      <c r="D5" s="21">
        <f ca="1">INDIRECT("NRA_"&amp;$D$2)</f>
        <v>60</v>
      </c>
      <c r="E5" s="13"/>
      <c r="F5" s="13"/>
      <c r="G5" s="13"/>
      <c r="H5" s="13"/>
    </row>
    <row r="6" spans="1:28" ht="15" customHeight="1" x14ac:dyDescent="0.3">
      <c r="A6" s="13"/>
      <c r="B6" s="13"/>
      <c r="C6" s="20" t="s">
        <v>28</v>
      </c>
      <c r="D6" s="40">
        <f ca="1">INDIRECT("accrual_rate_"&amp;$D$2)</f>
        <v>0.05</v>
      </c>
      <c r="E6" s="13"/>
      <c r="F6" s="13"/>
      <c r="G6" s="13"/>
      <c r="H6" s="13"/>
    </row>
    <row r="7" spans="1:28" ht="15" customHeight="1" x14ac:dyDescent="0.3">
      <c r="A7" s="13"/>
      <c r="B7" s="13"/>
      <c r="C7" s="20" t="s">
        <v>29</v>
      </c>
      <c r="D7" s="41">
        <f>VLOOKUP($B$3,'opening demographics'!$A$1:$E$11,4,FALSE)</f>
        <v>78000</v>
      </c>
      <c r="E7" s="13"/>
      <c r="F7" s="13"/>
      <c r="G7" s="13"/>
      <c r="H7" s="13"/>
    </row>
    <row r="8" spans="1:28" ht="15" customHeight="1" x14ac:dyDescent="0.3">
      <c r="A8" s="13"/>
      <c r="B8" s="13"/>
      <c r="C8" s="20" t="s">
        <v>30</v>
      </c>
      <c r="D8" s="48">
        <f ca="1">INDIRECT("e_"&amp;$D$2)</f>
        <v>1.501035790919647E-2</v>
      </c>
      <c r="E8" s="13"/>
      <c r="F8" s="13"/>
      <c r="G8" s="13"/>
      <c r="H8" s="13"/>
    </row>
    <row r="9" spans="1:28" ht="15" customHeight="1" x14ac:dyDescent="0.3">
      <c r="A9" s="13"/>
      <c r="B9" s="13"/>
      <c r="C9" s="13"/>
      <c r="D9" s="13"/>
      <c r="E9" s="13"/>
      <c r="F9" s="13"/>
      <c r="G9" s="13"/>
      <c r="H9" s="13"/>
      <c r="K9" s="108" t="s">
        <v>132</v>
      </c>
      <c r="L9" s="138" t="s">
        <v>133</v>
      </c>
    </row>
    <row r="10" spans="1:28" ht="51.75" customHeight="1" x14ac:dyDescent="0.3">
      <c r="A10" s="13"/>
      <c r="B10" s="108" t="s">
        <v>70</v>
      </c>
      <c r="C10" s="108" t="s">
        <v>21</v>
      </c>
      <c r="D10" s="108" t="s">
        <v>32</v>
      </c>
      <c r="E10" s="108" t="s">
        <v>2</v>
      </c>
      <c r="F10" s="108" t="s">
        <v>122</v>
      </c>
      <c r="G10" s="108" t="s">
        <v>36</v>
      </c>
      <c r="H10" s="108" t="s">
        <v>33</v>
      </c>
      <c r="J10" s="108" t="str">
        <f>B10</f>
        <v>No. of years of past service
(P)</v>
      </c>
      <c r="K10" s="139">
        <v>1</v>
      </c>
      <c r="L10" s="139">
        <f>K10+1</f>
        <v>2</v>
      </c>
      <c r="M10" s="139">
        <f t="shared" ref="M10:X10" si="0">L10+1</f>
        <v>3</v>
      </c>
      <c r="N10" s="139">
        <f t="shared" si="0"/>
        <v>4</v>
      </c>
      <c r="O10" s="139">
        <f t="shared" si="0"/>
        <v>5</v>
      </c>
      <c r="P10" s="139">
        <f t="shared" si="0"/>
        <v>6</v>
      </c>
      <c r="Q10" s="139">
        <f t="shared" si="0"/>
        <v>7</v>
      </c>
      <c r="R10" s="139">
        <f t="shared" si="0"/>
        <v>8</v>
      </c>
      <c r="S10" s="139">
        <f t="shared" si="0"/>
        <v>9</v>
      </c>
      <c r="T10" s="139">
        <f t="shared" si="0"/>
        <v>10</v>
      </c>
      <c r="U10" s="139">
        <f t="shared" si="0"/>
        <v>11</v>
      </c>
      <c r="V10" s="139">
        <f>U10+1</f>
        <v>12</v>
      </c>
      <c r="W10" s="139">
        <f t="shared" si="0"/>
        <v>13</v>
      </c>
      <c r="X10" s="139">
        <f t="shared" si="0"/>
        <v>14</v>
      </c>
      <c r="Y10" s="139">
        <f t="shared" ref="Y10:Z10" si="1">X10+1</f>
        <v>15</v>
      </c>
      <c r="Z10" s="139">
        <f t="shared" si="1"/>
        <v>16</v>
      </c>
    </row>
    <row r="11" spans="1:28" ht="15" customHeight="1" x14ac:dyDescent="0.3">
      <c r="A11" s="13"/>
      <c r="B11" s="61">
        <v>0</v>
      </c>
      <c r="C11" s="62">
        <f>D4</f>
        <v>30</v>
      </c>
      <c r="D11" s="111">
        <v>1</v>
      </c>
      <c r="E11" s="112">
        <f t="shared" ref="E11:E42" ca="1" si="2">IF($D$2="A",(D11-G11)*withdraw_rate*(C11&lt;$D$5),(D11-G11)*withdraw_rate*(C11&lt;&gt;$D$5-1))</f>
        <v>0.05</v>
      </c>
      <c r="F11" s="112">
        <f ca="1">IF($D$2="A",
(D11-G11)*IFERROR(VLOOKUP(C11,'1.a Assumptions'!$A$33:$C$48,2,FALSE),0),
(D11-G11)*100%*(C11=$D$5-1))</f>
        <v>0</v>
      </c>
      <c r="G11" s="112">
        <f>IF($D$2="A",
D11*IFERROR(VLOOKUP(C11,'1.a Assumptions'!$A$33:$C$48,3,FALSE),0),
0)</f>
        <v>0</v>
      </c>
      <c r="H11" s="112">
        <f ca="1">D11-E11-F11-G11</f>
        <v>0.95</v>
      </c>
      <c r="J11" s="61">
        <v>0</v>
      </c>
      <c r="K11" s="134">
        <f>$D$3*D11</f>
        <v>210</v>
      </c>
      <c r="L11" s="141">
        <f ca="1">$K11*$E11</f>
        <v>10.5</v>
      </c>
      <c r="M11" s="134">
        <f ca="1">$K11*$E11</f>
        <v>10.5</v>
      </c>
      <c r="N11" s="134">
        <f ca="1">$K11*$E11</f>
        <v>10.5</v>
      </c>
      <c r="O11" s="134">
        <f ca="1">$K11*$E11</f>
        <v>10.5</v>
      </c>
      <c r="P11" s="134">
        <f ca="1">$K11*$E11</f>
        <v>10.5</v>
      </c>
      <c r="Q11" s="134">
        <f ca="1">$K11*$E11</f>
        <v>10.5</v>
      </c>
      <c r="R11" s="134">
        <f ca="1">$K11*$E11</f>
        <v>10.5</v>
      </c>
      <c r="S11" s="134">
        <f ca="1">$K11*$E11</f>
        <v>10.5</v>
      </c>
      <c r="T11" s="134">
        <f ca="1">$K11*$E11</f>
        <v>10.5</v>
      </c>
      <c r="U11" s="134">
        <f ca="1">$K11*$E11</f>
        <v>10.5</v>
      </c>
      <c r="V11" s="134">
        <f ca="1">$K11*$E11</f>
        <v>10.5</v>
      </c>
      <c r="W11" s="134">
        <f ca="1">$K11*$E11</f>
        <v>10.5</v>
      </c>
      <c r="X11" s="134">
        <f ca="1">$K11*$E11</f>
        <v>10.5</v>
      </c>
      <c r="Y11" s="134">
        <f ca="1">$K11*$E11</f>
        <v>10.5</v>
      </c>
      <c r="Z11" s="135">
        <f ca="1">$K11*$E11</f>
        <v>10.5</v>
      </c>
      <c r="AB11" s="137">
        <f>K11</f>
        <v>210</v>
      </c>
    </row>
    <row r="12" spans="1:28" ht="15" customHeight="1" x14ac:dyDescent="0.3">
      <c r="A12" s="13"/>
      <c r="B12" s="61">
        <f ca="1">IF($C12="","",B11+1)</f>
        <v>1</v>
      </c>
      <c r="C12" s="75">
        <f t="shared" ref="C12:C43" ca="1" si="3">IF(C11="","",IF($D$2="A",C11+1,IF(C11+1&gt;$D$5,"",C11+1)))</f>
        <v>31</v>
      </c>
      <c r="D12" s="112">
        <f ca="1">H11</f>
        <v>0.95</v>
      </c>
      <c r="E12" s="112">
        <f t="shared" ca="1" si="2"/>
        <v>4.7500000000000001E-2</v>
      </c>
      <c r="F12" s="112">
        <f ca="1">IF($D$2="A",
(D12-G12)*IFERROR(VLOOKUP(C12,'1.a Assumptions'!$A$33:$C$48,2,FALSE),0),
(D12-G12)*100%*(C12=$D$5-1))</f>
        <v>0</v>
      </c>
      <c r="G12" s="112">
        <f>IF($D$2="A",
D12*IFERROR(VLOOKUP(C12,'1.a Assumptions'!$A$33:$C$48,3,FALSE),0),
0)</f>
        <v>0</v>
      </c>
      <c r="H12" s="112">
        <f t="shared" ref="H12:H75" ca="1" si="4">D12-E12-F12-G12</f>
        <v>0.90249999999999997</v>
      </c>
      <c r="J12" s="61">
        <f ca="1">IF($C12="","",J11+1)</f>
        <v>1</v>
      </c>
      <c r="K12" s="141">
        <f ca="1">K$11*D12</f>
        <v>199.5</v>
      </c>
      <c r="L12" s="134">
        <f ca="1">L$11*$D12</f>
        <v>9.9749999999999996</v>
      </c>
      <c r="M12" s="134">
        <f t="shared" ref="M12:Z12" ca="1" si="5">M$11*$D12</f>
        <v>9.9749999999999996</v>
      </c>
      <c r="N12" s="134">
        <f t="shared" ca="1" si="5"/>
        <v>9.9749999999999996</v>
      </c>
      <c r="O12" s="134">
        <f t="shared" ca="1" si="5"/>
        <v>9.9749999999999996</v>
      </c>
      <c r="P12" s="134">
        <f t="shared" ca="1" si="5"/>
        <v>9.9749999999999996</v>
      </c>
      <c r="Q12" s="134">
        <f t="shared" ca="1" si="5"/>
        <v>9.9749999999999996</v>
      </c>
      <c r="R12" s="134">
        <f t="shared" ca="1" si="5"/>
        <v>9.9749999999999996</v>
      </c>
      <c r="S12" s="134">
        <f t="shared" ca="1" si="5"/>
        <v>9.9749999999999996</v>
      </c>
      <c r="T12" s="134">
        <f t="shared" ca="1" si="5"/>
        <v>9.9749999999999996</v>
      </c>
      <c r="U12" s="134">
        <f t="shared" ca="1" si="5"/>
        <v>9.9749999999999996</v>
      </c>
      <c r="V12" s="134">
        <f t="shared" ca="1" si="5"/>
        <v>9.9749999999999996</v>
      </c>
      <c r="W12" s="134">
        <f t="shared" ca="1" si="5"/>
        <v>9.9749999999999996</v>
      </c>
      <c r="X12" s="134">
        <f t="shared" ca="1" si="5"/>
        <v>9.9749999999999996</v>
      </c>
      <c r="Y12" s="135">
        <f t="shared" ca="1" si="5"/>
        <v>9.9749999999999996</v>
      </c>
      <c r="Z12" s="134">
        <f t="shared" ca="1" si="5"/>
        <v>9.9749999999999996</v>
      </c>
      <c r="AB12" s="137">
        <f ca="1">K12+L11</f>
        <v>210</v>
      </c>
    </row>
    <row r="13" spans="1:28" ht="15" customHeight="1" x14ac:dyDescent="0.3">
      <c r="A13" s="13"/>
      <c r="B13" s="61">
        <f t="shared" ref="B13:B76" ca="1" si="6">IF($C13="","",B12+1)</f>
        <v>2</v>
      </c>
      <c r="C13" s="75">
        <f t="shared" ca="1" si="3"/>
        <v>32</v>
      </c>
      <c r="D13" s="112">
        <f t="shared" ref="D13:D76" ca="1" si="7">H12</f>
        <v>0.90249999999999997</v>
      </c>
      <c r="E13" s="112">
        <f t="shared" ca="1" si="2"/>
        <v>4.5124999999999998E-2</v>
      </c>
      <c r="F13" s="112">
        <f ca="1">IF($D$2="A",
(D13-G13)*IFERROR(VLOOKUP(C13,'1.a Assumptions'!$A$33:$C$48,2,FALSE),0),
(D13-G13)*100%*(C13=$D$5-1))</f>
        <v>0</v>
      </c>
      <c r="G13" s="112">
        <f>IF($D$2="A",
D13*IFERROR(VLOOKUP(C13,'1.a Assumptions'!$A$33:$C$48,3,FALSE),0),
0)</f>
        <v>0</v>
      </c>
      <c r="H13" s="112">
        <f t="shared" ca="1" si="4"/>
        <v>0.857375</v>
      </c>
      <c r="J13" s="61">
        <f t="shared" ref="J13:J26" ca="1" si="8">IF($C13="","",J12+1)</f>
        <v>2</v>
      </c>
      <c r="K13" s="134">
        <f ca="1">K$11*D13</f>
        <v>189.52500000000001</v>
      </c>
      <c r="L13" s="134">
        <f t="shared" ref="L13:Z26" ca="1" si="9">L$11*$D13</f>
        <v>9.4762500000000003</v>
      </c>
      <c r="M13" s="134">
        <f t="shared" ca="1" si="9"/>
        <v>9.4762500000000003</v>
      </c>
      <c r="N13" s="134">
        <f t="shared" ca="1" si="9"/>
        <v>9.4762500000000003</v>
      </c>
      <c r="O13" s="134">
        <f t="shared" ca="1" si="9"/>
        <v>9.4762500000000003</v>
      </c>
      <c r="P13" s="134">
        <f t="shared" ca="1" si="9"/>
        <v>9.4762500000000003</v>
      </c>
      <c r="Q13" s="134">
        <f t="shared" ca="1" si="9"/>
        <v>9.4762500000000003</v>
      </c>
      <c r="R13" s="134">
        <f t="shared" ca="1" si="9"/>
        <v>9.4762500000000003</v>
      </c>
      <c r="S13" s="134">
        <f t="shared" ca="1" si="9"/>
        <v>9.4762500000000003</v>
      </c>
      <c r="T13" s="134">
        <f t="shared" ca="1" si="9"/>
        <v>9.4762500000000003</v>
      </c>
      <c r="U13" s="134">
        <f t="shared" ca="1" si="9"/>
        <v>9.4762500000000003</v>
      </c>
      <c r="V13" s="134">
        <f t="shared" ca="1" si="9"/>
        <v>9.4762500000000003</v>
      </c>
      <c r="W13" s="134">
        <f t="shared" ca="1" si="9"/>
        <v>9.4762500000000003</v>
      </c>
      <c r="X13" s="135">
        <f t="shared" ca="1" si="9"/>
        <v>9.4762500000000003</v>
      </c>
      <c r="Y13" s="134">
        <f t="shared" ca="1" si="9"/>
        <v>9.4762500000000003</v>
      </c>
      <c r="Z13" s="134">
        <f t="shared" ca="1" si="9"/>
        <v>9.4762500000000003</v>
      </c>
      <c r="AB13" s="137">
        <f ca="1">K13+L12+M11</f>
        <v>210</v>
      </c>
    </row>
    <row r="14" spans="1:28" ht="15" customHeight="1" x14ac:dyDescent="0.3">
      <c r="A14" s="13"/>
      <c r="B14" s="61">
        <f t="shared" ca="1" si="6"/>
        <v>3</v>
      </c>
      <c r="C14" s="75">
        <f t="shared" ca="1" si="3"/>
        <v>33</v>
      </c>
      <c r="D14" s="112">
        <f t="shared" ca="1" si="7"/>
        <v>0.857375</v>
      </c>
      <c r="E14" s="112">
        <f t="shared" ca="1" si="2"/>
        <v>4.2868750000000004E-2</v>
      </c>
      <c r="F14" s="112">
        <f ca="1">IF($D$2="A",
(D14-G14)*IFERROR(VLOOKUP(C14,'1.a Assumptions'!$A$33:$C$48,2,FALSE),0),
(D14-G14)*100%*(C14=$D$5-1))</f>
        <v>0</v>
      </c>
      <c r="G14" s="112">
        <f>IF($D$2="A",
D14*IFERROR(VLOOKUP(C14,'1.a Assumptions'!$A$33:$C$48,3,FALSE),0),
0)</f>
        <v>0</v>
      </c>
      <c r="H14" s="112">
        <f t="shared" ca="1" si="4"/>
        <v>0.81450624999999999</v>
      </c>
      <c r="J14" s="61">
        <f t="shared" ca="1" si="8"/>
        <v>3</v>
      </c>
      <c r="K14" s="134">
        <f ca="1">K$11*D14</f>
        <v>180.04875000000001</v>
      </c>
      <c r="L14" s="134">
        <f t="shared" ca="1" si="9"/>
        <v>9.0024374999999992</v>
      </c>
      <c r="M14" s="134">
        <f t="shared" ca="1" si="9"/>
        <v>9.0024374999999992</v>
      </c>
      <c r="N14" s="134">
        <f t="shared" ca="1" si="9"/>
        <v>9.0024374999999992</v>
      </c>
      <c r="O14" s="134">
        <f t="shared" ca="1" si="9"/>
        <v>9.0024374999999992</v>
      </c>
      <c r="P14" s="134">
        <f t="shared" ca="1" si="9"/>
        <v>9.0024374999999992</v>
      </c>
      <c r="Q14" s="134">
        <f t="shared" ca="1" si="9"/>
        <v>9.0024374999999992</v>
      </c>
      <c r="R14" s="134">
        <f t="shared" ca="1" si="9"/>
        <v>9.0024374999999992</v>
      </c>
      <c r="S14" s="134">
        <f t="shared" ca="1" si="9"/>
        <v>9.0024374999999992</v>
      </c>
      <c r="T14" s="134">
        <f t="shared" ca="1" si="9"/>
        <v>9.0024374999999992</v>
      </c>
      <c r="U14" s="134">
        <f t="shared" ca="1" si="9"/>
        <v>9.0024374999999992</v>
      </c>
      <c r="V14" s="134">
        <f t="shared" ca="1" si="9"/>
        <v>9.0024374999999992</v>
      </c>
      <c r="W14" s="135">
        <f t="shared" ca="1" si="9"/>
        <v>9.0024374999999992</v>
      </c>
      <c r="X14" s="134">
        <f t="shared" ca="1" si="9"/>
        <v>9.0024374999999992</v>
      </c>
      <c r="Y14" s="134">
        <f t="shared" ca="1" si="9"/>
        <v>9.0024374999999992</v>
      </c>
      <c r="Z14" s="134">
        <f t="shared" ca="1" si="9"/>
        <v>9.0024374999999992</v>
      </c>
      <c r="AB14" s="137">
        <f ca="1">K14+L13+M12+N11</f>
        <v>210</v>
      </c>
    </row>
    <row r="15" spans="1:28" ht="15" customHeight="1" x14ac:dyDescent="0.3">
      <c r="A15" s="13"/>
      <c r="B15" s="61">
        <f t="shared" ca="1" si="6"/>
        <v>4</v>
      </c>
      <c r="C15" s="75">
        <f t="shared" ca="1" si="3"/>
        <v>34</v>
      </c>
      <c r="D15" s="112">
        <f t="shared" ca="1" si="7"/>
        <v>0.81450624999999999</v>
      </c>
      <c r="E15" s="112">
        <f t="shared" ca="1" si="2"/>
        <v>4.0725312499999999E-2</v>
      </c>
      <c r="F15" s="112">
        <f ca="1">IF($D$2="A",
(D15-G15)*IFERROR(VLOOKUP(C15,'1.a Assumptions'!$A$33:$C$48,2,FALSE),0),
(D15-G15)*100%*(C15=$D$5-1))</f>
        <v>0</v>
      </c>
      <c r="G15" s="112">
        <f>IF($D$2="A",
D15*IFERROR(VLOOKUP(C15,'1.a Assumptions'!$A$33:$C$48,3,FALSE),0),
0)</f>
        <v>0</v>
      </c>
      <c r="H15" s="112">
        <f t="shared" ca="1" si="4"/>
        <v>0.77378093749999999</v>
      </c>
      <c r="J15" s="61">
        <f t="shared" ca="1" si="8"/>
        <v>4</v>
      </c>
      <c r="K15" s="134">
        <f ca="1">K$11*D15</f>
        <v>171.0463125</v>
      </c>
      <c r="L15" s="134">
        <f t="shared" ca="1" si="9"/>
        <v>8.5523156250000003</v>
      </c>
      <c r="M15" s="134">
        <f t="shared" ca="1" si="9"/>
        <v>8.5523156250000003</v>
      </c>
      <c r="N15" s="134">
        <f t="shared" ca="1" si="9"/>
        <v>8.5523156250000003</v>
      </c>
      <c r="O15" s="134">
        <f t="shared" ca="1" si="9"/>
        <v>8.5523156250000003</v>
      </c>
      <c r="P15" s="134">
        <f t="shared" ca="1" si="9"/>
        <v>8.5523156250000003</v>
      </c>
      <c r="Q15" s="134">
        <f t="shared" ca="1" si="9"/>
        <v>8.5523156250000003</v>
      </c>
      <c r="R15" s="134">
        <f t="shared" ca="1" si="9"/>
        <v>8.5523156250000003</v>
      </c>
      <c r="S15" s="134">
        <f t="shared" ca="1" si="9"/>
        <v>8.5523156250000003</v>
      </c>
      <c r="T15" s="134">
        <f t="shared" ca="1" si="9"/>
        <v>8.5523156250000003</v>
      </c>
      <c r="U15" s="134">
        <f t="shared" ca="1" si="9"/>
        <v>8.5523156250000003</v>
      </c>
      <c r="V15" s="135">
        <f t="shared" ca="1" si="9"/>
        <v>8.5523156250000003</v>
      </c>
      <c r="W15" s="134">
        <f t="shared" ca="1" si="9"/>
        <v>8.5523156250000003</v>
      </c>
      <c r="X15" s="134">
        <f t="shared" ca="1" si="9"/>
        <v>8.5523156250000003</v>
      </c>
      <c r="Y15" s="134">
        <f t="shared" ca="1" si="9"/>
        <v>8.5523156250000003</v>
      </c>
      <c r="Z15" s="134">
        <f t="shared" ca="1" si="9"/>
        <v>8.5523156250000003</v>
      </c>
      <c r="AB15" s="137">
        <f ca="1">K15+L14+M13+N12+O11</f>
        <v>209.99999999999997</v>
      </c>
    </row>
    <row r="16" spans="1:28" ht="15" customHeight="1" x14ac:dyDescent="0.3">
      <c r="A16" s="13"/>
      <c r="B16" s="61">
        <f t="shared" ca="1" si="6"/>
        <v>5</v>
      </c>
      <c r="C16" s="75">
        <f t="shared" ca="1" si="3"/>
        <v>35</v>
      </c>
      <c r="D16" s="112">
        <f t="shared" ca="1" si="7"/>
        <v>0.77378093749999999</v>
      </c>
      <c r="E16" s="112">
        <f t="shared" ca="1" si="2"/>
        <v>3.8689046875000001E-2</v>
      </c>
      <c r="F16" s="112">
        <f ca="1">IF($D$2="A",
(D16-G16)*IFERROR(VLOOKUP(C16,'1.a Assumptions'!$A$33:$C$48,2,FALSE),0),
(D16-G16)*100%*(C16=$D$5-1))</f>
        <v>0</v>
      </c>
      <c r="G16" s="112">
        <f>IF($D$2="A",
D16*IFERROR(VLOOKUP(C16,'1.a Assumptions'!$A$33:$C$48,3,FALSE),0),
0)</f>
        <v>0</v>
      </c>
      <c r="H16" s="112">
        <f t="shared" ca="1" si="4"/>
        <v>0.73509189062500002</v>
      </c>
      <c r="J16" s="61">
        <f t="shared" ca="1" si="8"/>
        <v>5</v>
      </c>
      <c r="K16" s="134">
        <f ca="1">K$11*D16</f>
        <v>162.49399687499999</v>
      </c>
      <c r="L16" s="134">
        <f t="shared" ca="1" si="9"/>
        <v>8.1246998437499993</v>
      </c>
      <c r="M16" s="134">
        <f t="shared" ca="1" si="9"/>
        <v>8.1246998437499993</v>
      </c>
      <c r="N16" s="134">
        <f t="shared" ca="1" si="9"/>
        <v>8.1246998437499993</v>
      </c>
      <c r="O16" s="134">
        <f t="shared" ca="1" si="9"/>
        <v>8.1246998437499993</v>
      </c>
      <c r="P16" s="134">
        <f t="shared" ca="1" si="9"/>
        <v>8.1246998437499993</v>
      </c>
      <c r="Q16" s="134">
        <f t="shared" ca="1" si="9"/>
        <v>8.1246998437499993</v>
      </c>
      <c r="R16" s="134">
        <f t="shared" ca="1" si="9"/>
        <v>8.1246998437499993</v>
      </c>
      <c r="S16" s="134">
        <f t="shared" ca="1" si="9"/>
        <v>8.1246998437499993</v>
      </c>
      <c r="T16" s="134">
        <f t="shared" ca="1" si="9"/>
        <v>8.1246998437499993</v>
      </c>
      <c r="U16" s="135">
        <f t="shared" ca="1" si="9"/>
        <v>8.1246998437499993</v>
      </c>
      <c r="V16" s="134">
        <f t="shared" ca="1" si="9"/>
        <v>8.1246998437499993</v>
      </c>
      <c r="W16" s="134">
        <f t="shared" ca="1" si="9"/>
        <v>8.1246998437499993</v>
      </c>
      <c r="X16" s="134">
        <f t="shared" ca="1" si="9"/>
        <v>8.1246998437499993</v>
      </c>
      <c r="Y16" s="134">
        <f t="shared" ca="1" si="9"/>
        <v>8.1246998437499993</v>
      </c>
      <c r="Z16" s="134">
        <f t="shared" ca="1" si="9"/>
        <v>8.1246998437499993</v>
      </c>
      <c r="AB16" s="137">
        <f ca="1">K16+L15+M14+N13+O12+P11</f>
        <v>209.99999999999997</v>
      </c>
    </row>
    <row r="17" spans="1:28" ht="15" customHeight="1" x14ac:dyDescent="0.3">
      <c r="A17" s="13"/>
      <c r="B17" s="61">
        <f t="shared" ca="1" si="6"/>
        <v>6</v>
      </c>
      <c r="C17" s="75">
        <f t="shared" ca="1" si="3"/>
        <v>36</v>
      </c>
      <c r="D17" s="112">
        <f t="shared" ca="1" si="7"/>
        <v>0.73509189062500002</v>
      </c>
      <c r="E17" s="112">
        <f t="shared" ca="1" si="2"/>
        <v>3.6754594531250004E-2</v>
      </c>
      <c r="F17" s="112">
        <f ca="1">IF($D$2="A",
(D17-G17)*IFERROR(VLOOKUP(C17,'1.a Assumptions'!$A$33:$C$48,2,FALSE),0),
(D17-G17)*100%*(C17=$D$5-1))</f>
        <v>0</v>
      </c>
      <c r="G17" s="112">
        <f>IF($D$2="A",
D17*IFERROR(VLOOKUP(C17,'1.a Assumptions'!$A$33:$C$48,3,FALSE),0),
0)</f>
        <v>0</v>
      </c>
      <c r="H17" s="112">
        <f t="shared" ca="1" si="4"/>
        <v>0.69833729609375006</v>
      </c>
      <c r="J17" s="61">
        <f t="shared" ca="1" si="8"/>
        <v>6</v>
      </c>
      <c r="K17" s="134">
        <f ca="1">K$11*D17</f>
        <v>154.36929703125</v>
      </c>
      <c r="L17" s="134">
        <f t="shared" ca="1" si="9"/>
        <v>7.7184648515625005</v>
      </c>
      <c r="M17" s="134">
        <f t="shared" ca="1" si="9"/>
        <v>7.7184648515625005</v>
      </c>
      <c r="N17" s="134">
        <f t="shared" ca="1" si="9"/>
        <v>7.7184648515625005</v>
      </c>
      <c r="O17" s="134">
        <f t="shared" ca="1" si="9"/>
        <v>7.7184648515625005</v>
      </c>
      <c r="P17" s="134">
        <f t="shared" ca="1" si="9"/>
        <v>7.7184648515625005</v>
      </c>
      <c r="Q17" s="134">
        <f t="shared" ca="1" si="9"/>
        <v>7.7184648515625005</v>
      </c>
      <c r="R17" s="134">
        <f t="shared" ca="1" si="9"/>
        <v>7.7184648515625005</v>
      </c>
      <c r="S17" s="134">
        <f t="shared" ca="1" si="9"/>
        <v>7.7184648515625005</v>
      </c>
      <c r="T17" s="135">
        <f t="shared" ca="1" si="9"/>
        <v>7.7184648515625005</v>
      </c>
      <c r="U17" s="134">
        <f t="shared" ca="1" si="9"/>
        <v>7.7184648515625005</v>
      </c>
      <c r="V17" s="134">
        <f t="shared" ca="1" si="9"/>
        <v>7.7184648515625005</v>
      </c>
      <c r="W17" s="134">
        <f t="shared" ca="1" si="9"/>
        <v>7.7184648515625005</v>
      </c>
      <c r="X17" s="134">
        <f t="shared" ca="1" si="9"/>
        <v>7.7184648515625005</v>
      </c>
      <c r="Y17" s="134">
        <f t="shared" ca="1" si="9"/>
        <v>7.7184648515625005</v>
      </c>
      <c r="Z17" s="134">
        <f t="shared" ca="1" si="9"/>
        <v>7.7184648515625005</v>
      </c>
      <c r="AB17" s="137">
        <f ca="1">K17+L16+M15+N14+O13+P12+Q11</f>
        <v>209.99999999999997</v>
      </c>
    </row>
    <row r="18" spans="1:28" ht="15" customHeight="1" x14ac:dyDescent="0.3">
      <c r="A18" s="13"/>
      <c r="B18" s="61">
        <f t="shared" ca="1" si="6"/>
        <v>7</v>
      </c>
      <c r="C18" s="75">
        <f t="shared" ca="1" si="3"/>
        <v>37</v>
      </c>
      <c r="D18" s="112">
        <f t="shared" ca="1" si="7"/>
        <v>0.69833729609375006</v>
      </c>
      <c r="E18" s="112">
        <f t="shared" ca="1" si="2"/>
        <v>3.4916864804687503E-2</v>
      </c>
      <c r="F18" s="112">
        <f ca="1">IF($D$2="A",
(D18-G18)*IFERROR(VLOOKUP(C18,'1.a Assumptions'!$A$33:$C$48,2,FALSE),0),
(D18-G18)*100%*(C18=$D$5-1))</f>
        <v>0</v>
      </c>
      <c r="G18" s="112">
        <f>IF($D$2="A",
D18*IFERROR(VLOOKUP(C18,'1.a Assumptions'!$A$33:$C$48,3,FALSE),0),
0)</f>
        <v>0</v>
      </c>
      <c r="H18" s="112">
        <f t="shared" ca="1" si="4"/>
        <v>0.66342043128906258</v>
      </c>
      <c r="J18" s="61">
        <f t="shared" ca="1" si="8"/>
        <v>7</v>
      </c>
      <c r="K18" s="134">
        <f ca="1">K$11*D18</f>
        <v>146.65083217968751</v>
      </c>
      <c r="L18" s="134">
        <f t="shared" ca="1" si="9"/>
        <v>7.3325416089843758</v>
      </c>
      <c r="M18" s="134">
        <f t="shared" ca="1" si="9"/>
        <v>7.3325416089843758</v>
      </c>
      <c r="N18" s="134">
        <f t="shared" ca="1" si="9"/>
        <v>7.3325416089843758</v>
      </c>
      <c r="O18" s="134">
        <f t="shared" ca="1" si="9"/>
        <v>7.3325416089843758</v>
      </c>
      <c r="P18" s="134">
        <f t="shared" ca="1" si="9"/>
        <v>7.3325416089843758</v>
      </c>
      <c r="Q18" s="134">
        <f t="shared" ca="1" si="9"/>
        <v>7.3325416089843758</v>
      </c>
      <c r="R18" s="134">
        <f t="shared" ca="1" si="9"/>
        <v>7.3325416089843758</v>
      </c>
      <c r="S18" s="135">
        <f t="shared" ca="1" si="9"/>
        <v>7.3325416089843758</v>
      </c>
      <c r="T18" s="134">
        <f t="shared" ca="1" si="9"/>
        <v>7.3325416089843758</v>
      </c>
      <c r="U18" s="134">
        <f t="shared" ca="1" si="9"/>
        <v>7.3325416089843758</v>
      </c>
      <c r="V18" s="134">
        <f t="shared" ca="1" si="9"/>
        <v>7.3325416089843758</v>
      </c>
      <c r="W18" s="134">
        <f t="shared" ca="1" si="9"/>
        <v>7.3325416089843758</v>
      </c>
      <c r="X18" s="134">
        <f t="shared" ca="1" si="9"/>
        <v>7.3325416089843758</v>
      </c>
      <c r="Y18" s="134">
        <f t="shared" ca="1" si="9"/>
        <v>7.3325416089843758</v>
      </c>
      <c r="Z18" s="134">
        <f t="shared" ca="1" si="9"/>
        <v>7.3325416089843758</v>
      </c>
      <c r="AB18" s="137">
        <f ca="1">K18+L17+M16+N15+O14+P13+Q12+R11</f>
        <v>209.99999999999997</v>
      </c>
    </row>
    <row r="19" spans="1:28" ht="15" customHeight="1" x14ac:dyDescent="0.3">
      <c r="A19" s="13"/>
      <c r="B19" s="61">
        <f t="shared" ca="1" si="6"/>
        <v>8</v>
      </c>
      <c r="C19" s="75">
        <f t="shared" ca="1" si="3"/>
        <v>38</v>
      </c>
      <c r="D19" s="112">
        <f t="shared" ca="1" si="7"/>
        <v>0.66342043128906258</v>
      </c>
      <c r="E19" s="112">
        <f t="shared" ca="1" si="2"/>
        <v>3.3171021564453132E-2</v>
      </c>
      <c r="F19" s="112">
        <f ca="1">IF($D$2="A",
(D19-G19)*IFERROR(VLOOKUP(C19,'1.a Assumptions'!$A$33:$C$48,2,FALSE),0),
(D19-G19)*100%*(C19=$D$5-1))</f>
        <v>0</v>
      </c>
      <c r="G19" s="112">
        <f>IF($D$2="A",
D19*IFERROR(VLOOKUP(C19,'1.a Assumptions'!$A$33:$C$48,3,FALSE),0),
0)</f>
        <v>0</v>
      </c>
      <c r="H19" s="112">
        <f t="shared" ca="1" si="4"/>
        <v>0.63024940972460941</v>
      </c>
      <c r="J19" s="61">
        <f t="shared" ca="1" si="8"/>
        <v>8</v>
      </c>
      <c r="K19" s="134">
        <f ca="1">K$11*D19</f>
        <v>139.31829057070314</v>
      </c>
      <c r="L19" s="134">
        <f t="shared" ca="1" si="9"/>
        <v>6.9659145285351567</v>
      </c>
      <c r="M19" s="134">
        <f t="shared" ca="1" si="9"/>
        <v>6.9659145285351567</v>
      </c>
      <c r="N19" s="134">
        <f t="shared" ca="1" si="9"/>
        <v>6.9659145285351567</v>
      </c>
      <c r="O19" s="134">
        <f t="shared" ca="1" si="9"/>
        <v>6.9659145285351567</v>
      </c>
      <c r="P19" s="134">
        <f t="shared" ca="1" si="9"/>
        <v>6.9659145285351567</v>
      </c>
      <c r="Q19" s="134">
        <f t="shared" ca="1" si="9"/>
        <v>6.9659145285351567</v>
      </c>
      <c r="R19" s="135">
        <f t="shared" ca="1" si="9"/>
        <v>6.9659145285351567</v>
      </c>
      <c r="S19" s="134">
        <f t="shared" ca="1" si="9"/>
        <v>6.9659145285351567</v>
      </c>
      <c r="T19" s="134">
        <f t="shared" ca="1" si="9"/>
        <v>6.9659145285351567</v>
      </c>
      <c r="U19" s="134">
        <f t="shared" ca="1" si="9"/>
        <v>6.9659145285351567</v>
      </c>
      <c r="V19" s="134">
        <f t="shared" ca="1" si="9"/>
        <v>6.9659145285351567</v>
      </c>
      <c r="W19" s="134">
        <f t="shared" ca="1" si="9"/>
        <v>6.9659145285351567</v>
      </c>
      <c r="X19" s="134">
        <f t="shared" ca="1" si="9"/>
        <v>6.9659145285351567</v>
      </c>
      <c r="Y19" s="134">
        <f t="shared" ca="1" si="9"/>
        <v>6.9659145285351567</v>
      </c>
      <c r="Z19" s="134">
        <f t="shared" ca="1" si="9"/>
        <v>6.9659145285351567</v>
      </c>
      <c r="AB19" s="137">
        <f ca="1">K19+L18+M17+N16+O15+P14+Q13+R12+S11</f>
        <v>209.99999999999997</v>
      </c>
    </row>
    <row r="20" spans="1:28" ht="15" customHeight="1" x14ac:dyDescent="0.3">
      <c r="A20" s="13"/>
      <c r="B20" s="61">
        <f t="shared" ca="1" si="6"/>
        <v>9</v>
      </c>
      <c r="C20" s="75">
        <f t="shared" ca="1" si="3"/>
        <v>39</v>
      </c>
      <c r="D20" s="112">
        <f t="shared" ca="1" si="7"/>
        <v>0.63024940972460941</v>
      </c>
      <c r="E20" s="112">
        <f t="shared" ca="1" si="2"/>
        <v>3.1512470486230473E-2</v>
      </c>
      <c r="F20" s="112">
        <f ca="1">IF($D$2="A",
(D20-G20)*IFERROR(VLOOKUP(C20,'1.a Assumptions'!$A$33:$C$48,2,FALSE),0),
(D20-G20)*100%*(C20=$D$5-1))</f>
        <v>0</v>
      </c>
      <c r="G20" s="112">
        <f>IF($D$2="A",
D20*IFERROR(VLOOKUP(C20,'1.a Assumptions'!$A$33:$C$48,3,FALSE),0),
0)</f>
        <v>0</v>
      </c>
      <c r="H20" s="112">
        <f t="shared" ca="1" si="4"/>
        <v>0.5987369392383789</v>
      </c>
      <c r="J20" s="61">
        <f t="shared" ca="1" si="8"/>
        <v>9</v>
      </c>
      <c r="K20" s="134">
        <f ca="1">K$11*D20</f>
        <v>132.35237604216798</v>
      </c>
      <c r="L20" s="134">
        <f t="shared" ca="1" si="9"/>
        <v>6.6176188021083986</v>
      </c>
      <c r="M20" s="134">
        <f t="shared" ca="1" si="9"/>
        <v>6.6176188021083986</v>
      </c>
      <c r="N20" s="134">
        <f t="shared" ca="1" si="9"/>
        <v>6.6176188021083986</v>
      </c>
      <c r="O20" s="134">
        <f t="shared" ca="1" si="9"/>
        <v>6.6176188021083986</v>
      </c>
      <c r="P20" s="134">
        <f t="shared" ca="1" si="9"/>
        <v>6.6176188021083986</v>
      </c>
      <c r="Q20" s="135">
        <f t="shared" ca="1" si="9"/>
        <v>6.6176188021083986</v>
      </c>
      <c r="R20" s="134">
        <f t="shared" ca="1" si="9"/>
        <v>6.6176188021083986</v>
      </c>
      <c r="S20" s="134">
        <f t="shared" ca="1" si="9"/>
        <v>6.6176188021083986</v>
      </c>
      <c r="T20" s="134">
        <f t="shared" ca="1" si="9"/>
        <v>6.6176188021083986</v>
      </c>
      <c r="U20" s="134">
        <f t="shared" ca="1" si="9"/>
        <v>6.6176188021083986</v>
      </c>
      <c r="V20" s="134">
        <f t="shared" ca="1" si="9"/>
        <v>6.6176188021083986</v>
      </c>
      <c r="W20" s="134">
        <f t="shared" ca="1" si="9"/>
        <v>6.6176188021083986</v>
      </c>
      <c r="X20" s="134">
        <f t="shared" ca="1" si="9"/>
        <v>6.6176188021083986</v>
      </c>
      <c r="Y20" s="134">
        <f t="shared" ca="1" si="9"/>
        <v>6.6176188021083986</v>
      </c>
      <c r="Z20" s="134">
        <f t="shared" ca="1" si="9"/>
        <v>6.6176188021083986</v>
      </c>
      <c r="AB20" s="137">
        <f ca="1">K20+L19+M18+N17+O16+P15+Q14+R13+S12+T11</f>
        <v>209.99999999999997</v>
      </c>
    </row>
    <row r="21" spans="1:28" ht="15" customHeight="1" x14ac:dyDescent="0.3">
      <c r="A21" s="13"/>
      <c r="B21" s="61">
        <f t="shared" ca="1" si="6"/>
        <v>10</v>
      </c>
      <c r="C21" s="75">
        <f t="shared" ca="1" si="3"/>
        <v>40</v>
      </c>
      <c r="D21" s="112">
        <f t="shared" ca="1" si="7"/>
        <v>0.5987369392383789</v>
      </c>
      <c r="E21" s="112">
        <f t="shared" ca="1" si="2"/>
        <v>2.9936846961918947E-2</v>
      </c>
      <c r="F21" s="112">
        <f ca="1">IF($D$2="A",
(D21-G21)*IFERROR(VLOOKUP(C21,'1.a Assumptions'!$A$33:$C$48,2,FALSE),0),
(D21-G21)*100%*(C21=$D$5-1))</f>
        <v>0</v>
      </c>
      <c r="G21" s="112">
        <f>IF($D$2="A",
D21*IFERROR(VLOOKUP(C21,'1.a Assumptions'!$A$33:$C$48,3,FALSE),0),
0)</f>
        <v>0</v>
      </c>
      <c r="H21" s="112">
        <f t="shared" ca="1" si="4"/>
        <v>0.56880009227646</v>
      </c>
      <c r="J21" s="61">
        <f t="shared" ca="1" si="8"/>
        <v>10</v>
      </c>
      <c r="K21" s="134">
        <f ca="1">K$11*D21</f>
        <v>125.73475724005957</v>
      </c>
      <c r="L21" s="134">
        <f t="shared" ca="1" si="9"/>
        <v>6.2867378620029788</v>
      </c>
      <c r="M21" s="134">
        <f t="shared" ca="1" si="9"/>
        <v>6.2867378620029788</v>
      </c>
      <c r="N21" s="134">
        <f t="shared" ca="1" si="9"/>
        <v>6.2867378620029788</v>
      </c>
      <c r="O21" s="134">
        <f t="shared" ca="1" si="9"/>
        <v>6.2867378620029788</v>
      </c>
      <c r="P21" s="135">
        <f t="shared" ca="1" si="9"/>
        <v>6.2867378620029788</v>
      </c>
      <c r="Q21" s="134">
        <f t="shared" ca="1" si="9"/>
        <v>6.2867378620029788</v>
      </c>
      <c r="R21" s="134">
        <f t="shared" ca="1" si="9"/>
        <v>6.2867378620029788</v>
      </c>
      <c r="S21" s="134">
        <f t="shared" ca="1" si="9"/>
        <v>6.2867378620029788</v>
      </c>
      <c r="T21" s="134">
        <f t="shared" ca="1" si="9"/>
        <v>6.2867378620029788</v>
      </c>
      <c r="U21" s="134">
        <f t="shared" ca="1" si="9"/>
        <v>6.2867378620029788</v>
      </c>
      <c r="V21" s="134">
        <f t="shared" ca="1" si="9"/>
        <v>6.2867378620029788</v>
      </c>
      <c r="W21" s="134">
        <f t="shared" ca="1" si="9"/>
        <v>6.2867378620029788</v>
      </c>
      <c r="X21" s="134">
        <f t="shared" ca="1" si="9"/>
        <v>6.2867378620029788</v>
      </c>
      <c r="Y21" s="134">
        <f t="shared" ca="1" si="9"/>
        <v>6.2867378620029788</v>
      </c>
      <c r="Z21" s="134">
        <f t="shared" ca="1" si="9"/>
        <v>6.2867378620029788</v>
      </c>
      <c r="AB21" s="137">
        <f ca="1">K21+L20+M19+N18+O17+P16+Q15+R14+S13+T12+U11</f>
        <v>209.99999999999997</v>
      </c>
    </row>
    <row r="22" spans="1:28" ht="15" customHeight="1" x14ac:dyDescent="0.3">
      <c r="A22" s="13"/>
      <c r="B22" s="61">
        <f t="shared" ca="1" si="6"/>
        <v>11</v>
      </c>
      <c r="C22" s="75">
        <f t="shared" ca="1" si="3"/>
        <v>41</v>
      </c>
      <c r="D22" s="112">
        <f t="shared" ca="1" si="7"/>
        <v>0.56880009227646</v>
      </c>
      <c r="E22" s="112">
        <f t="shared" ca="1" si="2"/>
        <v>2.8440004613823001E-2</v>
      </c>
      <c r="F22" s="112">
        <f ca="1">IF($D$2="A",
(D22-G22)*IFERROR(VLOOKUP(C22,'1.a Assumptions'!$A$33:$C$48,2,FALSE),0),
(D22-G22)*100%*(C22=$D$5-1))</f>
        <v>0</v>
      </c>
      <c r="G22" s="112">
        <f>IF($D$2="A",
D22*IFERROR(VLOOKUP(C22,'1.a Assumptions'!$A$33:$C$48,3,FALSE),0),
0)</f>
        <v>0</v>
      </c>
      <c r="H22" s="112">
        <f t="shared" ca="1" si="4"/>
        <v>0.54036008766263699</v>
      </c>
      <c r="J22" s="61">
        <f t="shared" ca="1" si="8"/>
        <v>11</v>
      </c>
      <c r="K22" s="134">
        <f ca="1">K$11*D22</f>
        <v>119.4480193780566</v>
      </c>
      <c r="L22" s="134">
        <f t="shared" ca="1" si="9"/>
        <v>5.9724009689028303</v>
      </c>
      <c r="M22" s="134">
        <f t="shared" ca="1" si="9"/>
        <v>5.9724009689028303</v>
      </c>
      <c r="N22" s="134">
        <f t="shared" ca="1" si="9"/>
        <v>5.9724009689028303</v>
      </c>
      <c r="O22" s="135">
        <f t="shared" ca="1" si="9"/>
        <v>5.9724009689028303</v>
      </c>
      <c r="P22" s="134">
        <f t="shared" ca="1" si="9"/>
        <v>5.9724009689028303</v>
      </c>
      <c r="Q22" s="134">
        <f t="shared" ca="1" si="9"/>
        <v>5.9724009689028303</v>
      </c>
      <c r="R22" s="134">
        <f t="shared" ca="1" si="9"/>
        <v>5.9724009689028303</v>
      </c>
      <c r="S22" s="134">
        <f t="shared" ca="1" si="9"/>
        <v>5.9724009689028303</v>
      </c>
      <c r="T22" s="134">
        <f t="shared" ca="1" si="9"/>
        <v>5.9724009689028303</v>
      </c>
      <c r="U22" s="134">
        <f t="shared" ca="1" si="9"/>
        <v>5.9724009689028303</v>
      </c>
      <c r="V22" s="134">
        <f t="shared" ca="1" si="9"/>
        <v>5.9724009689028303</v>
      </c>
      <c r="W22" s="134">
        <f t="shared" ca="1" si="9"/>
        <v>5.9724009689028303</v>
      </c>
      <c r="X22" s="134">
        <f t="shared" ca="1" si="9"/>
        <v>5.9724009689028303</v>
      </c>
      <c r="Y22" s="134">
        <f t="shared" ca="1" si="9"/>
        <v>5.9724009689028303</v>
      </c>
      <c r="Z22" s="134">
        <f t="shared" ca="1" si="9"/>
        <v>5.9724009689028303</v>
      </c>
      <c r="AB22" s="137">
        <f ca="1">K22+L21+M20+N19+O18+P17+Q16+R15+S14+T13+U12+V11</f>
        <v>209.99999999999997</v>
      </c>
    </row>
    <row r="23" spans="1:28" ht="15" customHeight="1" x14ac:dyDescent="0.3">
      <c r="A23" s="13"/>
      <c r="B23" s="61">
        <f t="shared" ca="1" si="6"/>
        <v>12</v>
      </c>
      <c r="C23" s="75">
        <f t="shared" ca="1" si="3"/>
        <v>42</v>
      </c>
      <c r="D23" s="112">
        <f t="shared" ca="1" si="7"/>
        <v>0.54036008766263699</v>
      </c>
      <c r="E23" s="112">
        <f t="shared" ca="1" si="2"/>
        <v>2.7018004383131851E-2</v>
      </c>
      <c r="F23" s="112">
        <f ca="1">IF($D$2="A",
(D23-G23)*IFERROR(VLOOKUP(C23,'1.a Assumptions'!$A$33:$C$48,2,FALSE),0),
(D23-G23)*100%*(C23=$D$5-1))</f>
        <v>0</v>
      </c>
      <c r="G23" s="112">
        <f>IF($D$2="A",
D23*IFERROR(VLOOKUP(C23,'1.a Assumptions'!$A$33:$C$48,3,FALSE),0),
0)</f>
        <v>0</v>
      </c>
      <c r="H23" s="112">
        <f t="shared" ca="1" si="4"/>
        <v>0.51334208327950515</v>
      </c>
      <c r="J23" s="61">
        <f t="shared" ca="1" si="8"/>
        <v>12</v>
      </c>
      <c r="K23" s="134">
        <f ca="1">K$11*D23</f>
        <v>113.47561840915377</v>
      </c>
      <c r="L23" s="134">
        <f t="shared" ca="1" si="9"/>
        <v>5.6737809204576886</v>
      </c>
      <c r="M23" s="134">
        <f t="shared" ca="1" si="9"/>
        <v>5.6737809204576886</v>
      </c>
      <c r="N23" s="135">
        <f t="shared" ca="1" si="9"/>
        <v>5.6737809204576886</v>
      </c>
      <c r="O23" s="134">
        <f t="shared" ca="1" si="9"/>
        <v>5.6737809204576886</v>
      </c>
      <c r="P23" s="134">
        <f t="shared" ca="1" si="9"/>
        <v>5.6737809204576886</v>
      </c>
      <c r="Q23" s="134">
        <f t="shared" ca="1" si="9"/>
        <v>5.6737809204576886</v>
      </c>
      <c r="R23" s="134">
        <f t="shared" ca="1" si="9"/>
        <v>5.6737809204576886</v>
      </c>
      <c r="S23" s="134">
        <f t="shared" ca="1" si="9"/>
        <v>5.6737809204576886</v>
      </c>
      <c r="T23" s="134">
        <f t="shared" ca="1" si="9"/>
        <v>5.6737809204576886</v>
      </c>
      <c r="U23" s="134">
        <f t="shared" ca="1" si="9"/>
        <v>5.6737809204576886</v>
      </c>
      <c r="V23" s="134">
        <f t="shared" ca="1" si="9"/>
        <v>5.6737809204576886</v>
      </c>
      <c r="W23" s="134">
        <f t="shared" ca="1" si="9"/>
        <v>5.6737809204576886</v>
      </c>
      <c r="X23" s="134">
        <f t="shared" ca="1" si="9"/>
        <v>5.6737809204576886</v>
      </c>
      <c r="Y23" s="134">
        <f t="shared" ca="1" si="9"/>
        <v>5.6737809204576886</v>
      </c>
      <c r="Z23" s="134">
        <f t="shared" ca="1" si="9"/>
        <v>5.6737809204576886</v>
      </c>
      <c r="AB23" s="137">
        <f ca="1">K23+L22+M21+N20+O19+P18+Q17+R16+S15+T14+U13+V12+W11</f>
        <v>209.99999999999997</v>
      </c>
    </row>
    <row r="24" spans="1:28" ht="15" customHeight="1" x14ac:dyDescent="0.3">
      <c r="A24" s="13"/>
      <c r="B24" s="61">
        <f t="shared" ca="1" si="6"/>
        <v>13</v>
      </c>
      <c r="C24" s="75">
        <f t="shared" ca="1" si="3"/>
        <v>43</v>
      </c>
      <c r="D24" s="112">
        <f t="shared" ca="1" si="7"/>
        <v>0.51334208327950515</v>
      </c>
      <c r="E24" s="112">
        <f t="shared" ca="1" si="2"/>
        <v>2.566710416397526E-2</v>
      </c>
      <c r="F24" s="112">
        <f ca="1">IF($D$2="A",
(D24-G24)*IFERROR(VLOOKUP(C24,'1.a Assumptions'!$A$33:$C$48,2,FALSE),0),
(D24-G24)*100%*(C24=$D$5-1))</f>
        <v>0</v>
      </c>
      <c r="G24" s="112">
        <f>IF($D$2="A",
D24*IFERROR(VLOOKUP(C24,'1.a Assumptions'!$A$33:$C$48,3,FALSE),0),
0)</f>
        <v>0</v>
      </c>
      <c r="H24" s="112">
        <f t="shared" ca="1" si="4"/>
        <v>0.48767497911552987</v>
      </c>
      <c r="J24" s="61">
        <f t="shared" ca="1" si="8"/>
        <v>13</v>
      </c>
      <c r="K24" s="134">
        <f ca="1">K$11*D24</f>
        <v>107.80183748869608</v>
      </c>
      <c r="L24" s="134">
        <f t="shared" ca="1" si="9"/>
        <v>5.3900918744348036</v>
      </c>
      <c r="M24" s="135">
        <f t="shared" ca="1" si="9"/>
        <v>5.3900918744348036</v>
      </c>
      <c r="N24" s="134">
        <f t="shared" ca="1" si="9"/>
        <v>5.3900918744348036</v>
      </c>
      <c r="O24" s="134">
        <f t="shared" ca="1" si="9"/>
        <v>5.3900918744348036</v>
      </c>
      <c r="P24" s="134">
        <f t="shared" ca="1" si="9"/>
        <v>5.3900918744348036</v>
      </c>
      <c r="Q24" s="134">
        <f t="shared" ca="1" si="9"/>
        <v>5.3900918744348036</v>
      </c>
      <c r="R24" s="134">
        <f t="shared" ca="1" si="9"/>
        <v>5.3900918744348036</v>
      </c>
      <c r="S24" s="134">
        <f t="shared" ca="1" si="9"/>
        <v>5.3900918744348036</v>
      </c>
      <c r="T24" s="134">
        <f t="shared" ca="1" si="9"/>
        <v>5.3900918744348036</v>
      </c>
      <c r="U24" s="134">
        <f t="shared" ca="1" si="9"/>
        <v>5.3900918744348036</v>
      </c>
      <c r="V24" s="134">
        <f t="shared" ca="1" si="9"/>
        <v>5.3900918744348036</v>
      </c>
      <c r="W24" s="134">
        <f t="shared" ca="1" si="9"/>
        <v>5.3900918744348036</v>
      </c>
      <c r="X24" s="134">
        <f t="shared" ca="1" si="9"/>
        <v>5.3900918744348036</v>
      </c>
      <c r="Y24" s="134">
        <f t="shared" ca="1" si="9"/>
        <v>5.3900918744348036</v>
      </c>
      <c r="Z24" s="134">
        <f t="shared" ca="1" si="9"/>
        <v>5.3900918744348036</v>
      </c>
      <c r="AB24" s="137">
        <f ca="1">K24+L23+M22+N21+O20+P19+Q18+R17+S16+T15+U14+V13+W12+X11</f>
        <v>209.99999999999997</v>
      </c>
    </row>
    <row r="25" spans="1:28" ht="15" customHeight="1" x14ac:dyDescent="0.3">
      <c r="A25" s="13"/>
      <c r="B25" s="61">
        <f t="shared" ca="1" si="6"/>
        <v>14</v>
      </c>
      <c r="C25" s="75">
        <f t="shared" ca="1" si="3"/>
        <v>44</v>
      </c>
      <c r="D25" s="112">
        <f t="shared" ca="1" si="7"/>
        <v>0.48767497911552987</v>
      </c>
      <c r="E25" s="112">
        <f t="shared" ca="1" si="2"/>
        <v>2.4383748955776496E-2</v>
      </c>
      <c r="F25" s="112">
        <f ca="1">IF($D$2="A",
(D25-G25)*IFERROR(VLOOKUP(C25,'1.a Assumptions'!$A$33:$C$48,2,FALSE),0),
(D25-G25)*100%*(C25=$D$5-1))</f>
        <v>0</v>
      </c>
      <c r="G25" s="112">
        <f>IF($D$2="A",
D25*IFERROR(VLOOKUP(C25,'1.a Assumptions'!$A$33:$C$48,3,FALSE),0),
0)</f>
        <v>0</v>
      </c>
      <c r="H25" s="112">
        <f t="shared" ca="1" si="4"/>
        <v>0.46329123015975338</v>
      </c>
      <c r="J25" s="61">
        <f t="shared" ca="1" si="8"/>
        <v>14</v>
      </c>
      <c r="K25" s="134">
        <f ca="1">K$11*D25</f>
        <v>102.41174561426128</v>
      </c>
      <c r="L25" s="135">
        <f t="shared" ca="1" si="9"/>
        <v>5.1205872807130639</v>
      </c>
      <c r="M25" s="134">
        <f t="shared" ca="1" si="9"/>
        <v>5.1205872807130639</v>
      </c>
      <c r="N25" s="134">
        <f t="shared" ca="1" si="9"/>
        <v>5.1205872807130639</v>
      </c>
      <c r="O25" s="134">
        <f t="shared" ca="1" si="9"/>
        <v>5.1205872807130639</v>
      </c>
      <c r="P25" s="134">
        <f t="shared" ca="1" si="9"/>
        <v>5.1205872807130639</v>
      </c>
      <c r="Q25" s="134">
        <f t="shared" ca="1" si="9"/>
        <v>5.1205872807130639</v>
      </c>
      <c r="R25" s="134">
        <f t="shared" ca="1" si="9"/>
        <v>5.1205872807130639</v>
      </c>
      <c r="S25" s="134">
        <f t="shared" ca="1" si="9"/>
        <v>5.1205872807130639</v>
      </c>
      <c r="T25" s="134">
        <f t="shared" ca="1" si="9"/>
        <v>5.1205872807130639</v>
      </c>
      <c r="U25" s="134">
        <f t="shared" ca="1" si="9"/>
        <v>5.1205872807130639</v>
      </c>
      <c r="V25" s="134">
        <f t="shared" ca="1" si="9"/>
        <v>5.1205872807130639</v>
      </c>
      <c r="W25" s="134">
        <f t="shared" ca="1" si="9"/>
        <v>5.1205872807130639</v>
      </c>
      <c r="X25" s="134">
        <f t="shared" ca="1" si="9"/>
        <v>5.1205872807130639</v>
      </c>
      <c r="Y25" s="134">
        <f t="shared" ca="1" si="9"/>
        <v>5.1205872807130639</v>
      </c>
      <c r="Z25" s="134">
        <f t="shared" ca="1" si="9"/>
        <v>5.1205872807130639</v>
      </c>
      <c r="AB25" s="137">
        <f ca="1">K25+L24+M23+N22+O21+P20+Q19+R18+S17+T16+U15+V14+W13+X12+Y11</f>
        <v>209.99999999999997</v>
      </c>
    </row>
    <row r="26" spans="1:28" ht="15" customHeight="1" x14ac:dyDescent="0.3">
      <c r="A26" s="13"/>
      <c r="B26" s="61">
        <f t="shared" ca="1" si="6"/>
        <v>15</v>
      </c>
      <c r="C26" s="75">
        <f t="shared" ca="1" si="3"/>
        <v>45</v>
      </c>
      <c r="D26" s="112">
        <f t="shared" ca="1" si="7"/>
        <v>0.46329123015975338</v>
      </c>
      <c r="E26" s="112">
        <f t="shared" ca="1" si="2"/>
        <v>2.3164561507987669E-2</v>
      </c>
      <c r="F26" s="112">
        <f ca="1">IF($D$2="A",
(D26-G26)*IFERROR(VLOOKUP(C26,'1.a Assumptions'!$A$33:$C$48,2,FALSE),0),
(D26-G26)*100%*(C26=$D$5-1))</f>
        <v>0</v>
      </c>
      <c r="G26" s="112">
        <f>IF($D$2="A",
D26*IFERROR(VLOOKUP(C26,'1.a Assumptions'!$A$33:$C$48,3,FALSE),0),
0)</f>
        <v>0</v>
      </c>
      <c r="H26" s="112">
        <f t="shared" ca="1" si="4"/>
        <v>0.4401266686517657</v>
      </c>
      <c r="J26" s="61">
        <f t="shared" ca="1" si="8"/>
        <v>15</v>
      </c>
      <c r="K26" s="135">
        <f ca="1">K$11*D26</f>
        <v>97.291158333548211</v>
      </c>
      <c r="L26" s="134">
        <f t="shared" ca="1" si="9"/>
        <v>4.8645579166774109</v>
      </c>
      <c r="M26" s="134">
        <f t="shared" ca="1" si="9"/>
        <v>4.8645579166774109</v>
      </c>
      <c r="N26" s="134">
        <f t="shared" ca="1" si="9"/>
        <v>4.8645579166774109</v>
      </c>
      <c r="O26" s="134">
        <f t="shared" ca="1" si="9"/>
        <v>4.8645579166774109</v>
      </c>
      <c r="P26" s="134">
        <f t="shared" ca="1" si="9"/>
        <v>4.8645579166774109</v>
      </c>
      <c r="Q26" s="134">
        <f t="shared" ca="1" si="9"/>
        <v>4.8645579166774109</v>
      </c>
      <c r="R26" s="134">
        <f t="shared" ca="1" si="9"/>
        <v>4.8645579166774109</v>
      </c>
      <c r="S26" s="134">
        <f t="shared" ca="1" si="9"/>
        <v>4.8645579166774109</v>
      </c>
      <c r="T26" s="134">
        <f t="shared" ca="1" si="9"/>
        <v>4.8645579166774109</v>
      </c>
      <c r="U26" s="134">
        <f t="shared" ca="1" si="9"/>
        <v>4.8645579166774109</v>
      </c>
      <c r="V26" s="134">
        <f t="shared" ca="1" si="9"/>
        <v>4.8645579166774109</v>
      </c>
      <c r="W26" s="134">
        <f t="shared" ca="1" si="9"/>
        <v>4.8645579166774109</v>
      </c>
      <c r="X26" s="134">
        <f t="shared" ca="1" si="9"/>
        <v>4.8645579166774109</v>
      </c>
      <c r="Y26" s="134">
        <f t="shared" ca="1" si="9"/>
        <v>4.8645579166774109</v>
      </c>
      <c r="Z26" s="134">
        <f t="shared" ca="1" si="9"/>
        <v>4.8645579166774109</v>
      </c>
      <c r="AB26" s="140">
        <f ca="1">K26+L25+M24+N23+O22+P21+Q20+R19+S18+T17+U16+V15+W14+X13+Y12+Z11</f>
        <v>209.99999999999997</v>
      </c>
    </row>
    <row r="27" spans="1:28" ht="15" customHeight="1" x14ac:dyDescent="0.3">
      <c r="A27" s="13"/>
      <c r="B27" s="61">
        <f t="shared" ca="1" si="6"/>
        <v>16</v>
      </c>
      <c r="C27" s="75">
        <f t="shared" ca="1" si="3"/>
        <v>46</v>
      </c>
      <c r="D27" s="112">
        <f t="shared" ca="1" si="7"/>
        <v>0.4401266686517657</v>
      </c>
      <c r="E27" s="112">
        <f t="shared" ca="1" si="2"/>
        <v>2.2006333432588288E-2</v>
      </c>
      <c r="F27" s="112">
        <f ca="1">IF($D$2="A",
(D27-G27)*IFERROR(VLOOKUP(C27,'1.a Assumptions'!$A$33:$C$48,2,FALSE),0),
(D27-G27)*100%*(C27=$D$5-1))</f>
        <v>0</v>
      </c>
      <c r="G27" s="112">
        <f>IF($D$2="A",
D27*IFERROR(VLOOKUP(C27,'1.a Assumptions'!$A$33:$C$48,3,FALSE),0),
0)</f>
        <v>0</v>
      </c>
      <c r="H27" s="112">
        <f t="shared" ca="1" si="4"/>
        <v>0.41812033521917741</v>
      </c>
      <c r="AA27" s="136"/>
    </row>
    <row r="28" spans="1:28" ht="15" customHeight="1" x14ac:dyDescent="0.3">
      <c r="A28" s="13"/>
      <c r="B28" s="61">
        <f t="shared" ca="1" si="6"/>
        <v>17</v>
      </c>
      <c r="C28" s="75">
        <f t="shared" ca="1" si="3"/>
        <v>47</v>
      </c>
      <c r="D28" s="112">
        <f t="shared" ca="1" si="7"/>
        <v>0.41812033521917741</v>
      </c>
      <c r="E28" s="112">
        <f t="shared" ca="1" si="2"/>
        <v>2.0906016760958872E-2</v>
      </c>
      <c r="F28" s="112">
        <f ca="1">IF($D$2="A",
(D28-G28)*IFERROR(VLOOKUP(C28,'1.a Assumptions'!$A$33:$C$48,2,FALSE),0),
(D28-G28)*100%*(C28=$D$5-1))</f>
        <v>0</v>
      </c>
      <c r="G28" s="112">
        <f>IF($D$2="A",
D28*IFERROR(VLOOKUP(C28,'1.a Assumptions'!$A$33:$C$48,3,FALSE),0),
0)</f>
        <v>0</v>
      </c>
      <c r="H28" s="112">
        <f t="shared" ca="1" si="4"/>
        <v>0.39721431845821853</v>
      </c>
      <c r="AA28" s="136"/>
    </row>
    <row r="29" spans="1:28" ht="15" customHeight="1" x14ac:dyDescent="0.3">
      <c r="A29" s="13"/>
      <c r="B29" s="61">
        <f t="shared" ca="1" si="6"/>
        <v>18</v>
      </c>
      <c r="C29" s="75">
        <f t="shared" ca="1" si="3"/>
        <v>48</v>
      </c>
      <c r="D29" s="112">
        <f t="shared" ca="1" si="7"/>
        <v>0.39721431845821853</v>
      </c>
      <c r="E29" s="112">
        <f t="shared" ca="1" si="2"/>
        <v>1.9860715922910929E-2</v>
      </c>
      <c r="F29" s="112">
        <f ca="1">IF($D$2="A",
(D29-G29)*IFERROR(VLOOKUP(C29,'1.a Assumptions'!$A$33:$C$48,2,FALSE),0),
(D29-G29)*100%*(C29=$D$5-1))</f>
        <v>0</v>
      </c>
      <c r="G29" s="112">
        <f>IF($D$2="A",
D29*IFERROR(VLOOKUP(C29,'1.a Assumptions'!$A$33:$C$48,3,FALSE),0),
0)</f>
        <v>0</v>
      </c>
      <c r="H29" s="112">
        <f t="shared" ca="1" si="4"/>
        <v>0.37735360253530759</v>
      </c>
      <c r="AA29" s="136"/>
    </row>
    <row r="30" spans="1:28" ht="15" customHeight="1" x14ac:dyDescent="0.3">
      <c r="A30" s="13"/>
      <c r="B30" s="61">
        <f t="shared" ca="1" si="6"/>
        <v>19</v>
      </c>
      <c r="C30" s="75">
        <f t="shared" ca="1" si="3"/>
        <v>49</v>
      </c>
      <c r="D30" s="112">
        <f t="shared" ca="1" si="7"/>
        <v>0.37735360253530759</v>
      </c>
      <c r="E30" s="112">
        <f t="shared" ca="1" si="2"/>
        <v>1.8867680126765381E-2</v>
      </c>
      <c r="F30" s="112">
        <f ca="1">IF($D$2="A",
(D30-G30)*IFERROR(VLOOKUP(C30,'1.a Assumptions'!$A$33:$C$48,2,FALSE),0),
(D30-G30)*100%*(C30=$D$5-1))</f>
        <v>0</v>
      </c>
      <c r="G30" s="112">
        <f>IF($D$2="A",
D30*IFERROR(VLOOKUP(C30,'1.a Assumptions'!$A$33:$C$48,3,FALSE),0),
0)</f>
        <v>0</v>
      </c>
      <c r="H30" s="112">
        <f t="shared" ca="1" si="4"/>
        <v>0.35848592240854221</v>
      </c>
    </row>
    <row r="31" spans="1:28" ht="15" customHeight="1" x14ac:dyDescent="0.3">
      <c r="A31" s="13"/>
      <c r="B31" s="61">
        <f t="shared" ca="1" si="6"/>
        <v>20</v>
      </c>
      <c r="C31" s="75">
        <f t="shared" ca="1" si="3"/>
        <v>50</v>
      </c>
      <c r="D31" s="112">
        <f t="shared" ca="1" si="7"/>
        <v>0.35848592240854221</v>
      </c>
      <c r="E31" s="112">
        <f t="shared" ca="1" si="2"/>
        <v>1.7924296120427112E-2</v>
      </c>
      <c r="F31" s="112">
        <f ca="1">IF($D$2="A",
(D31-G31)*IFERROR(VLOOKUP(C31,'1.a Assumptions'!$A$33:$C$48,2,FALSE),0),
(D31-G31)*100%*(C31=$D$5-1))</f>
        <v>0</v>
      </c>
      <c r="G31" s="112">
        <f>IF($D$2="A",
D31*IFERROR(VLOOKUP(C31,'1.a Assumptions'!$A$33:$C$48,3,FALSE),0),
0)</f>
        <v>0</v>
      </c>
      <c r="H31" s="112">
        <f t="shared" ca="1" si="4"/>
        <v>0.34056162628811509</v>
      </c>
    </row>
    <row r="32" spans="1:28" ht="15" customHeight="1" x14ac:dyDescent="0.3">
      <c r="A32" s="13"/>
      <c r="B32" s="61">
        <f t="shared" ca="1" si="6"/>
        <v>21</v>
      </c>
      <c r="C32" s="75">
        <f t="shared" ca="1" si="3"/>
        <v>51</v>
      </c>
      <c r="D32" s="112">
        <f t="shared" ca="1" si="7"/>
        <v>0.34056162628811509</v>
      </c>
      <c r="E32" s="112">
        <f t="shared" ca="1" si="2"/>
        <v>1.7028081314405755E-2</v>
      </c>
      <c r="F32" s="112">
        <f ca="1">IF($D$2="A",
(D32-G32)*IFERROR(VLOOKUP(C32,'1.a Assumptions'!$A$33:$C$48,2,FALSE),0),
(D32-G32)*100%*(C32=$D$5-1))</f>
        <v>0</v>
      </c>
      <c r="G32" s="112">
        <f>IF($D$2="A",
D32*IFERROR(VLOOKUP(C32,'1.a Assumptions'!$A$33:$C$48,3,FALSE),0),
0)</f>
        <v>0</v>
      </c>
      <c r="H32" s="112">
        <f t="shared" ca="1" si="4"/>
        <v>0.32353354497370934</v>
      </c>
    </row>
    <row r="33" spans="1:8" ht="15" customHeight="1" x14ac:dyDescent="0.3">
      <c r="A33" s="13"/>
      <c r="B33" s="61">
        <f t="shared" ca="1" si="6"/>
        <v>22</v>
      </c>
      <c r="C33" s="75">
        <f t="shared" ca="1" si="3"/>
        <v>52</v>
      </c>
      <c r="D33" s="112">
        <f t="shared" ca="1" si="7"/>
        <v>0.32353354497370934</v>
      </c>
      <c r="E33" s="112">
        <f t="shared" ca="1" si="2"/>
        <v>1.6176677248685468E-2</v>
      </c>
      <c r="F33" s="112">
        <f ca="1">IF($D$2="A",
(D33-G33)*IFERROR(VLOOKUP(C33,'1.a Assumptions'!$A$33:$C$48,2,FALSE),0),
(D33-G33)*100%*(C33=$D$5-1))</f>
        <v>0</v>
      </c>
      <c r="G33" s="112">
        <f>IF($D$2="A",
D33*IFERROR(VLOOKUP(C33,'1.a Assumptions'!$A$33:$C$48,3,FALSE),0),
0)</f>
        <v>0</v>
      </c>
      <c r="H33" s="112">
        <f t="shared" ca="1" si="4"/>
        <v>0.30735686772502385</v>
      </c>
    </row>
    <row r="34" spans="1:8" ht="15" customHeight="1" x14ac:dyDescent="0.3">
      <c r="A34" s="13"/>
      <c r="B34" s="61">
        <f t="shared" ca="1" si="6"/>
        <v>23</v>
      </c>
      <c r="C34" s="75">
        <f t="shared" ca="1" si="3"/>
        <v>53</v>
      </c>
      <c r="D34" s="112">
        <f t="shared" ca="1" si="7"/>
        <v>0.30735686772502385</v>
      </c>
      <c r="E34" s="112">
        <f t="shared" ca="1" si="2"/>
        <v>1.5367843386251193E-2</v>
      </c>
      <c r="F34" s="112">
        <f ca="1">IF($D$2="A",
(D34-G34)*IFERROR(VLOOKUP(C34,'1.a Assumptions'!$A$33:$C$48,2,FALSE),0),
(D34-G34)*100%*(C34=$D$5-1))</f>
        <v>0</v>
      </c>
      <c r="G34" s="112">
        <f>IF($D$2="A",
D34*IFERROR(VLOOKUP(C34,'1.a Assumptions'!$A$33:$C$48,3,FALSE),0),
0)</f>
        <v>0</v>
      </c>
      <c r="H34" s="112">
        <f t="shared" ca="1" si="4"/>
        <v>0.29198902433877266</v>
      </c>
    </row>
    <row r="35" spans="1:8" ht="15" customHeight="1" x14ac:dyDescent="0.3">
      <c r="A35" s="13"/>
      <c r="B35" s="61">
        <f t="shared" ca="1" si="6"/>
        <v>24</v>
      </c>
      <c r="C35" s="75">
        <f t="shared" ca="1" si="3"/>
        <v>54</v>
      </c>
      <c r="D35" s="112">
        <f t="shared" ca="1" si="7"/>
        <v>0.29198902433877266</v>
      </c>
      <c r="E35" s="112">
        <f t="shared" ca="1" si="2"/>
        <v>1.4599451216938633E-2</v>
      </c>
      <c r="F35" s="112">
        <f ca="1">IF($D$2="A",
(D35-G35)*IFERROR(VLOOKUP(C35,'1.a Assumptions'!$A$33:$C$48,2,FALSE),0),
(D35-G35)*100%*(C35=$D$5-1))</f>
        <v>0</v>
      </c>
      <c r="G35" s="112">
        <f>IF($D$2="A",
D35*IFERROR(VLOOKUP(C35,'1.a Assumptions'!$A$33:$C$48,3,FALSE),0),
0)</f>
        <v>0</v>
      </c>
      <c r="H35" s="112">
        <f t="shared" ca="1" si="4"/>
        <v>0.27738957312183404</v>
      </c>
    </row>
    <row r="36" spans="1:8" ht="15" customHeight="1" x14ac:dyDescent="0.3">
      <c r="A36" s="13"/>
      <c r="B36" s="61">
        <f t="shared" ca="1" si="6"/>
        <v>25</v>
      </c>
      <c r="C36" s="75">
        <f t="shared" ca="1" si="3"/>
        <v>55</v>
      </c>
      <c r="D36" s="112">
        <f t="shared" ca="1" si="7"/>
        <v>0.27738957312183404</v>
      </c>
      <c r="E36" s="112">
        <f t="shared" ca="1" si="2"/>
        <v>1.3869478656091703E-2</v>
      </c>
      <c r="F36" s="112">
        <f ca="1">IF($D$2="A",
(D36-G36)*IFERROR(VLOOKUP(C36,'1.a Assumptions'!$A$33:$C$48,2,FALSE),0),
(D36-G36)*100%*(C36=$D$5-1))</f>
        <v>0</v>
      </c>
      <c r="G36" s="112">
        <f>IF($D$2="A",
D36*IFERROR(VLOOKUP(C36,'1.a Assumptions'!$A$33:$C$48,3,FALSE),0),
0)</f>
        <v>0</v>
      </c>
      <c r="H36" s="112">
        <f t="shared" ca="1" si="4"/>
        <v>0.26352009446574232</v>
      </c>
    </row>
    <row r="37" spans="1:8" ht="15" customHeight="1" x14ac:dyDescent="0.3">
      <c r="A37" s="13"/>
      <c r="B37" s="61">
        <f t="shared" ca="1" si="6"/>
        <v>26</v>
      </c>
      <c r="C37" s="75">
        <f t="shared" ca="1" si="3"/>
        <v>56</v>
      </c>
      <c r="D37" s="112">
        <f t="shared" ca="1" si="7"/>
        <v>0.26352009446574232</v>
      </c>
      <c r="E37" s="112">
        <f t="shared" ca="1" si="2"/>
        <v>1.3176004723287116E-2</v>
      </c>
      <c r="F37" s="112">
        <f ca="1">IF($D$2="A",
(D37-G37)*IFERROR(VLOOKUP(C37,'1.a Assumptions'!$A$33:$C$48,2,FALSE),0),
(D37-G37)*100%*(C37=$D$5-1))</f>
        <v>0</v>
      </c>
      <c r="G37" s="112">
        <f>IF($D$2="A",
D37*IFERROR(VLOOKUP(C37,'1.a Assumptions'!$A$33:$C$48,3,FALSE),0),
0)</f>
        <v>0</v>
      </c>
      <c r="H37" s="112">
        <f t="shared" ca="1" si="4"/>
        <v>0.2503440897424552</v>
      </c>
    </row>
    <row r="38" spans="1:8" ht="15" customHeight="1" x14ac:dyDescent="0.3">
      <c r="A38" s="13"/>
      <c r="B38" s="61">
        <f t="shared" ca="1" si="6"/>
        <v>27</v>
      </c>
      <c r="C38" s="75">
        <f t="shared" ca="1" si="3"/>
        <v>57</v>
      </c>
      <c r="D38" s="112">
        <f t="shared" ca="1" si="7"/>
        <v>0.2503440897424552</v>
      </c>
      <c r="E38" s="112">
        <f t="shared" ca="1" si="2"/>
        <v>1.2517204487122761E-2</v>
      </c>
      <c r="F38" s="112">
        <f ca="1">IF($D$2="A",
(D38-G38)*IFERROR(VLOOKUP(C38,'1.a Assumptions'!$A$33:$C$48,2,FALSE),0),
(D38-G38)*100%*(C38=$D$5-1))</f>
        <v>0</v>
      </c>
      <c r="G38" s="112">
        <f>IF($D$2="A",
D38*IFERROR(VLOOKUP(C38,'1.a Assumptions'!$A$33:$C$48,3,FALSE),0),
0)</f>
        <v>0</v>
      </c>
      <c r="H38" s="112">
        <f t="shared" ca="1" si="4"/>
        <v>0.23782688525533244</v>
      </c>
    </row>
    <row r="39" spans="1:8" ht="15" customHeight="1" x14ac:dyDescent="0.3">
      <c r="A39" s="13"/>
      <c r="B39" s="61">
        <f t="shared" ca="1" si="6"/>
        <v>28</v>
      </c>
      <c r="C39" s="75">
        <f t="shared" ca="1" si="3"/>
        <v>58</v>
      </c>
      <c r="D39" s="112">
        <f t="shared" ca="1" si="7"/>
        <v>0.23782688525533244</v>
      </c>
      <c r="E39" s="112">
        <f t="shared" ca="1" si="2"/>
        <v>1.1891344262766623E-2</v>
      </c>
      <c r="F39" s="112">
        <f ca="1">IF($D$2="A",
(D39-G39)*IFERROR(VLOOKUP(C39,'1.a Assumptions'!$A$33:$C$48,2,FALSE),0),
(D39-G39)*100%*(C39=$D$5-1))</f>
        <v>0</v>
      </c>
      <c r="G39" s="112">
        <f>IF($D$2="A",
D39*IFERROR(VLOOKUP(C39,'1.a Assumptions'!$A$33:$C$48,3,FALSE),0),
0)</f>
        <v>0</v>
      </c>
      <c r="H39" s="112">
        <f t="shared" ca="1" si="4"/>
        <v>0.22593554099256583</v>
      </c>
    </row>
    <row r="40" spans="1:8" ht="15" customHeight="1" x14ac:dyDescent="0.3">
      <c r="A40" s="13"/>
      <c r="B40" s="61">
        <f t="shared" ca="1" si="6"/>
        <v>29</v>
      </c>
      <c r="C40" s="75">
        <f t="shared" ca="1" si="3"/>
        <v>59</v>
      </c>
      <c r="D40" s="112">
        <f t="shared" ca="1" si="7"/>
        <v>0.22593554099256583</v>
      </c>
      <c r="E40" s="112">
        <f t="shared" ca="1" si="2"/>
        <v>0</v>
      </c>
      <c r="F40" s="112">
        <f ca="1">IF($D$2="A",
(D40-G40)*IFERROR(VLOOKUP(C40,'1.a Assumptions'!$A$33:$C$48,2,FALSE),0),
(D40-G40)*100%*(C40=$D$5-1))</f>
        <v>0.22593554099256583</v>
      </c>
      <c r="G40" s="112">
        <f>IF($D$2="A",
D40*IFERROR(VLOOKUP(C40,'1.a Assumptions'!$A$33:$C$48,3,FALSE),0),
0)</f>
        <v>0</v>
      </c>
      <c r="H40" s="112">
        <f t="shared" ca="1" si="4"/>
        <v>0</v>
      </c>
    </row>
    <row r="41" spans="1:8" ht="15" customHeight="1" x14ac:dyDescent="0.3">
      <c r="A41" s="13"/>
      <c r="B41" s="61">
        <f t="shared" ca="1" si="6"/>
        <v>30</v>
      </c>
      <c r="C41" s="75">
        <f t="shared" ca="1" si="3"/>
        <v>60</v>
      </c>
      <c r="D41" s="112">
        <f t="shared" ca="1" si="7"/>
        <v>0</v>
      </c>
      <c r="E41" s="112">
        <f t="shared" ca="1" si="2"/>
        <v>0</v>
      </c>
      <c r="F41" s="112">
        <f ca="1">IF($D$2="A",
(D41-G41)*IFERROR(VLOOKUP(C41,'1.a Assumptions'!$A$33:$C$48,2,FALSE),0),
(D41-G41)*100%*(C41=$D$5-1))</f>
        <v>0</v>
      </c>
      <c r="G41" s="112">
        <f>IF($D$2="A",
D41*IFERROR(VLOOKUP(C41,'1.a Assumptions'!$A$33:$C$48,3,FALSE),0),
0)</f>
        <v>0</v>
      </c>
      <c r="H41" s="112">
        <f t="shared" ca="1" si="4"/>
        <v>0</v>
      </c>
    </row>
    <row r="42" spans="1:8" ht="15" customHeight="1" x14ac:dyDescent="0.3">
      <c r="A42" s="13"/>
      <c r="B42" s="61" t="str">
        <f t="shared" ca="1" si="6"/>
        <v/>
      </c>
      <c r="C42" s="75" t="str">
        <f t="shared" ca="1" si="3"/>
        <v/>
      </c>
      <c r="D42" s="112">
        <f t="shared" ca="1" si="7"/>
        <v>0</v>
      </c>
      <c r="E42" s="112">
        <f t="shared" ca="1" si="2"/>
        <v>0</v>
      </c>
      <c r="F42" s="112">
        <f ca="1">IF($D$2="A",
(D42-G42)*IFERROR(VLOOKUP(C42,'1.a Assumptions'!$A$33:$C$48,2,FALSE),0),
(D42-G42)*100%*(C42=$D$5-1))</f>
        <v>0</v>
      </c>
      <c r="G42" s="112">
        <f>IF($D$2="A",
D42*IFERROR(VLOOKUP(C42,'1.a Assumptions'!$A$33:$C$48,3,FALSE),0),
0)</f>
        <v>0</v>
      </c>
      <c r="H42" s="112">
        <f t="shared" ca="1" si="4"/>
        <v>0</v>
      </c>
    </row>
    <row r="43" spans="1:8" ht="15" customHeight="1" x14ac:dyDescent="0.3">
      <c r="A43" s="13"/>
      <c r="B43" s="61" t="str">
        <f t="shared" ca="1" si="6"/>
        <v/>
      </c>
      <c r="C43" s="75" t="str">
        <f t="shared" ca="1" si="3"/>
        <v/>
      </c>
      <c r="D43" s="112">
        <f t="shared" ca="1" si="7"/>
        <v>0</v>
      </c>
      <c r="E43" s="112">
        <f t="shared" ref="E43:E74" ca="1" si="10">IF($D$2="A",(D43-G43)*withdraw_rate*(C43&lt;$D$5),(D43-G43)*withdraw_rate*(C43&lt;&gt;$D$5-1))</f>
        <v>0</v>
      </c>
      <c r="F43" s="112">
        <f ca="1">IF($D$2="A",
(D43-G43)*IFERROR(VLOOKUP(C43,'1.a Assumptions'!$A$33:$C$48,2,FALSE),0),
(D43-G43)*100%*(C43=$D$5-1))</f>
        <v>0</v>
      </c>
      <c r="G43" s="112">
        <f>IF($D$2="A",
D43*IFERROR(VLOOKUP(C43,'1.a Assumptions'!$A$33:$C$48,3,FALSE),0),
0)</f>
        <v>0</v>
      </c>
      <c r="H43" s="112">
        <f t="shared" ca="1" si="4"/>
        <v>0</v>
      </c>
    </row>
    <row r="44" spans="1:8" ht="15" customHeight="1" x14ac:dyDescent="0.3">
      <c r="A44" s="13"/>
      <c r="B44" s="61" t="str">
        <f t="shared" ca="1" si="6"/>
        <v/>
      </c>
      <c r="C44" s="75" t="str">
        <f t="shared" ref="C44:C75" ca="1" si="11">IF(C43="","",IF($D$2="A",C43+1,IF(C43+1&gt;$D$5,"",C43+1)))</f>
        <v/>
      </c>
      <c r="D44" s="112">
        <f t="shared" ca="1" si="7"/>
        <v>0</v>
      </c>
      <c r="E44" s="112">
        <f t="shared" ca="1" si="10"/>
        <v>0</v>
      </c>
      <c r="F44" s="112">
        <f ca="1">IF($D$2="A",
(D44-G44)*IFERROR(VLOOKUP(C44,'1.a Assumptions'!$A$33:$C$48,2,FALSE),0),
(D44-G44)*100%*(C44=$D$5-1))</f>
        <v>0</v>
      </c>
      <c r="G44" s="112">
        <f>IF($D$2="A",
D44*IFERROR(VLOOKUP(C44,'1.a Assumptions'!$A$33:$C$48,3,FALSE),0),
0)</f>
        <v>0</v>
      </c>
      <c r="H44" s="112">
        <f t="shared" ca="1" si="4"/>
        <v>0</v>
      </c>
    </row>
    <row r="45" spans="1:8" ht="15" customHeight="1" x14ac:dyDescent="0.3">
      <c r="A45" s="13"/>
      <c r="B45" s="61" t="str">
        <f t="shared" ca="1" si="6"/>
        <v/>
      </c>
      <c r="C45" s="75" t="str">
        <f t="shared" ca="1" si="11"/>
        <v/>
      </c>
      <c r="D45" s="112">
        <f t="shared" ca="1" si="7"/>
        <v>0</v>
      </c>
      <c r="E45" s="112">
        <f t="shared" ca="1" si="10"/>
        <v>0</v>
      </c>
      <c r="F45" s="112">
        <f ca="1">IF($D$2="A",
(D45-G45)*IFERROR(VLOOKUP(C45,'1.a Assumptions'!$A$33:$C$48,2,FALSE),0),
(D45-G45)*100%*(C45=$D$5-1))</f>
        <v>0</v>
      </c>
      <c r="G45" s="112">
        <f>IF($D$2="A",
D45*IFERROR(VLOOKUP(C45,'1.a Assumptions'!$A$33:$C$48,3,FALSE),0),
0)</f>
        <v>0</v>
      </c>
      <c r="H45" s="112">
        <f t="shared" ca="1" si="4"/>
        <v>0</v>
      </c>
    </row>
    <row r="46" spans="1:8" ht="15" customHeight="1" x14ac:dyDescent="0.3">
      <c r="A46" s="13"/>
      <c r="B46" s="61" t="str">
        <f t="shared" ca="1" si="6"/>
        <v/>
      </c>
      <c r="C46" s="75" t="str">
        <f t="shared" ca="1" si="11"/>
        <v/>
      </c>
      <c r="D46" s="112">
        <f t="shared" ca="1" si="7"/>
        <v>0</v>
      </c>
      <c r="E46" s="112">
        <f t="shared" ca="1" si="10"/>
        <v>0</v>
      </c>
      <c r="F46" s="112">
        <f ca="1">IF($D$2="A",
(D46-G46)*IFERROR(VLOOKUP(C46,'1.a Assumptions'!$A$33:$C$48,2,FALSE),0),
(D46-G46)*100%*(C46=$D$5-1))</f>
        <v>0</v>
      </c>
      <c r="G46" s="112">
        <f>IF($D$2="A",
D46*IFERROR(VLOOKUP(C46,'1.a Assumptions'!$A$33:$C$48,3,FALSE),0),
0)</f>
        <v>0</v>
      </c>
      <c r="H46" s="112">
        <f t="shared" ca="1" si="4"/>
        <v>0</v>
      </c>
    </row>
    <row r="47" spans="1:8" ht="15" customHeight="1" x14ac:dyDescent="0.3">
      <c r="A47" s="13"/>
      <c r="B47" s="61" t="str">
        <f t="shared" ca="1" si="6"/>
        <v/>
      </c>
      <c r="C47" s="75" t="str">
        <f t="shared" ca="1" si="11"/>
        <v/>
      </c>
      <c r="D47" s="112">
        <f t="shared" ca="1" si="7"/>
        <v>0</v>
      </c>
      <c r="E47" s="112">
        <f t="shared" ca="1" si="10"/>
        <v>0</v>
      </c>
      <c r="F47" s="112">
        <f ca="1">IF($D$2="A",
(D47-G47)*IFERROR(VLOOKUP(C47,'1.a Assumptions'!$A$33:$C$48,2,FALSE),0),
(D47-G47)*100%*(C47=$D$5-1))</f>
        <v>0</v>
      </c>
      <c r="G47" s="112">
        <f>IF($D$2="A",
D47*IFERROR(VLOOKUP(C47,'1.a Assumptions'!$A$33:$C$48,3,FALSE),0),
0)</f>
        <v>0</v>
      </c>
      <c r="H47" s="112">
        <f t="shared" ca="1" si="4"/>
        <v>0</v>
      </c>
    </row>
    <row r="48" spans="1:8" ht="15" customHeight="1" x14ac:dyDescent="0.3">
      <c r="A48" s="13"/>
      <c r="B48" s="61" t="str">
        <f t="shared" ca="1" si="6"/>
        <v/>
      </c>
      <c r="C48" s="75" t="str">
        <f t="shared" ca="1" si="11"/>
        <v/>
      </c>
      <c r="D48" s="112">
        <f t="shared" ca="1" si="7"/>
        <v>0</v>
      </c>
      <c r="E48" s="112">
        <f t="shared" ca="1" si="10"/>
        <v>0</v>
      </c>
      <c r="F48" s="112">
        <f ca="1">IF($D$2="A",
(D48-G48)*IFERROR(VLOOKUP(C48,'1.a Assumptions'!$A$33:$C$48,2,FALSE),0),
(D48-G48)*100%*(C48=$D$5-1))</f>
        <v>0</v>
      </c>
      <c r="G48" s="112">
        <f>IF($D$2="A",
D48*IFERROR(VLOOKUP(C48,'1.a Assumptions'!$A$33:$C$48,3,FALSE),0),
0)</f>
        <v>0</v>
      </c>
      <c r="H48" s="112">
        <f t="shared" ca="1" si="4"/>
        <v>0</v>
      </c>
    </row>
    <row r="49" spans="1:8" ht="15" customHeight="1" x14ac:dyDescent="0.3">
      <c r="A49" s="13"/>
      <c r="B49" s="61" t="str">
        <f t="shared" ca="1" si="6"/>
        <v/>
      </c>
      <c r="C49" s="75" t="str">
        <f t="shared" ca="1" si="11"/>
        <v/>
      </c>
      <c r="D49" s="112">
        <f t="shared" ca="1" si="7"/>
        <v>0</v>
      </c>
      <c r="E49" s="112">
        <f t="shared" ca="1" si="10"/>
        <v>0</v>
      </c>
      <c r="F49" s="112">
        <f ca="1">IF($D$2="A",
(D49-G49)*IFERROR(VLOOKUP(C49,'1.a Assumptions'!$A$33:$C$48,2,FALSE),0),
(D49-G49)*100%*(C49=$D$5-1))</f>
        <v>0</v>
      </c>
      <c r="G49" s="112">
        <f>IF($D$2="A",
D49*IFERROR(VLOOKUP(C49,'1.a Assumptions'!$A$33:$C$48,3,FALSE),0),
0)</f>
        <v>0</v>
      </c>
      <c r="H49" s="112">
        <f t="shared" ca="1" si="4"/>
        <v>0</v>
      </c>
    </row>
    <row r="50" spans="1:8" ht="15" customHeight="1" x14ac:dyDescent="0.3">
      <c r="A50" s="13"/>
      <c r="B50" s="61" t="str">
        <f t="shared" ca="1" si="6"/>
        <v/>
      </c>
      <c r="C50" s="75" t="str">
        <f t="shared" ca="1" si="11"/>
        <v/>
      </c>
      <c r="D50" s="112">
        <f t="shared" ca="1" si="7"/>
        <v>0</v>
      </c>
      <c r="E50" s="112">
        <f t="shared" ca="1" si="10"/>
        <v>0</v>
      </c>
      <c r="F50" s="112">
        <f ca="1">IF($D$2="A",
(D50-G50)*IFERROR(VLOOKUP(C50,'1.a Assumptions'!$A$33:$C$48,2,FALSE),0),
(D50-G50)*100%*(C50=$D$5-1))</f>
        <v>0</v>
      </c>
      <c r="G50" s="112">
        <f>IF($D$2="A",
D50*IFERROR(VLOOKUP(C50,'1.a Assumptions'!$A$33:$C$48,3,FALSE),0),
0)</f>
        <v>0</v>
      </c>
      <c r="H50" s="112">
        <f t="shared" ca="1" si="4"/>
        <v>0</v>
      </c>
    </row>
    <row r="51" spans="1:8" ht="15" customHeight="1" x14ac:dyDescent="0.3">
      <c r="A51" s="13"/>
      <c r="B51" s="61" t="str">
        <f t="shared" ca="1" si="6"/>
        <v/>
      </c>
      <c r="C51" s="75" t="str">
        <f t="shared" ca="1" si="11"/>
        <v/>
      </c>
      <c r="D51" s="112">
        <f t="shared" ca="1" si="7"/>
        <v>0</v>
      </c>
      <c r="E51" s="112">
        <f t="shared" ca="1" si="10"/>
        <v>0</v>
      </c>
      <c r="F51" s="112">
        <f ca="1">IF($D$2="A",
(D51-G51)*IFERROR(VLOOKUP(C51,'1.a Assumptions'!$A$33:$C$48,2,FALSE),0),
(D51-G51)*100%*(C51=$D$5-1))</f>
        <v>0</v>
      </c>
      <c r="G51" s="112">
        <f>IF($D$2="A",
D51*IFERROR(VLOOKUP(C51,'1.a Assumptions'!$A$33:$C$48,3,FALSE),0),
0)</f>
        <v>0</v>
      </c>
      <c r="H51" s="112">
        <f t="shared" ca="1" si="4"/>
        <v>0</v>
      </c>
    </row>
    <row r="52" spans="1:8" ht="15" customHeight="1" x14ac:dyDescent="0.3">
      <c r="A52" s="13"/>
      <c r="B52" s="61" t="str">
        <f t="shared" ca="1" si="6"/>
        <v/>
      </c>
      <c r="C52" s="75" t="str">
        <f t="shared" ca="1" si="11"/>
        <v/>
      </c>
      <c r="D52" s="112">
        <f t="shared" ca="1" si="7"/>
        <v>0</v>
      </c>
      <c r="E52" s="112">
        <f t="shared" ca="1" si="10"/>
        <v>0</v>
      </c>
      <c r="F52" s="112">
        <f ca="1">IF($D$2="A",
(D52-G52)*IFERROR(VLOOKUP(C52,'1.a Assumptions'!$A$33:$C$48,2,FALSE),0),
(D52-G52)*100%*(C52=$D$5-1))</f>
        <v>0</v>
      </c>
      <c r="G52" s="112">
        <f>IF($D$2="A",
D52*IFERROR(VLOOKUP(C52,'1.a Assumptions'!$A$33:$C$48,3,FALSE),0),
0)</f>
        <v>0</v>
      </c>
      <c r="H52" s="112">
        <f t="shared" ca="1" si="4"/>
        <v>0</v>
      </c>
    </row>
    <row r="53" spans="1:8" ht="15" customHeight="1" x14ac:dyDescent="0.3">
      <c r="A53" s="13"/>
      <c r="B53" s="61" t="str">
        <f t="shared" ca="1" si="6"/>
        <v/>
      </c>
      <c r="C53" s="75" t="str">
        <f t="shared" ca="1" si="11"/>
        <v/>
      </c>
      <c r="D53" s="112">
        <f t="shared" ca="1" si="7"/>
        <v>0</v>
      </c>
      <c r="E53" s="112">
        <f t="shared" ca="1" si="10"/>
        <v>0</v>
      </c>
      <c r="F53" s="112">
        <f ca="1">IF($D$2="A",
(D53-G53)*IFERROR(VLOOKUP(C53,'1.a Assumptions'!$A$33:$C$48,2,FALSE),0),
(D53-G53)*100%*(C53=$D$5-1))</f>
        <v>0</v>
      </c>
      <c r="G53" s="112">
        <f>IF($D$2="A",
D53*IFERROR(VLOOKUP(C53,'1.a Assumptions'!$A$33:$C$48,3,FALSE),0),
0)</f>
        <v>0</v>
      </c>
      <c r="H53" s="112">
        <f t="shared" ca="1" si="4"/>
        <v>0</v>
      </c>
    </row>
    <row r="54" spans="1:8" ht="15" customHeight="1" x14ac:dyDescent="0.3">
      <c r="A54" s="13"/>
      <c r="B54" s="61" t="str">
        <f t="shared" ca="1" si="6"/>
        <v/>
      </c>
      <c r="C54" s="75" t="str">
        <f t="shared" ca="1" si="11"/>
        <v/>
      </c>
      <c r="D54" s="112">
        <f t="shared" ca="1" si="7"/>
        <v>0</v>
      </c>
      <c r="E54" s="112">
        <f t="shared" ca="1" si="10"/>
        <v>0</v>
      </c>
      <c r="F54" s="112">
        <f ca="1">IF($D$2="A",
(D54-G54)*IFERROR(VLOOKUP(C54,'1.a Assumptions'!$A$33:$C$48,2,FALSE),0),
(D54-G54)*100%*(C54=$D$5-1))</f>
        <v>0</v>
      </c>
      <c r="G54" s="112">
        <f>IF($D$2="A",
D54*IFERROR(VLOOKUP(C54,'1.a Assumptions'!$A$33:$C$48,3,FALSE),0),
0)</f>
        <v>0</v>
      </c>
      <c r="H54" s="112">
        <f t="shared" ca="1" si="4"/>
        <v>0</v>
      </c>
    </row>
    <row r="55" spans="1:8" ht="15" customHeight="1" x14ac:dyDescent="0.3">
      <c r="A55" s="13"/>
      <c r="B55" s="61" t="str">
        <f t="shared" ca="1" si="6"/>
        <v/>
      </c>
      <c r="C55" s="75" t="str">
        <f t="shared" ca="1" si="11"/>
        <v/>
      </c>
      <c r="D55" s="112">
        <f t="shared" ca="1" si="7"/>
        <v>0</v>
      </c>
      <c r="E55" s="112">
        <f t="shared" ca="1" si="10"/>
        <v>0</v>
      </c>
      <c r="F55" s="112">
        <f ca="1">IF($D$2="A",
(D55-G55)*IFERROR(VLOOKUP(C55,'1.a Assumptions'!$A$33:$C$48,2,FALSE),0),
(D55-G55)*100%*(C55=$D$5-1))</f>
        <v>0</v>
      </c>
      <c r="G55" s="112">
        <f>IF($D$2="A",
D55*IFERROR(VLOOKUP(C55,'1.a Assumptions'!$A$33:$C$48,3,FALSE),0),
0)</f>
        <v>0</v>
      </c>
      <c r="H55" s="112">
        <f t="shared" ca="1" si="4"/>
        <v>0</v>
      </c>
    </row>
    <row r="56" spans="1:8" ht="15" customHeight="1" x14ac:dyDescent="0.3">
      <c r="A56" s="13"/>
      <c r="B56" s="61" t="str">
        <f t="shared" ca="1" si="6"/>
        <v/>
      </c>
      <c r="C56" s="75" t="str">
        <f t="shared" ca="1" si="11"/>
        <v/>
      </c>
      <c r="D56" s="112">
        <f t="shared" ca="1" si="7"/>
        <v>0</v>
      </c>
      <c r="E56" s="112">
        <f t="shared" ca="1" si="10"/>
        <v>0</v>
      </c>
      <c r="F56" s="112">
        <f ca="1">IF($D$2="A",
(D56-G56)*IFERROR(VLOOKUP(C56,'1.a Assumptions'!$A$33:$C$48,2,FALSE),0),
(D56-G56)*100%*(C56=$D$5-1))</f>
        <v>0</v>
      </c>
      <c r="G56" s="112">
        <f>IF($D$2="A",
D56*IFERROR(VLOOKUP(C56,'1.a Assumptions'!$A$33:$C$48,3,FALSE),0),
0)</f>
        <v>0</v>
      </c>
      <c r="H56" s="112">
        <f t="shared" ca="1" si="4"/>
        <v>0</v>
      </c>
    </row>
    <row r="57" spans="1:8" ht="15" customHeight="1" x14ac:dyDescent="0.3">
      <c r="A57" s="13"/>
      <c r="B57" s="61" t="str">
        <f t="shared" ca="1" si="6"/>
        <v/>
      </c>
      <c r="C57" s="75" t="str">
        <f t="shared" ca="1" si="11"/>
        <v/>
      </c>
      <c r="D57" s="112">
        <f t="shared" ca="1" si="7"/>
        <v>0</v>
      </c>
      <c r="E57" s="112">
        <f t="shared" ca="1" si="10"/>
        <v>0</v>
      </c>
      <c r="F57" s="112">
        <f ca="1">IF($D$2="A",
(D57-G57)*IFERROR(VLOOKUP(C57,'1.a Assumptions'!$A$33:$C$48,2,FALSE),0),
(D57-G57)*100%*(C57=$D$5-1))</f>
        <v>0</v>
      </c>
      <c r="G57" s="112">
        <f>IF($D$2="A",
D57*IFERROR(VLOOKUP(C57,'1.a Assumptions'!$A$33:$C$48,3,FALSE),0),
0)</f>
        <v>0</v>
      </c>
      <c r="H57" s="112">
        <f t="shared" ca="1" si="4"/>
        <v>0</v>
      </c>
    </row>
    <row r="58" spans="1:8" ht="15" customHeight="1" x14ac:dyDescent="0.3">
      <c r="A58" s="13"/>
      <c r="B58" s="61" t="str">
        <f t="shared" ca="1" si="6"/>
        <v/>
      </c>
      <c r="C58" s="75" t="str">
        <f t="shared" ca="1" si="11"/>
        <v/>
      </c>
      <c r="D58" s="112">
        <f t="shared" ca="1" si="7"/>
        <v>0</v>
      </c>
      <c r="E58" s="112">
        <f t="shared" ca="1" si="10"/>
        <v>0</v>
      </c>
      <c r="F58" s="112">
        <f ca="1">IF($D$2="A",
(D58-G58)*IFERROR(VLOOKUP(C58,'1.a Assumptions'!$A$33:$C$48,2,FALSE),0),
(D58-G58)*100%*(C58=$D$5-1))</f>
        <v>0</v>
      </c>
      <c r="G58" s="112">
        <f>IF($D$2="A",
D58*IFERROR(VLOOKUP(C58,'1.a Assumptions'!$A$33:$C$48,3,FALSE),0),
0)</f>
        <v>0</v>
      </c>
      <c r="H58" s="112">
        <f t="shared" ca="1" si="4"/>
        <v>0</v>
      </c>
    </row>
    <row r="59" spans="1:8" ht="15" customHeight="1" x14ac:dyDescent="0.3">
      <c r="A59" s="13"/>
      <c r="B59" s="61" t="str">
        <f t="shared" ca="1" si="6"/>
        <v/>
      </c>
      <c r="C59" s="75" t="str">
        <f t="shared" ca="1" si="11"/>
        <v/>
      </c>
      <c r="D59" s="112">
        <f t="shared" ca="1" si="7"/>
        <v>0</v>
      </c>
      <c r="E59" s="112">
        <f t="shared" ca="1" si="10"/>
        <v>0</v>
      </c>
      <c r="F59" s="112">
        <f ca="1">IF($D$2="A",
(D59-G59)*IFERROR(VLOOKUP(C59,'1.a Assumptions'!$A$33:$C$48,2,FALSE),0),
(D59-G59)*100%*(C59=$D$5-1))</f>
        <v>0</v>
      </c>
      <c r="G59" s="112">
        <f>IF($D$2="A",
D59*IFERROR(VLOOKUP(C59,'1.a Assumptions'!$A$33:$C$48,3,FALSE),0),
0)</f>
        <v>0</v>
      </c>
      <c r="H59" s="112">
        <f t="shared" ca="1" si="4"/>
        <v>0</v>
      </c>
    </row>
    <row r="60" spans="1:8" ht="15" customHeight="1" x14ac:dyDescent="0.3">
      <c r="A60" s="13"/>
      <c r="B60" s="61" t="str">
        <f t="shared" ca="1" si="6"/>
        <v/>
      </c>
      <c r="C60" s="75" t="str">
        <f t="shared" ca="1" si="11"/>
        <v/>
      </c>
      <c r="D60" s="112">
        <f t="shared" ca="1" si="7"/>
        <v>0</v>
      </c>
      <c r="E60" s="112">
        <f t="shared" ca="1" si="10"/>
        <v>0</v>
      </c>
      <c r="F60" s="112">
        <f ca="1">IF($D$2="A",
(D60-G60)*IFERROR(VLOOKUP(C60,'1.a Assumptions'!$A$33:$C$48,2,FALSE),0),
(D60-G60)*100%*(C60=$D$5-1))</f>
        <v>0</v>
      </c>
      <c r="G60" s="112">
        <f>IF($D$2="A",
D60*IFERROR(VLOOKUP(C60,'1.a Assumptions'!$A$33:$C$48,3,FALSE),0),
0)</f>
        <v>0</v>
      </c>
      <c r="H60" s="112">
        <f t="shared" ca="1" si="4"/>
        <v>0</v>
      </c>
    </row>
    <row r="61" spans="1:8" ht="15" customHeight="1" x14ac:dyDescent="0.3">
      <c r="A61" s="13"/>
      <c r="B61" s="61" t="str">
        <f t="shared" ca="1" si="6"/>
        <v/>
      </c>
      <c r="C61" s="75" t="str">
        <f t="shared" ca="1" si="11"/>
        <v/>
      </c>
      <c r="D61" s="112">
        <f t="shared" ca="1" si="7"/>
        <v>0</v>
      </c>
      <c r="E61" s="112">
        <f t="shared" ca="1" si="10"/>
        <v>0</v>
      </c>
      <c r="F61" s="112">
        <f ca="1">IF($D$2="A",
(D61-G61)*IFERROR(VLOOKUP(C61,'1.a Assumptions'!$A$33:$C$48,2,FALSE),0),
(D61-G61)*100%*(C61=$D$5-1))</f>
        <v>0</v>
      </c>
      <c r="G61" s="112">
        <f>IF($D$2="A",
D61*IFERROR(VLOOKUP(C61,'1.a Assumptions'!$A$33:$C$48,3,FALSE),0),
0)</f>
        <v>0</v>
      </c>
      <c r="H61" s="112">
        <f t="shared" ca="1" si="4"/>
        <v>0</v>
      </c>
    </row>
    <row r="62" spans="1:8" ht="15" customHeight="1" x14ac:dyDescent="0.3">
      <c r="A62" s="13"/>
      <c r="B62" s="61" t="str">
        <f t="shared" ca="1" si="6"/>
        <v/>
      </c>
      <c r="C62" s="75" t="str">
        <f t="shared" ca="1" si="11"/>
        <v/>
      </c>
      <c r="D62" s="112">
        <f t="shared" ca="1" si="7"/>
        <v>0</v>
      </c>
      <c r="E62" s="112">
        <f t="shared" ca="1" si="10"/>
        <v>0</v>
      </c>
      <c r="F62" s="112">
        <f ca="1">IF($D$2="A",
(D62-G62)*IFERROR(VLOOKUP(C62,'1.a Assumptions'!$A$33:$C$48,2,FALSE),0),
(D62-G62)*100%*(C62=$D$5-1))</f>
        <v>0</v>
      </c>
      <c r="G62" s="112">
        <f>IF($D$2="A",
D62*IFERROR(VLOOKUP(C62,'1.a Assumptions'!$A$33:$C$48,3,FALSE),0),
0)</f>
        <v>0</v>
      </c>
      <c r="H62" s="112">
        <f t="shared" ca="1" si="4"/>
        <v>0</v>
      </c>
    </row>
    <row r="63" spans="1:8" ht="15" customHeight="1" x14ac:dyDescent="0.3">
      <c r="A63" s="13"/>
      <c r="B63" s="61" t="str">
        <f t="shared" ca="1" si="6"/>
        <v/>
      </c>
      <c r="C63" s="75" t="str">
        <f t="shared" ca="1" si="11"/>
        <v/>
      </c>
      <c r="D63" s="112">
        <f t="shared" ca="1" si="7"/>
        <v>0</v>
      </c>
      <c r="E63" s="112">
        <f t="shared" ca="1" si="10"/>
        <v>0</v>
      </c>
      <c r="F63" s="112">
        <f ca="1">IF($D$2="A",
(D63-G63)*IFERROR(VLOOKUP(C63,'1.a Assumptions'!$A$33:$C$48,2,FALSE),0),
(D63-G63)*100%*(C63=$D$5-1))</f>
        <v>0</v>
      </c>
      <c r="G63" s="112">
        <f>IF($D$2="A",
D63*IFERROR(VLOOKUP(C63,'1.a Assumptions'!$A$33:$C$48,3,FALSE),0),
0)</f>
        <v>0</v>
      </c>
      <c r="H63" s="112">
        <f t="shared" ca="1" si="4"/>
        <v>0</v>
      </c>
    </row>
    <row r="64" spans="1:8" ht="15" customHeight="1" x14ac:dyDescent="0.3">
      <c r="A64" s="13"/>
      <c r="B64" s="61" t="str">
        <f t="shared" ca="1" si="6"/>
        <v/>
      </c>
      <c r="C64" s="75" t="str">
        <f t="shared" ca="1" si="11"/>
        <v/>
      </c>
      <c r="D64" s="112">
        <f t="shared" ca="1" si="7"/>
        <v>0</v>
      </c>
      <c r="E64" s="112">
        <f t="shared" ca="1" si="10"/>
        <v>0</v>
      </c>
      <c r="F64" s="112">
        <f ca="1">IF($D$2="A",
(D64-G64)*IFERROR(VLOOKUP(C64,'1.a Assumptions'!$A$33:$C$48,2,FALSE),0),
(D64-G64)*100%*(C64=$D$5-1))</f>
        <v>0</v>
      </c>
      <c r="G64" s="112">
        <f>IF($D$2="A",
D64*IFERROR(VLOOKUP(C64,'1.a Assumptions'!$A$33:$C$48,3,FALSE),0),
0)</f>
        <v>0</v>
      </c>
      <c r="H64" s="112">
        <f t="shared" ca="1" si="4"/>
        <v>0</v>
      </c>
    </row>
    <row r="65" spans="1:8" ht="15" customHeight="1" x14ac:dyDescent="0.3">
      <c r="A65" s="13"/>
      <c r="B65" s="61" t="str">
        <f t="shared" ca="1" si="6"/>
        <v/>
      </c>
      <c r="C65" s="75" t="str">
        <f t="shared" ca="1" si="11"/>
        <v/>
      </c>
      <c r="D65" s="112">
        <f t="shared" ca="1" si="7"/>
        <v>0</v>
      </c>
      <c r="E65" s="112">
        <f t="shared" ca="1" si="10"/>
        <v>0</v>
      </c>
      <c r="F65" s="112">
        <f ca="1">IF($D$2="A",
(D65-G65)*IFERROR(VLOOKUP(C65,'1.a Assumptions'!$A$33:$C$48,2,FALSE),0),
(D65-G65)*100%*(C65=$D$5-1))</f>
        <v>0</v>
      </c>
      <c r="G65" s="112">
        <f>IF($D$2="A",
D65*IFERROR(VLOOKUP(C65,'1.a Assumptions'!$A$33:$C$48,3,FALSE),0),
0)</f>
        <v>0</v>
      </c>
      <c r="H65" s="112">
        <f t="shared" ca="1" si="4"/>
        <v>0</v>
      </c>
    </row>
    <row r="66" spans="1:8" ht="15" customHeight="1" x14ac:dyDescent="0.3">
      <c r="A66" s="13"/>
      <c r="B66" s="61" t="str">
        <f t="shared" ca="1" si="6"/>
        <v/>
      </c>
      <c r="C66" s="75" t="str">
        <f t="shared" ca="1" si="11"/>
        <v/>
      </c>
      <c r="D66" s="112">
        <f t="shared" ca="1" si="7"/>
        <v>0</v>
      </c>
      <c r="E66" s="112">
        <f t="shared" ca="1" si="10"/>
        <v>0</v>
      </c>
      <c r="F66" s="112">
        <f ca="1">IF($D$2="A",
(D66-G66)*IFERROR(VLOOKUP(C66,'1.a Assumptions'!$A$33:$C$48,2,FALSE),0),
(D66-G66)*100%*(C66=$D$5-1))</f>
        <v>0</v>
      </c>
      <c r="G66" s="112">
        <f>IF($D$2="A",
D66*IFERROR(VLOOKUP(C66,'1.a Assumptions'!$A$33:$C$48,3,FALSE),0),
0)</f>
        <v>0</v>
      </c>
      <c r="H66" s="112">
        <f t="shared" ca="1" si="4"/>
        <v>0</v>
      </c>
    </row>
    <row r="67" spans="1:8" ht="15" customHeight="1" x14ac:dyDescent="0.3">
      <c r="A67" s="13"/>
      <c r="B67" s="61" t="str">
        <f t="shared" ca="1" si="6"/>
        <v/>
      </c>
      <c r="C67" s="75" t="str">
        <f t="shared" ca="1" si="11"/>
        <v/>
      </c>
      <c r="D67" s="112">
        <f t="shared" ca="1" si="7"/>
        <v>0</v>
      </c>
      <c r="E67" s="112">
        <f t="shared" ca="1" si="10"/>
        <v>0</v>
      </c>
      <c r="F67" s="112">
        <f ca="1">IF($D$2="A",
(D67-G67)*IFERROR(VLOOKUP(C67,'1.a Assumptions'!$A$33:$C$48,2,FALSE),0),
(D67-G67)*100%*(C67=$D$5-1))</f>
        <v>0</v>
      </c>
      <c r="G67" s="112">
        <f>IF($D$2="A",
D67*IFERROR(VLOOKUP(C67,'1.a Assumptions'!$A$33:$C$48,3,FALSE),0),
0)</f>
        <v>0</v>
      </c>
      <c r="H67" s="112">
        <f t="shared" ca="1" si="4"/>
        <v>0</v>
      </c>
    </row>
    <row r="68" spans="1:8" ht="15" customHeight="1" x14ac:dyDescent="0.3">
      <c r="A68" s="13"/>
      <c r="B68" s="61" t="str">
        <f t="shared" ca="1" si="6"/>
        <v/>
      </c>
      <c r="C68" s="75" t="str">
        <f t="shared" ca="1" si="11"/>
        <v/>
      </c>
      <c r="D68" s="112">
        <f t="shared" ca="1" si="7"/>
        <v>0</v>
      </c>
      <c r="E68" s="112">
        <f t="shared" ca="1" si="10"/>
        <v>0</v>
      </c>
      <c r="F68" s="112">
        <f ca="1">IF($D$2="A",
(D68-G68)*IFERROR(VLOOKUP(C68,'1.a Assumptions'!$A$33:$C$48,2,FALSE),0),
(D68-G68)*100%*(C68=$D$5-1))</f>
        <v>0</v>
      </c>
      <c r="G68" s="112">
        <f>IF($D$2="A",
D68*IFERROR(VLOOKUP(C68,'1.a Assumptions'!$A$33:$C$48,3,FALSE),0),
0)</f>
        <v>0</v>
      </c>
      <c r="H68" s="112">
        <f t="shared" ca="1" si="4"/>
        <v>0</v>
      </c>
    </row>
    <row r="69" spans="1:8" ht="15" customHeight="1" x14ac:dyDescent="0.3">
      <c r="A69" s="13"/>
      <c r="B69" s="61" t="str">
        <f t="shared" ca="1" si="6"/>
        <v/>
      </c>
      <c r="C69" s="75" t="str">
        <f t="shared" ca="1" si="11"/>
        <v/>
      </c>
      <c r="D69" s="112">
        <f t="shared" ca="1" si="7"/>
        <v>0</v>
      </c>
      <c r="E69" s="112">
        <f t="shared" ca="1" si="10"/>
        <v>0</v>
      </c>
      <c r="F69" s="112">
        <f ca="1">IF($D$2="A",
(D69-G69)*IFERROR(VLOOKUP(C69,'1.a Assumptions'!$A$33:$C$48,2,FALSE),0),
(D69-G69)*100%*(C69=$D$5-1))</f>
        <v>0</v>
      </c>
      <c r="G69" s="112">
        <f>IF($D$2="A",
D69*IFERROR(VLOOKUP(C69,'1.a Assumptions'!$A$33:$C$48,3,FALSE),0),
0)</f>
        <v>0</v>
      </c>
      <c r="H69" s="112">
        <f t="shared" ca="1" si="4"/>
        <v>0</v>
      </c>
    </row>
    <row r="70" spans="1:8" ht="15" customHeight="1" x14ac:dyDescent="0.3">
      <c r="A70" s="13"/>
      <c r="B70" s="61" t="str">
        <f t="shared" ca="1" si="6"/>
        <v/>
      </c>
      <c r="C70" s="75" t="str">
        <f t="shared" ca="1" si="11"/>
        <v/>
      </c>
      <c r="D70" s="112">
        <f t="shared" ca="1" si="7"/>
        <v>0</v>
      </c>
      <c r="E70" s="112">
        <f t="shared" ca="1" si="10"/>
        <v>0</v>
      </c>
      <c r="F70" s="112">
        <f ca="1">IF($D$2="A",
(D70-G70)*IFERROR(VLOOKUP(C70,'1.a Assumptions'!$A$33:$C$48,2,FALSE),0),
(D70-G70)*100%*(C70=$D$5-1))</f>
        <v>0</v>
      </c>
      <c r="G70" s="112">
        <f>IF($D$2="A",
D70*IFERROR(VLOOKUP(C70,'1.a Assumptions'!$A$33:$C$48,3,FALSE),0),
0)</f>
        <v>0</v>
      </c>
      <c r="H70" s="112">
        <f t="shared" ca="1" si="4"/>
        <v>0</v>
      </c>
    </row>
    <row r="71" spans="1:8" ht="15" customHeight="1" x14ac:dyDescent="0.3">
      <c r="A71" s="13"/>
      <c r="B71" s="61" t="str">
        <f t="shared" ca="1" si="6"/>
        <v/>
      </c>
      <c r="C71" s="75" t="str">
        <f t="shared" ca="1" si="11"/>
        <v/>
      </c>
      <c r="D71" s="112">
        <f t="shared" ca="1" si="7"/>
        <v>0</v>
      </c>
      <c r="E71" s="112">
        <f t="shared" ca="1" si="10"/>
        <v>0</v>
      </c>
      <c r="F71" s="112">
        <f ca="1">IF($D$2="A",
(D71-G71)*IFERROR(VLOOKUP(C71,'1.a Assumptions'!$A$33:$C$48,2,FALSE),0),
(D71-G71)*100%*(C71=$D$5-1))</f>
        <v>0</v>
      </c>
      <c r="G71" s="112">
        <f>IF($D$2="A",
D71*IFERROR(VLOOKUP(C71,'1.a Assumptions'!$A$33:$C$48,3,FALSE),0),
0)</f>
        <v>0</v>
      </c>
      <c r="H71" s="112">
        <f t="shared" ca="1" si="4"/>
        <v>0</v>
      </c>
    </row>
    <row r="72" spans="1:8" ht="15" customHeight="1" x14ac:dyDescent="0.3">
      <c r="A72" s="13"/>
      <c r="B72" s="61" t="str">
        <f t="shared" ca="1" si="6"/>
        <v/>
      </c>
      <c r="C72" s="75" t="str">
        <f t="shared" ca="1" si="11"/>
        <v/>
      </c>
      <c r="D72" s="112">
        <f t="shared" ca="1" si="7"/>
        <v>0</v>
      </c>
      <c r="E72" s="112">
        <f t="shared" ca="1" si="10"/>
        <v>0</v>
      </c>
      <c r="F72" s="112">
        <f ca="1">IF($D$2="A",
(D72-G72)*IFERROR(VLOOKUP(C72,'1.a Assumptions'!$A$33:$C$48,2,FALSE),0),
(D72-G72)*100%*(C72=$D$5-1))</f>
        <v>0</v>
      </c>
      <c r="G72" s="112">
        <f>IF($D$2="A",
D72*IFERROR(VLOOKUP(C72,'1.a Assumptions'!$A$33:$C$48,3,FALSE),0),
0)</f>
        <v>0</v>
      </c>
      <c r="H72" s="112">
        <f t="shared" ca="1" si="4"/>
        <v>0</v>
      </c>
    </row>
    <row r="73" spans="1:8" ht="15" customHeight="1" x14ac:dyDescent="0.3">
      <c r="A73" s="13"/>
      <c r="B73" s="61" t="str">
        <f t="shared" ca="1" si="6"/>
        <v/>
      </c>
      <c r="C73" s="75" t="str">
        <f t="shared" ca="1" si="11"/>
        <v/>
      </c>
      <c r="D73" s="112">
        <f t="shared" ca="1" si="7"/>
        <v>0</v>
      </c>
      <c r="E73" s="112">
        <f t="shared" ca="1" si="10"/>
        <v>0</v>
      </c>
      <c r="F73" s="112">
        <f ca="1">IF($D$2="A",
(D73-G73)*IFERROR(VLOOKUP(C73,'1.a Assumptions'!$A$33:$C$48,2,FALSE),0),
(D73-G73)*100%*(C73=$D$5-1))</f>
        <v>0</v>
      </c>
      <c r="G73" s="112">
        <f>IF($D$2="A",
D73*IFERROR(VLOOKUP(C73,'1.a Assumptions'!$A$33:$C$48,3,FALSE),0),
0)</f>
        <v>0</v>
      </c>
      <c r="H73" s="112">
        <f t="shared" ca="1" si="4"/>
        <v>0</v>
      </c>
    </row>
    <row r="74" spans="1:8" ht="15" customHeight="1" x14ac:dyDescent="0.3">
      <c r="A74" s="13"/>
      <c r="B74" s="61" t="str">
        <f t="shared" ca="1" si="6"/>
        <v/>
      </c>
      <c r="C74" s="75" t="str">
        <f t="shared" ca="1" si="11"/>
        <v/>
      </c>
      <c r="D74" s="112">
        <f t="shared" ca="1" si="7"/>
        <v>0</v>
      </c>
      <c r="E74" s="112">
        <f t="shared" ca="1" si="10"/>
        <v>0</v>
      </c>
      <c r="F74" s="112">
        <f ca="1">IF($D$2="A",
(D74-G74)*IFERROR(VLOOKUP(C74,'1.a Assumptions'!$A$33:$C$48,2,FALSE),0),
(D74-G74)*100%*(C74=$D$5-1))</f>
        <v>0</v>
      </c>
      <c r="G74" s="112">
        <f>IF($D$2="A",
D74*IFERROR(VLOOKUP(C74,'1.a Assumptions'!$A$33:$C$48,3,FALSE),0),
0)</f>
        <v>0</v>
      </c>
      <c r="H74" s="112">
        <f t="shared" ca="1" si="4"/>
        <v>0</v>
      </c>
    </row>
    <row r="75" spans="1:8" ht="15" customHeight="1" x14ac:dyDescent="0.3">
      <c r="A75" s="13"/>
      <c r="B75" s="61" t="str">
        <f t="shared" ca="1" si="6"/>
        <v/>
      </c>
      <c r="C75" s="75" t="str">
        <f t="shared" ca="1" si="11"/>
        <v/>
      </c>
      <c r="D75" s="112">
        <f t="shared" ca="1" si="7"/>
        <v>0</v>
      </c>
      <c r="E75" s="112">
        <f t="shared" ref="E75:E81" ca="1" si="12">IF($D$2="A",(D75-G75)*withdraw_rate*(C75&lt;$D$5),(D75-G75)*withdraw_rate*(C75&lt;&gt;$D$5-1))</f>
        <v>0</v>
      </c>
      <c r="F75" s="112">
        <f ca="1">IF($D$2="A",
(D75-G75)*IFERROR(VLOOKUP(C75,'1.a Assumptions'!$A$33:$C$48,2,FALSE),0),
(D75-G75)*100%*(C75=$D$5-1))</f>
        <v>0</v>
      </c>
      <c r="G75" s="112">
        <f>IF($D$2="A",
D75*IFERROR(VLOOKUP(C75,'1.a Assumptions'!$A$33:$C$48,3,FALSE),0),
0)</f>
        <v>0</v>
      </c>
      <c r="H75" s="112">
        <f t="shared" ca="1" si="4"/>
        <v>0</v>
      </c>
    </row>
    <row r="76" spans="1:8" ht="15" customHeight="1" x14ac:dyDescent="0.3">
      <c r="A76" s="13"/>
      <c r="B76" s="61" t="str">
        <f t="shared" ca="1" si="6"/>
        <v/>
      </c>
      <c r="C76" s="75" t="str">
        <f t="shared" ref="C76:C81" ca="1" si="13">IF(C75="","",IF($D$2="A",C75+1,IF(C75+1&gt;$D$5,"",C75+1)))</f>
        <v/>
      </c>
      <c r="D76" s="112">
        <f t="shared" ca="1" si="7"/>
        <v>0</v>
      </c>
      <c r="E76" s="112">
        <f t="shared" ca="1" si="12"/>
        <v>0</v>
      </c>
      <c r="F76" s="112">
        <f ca="1">IF($D$2="A",
(D76-G76)*IFERROR(VLOOKUP(C76,'1.a Assumptions'!$A$33:$C$48,2,FALSE),0),
(D76-G76)*100%*(C76=$D$5-1))</f>
        <v>0</v>
      </c>
      <c r="G76" s="112">
        <f>IF($D$2="A",
D76*IFERROR(VLOOKUP(C76,'1.a Assumptions'!$A$33:$C$48,3,FALSE),0),
0)</f>
        <v>0</v>
      </c>
      <c r="H76" s="112">
        <f t="shared" ref="H76:H81" ca="1" si="14">D76-E76-F76-G76</f>
        <v>0</v>
      </c>
    </row>
    <row r="77" spans="1:8" ht="15" customHeight="1" x14ac:dyDescent="0.3">
      <c r="A77" s="13"/>
      <c r="B77" s="61" t="str">
        <f t="shared" ref="B77:B81" ca="1" si="15">IF($C77="","",B76+1)</f>
        <v/>
      </c>
      <c r="C77" s="75" t="str">
        <f t="shared" ca="1" si="13"/>
        <v/>
      </c>
      <c r="D77" s="112">
        <f t="shared" ref="D77:D81" ca="1" si="16">H76</f>
        <v>0</v>
      </c>
      <c r="E77" s="112">
        <f t="shared" ca="1" si="12"/>
        <v>0</v>
      </c>
      <c r="F77" s="112">
        <f ca="1">IF($D$2="A",
(D77-G77)*IFERROR(VLOOKUP(C77,'1.a Assumptions'!$A$33:$C$48,2,FALSE),0),
(D77-G77)*100%*(C77=$D$5-1))</f>
        <v>0</v>
      </c>
      <c r="G77" s="112">
        <f>IF($D$2="A",
D77*IFERROR(VLOOKUP(C77,'1.a Assumptions'!$A$33:$C$48,3,FALSE),0),
0)</f>
        <v>0</v>
      </c>
      <c r="H77" s="112">
        <f t="shared" ca="1" si="14"/>
        <v>0</v>
      </c>
    </row>
    <row r="78" spans="1:8" ht="15" customHeight="1" x14ac:dyDescent="0.3">
      <c r="A78" s="13"/>
      <c r="B78" s="61" t="str">
        <f t="shared" ca="1" si="15"/>
        <v/>
      </c>
      <c r="C78" s="75" t="str">
        <f t="shared" ca="1" si="13"/>
        <v/>
      </c>
      <c r="D78" s="112">
        <f t="shared" ca="1" si="16"/>
        <v>0</v>
      </c>
      <c r="E78" s="112">
        <f t="shared" ca="1" si="12"/>
        <v>0</v>
      </c>
      <c r="F78" s="112">
        <f ca="1">IF($D$2="A",
(D78-G78)*IFERROR(VLOOKUP(C78,'1.a Assumptions'!$A$33:$C$48,2,FALSE),0),
(D78-G78)*100%*(C78=$D$5-1))</f>
        <v>0</v>
      </c>
      <c r="G78" s="112">
        <f>IF($D$2="A",
D78*IFERROR(VLOOKUP(C78,'1.a Assumptions'!$A$33:$C$48,3,FALSE),0),
0)</f>
        <v>0</v>
      </c>
      <c r="H78" s="112">
        <f t="shared" ca="1" si="14"/>
        <v>0</v>
      </c>
    </row>
    <row r="79" spans="1:8" ht="15" customHeight="1" x14ac:dyDescent="0.3">
      <c r="A79" s="13"/>
      <c r="B79" s="61" t="str">
        <f t="shared" ca="1" si="15"/>
        <v/>
      </c>
      <c r="C79" s="75" t="str">
        <f t="shared" ca="1" si="13"/>
        <v/>
      </c>
      <c r="D79" s="112">
        <f t="shared" ca="1" si="16"/>
        <v>0</v>
      </c>
      <c r="E79" s="112">
        <f t="shared" ca="1" si="12"/>
        <v>0</v>
      </c>
      <c r="F79" s="112">
        <f ca="1">IF($D$2="A",
(D79-G79)*IFERROR(VLOOKUP(C79,'1.a Assumptions'!$A$33:$C$48,2,FALSE),0),
(D79-G79)*100%*(C79=$D$5-1))</f>
        <v>0</v>
      </c>
      <c r="G79" s="112">
        <f>IF($D$2="A",
D79*IFERROR(VLOOKUP(C79,'1.a Assumptions'!$A$33:$C$48,3,FALSE),0),
0)</f>
        <v>0</v>
      </c>
      <c r="H79" s="112">
        <f t="shared" ca="1" si="14"/>
        <v>0</v>
      </c>
    </row>
    <row r="80" spans="1:8" ht="15" customHeight="1" x14ac:dyDescent="0.3">
      <c r="A80" s="13"/>
      <c r="B80" s="61" t="str">
        <f t="shared" ca="1" si="15"/>
        <v/>
      </c>
      <c r="C80" s="75" t="str">
        <f t="shared" ca="1" si="13"/>
        <v/>
      </c>
      <c r="D80" s="112">
        <f t="shared" ca="1" si="16"/>
        <v>0</v>
      </c>
      <c r="E80" s="112">
        <f t="shared" ca="1" si="12"/>
        <v>0</v>
      </c>
      <c r="F80" s="112">
        <f ca="1">IF($D$2="A",
(D80-G80)*IFERROR(VLOOKUP(C80,'1.a Assumptions'!$A$33:$C$48,2,FALSE),0),
(D80-G80)*100%*(C80=$D$5-1))</f>
        <v>0</v>
      </c>
      <c r="G80" s="112">
        <f>IF($D$2="A",
D80*IFERROR(VLOOKUP(C80,'1.a Assumptions'!$A$33:$C$48,3,FALSE),0),
0)</f>
        <v>0</v>
      </c>
      <c r="H80" s="112">
        <f t="shared" ca="1" si="14"/>
        <v>0</v>
      </c>
    </row>
    <row r="81" spans="1:8" ht="15" customHeight="1" x14ac:dyDescent="0.3">
      <c r="A81" s="13"/>
      <c r="B81" s="61" t="str">
        <f t="shared" ca="1" si="15"/>
        <v/>
      </c>
      <c r="C81" s="75" t="str">
        <f t="shared" ca="1" si="13"/>
        <v/>
      </c>
      <c r="D81" s="112">
        <f t="shared" ca="1" si="16"/>
        <v>0</v>
      </c>
      <c r="E81" s="112">
        <f t="shared" ca="1" si="12"/>
        <v>0</v>
      </c>
      <c r="F81" s="112">
        <f ca="1">IF($D$2="A",
(D81-G81)*IFERROR(VLOOKUP(C81,'1.a Assumptions'!$A$33:$C$48,2,FALSE),0),
(D81-G81)*100%*(C81=$D$5-1))</f>
        <v>0</v>
      </c>
      <c r="G81" s="112">
        <f>IF($D$2="A",
D81*IFERROR(VLOOKUP(C81,'1.a Assumptions'!$A$33:$C$48,3,FALSE),0),
0)</f>
        <v>0</v>
      </c>
      <c r="H81" s="112">
        <f t="shared" ca="1" si="14"/>
        <v>0</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theme="4" tint="0.59999389629810485"/>
  </sheetPr>
  <dimension ref="A1:AE86"/>
  <sheetViews>
    <sheetView zoomScale="85" zoomScaleNormal="85" workbookViewId="0">
      <selection activeCell="M31" sqref="M31"/>
    </sheetView>
  </sheetViews>
  <sheetFormatPr defaultRowHeight="15" x14ac:dyDescent="0.25"/>
  <cols>
    <col min="1" max="1" width="3" customWidth="1"/>
    <col min="2" max="2" width="14.85546875" customWidth="1"/>
    <col min="3" max="3" width="17.85546875" bestFit="1" customWidth="1"/>
    <col min="4" max="4" width="11.140625" customWidth="1"/>
    <col min="5" max="5" width="16.28515625" customWidth="1"/>
    <col min="6" max="6" width="17.7109375" bestFit="1" customWidth="1"/>
    <col min="7" max="7" width="12.140625" customWidth="1"/>
    <col min="8" max="8" width="16.85546875" customWidth="1"/>
    <col min="9" max="9" width="15.7109375" customWidth="1"/>
    <col min="10" max="10" width="16.7109375" customWidth="1"/>
    <col min="11" max="19" width="15.7109375" customWidth="1"/>
    <col min="20" max="21" width="2.140625" customWidth="1"/>
    <col min="22" max="22" width="13" customWidth="1"/>
    <col min="23" max="23" width="14.28515625" bestFit="1" customWidth="1"/>
    <col min="24" max="25" width="11.5703125" bestFit="1" customWidth="1"/>
    <col min="26" max="26" width="10.5703125" bestFit="1" customWidth="1"/>
    <col min="27" max="31" width="11.5703125" bestFit="1" customWidth="1"/>
  </cols>
  <sheetData>
    <row r="1" spans="1:31" ht="15" customHeight="1" thickBot="1" x14ac:dyDescent="0.3">
      <c r="A1" s="127" t="s">
        <v>54</v>
      </c>
      <c r="B1" s="13"/>
      <c r="C1" s="13"/>
      <c r="D1" s="13"/>
      <c r="E1" s="13"/>
      <c r="F1" s="13"/>
      <c r="G1" s="13"/>
      <c r="H1" s="13"/>
      <c r="I1" s="13"/>
      <c r="J1" s="13"/>
      <c r="K1" s="13"/>
      <c r="L1" s="13"/>
      <c r="M1" s="13"/>
      <c r="N1" s="13"/>
      <c r="O1" s="13"/>
      <c r="P1" s="13"/>
      <c r="Q1" s="13"/>
      <c r="R1" s="13"/>
      <c r="S1" s="13"/>
      <c r="T1" s="13"/>
      <c r="U1" s="13"/>
      <c r="V1" s="13"/>
      <c r="W1" s="13"/>
      <c r="X1" s="13"/>
      <c r="Y1" s="13"/>
      <c r="Z1" s="13"/>
      <c r="AA1" s="13"/>
      <c r="AB1" s="13"/>
      <c r="AC1" s="13"/>
      <c r="AD1" s="13"/>
      <c r="AE1" s="13"/>
    </row>
    <row r="2" spans="1:31" ht="15" customHeight="1" thickBot="1" x14ac:dyDescent="0.3">
      <c r="A2" s="13"/>
      <c r="B2" s="19" t="s">
        <v>17</v>
      </c>
      <c r="C2" s="20" t="s">
        <v>25</v>
      </c>
      <c r="D2" s="21" t="str">
        <f>RIGHT($B$3,1)</f>
        <v>B</v>
      </c>
      <c r="E2" s="13"/>
      <c r="F2" s="13"/>
      <c r="G2" s="13"/>
      <c r="H2" s="22" t="s">
        <v>73</v>
      </c>
      <c r="I2" s="23"/>
      <c r="J2" s="23"/>
      <c r="K2" s="23"/>
      <c r="L2" s="23"/>
      <c r="M2" s="23"/>
      <c r="N2" s="23"/>
      <c r="O2" s="23"/>
      <c r="P2" s="23"/>
      <c r="Q2" s="23"/>
      <c r="R2" s="13"/>
      <c r="S2" s="13"/>
      <c r="T2" s="13"/>
      <c r="U2" s="13"/>
      <c r="V2" s="13"/>
      <c r="W2" s="13"/>
      <c r="X2" s="13"/>
      <c r="Y2" s="13"/>
      <c r="Z2" s="13"/>
      <c r="AA2" s="13"/>
      <c r="AB2" s="13"/>
      <c r="AC2" s="13"/>
      <c r="AD2" s="13"/>
      <c r="AE2" s="13"/>
    </row>
    <row r="3" spans="1:31" ht="15" customHeight="1" thickBot="1" x14ac:dyDescent="0.3">
      <c r="A3" s="13"/>
      <c r="B3" s="24" t="str">
        <f>EAN_Projection!B3</f>
        <v>30B</v>
      </c>
      <c r="C3" s="20" t="s">
        <v>72</v>
      </c>
      <c r="D3" s="21">
        <f>VLOOKUP($B$3,'opening demographics'!$A$1:$E$11,3,FALSE)</f>
        <v>210</v>
      </c>
      <c r="E3" s="13"/>
      <c r="F3" s="25" t="s">
        <v>68</v>
      </c>
      <c r="G3" s="26" t="str">
        <f>B3</f>
        <v>30B</v>
      </c>
      <c r="H3" s="27" t="s">
        <v>18</v>
      </c>
      <c r="I3" s="28" t="s">
        <v>58</v>
      </c>
      <c r="J3" s="28" t="s">
        <v>60</v>
      </c>
      <c r="K3" s="28" t="s">
        <v>62</v>
      </c>
      <c r="L3" s="29" t="s">
        <v>64</v>
      </c>
      <c r="M3" s="30" t="s">
        <v>56</v>
      </c>
      <c r="N3" s="28" t="s">
        <v>57</v>
      </c>
      <c r="O3" s="28" t="s">
        <v>59</v>
      </c>
      <c r="P3" s="28" t="s">
        <v>61</v>
      </c>
      <c r="Q3" s="31" t="s">
        <v>63</v>
      </c>
      <c r="R3" s="13"/>
      <c r="S3" s="13"/>
      <c r="T3" s="13"/>
      <c r="U3" s="13"/>
      <c r="V3" s="13"/>
      <c r="W3" s="13"/>
      <c r="X3" s="13"/>
      <c r="Y3" s="13"/>
      <c r="Z3" s="13"/>
      <c r="AA3" s="13"/>
      <c r="AB3" s="13"/>
      <c r="AC3" s="13"/>
      <c r="AD3" s="13"/>
      <c r="AE3" s="13"/>
    </row>
    <row r="4" spans="1:31" ht="15" customHeight="1" x14ac:dyDescent="0.25">
      <c r="A4" s="13"/>
      <c r="B4" s="13"/>
      <c r="C4" s="20" t="s">
        <v>26</v>
      </c>
      <c r="D4" s="21">
        <f>VALUE(LEFT($B$3,2))</f>
        <v>30</v>
      </c>
      <c r="E4" s="13"/>
      <c r="F4" s="32" t="s">
        <v>69</v>
      </c>
      <c r="G4" s="33">
        <f>D3</f>
        <v>210</v>
      </c>
      <c r="H4" s="34">
        <f t="dataTable" ref="H4:Q7" dt2D="0" dtr="1" r1="B3" ca="1"/>
        <v>20</v>
      </c>
      <c r="I4" s="35">
        <v>15</v>
      </c>
      <c r="J4" s="35">
        <v>30</v>
      </c>
      <c r="K4" s="35">
        <v>25</v>
      </c>
      <c r="L4" s="36">
        <v>10</v>
      </c>
      <c r="M4" s="37">
        <v>210</v>
      </c>
      <c r="N4" s="35">
        <v>220</v>
      </c>
      <c r="O4" s="35">
        <v>240</v>
      </c>
      <c r="P4" s="35">
        <v>180</v>
      </c>
      <c r="Q4" s="38">
        <v>50</v>
      </c>
      <c r="R4" s="13"/>
      <c r="S4" s="13"/>
      <c r="T4" s="13"/>
      <c r="U4" s="13"/>
      <c r="V4" s="13"/>
      <c r="W4" s="13"/>
      <c r="X4" s="13"/>
      <c r="Y4" s="13"/>
      <c r="Z4" s="13"/>
      <c r="AA4" s="13"/>
      <c r="AB4" s="13"/>
      <c r="AC4" s="13"/>
      <c r="AD4" s="13"/>
      <c r="AE4" s="13"/>
    </row>
    <row r="5" spans="1:31" ht="15" customHeight="1" x14ac:dyDescent="0.25">
      <c r="A5" s="13"/>
      <c r="B5" s="13"/>
      <c r="C5" s="20" t="s">
        <v>27</v>
      </c>
      <c r="D5" s="21">
        <f ca="1">INDIRECT("NRA_"&amp;$D$2)</f>
        <v>60</v>
      </c>
      <c r="E5" s="13"/>
      <c r="F5" s="32" t="s">
        <v>14</v>
      </c>
      <c r="G5" s="39">
        <f ca="1">I16</f>
        <v>1955.2936564113406</v>
      </c>
      <c r="H5" s="34">
        <v>9718.9927433616194</v>
      </c>
      <c r="I5" s="35">
        <v>15080.597806276177</v>
      </c>
      <c r="J5" s="35">
        <v>17894.450538829002</v>
      </c>
      <c r="K5" s="35">
        <v>19174.959866205161</v>
      </c>
      <c r="L5" s="36">
        <v>25912.107927304274</v>
      </c>
      <c r="M5" s="37">
        <v>1955.2936564113406</v>
      </c>
      <c r="N5" s="35">
        <v>2781.4118006497902</v>
      </c>
      <c r="O5" s="35">
        <v>3429.9198483455698</v>
      </c>
      <c r="P5" s="35">
        <v>4199.6385794697735</v>
      </c>
      <c r="Q5" s="38">
        <v>4742.7064247790113</v>
      </c>
      <c r="R5" s="13"/>
      <c r="S5" s="13"/>
      <c r="T5" s="13"/>
      <c r="U5" s="13"/>
      <c r="V5" s="13"/>
      <c r="W5" s="13"/>
      <c r="X5" s="13"/>
      <c r="Y5" s="13"/>
      <c r="Z5" s="13"/>
      <c r="AA5" s="13"/>
      <c r="AB5" s="13"/>
      <c r="AC5" s="13"/>
      <c r="AD5" s="13"/>
      <c r="AE5" s="13"/>
    </row>
    <row r="6" spans="1:31" ht="15" customHeight="1" x14ac:dyDescent="0.25">
      <c r="A6" s="13"/>
      <c r="B6" s="13"/>
      <c r="C6" s="20" t="s">
        <v>28</v>
      </c>
      <c r="D6" s="40">
        <f ca="1">INDIRECT("accrual_rate_"&amp;$D$2)</f>
        <v>0.05</v>
      </c>
      <c r="E6" s="13"/>
      <c r="F6" s="32" t="s">
        <v>71</v>
      </c>
      <c r="G6" s="39">
        <f ca="1">E17</f>
        <v>79170.807916917329</v>
      </c>
      <c r="H6" s="34">
        <v>103648.4317092171</v>
      </c>
      <c r="I6" s="35">
        <v>155472.64756382565</v>
      </c>
      <c r="J6" s="35">
        <v>181384.75549112991</v>
      </c>
      <c r="K6" s="35">
        <v>191749.59866205163</v>
      </c>
      <c r="L6" s="36">
        <v>259121.07927304273</v>
      </c>
      <c r="M6" s="37">
        <v>79170.807916917329</v>
      </c>
      <c r="N6" s="35">
        <v>88305.901138100089</v>
      </c>
      <c r="O6" s="35">
        <v>96425.984001373668</v>
      </c>
      <c r="P6" s="35">
        <v>104546.06686464723</v>
      </c>
      <c r="Q6" s="38">
        <v>104546.06686464723</v>
      </c>
      <c r="R6" s="13"/>
      <c r="S6" s="13"/>
      <c r="T6" s="13"/>
      <c r="U6" s="13"/>
      <c r="V6" s="13"/>
      <c r="W6" s="13"/>
      <c r="X6" s="13"/>
      <c r="Y6" s="13"/>
      <c r="Z6" s="13"/>
      <c r="AA6" s="13"/>
      <c r="AB6" s="13"/>
      <c r="AC6" s="13"/>
      <c r="AD6" s="13"/>
      <c r="AE6" s="13"/>
    </row>
    <row r="7" spans="1:31" ht="15" customHeight="1" thickBot="1" x14ac:dyDescent="0.3">
      <c r="A7" s="13"/>
      <c r="B7" s="13"/>
      <c r="C7" s="20" t="s">
        <v>29</v>
      </c>
      <c r="D7" s="41">
        <f>VLOOKUP($B$3,'opening demographics'!$A$1:$E$11,4,FALSE)</f>
        <v>78000</v>
      </c>
      <c r="E7" s="13"/>
      <c r="F7" s="42" t="s">
        <v>23</v>
      </c>
      <c r="G7" s="43" t="str">
        <f ca="1">W15</f>
        <v>Pass</v>
      </c>
      <c r="H7" s="44" t="str">
        <v>Pass</v>
      </c>
      <c r="I7" s="45" t="str">
        <v>Pass</v>
      </c>
      <c r="J7" s="45" t="str">
        <v>Pass</v>
      </c>
      <c r="K7" s="45" t="str">
        <v>Pass</v>
      </c>
      <c r="L7" s="46" t="str">
        <v>Pass</v>
      </c>
      <c r="M7" s="45" t="str">
        <v>Pass</v>
      </c>
      <c r="N7" s="45" t="str">
        <v>Pass</v>
      </c>
      <c r="O7" s="45" t="str">
        <v>Pass</v>
      </c>
      <c r="P7" s="45" t="str">
        <v>Pass</v>
      </c>
      <c r="Q7" s="47" t="str">
        <v>Pass</v>
      </c>
      <c r="R7" s="13"/>
      <c r="S7" s="13"/>
      <c r="T7" s="13"/>
      <c r="U7" s="13"/>
      <c r="V7" s="13"/>
      <c r="W7" s="13"/>
      <c r="X7" s="13"/>
      <c r="Y7" s="13"/>
      <c r="Z7" s="13"/>
      <c r="AA7" s="13"/>
      <c r="AB7" s="13"/>
      <c r="AC7" s="13"/>
      <c r="AD7" s="13"/>
      <c r="AE7" s="13"/>
    </row>
    <row r="8" spans="1:31" ht="15" customHeight="1" x14ac:dyDescent="0.25">
      <c r="A8" s="13"/>
      <c r="B8" s="13"/>
      <c r="C8" s="20" t="s">
        <v>30</v>
      </c>
      <c r="D8" s="48">
        <f ca="1">INDIRECT("e_"&amp;$D$2)</f>
        <v>1.501035790919647E-2</v>
      </c>
      <c r="E8" s="13"/>
      <c r="F8" s="13"/>
      <c r="G8" s="13"/>
      <c r="H8" s="49" t="s">
        <v>75</v>
      </c>
      <c r="I8" s="50" t="s">
        <v>8</v>
      </c>
      <c r="J8" s="50" t="s">
        <v>7</v>
      </c>
      <c r="K8" s="51"/>
      <c r="L8" s="51"/>
      <c r="M8" s="51"/>
      <c r="N8" s="51"/>
      <c r="O8" s="51"/>
      <c r="P8" s="51"/>
      <c r="Q8" s="52"/>
      <c r="R8" s="13"/>
      <c r="S8" s="13"/>
      <c r="T8" s="13"/>
      <c r="U8" s="13"/>
      <c r="V8" s="13"/>
      <c r="W8" s="13"/>
      <c r="X8" s="13"/>
      <c r="Y8" s="13"/>
      <c r="Z8" s="13"/>
      <c r="AA8" s="13"/>
      <c r="AB8" s="13"/>
      <c r="AC8" s="13"/>
      <c r="AD8" s="13"/>
      <c r="AE8" s="13"/>
    </row>
    <row r="9" spans="1:31" ht="15" customHeight="1" x14ac:dyDescent="0.25">
      <c r="A9" s="13"/>
      <c r="B9" s="13"/>
      <c r="C9" s="13"/>
      <c r="D9" s="13"/>
      <c r="E9" s="13"/>
      <c r="F9" s="13"/>
      <c r="G9" s="13"/>
      <c r="H9" s="53" t="s">
        <v>65</v>
      </c>
      <c r="I9" s="54">
        <f>SUMPRODUCT(H4:L4,H5:L5)</f>
        <v>1695917.4140544168</v>
      </c>
      <c r="J9" s="54">
        <f>SUMPRODUCT(M4:Q4,M5:Q5)</f>
        <v>2838773.2931357818</v>
      </c>
      <c r="K9" s="51"/>
      <c r="L9" s="51"/>
      <c r="M9" s="51"/>
      <c r="N9" s="51"/>
      <c r="O9" s="51"/>
      <c r="P9" s="51"/>
      <c r="Q9" s="52"/>
      <c r="R9" s="13"/>
      <c r="S9" s="13"/>
      <c r="T9" s="13"/>
      <c r="U9" s="13"/>
      <c r="V9" s="13"/>
      <c r="W9" s="13"/>
      <c r="X9" s="13"/>
      <c r="Y9" s="13"/>
      <c r="Z9" s="13"/>
      <c r="AA9" s="13"/>
      <c r="AB9" s="13"/>
      <c r="AC9" s="13"/>
      <c r="AD9" s="13"/>
      <c r="AE9" s="13"/>
    </row>
    <row r="10" spans="1:31" ht="15" customHeight="1" x14ac:dyDescent="0.25">
      <c r="A10" s="13"/>
      <c r="B10" s="13"/>
      <c r="C10" s="13"/>
      <c r="D10" s="13"/>
      <c r="E10" s="13"/>
      <c r="F10" s="13"/>
      <c r="G10" s="13"/>
      <c r="H10" s="53" t="s">
        <v>66</v>
      </c>
      <c r="I10" s="54">
        <f>SUMPRODUCT(H6:L6,H4:L4)</f>
        <v>17231551.77165734</v>
      </c>
      <c r="J10" s="54">
        <f>SUMPRODUCT(M6:Q6,M4:Q4)</f>
        <v>83240999.452133209</v>
      </c>
      <c r="K10" s="51"/>
      <c r="L10" s="51"/>
      <c r="M10" s="51"/>
      <c r="N10" s="51"/>
      <c r="O10" s="51"/>
      <c r="P10" s="51"/>
      <c r="Q10" s="52"/>
      <c r="R10" s="13"/>
      <c r="S10" s="13"/>
      <c r="T10" s="13"/>
      <c r="U10" s="13"/>
      <c r="V10" s="13"/>
      <c r="W10" s="13"/>
      <c r="X10" s="13"/>
      <c r="Y10" s="13"/>
      <c r="Z10" s="13"/>
      <c r="AA10" s="13"/>
      <c r="AB10" s="13"/>
      <c r="AC10" s="13"/>
      <c r="AD10" s="13"/>
      <c r="AE10" s="13"/>
    </row>
    <row r="11" spans="1:31" ht="15" customHeight="1" thickBot="1" x14ac:dyDescent="0.3">
      <c r="A11" s="13"/>
      <c r="B11" s="13"/>
      <c r="C11" s="13"/>
      <c r="D11" s="13"/>
      <c r="E11" s="13"/>
      <c r="F11" s="13"/>
      <c r="G11" s="13"/>
      <c r="H11" s="55" t="s">
        <v>67</v>
      </c>
      <c r="I11" s="56">
        <f>I9/I10</f>
        <v>9.8419308749887621E-2</v>
      </c>
      <c r="J11" s="56">
        <f>J9/J10</f>
        <v>3.4103065938896927E-2</v>
      </c>
      <c r="K11" s="57"/>
      <c r="L11" s="57"/>
      <c r="M11" s="57"/>
      <c r="N11" s="57"/>
      <c r="O11" s="57"/>
      <c r="P11" s="57"/>
      <c r="Q11" s="58"/>
      <c r="R11" s="13"/>
      <c r="S11" s="13"/>
      <c r="T11" s="13"/>
      <c r="U11" s="13"/>
      <c r="V11" s="13"/>
      <c r="W11" s="13"/>
      <c r="X11" s="13"/>
      <c r="Y11" s="13"/>
      <c r="Z11" s="13"/>
      <c r="AA11" s="13"/>
      <c r="AB11" s="13"/>
      <c r="AC11" s="13"/>
      <c r="AD11" s="13"/>
      <c r="AE11" s="13"/>
    </row>
    <row r="12" spans="1:31" ht="15" customHeight="1" x14ac:dyDescent="0.25">
      <c r="A12" s="13"/>
      <c r="B12" s="13"/>
      <c r="C12" s="13"/>
      <c r="D12" s="13"/>
      <c r="E12" s="13"/>
      <c r="F12" s="13"/>
      <c r="G12" s="13"/>
      <c r="H12" s="13"/>
      <c r="I12" s="13"/>
      <c r="J12" s="59"/>
      <c r="K12" s="13"/>
      <c r="L12" s="13"/>
      <c r="M12" s="13"/>
      <c r="N12" s="13"/>
      <c r="O12" s="13"/>
      <c r="P12" s="13"/>
      <c r="Q12" s="13"/>
      <c r="R12" s="13"/>
      <c r="S12" s="13"/>
      <c r="T12" s="13"/>
      <c r="U12" s="13"/>
      <c r="V12" s="13"/>
      <c r="W12" s="13"/>
      <c r="X12" s="13"/>
      <c r="Y12" s="13"/>
      <c r="Z12" s="13"/>
      <c r="AA12" s="13"/>
      <c r="AB12" s="13"/>
      <c r="AC12" s="13"/>
      <c r="AD12" s="13"/>
      <c r="AE12" s="13"/>
    </row>
    <row r="13" spans="1:31" ht="15" customHeight="1" x14ac:dyDescent="0.25">
      <c r="A13" s="13"/>
      <c r="B13" s="13"/>
      <c r="C13" s="13"/>
      <c r="D13" s="13"/>
      <c r="E13" s="13"/>
      <c r="F13" s="13"/>
      <c r="G13" s="13"/>
      <c r="H13" s="13"/>
      <c r="I13" s="13"/>
      <c r="J13" s="59"/>
      <c r="K13" s="13"/>
      <c r="L13" s="13"/>
      <c r="M13" s="13"/>
      <c r="N13" s="13"/>
      <c r="O13" s="13"/>
      <c r="P13" s="13"/>
      <c r="Q13" s="13"/>
      <c r="R13" s="13"/>
      <c r="S13" s="13"/>
      <c r="T13" s="13"/>
      <c r="U13" s="13"/>
      <c r="V13" s="13"/>
      <c r="W13" s="13"/>
      <c r="X13" s="13"/>
      <c r="Y13" s="13"/>
      <c r="Z13" s="13"/>
      <c r="AA13" s="13"/>
      <c r="AB13" s="13"/>
      <c r="AC13" s="13"/>
      <c r="AD13" s="13"/>
      <c r="AE13" s="13"/>
    </row>
    <row r="14" spans="1:31" ht="15" customHeight="1" x14ac:dyDescent="0.25">
      <c r="A14" s="13"/>
      <c r="B14" s="13"/>
      <c r="C14" s="13"/>
      <c r="D14" s="13"/>
      <c r="E14" s="13"/>
      <c r="F14" s="13"/>
      <c r="G14" s="13"/>
      <c r="H14" s="13"/>
      <c r="I14" s="13"/>
      <c r="J14" s="59"/>
      <c r="K14" s="13"/>
      <c r="L14" s="13"/>
      <c r="M14" s="13"/>
      <c r="N14" s="13"/>
      <c r="O14" s="13"/>
      <c r="P14" s="13"/>
      <c r="Q14" s="13"/>
      <c r="R14" s="13"/>
      <c r="S14" s="13"/>
      <c r="T14" s="13"/>
      <c r="U14" s="13"/>
      <c r="V14" s="13"/>
      <c r="W14" s="13"/>
      <c r="X14" s="13"/>
      <c r="Y14" s="13"/>
      <c r="Z14" s="13"/>
      <c r="AA14" s="13"/>
      <c r="AB14" s="13"/>
      <c r="AC14" s="13"/>
      <c r="AD14" s="13"/>
      <c r="AE14" s="13"/>
    </row>
    <row r="15" spans="1:31" ht="51.75" customHeight="1" x14ac:dyDescent="0.25">
      <c r="A15" s="13"/>
      <c r="B15" s="108" t="s">
        <v>70</v>
      </c>
      <c r="C15" s="108" t="s">
        <v>21</v>
      </c>
      <c r="D15" s="108" t="s">
        <v>19</v>
      </c>
      <c r="E15" s="108" t="s">
        <v>22</v>
      </c>
      <c r="F15" s="108" t="s">
        <v>102</v>
      </c>
      <c r="G15" s="108" t="s">
        <v>20</v>
      </c>
      <c r="H15" s="108" t="s">
        <v>117</v>
      </c>
      <c r="I15" s="108" t="s">
        <v>44</v>
      </c>
      <c r="J15" s="108" t="s">
        <v>103</v>
      </c>
      <c r="K15" s="108" t="s">
        <v>93</v>
      </c>
      <c r="L15" s="110" t="s">
        <v>104</v>
      </c>
      <c r="M15" s="108" t="s">
        <v>101</v>
      </c>
      <c r="N15" s="108" t="s">
        <v>105</v>
      </c>
      <c r="O15" s="108" t="s">
        <v>106</v>
      </c>
      <c r="P15" s="130" t="s">
        <v>126</v>
      </c>
      <c r="Q15" s="108" t="s">
        <v>134</v>
      </c>
      <c r="R15" s="13"/>
      <c r="S15" s="13"/>
      <c r="T15" s="13"/>
      <c r="U15" s="13"/>
      <c r="V15" s="107" t="s">
        <v>74</v>
      </c>
      <c r="W15" s="60" t="str">
        <f ca="1">IF(ABS(SUM(W16:W86))&lt;0.0001,"Pass","Check!")</f>
        <v>Pass</v>
      </c>
      <c r="X15" s="13"/>
      <c r="Y15" s="13"/>
      <c r="Z15" s="13"/>
      <c r="AA15" s="13"/>
      <c r="AB15" s="13"/>
      <c r="AC15" s="13"/>
      <c r="AD15" s="13"/>
      <c r="AE15" s="13"/>
    </row>
    <row r="16" spans="1:31" x14ac:dyDescent="0.25">
      <c r="A16" s="13"/>
      <c r="B16" s="61">
        <v>0</v>
      </c>
      <c r="C16" s="62">
        <f>D4</f>
        <v>30</v>
      </c>
      <c r="D16" s="63">
        <f ca="1">D6</f>
        <v>0.05</v>
      </c>
      <c r="E16" s="64">
        <f>D7</f>
        <v>78000</v>
      </c>
      <c r="F16" s="65">
        <f ca="1">D8</f>
        <v>1.501035790919647E-2</v>
      </c>
      <c r="G16" s="66">
        <f t="shared" ref="G16" si="0">i</f>
        <v>0.04</v>
      </c>
      <c r="H16" s="67">
        <f t="shared" ref="H16:H25" ca="1" si="1">IF($C16="","",
IF(C16&gt;=$D$5,D16*(B16*(F16-G16)+1+F16)/(1+F16),
D16*((1+F16)/(1+G16))^($D$5-C16-1)))</f>
        <v>2.469715426503221E-2</v>
      </c>
      <c r="I16" s="68">
        <f ca="1">IF($C17="",0,
H16*E16*(1+F16))</f>
        <v>1955.2936564113406</v>
      </c>
      <c r="J16" s="68">
        <f ca="1">IF($C16="",0,
D16*E16*B16*((1+F16)/(1+G16))^MAX(0,$D$5-C16))</f>
        <v>0</v>
      </c>
      <c r="K16" s="69">
        <f ca="1">J16</f>
        <v>0</v>
      </c>
      <c r="L16" s="70"/>
      <c r="M16" s="71">
        <f ca="1">IF($C16="",0,
I16*Decrements!D11)</f>
        <v>1955.2936564113406</v>
      </c>
      <c r="N16" s="72">
        <f ca="1">K16*'1.a Assumptions'!$B$13*Decrements!E11</f>
        <v>0</v>
      </c>
      <c r="O16" s="72">
        <f ca="1">J17*(Decrements!F11+Decrements!G11)</f>
        <v>0</v>
      </c>
      <c r="P16" s="72">
        <f ca="1">M16-J17*Decrements!D11</f>
        <v>0</v>
      </c>
      <c r="Q16" s="142">
        <f ca="1">OFFSET(Decrements!$K$11,B16,15-B16)</f>
        <v>10.5</v>
      </c>
      <c r="R16" s="78">
        <f ca="1">SUMPRODUCT(Q16:Q31,J16:J31)</f>
        <v>6787372.1604662985</v>
      </c>
      <c r="S16" s="13"/>
      <c r="T16" s="13"/>
      <c r="U16" s="13"/>
      <c r="V16" s="73">
        <f t="shared" ref="V16:V47" ca="1" si="2">IF($C17="","",J17-J16*(1+i))</f>
        <v>1955.2936564113406</v>
      </c>
      <c r="W16" s="74">
        <f t="shared" ref="W16:W47" ca="1" si="3">IFERROR(V16-I16,"")</f>
        <v>0</v>
      </c>
      <c r="X16" s="13"/>
      <c r="Y16" s="13"/>
      <c r="Z16" s="13"/>
      <c r="AA16" s="13"/>
      <c r="AB16" s="13"/>
      <c r="AC16" s="13"/>
      <c r="AD16" s="13"/>
      <c r="AE16" s="13"/>
    </row>
    <row r="17" spans="1:31" x14ac:dyDescent="0.25">
      <c r="A17" s="13"/>
      <c r="B17" s="61">
        <f ca="1">IF($C17="","",B16+1)</f>
        <v>1</v>
      </c>
      <c r="C17" s="75">
        <f ca="1">IF(C16="","",IF($D$2="A",IF(C16+1&gt;$D$5+15,"",C16+1),IF(C16+1&gt;$D$5,"",C16+1)))</f>
        <v>31</v>
      </c>
      <c r="D17" s="76">
        <f ca="1">IF($C17="","",D16)</f>
        <v>0.05</v>
      </c>
      <c r="E17" s="77">
        <f ca="1">IF($C17="","",E16*(1+F16))</f>
        <v>79170.807916917329</v>
      </c>
      <c r="F17" s="66">
        <f ca="1">IF($C17="","",F16)</f>
        <v>1.501035790919647E-2</v>
      </c>
      <c r="G17" s="66">
        <f ca="1">IF($C17="","",G16)</f>
        <v>0.04</v>
      </c>
      <c r="H17" s="67">
        <f t="shared" ca="1" si="1"/>
        <v>2.5305200321838785E-2</v>
      </c>
      <c r="I17" s="68">
        <f t="shared" ref="I17:I80" ca="1" si="4">IF($C18="",0,
H17*E17*(1+F17))</f>
        <v>2033.5054026677942</v>
      </c>
      <c r="J17" s="68">
        <f t="shared" ref="J17:J80" ca="1" si="5">IF($C17="",0,
D17*E17*B17*((1+F17)/(1+G17))^MAX(0,$D$5-C17))</f>
        <v>1955.2936564113406</v>
      </c>
      <c r="K17" s="69">
        <f t="shared" ref="K17:K80" ca="1" si="6">J17</f>
        <v>1955.2936564113406</v>
      </c>
      <c r="L17" s="70"/>
      <c r="M17" s="71">
        <f ca="1">IF($C17="",0,
I17*Decrements!D12+(M16-N16-O16)*(1+G16))</f>
        <v>3965.335535202199</v>
      </c>
      <c r="N17" s="72">
        <f ca="1">K17*'1.a Assumptions'!$B$13*Decrements!E12</f>
        <v>69.657336509654016</v>
      </c>
      <c r="O17" s="72">
        <f ca="1">J18*(Decrements!F12+Decrements!G12)</f>
        <v>0</v>
      </c>
      <c r="P17" s="72">
        <f ca="1">M17-J18*Decrements!D12</f>
        <v>101.67527013339031</v>
      </c>
      <c r="Q17" s="142">
        <f ca="1">OFFSET(Decrements!$K$11,B17,15-B17)</f>
        <v>9.9749999999999996</v>
      </c>
      <c r="R17" s="13"/>
      <c r="S17" s="13"/>
      <c r="T17" s="13"/>
      <c r="U17" s="13"/>
      <c r="V17" s="73">
        <f t="shared" ca="1" si="2"/>
        <v>2033.505402667794</v>
      </c>
      <c r="W17" s="74">
        <f t="shared" ca="1" si="3"/>
        <v>-2.2737367544323206E-13</v>
      </c>
      <c r="X17" s="13"/>
      <c r="Y17" s="13"/>
      <c r="Z17" s="13"/>
      <c r="AA17" s="13"/>
      <c r="AB17" s="13"/>
      <c r="AC17" s="13"/>
      <c r="AD17" s="13"/>
      <c r="AE17" s="13"/>
    </row>
    <row r="18" spans="1:31" x14ac:dyDescent="0.25">
      <c r="A18" s="13"/>
      <c r="B18" s="61">
        <f t="shared" ref="B18:B63" ca="1" si="7">IF($C18="","",B17+1)</f>
        <v>2</v>
      </c>
      <c r="C18" s="75">
        <f t="shared" ref="C18:C81" ca="1" si="8">IF(C17="","",IF($D$2="A",IF(C17+1&gt;$D$5+15,"",C17+1),IF(C17+1&gt;$D$5,"",C17+1)))</f>
        <v>32</v>
      </c>
      <c r="D18" s="76">
        <f t="shared" ref="D18:D63" ca="1" si="9">IF($C18="","",D17)</f>
        <v>0.05</v>
      </c>
      <c r="E18" s="77">
        <f t="shared" ref="E18:E81" ca="1" si="10">IF($C18="","",E17*(1+F17))</f>
        <v>80359.190079710505</v>
      </c>
      <c r="F18" s="66">
        <f t="shared" ref="F18:F63" ca="1" si="11">IF($C18="","",F17)</f>
        <v>1.501035790919647E-2</v>
      </c>
      <c r="G18" s="66">
        <f t="shared" ref="G18:G63" ca="1" si="12">IF($C18="","",G17)</f>
        <v>0.04</v>
      </c>
      <c r="H18" s="67">
        <f t="shared" ca="1" si="1"/>
        <v>2.5928216524729014E-2</v>
      </c>
      <c r="I18" s="68">
        <f t="shared" ca="1" si="4"/>
        <v>2114.845618774506</v>
      </c>
      <c r="J18" s="68">
        <f t="shared" ca="1" si="5"/>
        <v>4067.0108053355884</v>
      </c>
      <c r="K18" s="69">
        <f t="shared" ca="1" si="6"/>
        <v>4067.0108053355884</v>
      </c>
      <c r="L18" s="70"/>
      <c r="M18" s="71">
        <f ca="1">IF($C18="",0,
I18*Decrements!D13+(M17-N17-O17)*(1+G17))</f>
        <v>5960.1534975842387</v>
      </c>
      <c r="N18" s="72">
        <f ca="1">K18*'1.a Assumptions'!$B$13*Decrements!E13</f>
        <v>137.64289694307632</v>
      </c>
      <c r="O18" s="72">
        <f ca="1">J19*(Decrements!F13+Decrements!G13)</f>
        <v>0</v>
      </c>
      <c r="P18" s="72">
        <f ca="1">M18-J19*Decrements!D13</f>
        <v>234.20898475226204</v>
      </c>
      <c r="Q18" s="142">
        <f ca="1">OFFSET(Decrements!$K$11,B18,15-B18)</f>
        <v>9.4762500000000003</v>
      </c>
      <c r="R18" s="13"/>
      <c r="S18" s="13"/>
      <c r="T18" s="13"/>
      <c r="U18" s="13"/>
      <c r="V18" s="73">
        <f t="shared" ca="1" si="2"/>
        <v>2114.8456187745078</v>
      </c>
      <c r="W18" s="74">
        <f t="shared" ca="1" si="3"/>
        <v>1.8189894035458565E-12</v>
      </c>
      <c r="X18" s="13"/>
      <c r="Y18" s="13"/>
      <c r="Z18" s="13"/>
      <c r="AA18" s="13"/>
      <c r="AB18" s="13"/>
      <c r="AC18" s="13"/>
      <c r="AD18" s="13"/>
      <c r="AE18" s="13"/>
    </row>
    <row r="19" spans="1:31" x14ac:dyDescent="0.25">
      <c r="A19" s="13"/>
      <c r="B19" s="61">
        <f t="shared" ca="1" si="7"/>
        <v>3</v>
      </c>
      <c r="C19" s="75">
        <f t="shared" ca="1" si="8"/>
        <v>33</v>
      </c>
      <c r="D19" s="76">
        <f t="shared" ca="1" si="9"/>
        <v>0.05</v>
      </c>
      <c r="E19" s="77">
        <f t="shared" ca="1" si="10"/>
        <v>81565.410284100115</v>
      </c>
      <c r="F19" s="66">
        <f t="shared" ca="1" si="11"/>
        <v>1.501035790919647E-2</v>
      </c>
      <c r="G19" s="66">
        <f t="shared" ca="1" si="12"/>
        <v>0.04</v>
      </c>
      <c r="H19" s="67">
        <f t="shared" ca="1" si="1"/>
        <v>2.6566571439983783E-2</v>
      </c>
      <c r="I19" s="68">
        <f t="shared" ca="1" si="4"/>
        <v>2199.4394435254867</v>
      </c>
      <c r="J19" s="68">
        <f t="shared" ca="1" si="5"/>
        <v>6344.5368563235197</v>
      </c>
      <c r="K19" s="69">
        <f t="shared" ca="1" si="6"/>
        <v>6344.5368563235197</v>
      </c>
      <c r="L19" s="70"/>
      <c r="M19" s="71">
        <f ca="1">IF($C19="",0,
I19*Decrements!D14+(M18-N18-O18)*(1+G18))</f>
        <v>7941.1554175594729</v>
      </c>
      <c r="N19" s="72">
        <f ca="1">K19*'1.a Assumptions'!$B$13*Decrements!E14</f>
        <v>203.98677326963917</v>
      </c>
      <c r="O19" s="72">
        <f ca="1">J20*(Decrements!F14+Decrements!G14)</f>
        <v>0</v>
      </c>
      <c r="P19" s="72">
        <f ca="1">M19-J20*Decrements!D14</f>
        <v>398.17784598881462</v>
      </c>
      <c r="Q19" s="142">
        <f ca="1">OFFSET(Decrements!$K$11,B19,15-B19)</f>
        <v>9.0024374999999992</v>
      </c>
      <c r="R19" s="13"/>
      <c r="S19" s="13"/>
      <c r="T19" s="13"/>
      <c r="U19" s="13"/>
      <c r="V19" s="73">
        <f t="shared" ca="1" si="2"/>
        <v>2199.4394435254881</v>
      </c>
      <c r="W19" s="74">
        <f t="shared" ca="1" si="3"/>
        <v>1.3642420526593924E-12</v>
      </c>
      <c r="X19" s="13"/>
      <c r="Y19" s="13"/>
      <c r="Z19" s="13"/>
      <c r="AA19" s="13"/>
      <c r="AB19" s="13"/>
      <c r="AC19" s="13"/>
      <c r="AD19" s="13"/>
      <c r="AE19" s="13"/>
    </row>
    <row r="20" spans="1:31" x14ac:dyDescent="0.25">
      <c r="A20" s="13"/>
      <c r="B20" s="61">
        <f t="shared" ca="1" si="7"/>
        <v>4</v>
      </c>
      <c r="C20" s="75">
        <f t="shared" ca="1" si="8"/>
        <v>34</v>
      </c>
      <c r="D20" s="76">
        <f t="shared" ca="1" si="9"/>
        <v>0.05</v>
      </c>
      <c r="E20" s="77">
        <f t="shared" ca="1" si="10"/>
        <v>82789.736285474908</v>
      </c>
      <c r="F20" s="66">
        <f t="shared" ca="1" si="11"/>
        <v>1.501035790919647E-2</v>
      </c>
      <c r="G20" s="66">
        <f t="shared" ca="1" si="12"/>
        <v>0.04</v>
      </c>
      <c r="H20" s="67">
        <f t="shared" ca="1" si="1"/>
        <v>2.722064270801744E-2</v>
      </c>
      <c r="I20" s="68">
        <f t="shared" ca="1" si="4"/>
        <v>2287.4170212665067</v>
      </c>
      <c r="J20" s="68">
        <f t="shared" ca="1" si="5"/>
        <v>8797.7577741019486</v>
      </c>
      <c r="K20" s="69">
        <f t="shared" ca="1" si="6"/>
        <v>8797.7577741019486</v>
      </c>
      <c r="L20" s="70"/>
      <c r="M20" s="71">
        <f ca="1">IF($C20="",0,
I20*Decrements!D15+(M19-N19-O19)*(1+G19))</f>
        <v>9909.7708502393798</v>
      </c>
      <c r="N20" s="72">
        <f ca="1">K20*'1.a Assumptions'!$B$13*Decrements!E15</f>
        <v>268.7185759872047</v>
      </c>
      <c r="O20" s="72">
        <f ca="1">J21*(Decrements!F15+Decrements!G15)</f>
        <v>0</v>
      </c>
      <c r="P20" s="72">
        <f ca="1">M20-J21*Decrements!D15</f>
        <v>594.19354934961484</v>
      </c>
      <c r="Q20" s="142">
        <f ca="1">OFFSET(Decrements!$K$11,B20,15-B20)</f>
        <v>8.5523156250000003</v>
      </c>
      <c r="R20" s="13"/>
      <c r="S20" s="13"/>
      <c r="T20" s="13"/>
      <c r="U20" s="13"/>
      <c r="V20" s="73">
        <f t="shared" ca="1" si="2"/>
        <v>2287.4170212665085</v>
      </c>
      <c r="W20" s="74">
        <f t="shared" ca="1" si="3"/>
        <v>1.8189894035458565E-12</v>
      </c>
      <c r="X20" s="13"/>
      <c r="Y20" s="13"/>
      <c r="Z20" s="13"/>
      <c r="AA20" s="13"/>
      <c r="AB20" s="13"/>
      <c r="AC20" s="13"/>
      <c r="AD20" s="13"/>
      <c r="AE20" s="13"/>
    </row>
    <row r="21" spans="1:31" x14ac:dyDescent="0.25">
      <c r="A21" s="13"/>
      <c r="B21" s="61">
        <f t="shared" ca="1" si="7"/>
        <v>5</v>
      </c>
      <c r="C21" s="75">
        <f t="shared" ca="1" si="8"/>
        <v>35</v>
      </c>
      <c r="D21" s="76">
        <f t="shared" ca="1" si="9"/>
        <v>0.05</v>
      </c>
      <c r="E21" s="77">
        <f t="shared" ca="1" si="10"/>
        <v>84032.439858327882</v>
      </c>
      <c r="F21" s="66">
        <f t="shared" ca="1" si="11"/>
        <v>1.501035790919647E-2</v>
      </c>
      <c r="G21" s="66">
        <f t="shared" ca="1" si="12"/>
        <v>0.04</v>
      </c>
      <c r="H21" s="67">
        <f t="shared" ca="1" si="1"/>
        <v>2.7890817266783718E-2</v>
      </c>
      <c r="I21" s="68">
        <f t="shared" ca="1" si="4"/>
        <v>2378.9137021171673</v>
      </c>
      <c r="J21" s="68">
        <f t="shared" ca="1" si="5"/>
        <v>11437.085106332535</v>
      </c>
      <c r="K21" s="69">
        <f t="shared" ca="1" si="6"/>
        <v>11437.085106332535</v>
      </c>
      <c r="L21" s="70"/>
      <c r="M21" s="71">
        <f ca="1">IF($C21="",0,
I21*Decrements!D16+(M20-N20-O20)*(1+G20))</f>
        <v>11867.452439878081</v>
      </c>
      <c r="N21" s="72">
        <f ca="1">K21*'1.a Assumptions'!$B$13*Decrements!E16</f>
        <v>331.86744134419786</v>
      </c>
      <c r="O21" s="72">
        <f ca="1">J22*(Decrements!F16+Decrements!G16)</f>
        <v>0</v>
      </c>
      <c r="P21" s="72">
        <f ca="1">M21-J22*Decrements!D16</f>
        <v>822.90399194317615</v>
      </c>
      <c r="Q21" s="142">
        <f ca="1">OFFSET(Decrements!$K$11,B21,15-B21)</f>
        <v>8.1246998437499993</v>
      </c>
      <c r="R21" s="13"/>
      <c r="S21" s="13"/>
      <c r="T21" s="13"/>
      <c r="U21" s="13"/>
      <c r="V21" s="73">
        <f t="shared" ca="1" si="2"/>
        <v>2378.9137021171664</v>
      </c>
      <c r="W21" s="74">
        <f t="shared" ca="1" si="3"/>
        <v>-9.0949470177292824E-13</v>
      </c>
      <c r="X21" s="13"/>
      <c r="Y21" s="13"/>
      <c r="Z21" s="13"/>
      <c r="AA21" s="13"/>
      <c r="AB21" s="13"/>
      <c r="AC21" s="13"/>
      <c r="AD21" s="13"/>
      <c r="AE21" s="13"/>
    </row>
    <row r="22" spans="1:31" x14ac:dyDescent="0.25">
      <c r="A22" s="13"/>
      <c r="B22" s="61">
        <f t="shared" ca="1" si="7"/>
        <v>6</v>
      </c>
      <c r="C22" s="75">
        <f t="shared" ca="1" si="8"/>
        <v>36</v>
      </c>
      <c r="D22" s="76">
        <f t="shared" ca="1" si="9"/>
        <v>0.05</v>
      </c>
      <c r="E22" s="77">
        <f t="shared" ca="1" si="10"/>
        <v>85293.796856584406</v>
      </c>
      <c r="F22" s="66">
        <f t="shared" ca="1" si="11"/>
        <v>1.501035790919647E-2</v>
      </c>
      <c r="G22" s="66">
        <f t="shared" ca="1" si="12"/>
        <v>0.04</v>
      </c>
      <c r="H22" s="67">
        <f t="shared" ca="1" si="1"/>
        <v>2.8577491580681982E-2</v>
      </c>
      <c r="I22" s="68">
        <f t="shared" ca="1" si="4"/>
        <v>2474.0702502018539</v>
      </c>
      <c r="J22" s="68">
        <f t="shared" ca="1" si="5"/>
        <v>14273.482212703004</v>
      </c>
      <c r="K22" s="69">
        <f t="shared" ca="1" si="6"/>
        <v>14273.482212703004</v>
      </c>
      <c r="L22" s="70"/>
      <c r="M22" s="71">
        <f ca="1">IF($C22="",0,
I22*Decrements!D17+(M21-N21-O21)*(1+G21))</f>
        <v>13815.677376235186</v>
      </c>
      <c r="N22" s="72">
        <f ca="1">K22*'1.a Assumptions'!$B$13*Decrements!E17</f>
        <v>393.46203845768099</v>
      </c>
      <c r="O22" s="72">
        <f ca="1">J23*(Decrements!F17+Decrements!G17)</f>
        <v>0</v>
      </c>
      <c r="P22" s="72">
        <f ca="1">M22-J23*Decrements!D17</f>
        <v>1084.9945319155522</v>
      </c>
      <c r="Q22" s="142">
        <f ca="1">OFFSET(Decrements!$K$11,B22,15-B22)</f>
        <v>7.7184648515625005</v>
      </c>
      <c r="R22" s="13"/>
      <c r="S22" s="13"/>
      <c r="T22" s="13"/>
      <c r="U22" s="13"/>
      <c r="V22" s="73">
        <f t="shared" ca="1" si="2"/>
        <v>2474.0702502018521</v>
      </c>
      <c r="W22" s="74">
        <f t="shared" ca="1" si="3"/>
        <v>-1.8189894035458565E-12</v>
      </c>
      <c r="X22" s="13"/>
      <c r="Y22" s="13"/>
      <c r="Z22" s="13"/>
      <c r="AA22" s="13"/>
      <c r="AB22" s="13"/>
      <c r="AC22" s="13"/>
      <c r="AD22" s="13"/>
      <c r="AE22" s="13"/>
    </row>
    <row r="23" spans="1:31" x14ac:dyDescent="0.25">
      <c r="A23" s="13"/>
      <c r="B23" s="61">
        <f t="shared" ca="1" si="7"/>
        <v>7</v>
      </c>
      <c r="C23" s="75">
        <f t="shared" ca="1" si="8"/>
        <v>37</v>
      </c>
      <c r="D23" s="76">
        <f t="shared" ca="1" si="9"/>
        <v>0.05</v>
      </c>
      <c r="E23" s="77">
        <f t="shared" ca="1" si="10"/>
        <v>86574.087274836042</v>
      </c>
      <c r="F23" s="66">
        <f t="shared" ca="1" si="11"/>
        <v>1.501035790919647E-2</v>
      </c>
      <c r="G23" s="66">
        <f t="shared" ca="1" si="12"/>
        <v>0.04</v>
      </c>
      <c r="H23" s="67">
        <f t="shared" ca="1" si="1"/>
        <v>2.928107187509912E-2</v>
      </c>
      <c r="I23" s="68">
        <f t="shared" ca="1" si="4"/>
        <v>2573.0330602099284</v>
      </c>
      <c r="J23" s="68">
        <f t="shared" ca="1" si="5"/>
        <v>17318.491751412977</v>
      </c>
      <c r="K23" s="69">
        <f t="shared" ca="1" si="6"/>
        <v>17318.491751412977</v>
      </c>
      <c r="L23" s="70"/>
      <c r="M23" s="71">
        <f ca="1">IF($C23="",0,
I23*Decrements!D18+(M22-N22-O22)*(1+G22))</f>
        <v>15755.948901315434</v>
      </c>
      <c r="N23" s="72">
        <f ca="1">K23*'1.a Assumptions'!$B$13*Decrements!E18</f>
        <v>453.53057632888698</v>
      </c>
      <c r="O23" s="72">
        <f ca="1">J24*(Decrements!F18+Decrements!G18)</f>
        <v>0</v>
      </c>
      <c r="P23" s="72">
        <f ca="1">M23-J24*Decrements!D18</f>
        <v>1381.1893011008051</v>
      </c>
      <c r="Q23" s="142">
        <f ca="1">OFFSET(Decrements!$K$11,B23,15-B23)</f>
        <v>7.3325416089843758</v>
      </c>
      <c r="R23" s="13"/>
      <c r="S23" s="13"/>
      <c r="T23" s="13"/>
      <c r="U23" s="13"/>
      <c r="V23" s="73">
        <f t="shared" ca="1" si="2"/>
        <v>2573.0330602099311</v>
      </c>
      <c r="W23" s="74">
        <f t="shared" ca="1" si="3"/>
        <v>2.7284841053187847E-12</v>
      </c>
      <c r="X23" s="13"/>
      <c r="Y23" s="13"/>
      <c r="Z23" s="13"/>
      <c r="AA23" s="13"/>
      <c r="AB23" s="13"/>
      <c r="AC23" s="13"/>
      <c r="AD23" s="13"/>
      <c r="AE23" s="13"/>
    </row>
    <row r="24" spans="1:31" x14ac:dyDescent="0.25">
      <c r="A24" s="13"/>
      <c r="B24" s="61">
        <f t="shared" ca="1" si="7"/>
        <v>8</v>
      </c>
      <c r="C24" s="75">
        <f t="shared" ca="1" si="8"/>
        <v>38</v>
      </c>
      <c r="D24" s="76">
        <f t="shared" ca="1" si="9"/>
        <v>0.05</v>
      </c>
      <c r="E24" s="77">
        <f t="shared" ca="1" si="10"/>
        <v>87873.595310493343</v>
      </c>
      <c r="F24" s="66">
        <f t="shared" ca="1" si="11"/>
        <v>1.501035790919647E-2</v>
      </c>
      <c r="G24" s="66">
        <f t="shared" ca="1" si="12"/>
        <v>0.04</v>
      </c>
      <c r="H24" s="67">
        <f t="shared" ca="1" si="1"/>
        <v>3.0001974376725894E-2</v>
      </c>
      <c r="I24" s="68">
        <f t="shared" ca="1" si="4"/>
        <v>2675.9543826183262</v>
      </c>
      <c r="J24" s="68">
        <f t="shared" ca="1" si="5"/>
        <v>20584.264481679427</v>
      </c>
      <c r="K24" s="69">
        <f t="shared" ca="1" si="6"/>
        <v>20584.264481679427</v>
      </c>
      <c r="L24" s="70"/>
      <c r="M24" s="71">
        <f ca="1">IF($C24="",0,
I24*Decrements!D19+(M23-N23-O23)*(1+G23))</f>
        <v>17689.797868612517</v>
      </c>
      <c r="N24" s="72">
        <f ca="1">K24*'1.a Assumptions'!$B$13*Decrements!E19</f>
        <v>512.10081075764617</v>
      </c>
      <c r="O24" s="72">
        <f ca="1">J25*(Decrements!F19+Decrements!G19)</f>
        <v>0</v>
      </c>
      <c r="P24" s="72">
        <f ca="1">M24-J25*Decrements!D19</f>
        <v>1712.25257297395</v>
      </c>
      <c r="Q24" s="142">
        <f ca="1">OFFSET(Decrements!$K$11,B24,15-B24)</f>
        <v>6.9659145285351567</v>
      </c>
      <c r="R24" s="13"/>
      <c r="S24" s="13"/>
      <c r="T24" s="13"/>
      <c r="U24" s="13"/>
      <c r="V24" s="73">
        <f t="shared" ca="1" si="2"/>
        <v>2675.9543826183326</v>
      </c>
      <c r="W24" s="74">
        <f t="shared" ca="1" si="3"/>
        <v>6.3664629124104977E-12</v>
      </c>
      <c r="X24" s="13"/>
      <c r="Y24" s="13"/>
      <c r="Z24" s="13"/>
      <c r="AA24" s="13"/>
      <c r="AB24" s="13"/>
      <c r="AC24" s="13"/>
      <c r="AD24" s="13"/>
      <c r="AE24" s="13"/>
    </row>
    <row r="25" spans="1:31" x14ac:dyDescent="0.25">
      <c r="A25" s="13"/>
      <c r="B25" s="61">
        <f t="shared" ca="1" si="7"/>
        <v>9</v>
      </c>
      <c r="C25" s="75">
        <f t="shared" ca="1" si="8"/>
        <v>39</v>
      </c>
      <c r="D25" s="76">
        <f t="shared" ca="1" si="9"/>
        <v>0.05</v>
      </c>
      <c r="E25" s="77">
        <f t="shared" ca="1" si="10"/>
        <v>89192.609426871742</v>
      </c>
      <c r="F25" s="66">
        <f t="shared" ca="1" si="11"/>
        <v>1.501035790919647E-2</v>
      </c>
      <c r="G25" s="66">
        <f t="shared" ca="1" si="12"/>
        <v>0.04</v>
      </c>
      <c r="H25" s="67">
        <f t="shared" ca="1" si="1"/>
        <v>3.0740625559789892E-2</v>
      </c>
      <c r="I25" s="68">
        <f t="shared" ca="1" si="4"/>
        <v>2782.9925579230598</v>
      </c>
      <c r="J25" s="68">
        <f t="shared" ca="1" si="5"/>
        <v>24083.589443564939</v>
      </c>
      <c r="K25" s="69">
        <f t="shared" ca="1" si="6"/>
        <v>24083.589443564939</v>
      </c>
      <c r="L25" s="70"/>
      <c r="M25" s="71">
        <f ca="1">IF($C25="",0,
I25*Decrements!D20+(M24-N24-O24)*(1+G24))</f>
        <v>19618.784357068056</v>
      </c>
      <c r="N25" s="72">
        <f ca="1">K25*'1.a Assumptions'!$B$13*Decrements!E20</f>
        <v>569.20005115712399</v>
      </c>
      <c r="O25" s="72">
        <f ca="1">J26*(Decrements!F20+Decrements!G20)</f>
        <v>0</v>
      </c>
      <c r="P25" s="72">
        <f ca="1">M25-J26*Decrements!D20</f>
        <v>2078.9901880781654</v>
      </c>
      <c r="Q25" s="142">
        <f ca="1">OFFSET(Decrements!$K$11,B25,15-B25)</f>
        <v>6.6176188021083986</v>
      </c>
      <c r="R25" s="13"/>
      <c r="S25" s="13"/>
      <c r="T25" s="13"/>
      <c r="U25" s="13"/>
      <c r="V25" s="73">
        <f t="shared" ca="1" si="2"/>
        <v>2782.9925579230585</v>
      </c>
      <c r="W25" s="74">
        <f t="shared" ca="1" si="3"/>
        <v>-1.3642420526593924E-12</v>
      </c>
      <c r="X25" s="13"/>
      <c r="Y25" s="13"/>
      <c r="Z25" s="13"/>
      <c r="AA25" s="13"/>
      <c r="AB25" s="13"/>
      <c r="AC25" s="13"/>
      <c r="AD25" s="13"/>
      <c r="AE25" s="13"/>
    </row>
    <row r="26" spans="1:31" x14ac:dyDescent="0.25">
      <c r="A26" s="13"/>
      <c r="B26" s="61">
        <f t="shared" ca="1" si="7"/>
        <v>10</v>
      </c>
      <c r="C26" s="75">
        <f t="shared" ca="1" si="8"/>
        <v>40</v>
      </c>
      <c r="D26" s="76">
        <f t="shared" ca="1" si="9"/>
        <v>0.05</v>
      </c>
      <c r="E26" s="77">
        <f t="shared" ca="1" si="10"/>
        <v>90531.422417224254</v>
      </c>
      <c r="F26" s="66">
        <f t="shared" ca="1" si="11"/>
        <v>1.501035790919647E-2</v>
      </c>
      <c r="G26" s="66">
        <f t="shared" ca="1" si="12"/>
        <v>0.04</v>
      </c>
      <c r="H26" s="67">
        <f ca="1">IF($C26="","",
IF(C26&gt;=$D$5,D26*(B26*(F26-G26)+1+F26)/(1+F26),
D26*((1+F26)/(1+G26))^($D$5-C26-1)))</f>
        <v>3.1497462398350794E-2</v>
      </c>
      <c r="I26" s="68">
        <f t="shared" ca="1" si="4"/>
        <v>2894.3122602399831</v>
      </c>
      <c r="J26" s="68">
        <f t="shared" ca="1" si="5"/>
        <v>27829.925579230596</v>
      </c>
      <c r="K26" s="69">
        <f t="shared" ca="1" si="6"/>
        <v>27829.925579230596</v>
      </c>
      <c r="L26" s="70"/>
      <c r="M26" s="71">
        <f ca="1">IF($C26="",0,
I26*Decrements!D21+(M25-N25-O25)*(1+G25))</f>
        <v>21544.499342043571</v>
      </c>
      <c r="N26" s="72">
        <f ca="1">K26*'1.a Assumptions'!$B$13*Decrements!E21</f>
        <v>624.85516727026493</v>
      </c>
      <c r="O26" s="72">
        <f ca="1">J27*(Decrements!F21+Decrements!G21)</f>
        <v>0</v>
      </c>
      <c r="P26" s="72">
        <f ca="1">M26-J27*Decrements!D21</f>
        <v>2482.2510391853575</v>
      </c>
      <c r="Q26" s="142">
        <f ca="1">OFFSET(Decrements!$K$11,B26,15-B26)</f>
        <v>6.2867378620029788</v>
      </c>
      <c r="R26" s="13"/>
      <c r="S26" s="13"/>
      <c r="T26" s="13"/>
      <c r="U26" s="13"/>
      <c r="V26" s="73">
        <f t="shared" ca="1" si="2"/>
        <v>2894.3122602399853</v>
      </c>
      <c r="W26" s="74">
        <f t="shared" ca="1" si="3"/>
        <v>2.2737367544323206E-12</v>
      </c>
      <c r="X26" s="13"/>
      <c r="Y26" s="13"/>
      <c r="Z26" s="13"/>
      <c r="AA26" s="13"/>
      <c r="AB26" s="13"/>
      <c r="AC26" s="13"/>
      <c r="AD26" s="13"/>
      <c r="AE26" s="13"/>
    </row>
    <row r="27" spans="1:31" x14ac:dyDescent="0.25">
      <c r="A27" s="13"/>
      <c r="B27" s="61">
        <f t="shared" ca="1" si="7"/>
        <v>11</v>
      </c>
      <c r="C27" s="75">
        <f t="shared" ca="1" si="8"/>
        <v>41</v>
      </c>
      <c r="D27" s="76">
        <f t="shared" ca="1" si="9"/>
        <v>0.05</v>
      </c>
      <c r="E27" s="77">
        <f t="shared" ca="1" si="10"/>
        <v>91890.331469735436</v>
      </c>
      <c r="F27" s="66">
        <f t="shared" ca="1" si="11"/>
        <v>1.501035790919647E-2</v>
      </c>
      <c r="G27" s="66">
        <f t="shared" ca="1" si="12"/>
        <v>0.04</v>
      </c>
      <c r="H27" s="67">
        <f t="shared" ref="H27:H86" ca="1" si="13">IF($C27="","",
IF(C27&gt;=$D$5,D27*(B27*(F27-G27)+1+F27)/(1+F27),
D27*((1+F27)/(1+G27))^($D$5-C27-1)))</f>
        <v>3.2272932624807085E-2</v>
      </c>
      <c r="I27" s="68">
        <f t="shared" ca="1" si="4"/>
        <v>3010.0847506495816</v>
      </c>
      <c r="J27" s="68">
        <f t="shared" ca="1" si="5"/>
        <v>31837.434862639806</v>
      </c>
      <c r="K27" s="69">
        <f t="shared" ca="1" si="6"/>
        <v>31837.434862639806</v>
      </c>
      <c r="L27" s="70"/>
      <c r="M27" s="71">
        <f ca="1">IF($C27="",0,
I27*Decrements!D22+(M26-N26-O26)*(1+G26))</f>
        <v>23468.566425693687</v>
      </c>
      <c r="N27" s="72">
        <f ca="1">K27*'1.a Assumptions'!$B$13*Decrements!E22</f>
        <v>679.09259578932392</v>
      </c>
      <c r="O27" s="72">
        <f ca="1">J28*(Decrements!F22+Decrements!G22)</f>
        <v>0</v>
      </c>
      <c r="P27" s="72">
        <f ca="1">M27-J28*Decrements!D22</f>
        <v>2922.9286185403216</v>
      </c>
      <c r="Q27" s="142">
        <f ca="1">OFFSET(Decrements!$K$11,B27,15-B27)</f>
        <v>5.9724009689028303</v>
      </c>
      <c r="R27" s="13"/>
      <c r="S27" s="13"/>
      <c r="T27" s="13"/>
      <c r="U27" s="13"/>
      <c r="V27" s="73">
        <f t="shared" ca="1" si="2"/>
        <v>3010.0847506495847</v>
      </c>
      <c r="W27" s="74">
        <f t="shared" ca="1" si="3"/>
        <v>3.1832314562052488E-12</v>
      </c>
      <c r="X27" s="13"/>
      <c r="Y27" s="13"/>
      <c r="Z27" s="13"/>
      <c r="AA27" s="13"/>
      <c r="AB27" s="13"/>
      <c r="AC27" s="13"/>
      <c r="AD27" s="13"/>
      <c r="AE27" s="13"/>
    </row>
    <row r="28" spans="1:31" x14ac:dyDescent="0.25">
      <c r="A28" s="13"/>
      <c r="B28" s="61">
        <f t="shared" ca="1" si="7"/>
        <v>12</v>
      </c>
      <c r="C28" s="75">
        <f t="shared" ca="1" si="8"/>
        <v>42</v>
      </c>
      <c r="D28" s="76">
        <f t="shared" ca="1" si="9"/>
        <v>0.05</v>
      </c>
      <c r="E28" s="77">
        <f t="shared" ca="1" si="10"/>
        <v>93269.63823349087</v>
      </c>
      <c r="F28" s="66">
        <f t="shared" ca="1" si="11"/>
        <v>1.501035790919647E-2</v>
      </c>
      <c r="G28" s="66">
        <f t="shared" ca="1" si="12"/>
        <v>0.04</v>
      </c>
      <c r="H28" s="67">
        <f t="shared" ca="1" si="13"/>
        <v>3.3067494994767348E-2</v>
      </c>
      <c r="I28" s="68">
        <f t="shared" ca="1" si="4"/>
        <v>3130.4881406755649</v>
      </c>
      <c r="J28" s="68">
        <f t="shared" ca="1" si="5"/>
        <v>36121.017007794981</v>
      </c>
      <c r="K28" s="69">
        <f t="shared" ca="1" si="6"/>
        <v>36121.017007794981</v>
      </c>
      <c r="L28" s="70"/>
      <c r="M28" s="71">
        <f ca="1">IF($C28="",0,
I28*Decrements!D23+(M27-N27-O27)*(1+G27))</f>
        <v>25392.643629222832</v>
      </c>
      <c r="N28" s="72">
        <f ca="1">K28*'1.a Assumptions'!$B$13*Decrements!E23</f>
        <v>731.9383468798386</v>
      </c>
      <c r="O28" s="72">
        <f ca="1">J29*(Decrements!F23+Decrements!G23)</f>
        <v>0</v>
      </c>
      <c r="P28" s="72">
        <f ca="1">M28-J29*Decrements!D23</f>
        <v>3401.9626296330134</v>
      </c>
      <c r="Q28" s="142">
        <f ca="1">OFFSET(Decrements!$K$11,B28,15-B28)</f>
        <v>5.6737809204576886</v>
      </c>
      <c r="R28" s="13"/>
      <c r="S28" s="13"/>
      <c r="T28" s="13"/>
      <c r="U28" s="13"/>
      <c r="V28" s="73">
        <f t="shared" ca="1" si="2"/>
        <v>3130.4881406755667</v>
      </c>
      <c r="W28" s="74">
        <f t="shared" ca="1" si="3"/>
        <v>1.8189894035458565E-12</v>
      </c>
      <c r="X28" s="13"/>
      <c r="Y28" s="13"/>
      <c r="Z28" s="13"/>
      <c r="AA28" s="13"/>
      <c r="AB28" s="13"/>
      <c r="AC28" s="13"/>
      <c r="AD28" s="13"/>
      <c r="AE28" s="13"/>
    </row>
    <row r="29" spans="1:31" x14ac:dyDescent="0.25">
      <c r="A29" s="13"/>
      <c r="B29" s="61">
        <f t="shared" ca="1" si="7"/>
        <v>13</v>
      </c>
      <c r="C29" s="75">
        <f t="shared" ca="1" si="8"/>
        <v>43</v>
      </c>
      <c r="D29" s="76">
        <f t="shared" ca="1" si="9"/>
        <v>0.05</v>
      </c>
      <c r="E29" s="77">
        <f t="shared" ca="1" si="10"/>
        <v>94669.648885436836</v>
      </c>
      <c r="F29" s="66">
        <f t="shared" ca="1" si="11"/>
        <v>1.501035790919647E-2</v>
      </c>
      <c r="G29" s="66">
        <f t="shared" ca="1" si="12"/>
        <v>0.04</v>
      </c>
      <c r="H29" s="67">
        <f t="shared" ca="1" si="13"/>
        <v>3.3881619558442592E-2</v>
      </c>
      <c r="I29" s="68">
        <f t="shared" ca="1" si="4"/>
        <v>3255.7076663025878</v>
      </c>
      <c r="J29" s="68">
        <f t="shared" ca="1" si="5"/>
        <v>40696.345828782345</v>
      </c>
      <c r="K29" s="69">
        <f t="shared" ca="1" si="6"/>
        <v>40696.345828782345</v>
      </c>
      <c r="L29" s="70"/>
      <c r="M29" s="71">
        <f ca="1">IF($C29="",0,
I29*Decrements!D24+(M28-N28-O28)*(1+G28))</f>
        <v>27318.425249605541</v>
      </c>
      <c r="N29" s="72">
        <f ca="1">K29*'1.a Assumptions'!$B$13*Decrements!E24</f>
        <v>783.41801061038746</v>
      </c>
      <c r="O29" s="72">
        <f ca="1">J30*(Decrements!F24+Decrements!G24)</f>
        <v>0</v>
      </c>
      <c r="P29" s="72">
        <f ca="1">M29-J30*Decrements!D24</f>
        <v>3920.3406660419714</v>
      </c>
      <c r="Q29" s="142">
        <f ca="1">OFFSET(Decrements!$K$11,B29,15-B29)</f>
        <v>5.3900918744348036</v>
      </c>
      <c r="R29" s="13"/>
      <c r="S29" s="13"/>
      <c r="T29" s="13"/>
      <c r="U29" s="13"/>
      <c r="V29" s="73">
        <f t="shared" ca="1" si="2"/>
        <v>3255.7076663025873</v>
      </c>
      <c r="W29" s="74">
        <f t="shared" ca="1" si="3"/>
        <v>-4.5474735088646412E-13</v>
      </c>
      <c r="X29" s="13"/>
      <c r="Y29" s="13"/>
      <c r="Z29" s="13"/>
      <c r="AA29" s="13"/>
      <c r="AB29" s="13"/>
      <c r="AC29" s="13"/>
      <c r="AD29" s="13"/>
      <c r="AE29" s="13"/>
    </row>
    <row r="30" spans="1:31" x14ac:dyDescent="0.25">
      <c r="A30" s="13"/>
      <c r="B30" s="61">
        <f t="shared" ca="1" si="7"/>
        <v>14</v>
      </c>
      <c r="C30" s="75">
        <f t="shared" ca="1" si="8"/>
        <v>44</v>
      </c>
      <c r="D30" s="76">
        <f t="shared" ca="1" si="9"/>
        <v>0.05</v>
      </c>
      <c r="E30" s="77">
        <f t="shared" ca="1" si="10"/>
        <v>96090.674198345208</v>
      </c>
      <c r="F30" s="66">
        <f t="shared" ca="1" si="11"/>
        <v>1.501035790919647E-2</v>
      </c>
      <c r="G30" s="66">
        <f t="shared" ca="1" si="12"/>
        <v>0.04</v>
      </c>
      <c r="H30" s="67">
        <f t="shared" ca="1" si="13"/>
        <v>3.4715787938720342E-2</v>
      </c>
      <c r="I30" s="68">
        <f t="shared" ca="1" si="4"/>
        <v>3385.9359729546923</v>
      </c>
      <c r="J30" s="68">
        <f t="shared" ca="1" si="5"/>
        <v>45579.90732823623</v>
      </c>
      <c r="K30" s="69">
        <f t="shared" ca="1" si="6"/>
        <v>45579.90732823623</v>
      </c>
      <c r="L30" s="70"/>
      <c r="M30" s="71">
        <f ca="1">IF($C30="",0,
I30*Decrements!D25+(M29-N29-O29)*(1+G29))</f>
        <v>29247.64378345216</v>
      </c>
      <c r="N30" s="72">
        <f ca="1">K30*'1.a Assumptions'!$B$13*Decrements!E25</f>
        <v>833.55676328945219</v>
      </c>
      <c r="O30" s="72">
        <f ca="1">J31*(Decrements!F25+Decrements!G25)</f>
        <v>0</v>
      </c>
      <c r="P30" s="72">
        <f ca="1">M30-J31*Decrements!D25</f>
        <v>4479.099959994146</v>
      </c>
      <c r="Q30" s="142">
        <f ca="1">OFFSET(Decrements!$K$11,B30,15-B30)</f>
        <v>5.1205872807130639</v>
      </c>
      <c r="R30" s="13"/>
      <c r="S30" s="13"/>
      <c r="T30" s="13"/>
      <c r="U30" s="13"/>
      <c r="V30" s="73">
        <f t="shared" ca="1" si="2"/>
        <v>3385.9359729547068</v>
      </c>
      <c r="W30" s="74">
        <f t="shared" ca="1" si="3"/>
        <v>1.4551915228366852E-11</v>
      </c>
      <c r="X30" s="13"/>
      <c r="Y30" s="13"/>
      <c r="Z30" s="13"/>
      <c r="AA30" s="13"/>
      <c r="AB30" s="13"/>
      <c r="AC30" s="13"/>
      <c r="AD30" s="13"/>
      <c r="AE30" s="13"/>
    </row>
    <row r="31" spans="1:31" x14ac:dyDescent="0.25">
      <c r="A31" s="13"/>
      <c r="B31" s="61">
        <f t="shared" ca="1" si="7"/>
        <v>15</v>
      </c>
      <c r="C31" s="75">
        <f t="shared" ca="1" si="8"/>
        <v>45</v>
      </c>
      <c r="D31" s="76">
        <f t="shared" ca="1" si="9"/>
        <v>0.05</v>
      </c>
      <c r="E31" s="77">
        <f t="shared" ca="1" si="10"/>
        <v>97533.029609798366</v>
      </c>
      <c r="F31" s="66">
        <f t="shared" ca="1" si="11"/>
        <v>1.501035790919647E-2</v>
      </c>
      <c r="G31" s="66">
        <f t="shared" ca="1" si="12"/>
        <v>0.04</v>
      </c>
      <c r="H31" s="67">
        <f t="shared" ca="1" si="13"/>
        <v>3.5570493616084935E-2</v>
      </c>
      <c r="I31" s="68">
        <f t="shared" ca="1" si="4"/>
        <v>3521.3734118728798</v>
      </c>
      <c r="J31" s="68">
        <f t="shared" ca="1" si="5"/>
        <v>50789.039594320384</v>
      </c>
      <c r="K31" s="69">
        <f t="shared" ca="1" si="6"/>
        <v>50789.039594320384</v>
      </c>
      <c r="L31" s="70"/>
      <c r="M31" s="71">
        <f ca="1">IF($C31="",0,
I31*Decrements!D26+(M30-N30-O30)*(1+G30))</f>
        <v>31182.071920807648</v>
      </c>
      <c r="N31" s="72">
        <f ca="1">K31*'1.a Assumptions'!$B$13*Decrements!E26</f>
        <v>882.37937371069177</v>
      </c>
      <c r="O31" s="72">
        <f ca="1">J32*(Decrements!F26+Decrements!G26)</f>
        <v>0</v>
      </c>
      <c r="P31" s="72">
        <f ca="1">M31-J32*Decrements!D26</f>
        <v>5079.3292033927028</v>
      </c>
      <c r="Q31" s="142">
        <f ca="1">OFFSET(Decrements!$K$11,B31,15-B31)</f>
        <v>97.291158333548211</v>
      </c>
      <c r="R31" s="13"/>
      <c r="S31" s="13"/>
      <c r="T31" s="13"/>
      <c r="U31" s="13"/>
      <c r="V31" s="73">
        <f t="shared" ca="1" si="2"/>
        <v>3521.373411872868</v>
      </c>
      <c r="W31" s="74">
        <f t="shared" ca="1" si="3"/>
        <v>-1.1823431123048067E-11</v>
      </c>
      <c r="X31" s="13"/>
      <c r="Y31" s="13"/>
      <c r="Z31" s="13"/>
      <c r="AA31" s="13"/>
      <c r="AB31" s="13"/>
      <c r="AC31" s="13"/>
      <c r="AD31" s="13"/>
      <c r="AE31" s="13"/>
    </row>
    <row r="32" spans="1:31" x14ac:dyDescent="0.25">
      <c r="A32" s="13"/>
      <c r="B32" s="61">
        <f t="shared" ca="1" si="7"/>
        <v>16</v>
      </c>
      <c r="C32" s="75">
        <f t="shared" ca="1" si="8"/>
        <v>46</v>
      </c>
      <c r="D32" s="76">
        <f t="shared" ca="1" si="9"/>
        <v>0.05</v>
      </c>
      <c r="E32" s="77">
        <f t="shared" ca="1" si="10"/>
        <v>98997.035292209694</v>
      </c>
      <c r="F32" s="66">
        <f t="shared" ca="1" si="11"/>
        <v>1.501035790919647E-2</v>
      </c>
      <c r="G32" s="66">
        <f t="shared" ca="1" si="12"/>
        <v>0.04</v>
      </c>
      <c r="H32" s="67">
        <f t="shared" ca="1" si="13"/>
        <v>3.644624222055258E-2</v>
      </c>
      <c r="I32" s="68">
        <f t="shared" ca="1" si="4"/>
        <v>3662.2283483477959</v>
      </c>
      <c r="J32" s="68">
        <f t="shared" ca="1" si="5"/>
        <v>56341.97458996607</v>
      </c>
      <c r="K32" s="69">
        <f t="shared" ca="1" si="6"/>
        <v>56341.97458996607</v>
      </c>
      <c r="L32" s="70"/>
      <c r="M32" s="71">
        <f ca="1">IF($C32="",0,
I32*Decrements!D27+(M31-N31-O31)*(1+G31))</f>
        <v>33123.524611781206</v>
      </c>
      <c r="N32" s="72">
        <f ca="1">K32*'1.a Assumptions'!$B$13*Decrements!E27</f>
        <v>929.91020930790762</v>
      </c>
      <c r="O32" s="72">
        <f ca="1">J33*(Decrements!F27+Decrements!G27)</f>
        <v>0</v>
      </c>
      <c r="P32" s="72">
        <f ca="1">M32-J33*Decrements!D27</f>
        <v>5722.1704441748516</v>
      </c>
      <c r="Q32" s="142"/>
      <c r="R32" s="13"/>
      <c r="S32" s="13"/>
      <c r="T32" s="13"/>
      <c r="U32" s="13"/>
      <c r="V32" s="73">
        <f t="shared" ca="1" si="2"/>
        <v>3662.2283483478241</v>
      </c>
      <c r="W32" s="74">
        <f t="shared" ca="1" si="3"/>
        <v>2.8194335754960775E-11</v>
      </c>
      <c r="X32" s="13"/>
      <c r="Y32" s="13"/>
      <c r="Z32" s="13"/>
      <c r="AA32" s="13"/>
      <c r="AB32" s="13"/>
      <c r="AC32" s="13"/>
      <c r="AD32" s="13"/>
      <c r="AE32" s="13"/>
    </row>
    <row r="33" spans="1:31" x14ac:dyDescent="0.25">
      <c r="A33" s="13"/>
      <c r="B33" s="61">
        <f t="shared" ca="1" si="7"/>
        <v>17</v>
      </c>
      <c r="C33" s="75">
        <f t="shared" ca="1" si="8"/>
        <v>47</v>
      </c>
      <c r="D33" s="76">
        <f t="shared" ca="1" si="9"/>
        <v>0.05</v>
      </c>
      <c r="E33" s="77">
        <f t="shared" ca="1" si="10"/>
        <v>100483.01622389512</v>
      </c>
      <c r="F33" s="66">
        <f t="shared" ca="1" si="11"/>
        <v>1.501035790919647E-2</v>
      </c>
      <c r="G33" s="66">
        <f t="shared" ca="1" si="12"/>
        <v>0.04</v>
      </c>
      <c r="H33" s="67">
        <f t="shared" ca="1" si="13"/>
        <v>3.7343551830793839E-2</v>
      </c>
      <c r="I33" s="68">
        <f t="shared" ca="1" si="4"/>
        <v>3808.7174822817078</v>
      </c>
      <c r="J33" s="68">
        <f t="shared" ca="1" si="5"/>
        <v>62257.881921912536</v>
      </c>
      <c r="K33" s="69">
        <f t="shared" ca="1" si="6"/>
        <v>62257.881921912536</v>
      </c>
      <c r="L33" s="70"/>
      <c r="M33" s="71">
        <f ca="1">IF($C33="",0,
I33*Decrements!D28+(M32-N32-O32)*(1+G32))</f>
        <v>35073.861209019</v>
      </c>
      <c r="N33" s="72">
        <f ca="1">K33*'1.a Assumptions'!$B$13*Decrements!E28</f>
        <v>976.17324222097636</v>
      </c>
      <c r="O33" s="72">
        <f ca="1">J34*(Decrements!F28+Decrements!G28)</f>
        <v>0</v>
      </c>
      <c r="P33" s="72">
        <f ca="1">M33-J34*Decrements!D28</f>
        <v>6408.8210609771559</v>
      </c>
      <c r="Q33" s="142"/>
      <c r="R33" s="78"/>
      <c r="S33" s="78"/>
      <c r="T33" s="78"/>
      <c r="U33" s="78"/>
      <c r="V33" s="73">
        <f t="shared" ca="1" si="2"/>
        <v>3808.7174822817033</v>
      </c>
      <c r="W33" s="74">
        <f t="shared" ca="1" si="3"/>
        <v>-4.5474735088646412E-12</v>
      </c>
      <c r="X33" s="13"/>
      <c r="Y33" s="78"/>
      <c r="Z33" s="78"/>
      <c r="AA33" s="78"/>
      <c r="AB33" s="78"/>
      <c r="AC33" s="78"/>
      <c r="AD33" s="78"/>
      <c r="AE33" s="78"/>
    </row>
    <row r="34" spans="1:31" x14ac:dyDescent="0.25">
      <c r="A34" s="13"/>
      <c r="B34" s="61">
        <f t="shared" ca="1" si="7"/>
        <v>18</v>
      </c>
      <c r="C34" s="75">
        <f t="shared" ca="1" si="8"/>
        <v>48</v>
      </c>
      <c r="D34" s="76">
        <f t="shared" ca="1" si="9"/>
        <v>0.05</v>
      </c>
      <c r="E34" s="77">
        <f t="shared" ca="1" si="10"/>
        <v>101991.30226121137</v>
      </c>
      <c r="F34" s="66">
        <f t="shared" ca="1" si="11"/>
        <v>1.501035790919647E-2</v>
      </c>
      <c r="G34" s="66">
        <f t="shared" ca="1" si="12"/>
        <v>0.04</v>
      </c>
      <c r="H34" s="67">
        <f t="shared" ca="1" si="13"/>
        <v>3.8262953280620619E-2</v>
      </c>
      <c r="I34" s="68">
        <f t="shared" ca="1" si="4"/>
        <v>3961.0661815729763</v>
      </c>
      <c r="J34" s="68">
        <f t="shared" ca="1" si="5"/>
        <v>68556.914681070746</v>
      </c>
      <c r="K34" s="69">
        <f t="shared" ca="1" si="6"/>
        <v>68556.914681070746</v>
      </c>
      <c r="L34" s="70"/>
      <c r="M34" s="71">
        <f ca="1">IF($C34="",0,
I34*Decrements!D29+(M33-N33-O33)*(1+G33))</f>
        <v>37034.987689151356</v>
      </c>
      <c r="N34" s="72">
        <f ca="1">K34*'1.a Assumptions'!$B$13*Decrements!E29</f>
        <v>1021.1920552739908</v>
      </c>
      <c r="O34" s="72">
        <f ca="1">J35*(Decrements!F29+Decrements!G29)</f>
        <v>0</v>
      </c>
      <c r="P34" s="72">
        <f ca="1">M34-J35*Decrements!D29</f>
        <v>7140.5358192046042</v>
      </c>
      <c r="Q34" s="142"/>
      <c r="R34" s="78"/>
      <c r="S34" s="78"/>
      <c r="T34" s="78"/>
      <c r="U34" s="78"/>
      <c r="V34" s="73">
        <f t="shared" ca="1" si="2"/>
        <v>3961.0661815729836</v>
      </c>
      <c r="W34" s="74">
        <f t="shared" ca="1" si="3"/>
        <v>7.2759576141834259E-12</v>
      </c>
      <c r="X34" s="13"/>
      <c r="Y34" s="78"/>
      <c r="Z34" s="78"/>
      <c r="AA34" s="78"/>
      <c r="AB34" s="78"/>
      <c r="AC34" s="78"/>
      <c r="AD34" s="78"/>
      <c r="AE34" s="78"/>
    </row>
    <row r="35" spans="1:31" x14ac:dyDescent="0.25">
      <c r="A35" s="13"/>
      <c r="B35" s="61">
        <f t="shared" ca="1" si="7"/>
        <v>19</v>
      </c>
      <c r="C35" s="75">
        <f t="shared" ca="1" si="8"/>
        <v>49</v>
      </c>
      <c r="D35" s="76">
        <f t="shared" ca="1" si="9"/>
        <v>0.05</v>
      </c>
      <c r="E35" s="77">
        <f t="shared" ca="1" si="10"/>
        <v>103522.2282117772</v>
      </c>
      <c r="F35" s="66">
        <f t="shared" ca="1" si="11"/>
        <v>1.501035790919647E-2</v>
      </c>
      <c r="G35" s="66">
        <f t="shared" ca="1" si="12"/>
        <v>0.04</v>
      </c>
      <c r="H35" s="67">
        <f t="shared" ca="1" si="13"/>
        <v>3.92049904730188E-2</v>
      </c>
      <c r="I35" s="68">
        <f t="shared" ca="1" si="4"/>
        <v>4119.5088288358966</v>
      </c>
      <c r="J35" s="68">
        <f t="shared" ca="1" si="5"/>
        <v>75260.257449886558</v>
      </c>
      <c r="K35" s="69">
        <f t="shared" ca="1" si="6"/>
        <v>75260.257449886558</v>
      </c>
      <c r="L35" s="70"/>
      <c r="M35" s="71">
        <f ca="1">IF($C35="",0,
I35*Decrements!D30+(M34-N34-O34)*(1+G34))</f>
        <v>39008.858956469696</v>
      </c>
      <c r="N35" s="72">
        <f ca="1">K35*'1.a Assumptions'!$B$13*Decrements!E30</f>
        <v>1064.9898478668531</v>
      </c>
      <c r="O35" s="72">
        <f ca="1">J36*(Decrements!F30+Decrements!G30)</f>
        <v>0</v>
      </c>
      <c r="P35" s="72">
        <f ca="1">M35-J36*Decrements!D30</f>
        <v>7918.6290117250755</v>
      </c>
      <c r="Q35" s="142"/>
      <c r="R35" s="78"/>
      <c r="S35" s="78"/>
      <c r="T35" s="78"/>
      <c r="U35" s="78"/>
      <c r="V35" s="73">
        <f t="shared" ca="1" si="2"/>
        <v>4119.5088288358966</v>
      </c>
      <c r="W35" s="74">
        <f t="shared" ca="1" si="3"/>
        <v>0</v>
      </c>
      <c r="X35" s="13"/>
      <c r="Y35" s="13"/>
      <c r="Z35" s="13"/>
      <c r="AA35" s="13"/>
      <c r="AB35" s="13"/>
      <c r="AC35" s="13"/>
      <c r="AD35" s="13"/>
      <c r="AE35" s="13"/>
    </row>
    <row r="36" spans="1:31" x14ac:dyDescent="0.25">
      <c r="A36" s="13"/>
      <c r="B36" s="61">
        <f t="shared" ca="1" si="7"/>
        <v>20</v>
      </c>
      <c r="C36" s="75">
        <f t="shared" ca="1" si="8"/>
        <v>50</v>
      </c>
      <c r="D36" s="76">
        <f t="shared" ca="1" si="9"/>
        <v>0.05</v>
      </c>
      <c r="E36" s="77">
        <f t="shared" ca="1" si="10"/>
        <v>105076.13390879349</v>
      </c>
      <c r="F36" s="66">
        <f t="shared" ca="1" si="11"/>
        <v>1.501035790919647E-2</v>
      </c>
      <c r="G36" s="66">
        <f t="shared" ca="1" si="12"/>
        <v>0.04</v>
      </c>
      <c r="H36" s="67">
        <f t="shared" ca="1" si="13"/>
        <v>4.0170220701912437E-2</v>
      </c>
      <c r="I36" s="68">
        <f t="shared" ca="1" si="4"/>
        <v>4284.2891819893321</v>
      </c>
      <c r="J36" s="68">
        <f t="shared" ca="1" si="5"/>
        <v>82390.176576717917</v>
      </c>
      <c r="K36" s="69">
        <f t="shared" ca="1" si="6"/>
        <v>82390.176576717917</v>
      </c>
      <c r="L36" s="70"/>
      <c r="M36" s="71">
        <f ca="1">IF($C36="",0,
I36*Decrements!D31+(M35-N35-O35)*(1+G35))</f>
        <v>40997.481232217338</v>
      </c>
      <c r="N36" s="72">
        <f ca="1">K36*'1.a Assumptions'!$B$13*Decrements!E31</f>
        <v>1107.5894417815273</v>
      </c>
      <c r="O36" s="72">
        <f ca="1">J37*(Decrements!F31+Decrements!G31)</f>
        <v>0</v>
      </c>
      <c r="P36" s="72">
        <f ca="1">M36-J37*Decrements!D31</f>
        <v>8744.4766875392634</v>
      </c>
      <c r="Q36" s="142"/>
      <c r="R36" s="78"/>
      <c r="S36" s="78"/>
      <c r="T36" s="78"/>
      <c r="U36" s="78"/>
      <c r="V36" s="73">
        <f t="shared" ca="1" si="2"/>
        <v>4284.2891819893412</v>
      </c>
      <c r="W36" s="74">
        <f t="shared" ca="1" si="3"/>
        <v>9.0949470177292824E-12</v>
      </c>
      <c r="X36" s="13"/>
      <c r="Y36" s="13"/>
      <c r="Z36" s="13"/>
      <c r="AA36" s="13"/>
      <c r="AB36" s="13"/>
      <c r="AC36" s="13"/>
      <c r="AD36" s="13"/>
      <c r="AE36" s="13"/>
    </row>
    <row r="37" spans="1:31" x14ac:dyDescent="0.25">
      <c r="A37" s="13"/>
      <c r="B37" s="61">
        <f t="shared" ca="1" si="7"/>
        <v>21</v>
      </c>
      <c r="C37" s="75">
        <f t="shared" ca="1" si="8"/>
        <v>51</v>
      </c>
      <c r="D37" s="76">
        <f t="shared" ca="1" si="9"/>
        <v>0.05</v>
      </c>
      <c r="E37" s="77">
        <f t="shared" ca="1" si="10"/>
        <v>106653.36428647913</v>
      </c>
      <c r="F37" s="66">
        <f t="shared" ca="1" si="11"/>
        <v>1.501035790919647E-2</v>
      </c>
      <c r="G37" s="66">
        <f t="shared" ca="1" si="12"/>
        <v>0.04</v>
      </c>
      <c r="H37" s="67">
        <f t="shared" ca="1" si="13"/>
        <v>4.1159214981849809E-2</v>
      </c>
      <c r="I37" s="68">
        <f t="shared" ca="1" si="4"/>
        <v>4455.6607492689063</v>
      </c>
      <c r="J37" s="68">
        <f t="shared" ca="1" si="5"/>
        <v>89970.072821775975</v>
      </c>
      <c r="K37" s="69">
        <f t="shared" ca="1" si="6"/>
        <v>89970.072821775975</v>
      </c>
      <c r="L37" s="70"/>
      <c r="M37" s="71">
        <f ca="1">IF($C37="",0,
I37*Decrements!D32+(M36-N36-O36)*(1+G36))</f>
        <v>43002.914533012387</v>
      </c>
      <c r="N37" s="72">
        <f ca="1">K37*'1.a Assumptions'!$B$13*Decrements!E32</f>
        <v>1149.0132869041565</v>
      </c>
      <c r="O37" s="72">
        <f ca="1">J38*(Decrements!F32+Decrements!G32)</f>
        <v>0</v>
      </c>
      <c r="P37" s="72">
        <f ca="1">M37-J38*Decrements!D32</f>
        <v>9619.5189719113041</v>
      </c>
      <c r="Q37" s="142"/>
      <c r="R37" s="79"/>
      <c r="S37" s="79"/>
      <c r="T37" s="79"/>
      <c r="U37" s="79"/>
      <c r="V37" s="73">
        <f t="shared" ca="1" si="2"/>
        <v>4455.6607492689072</v>
      </c>
      <c r="W37" s="74">
        <f t="shared" ca="1" si="3"/>
        <v>9.0949470177292824E-13</v>
      </c>
      <c r="X37" s="13"/>
      <c r="Y37" s="13"/>
      <c r="Z37" s="13"/>
      <c r="AA37" s="13"/>
      <c r="AB37" s="13"/>
      <c r="AC37" s="13"/>
      <c r="AD37" s="13"/>
      <c r="AE37" s="13"/>
    </row>
    <row r="38" spans="1:31" x14ac:dyDescent="0.25">
      <c r="A38" s="13"/>
      <c r="B38" s="61">
        <f t="shared" ca="1" si="7"/>
        <v>22</v>
      </c>
      <c r="C38" s="75">
        <f t="shared" ca="1" si="8"/>
        <v>52</v>
      </c>
      <c r="D38" s="76">
        <f t="shared" ca="1" si="9"/>
        <v>0.05</v>
      </c>
      <c r="E38" s="77">
        <f t="shared" ca="1" si="10"/>
        <v>108254.2694566391</v>
      </c>
      <c r="F38" s="66">
        <f t="shared" ca="1" si="11"/>
        <v>1.501035790919647E-2</v>
      </c>
      <c r="G38" s="66">
        <f t="shared" ca="1" si="12"/>
        <v>0.04</v>
      </c>
      <c r="H38" s="67">
        <f t="shared" ca="1" si="13"/>
        <v>4.2172558385806365E-2</v>
      </c>
      <c r="I38" s="68">
        <f t="shared" ca="1" si="4"/>
        <v>4633.8871792396621</v>
      </c>
      <c r="J38" s="68">
        <f t="shared" ca="1" si="5"/>
        <v>98024.53648391593</v>
      </c>
      <c r="K38" s="69">
        <f t="shared" ca="1" si="6"/>
        <v>98024.53648391593</v>
      </c>
      <c r="L38" s="70"/>
      <c r="M38" s="71">
        <f ca="1">IF($C38="",0,
I38*Decrements!D33+(M37-N37-O37)*(1+G37))</f>
        <v>45027.27524206019</v>
      </c>
      <c r="N38" s="72">
        <f ca="1">K38*'1.a Assumptions'!$B$13*Decrements!E33</f>
        <v>1189.2834668642261</v>
      </c>
      <c r="O38" s="72">
        <f ca="1">J39*(Decrements!F33+Decrements!G33)</f>
        <v>0</v>
      </c>
      <c r="P38" s="72">
        <f ca="1">M38-J39*Decrements!D33</f>
        <v>10545.262481584687</v>
      </c>
      <c r="Q38" s="142"/>
      <c r="R38" s="13"/>
      <c r="S38" s="13"/>
      <c r="T38" s="13"/>
      <c r="U38" s="13"/>
      <c r="V38" s="73">
        <f t="shared" ca="1" si="2"/>
        <v>4633.8871792396822</v>
      </c>
      <c r="W38" s="74">
        <f t="shared" ca="1" si="3"/>
        <v>2.0008883439004421E-11</v>
      </c>
      <c r="X38" s="13"/>
      <c r="Y38" s="13"/>
      <c r="Z38" s="13"/>
      <c r="AA38" s="13"/>
      <c r="AB38" s="13"/>
      <c r="AC38" s="13"/>
      <c r="AD38" s="13"/>
      <c r="AE38" s="13"/>
    </row>
    <row r="39" spans="1:31" x14ac:dyDescent="0.25">
      <c r="A39" s="13"/>
      <c r="B39" s="61">
        <f t="shared" ca="1" si="7"/>
        <v>23</v>
      </c>
      <c r="C39" s="75">
        <f t="shared" ca="1" si="8"/>
        <v>53</v>
      </c>
      <c r="D39" s="76">
        <f t="shared" ca="1" si="9"/>
        <v>0.05</v>
      </c>
      <c r="E39" s="77">
        <f t="shared" ca="1" si="10"/>
        <v>109879.20478638184</v>
      </c>
      <c r="F39" s="66">
        <f t="shared" ca="1" si="11"/>
        <v>1.501035790919647E-2</v>
      </c>
      <c r="G39" s="66">
        <f t="shared" ca="1" si="12"/>
        <v>0.04</v>
      </c>
      <c r="H39" s="67">
        <f t="shared" ca="1" si="13"/>
        <v>4.3210850391304401E-2</v>
      </c>
      <c r="I39" s="68">
        <f t="shared" ca="1" si="4"/>
        <v>4819.2426664092491</v>
      </c>
      <c r="J39" s="68">
        <f t="shared" ca="1" si="5"/>
        <v>106579.40512251225</v>
      </c>
      <c r="K39" s="69">
        <f t="shared" ca="1" si="6"/>
        <v>106579.40512251225</v>
      </c>
      <c r="L39" s="70"/>
      <c r="M39" s="71">
        <f ca="1">IF($C39="",0,
I39*Decrements!D34+(M38-N38-O38)*(1+G38))</f>
        <v>47072.73877695814</v>
      </c>
      <c r="N39" s="72">
        <f ca="1">K39*'1.a Assumptions'!$B$13*Decrements!E34</f>
        <v>1228.4217045919399</v>
      </c>
      <c r="O39" s="72">
        <f ca="1">J40*(Decrements!F34+Decrements!G34)</f>
        <v>0</v>
      </c>
      <c r="P39" s="72">
        <f ca="1">M39-J40*Decrements!D34</f>
        <v>11523.282838854007</v>
      </c>
      <c r="Q39" s="142"/>
      <c r="R39" s="13"/>
      <c r="S39" s="13"/>
      <c r="T39" s="13"/>
      <c r="U39" s="13"/>
      <c r="V39" s="73">
        <f t="shared" ca="1" si="2"/>
        <v>4819.2426664092491</v>
      </c>
      <c r="W39" s="74">
        <f t="shared" ca="1" si="3"/>
        <v>0</v>
      </c>
      <c r="X39" s="13"/>
      <c r="Y39" s="13"/>
      <c r="Z39" s="13"/>
      <c r="AA39" s="13"/>
      <c r="AB39" s="13"/>
      <c r="AC39" s="13"/>
      <c r="AD39" s="13"/>
      <c r="AE39" s="13"/>
    </row>
    <row r="40" spans="1:31" x14ac:dyDescent="0.25">
      <c r="A40" s="13"/>
      <c r="B40" s="61">
        <f t="shared" ca="1" si="7"/>
        <v>24</v>
      </c>
      <c r="C40" s="75">
        <f t="shared" ca="1" si="8"/>
        <v>54</v>
      </c>
      <c r="D40" s="76">
        <f t="shared" ca="1" si="9"/>
        <v>0.05</v>
      </c>
      <c r="E40" s="77">
        <f t="shared" ca="1" si="10"/>
        <v>111528.53097700333</v>
      </c>
      <c r="F40" s="66">
        <f t="shared" ca="1" si="11"/>
        <v>1.501035790919647E-2</v>
      </c>
      <c r="G40" s="66">
        <f t="shared" ca="1" si="12"/>
        <v>0.04</v>
      </c>
      <c r="H40" s="67">
        <f t="shared" ca="1" si="13"/>
        <v>4.4274705235054251E-2</v>
      </c>
      <c r="I40" s="68">
        <f t="shared" ca="1" si="4"/>
        <v>5012.0123730656205</v>
      </c>
      <c r="J40" s="68">
        <f t="shared" ca="1" si="5"/>
        <v>115661.82399382199</v>
      </c>
      <c r="K40" s="69">
        <f t="shared" ca="1" si="6"/>
        <v>115661.82399382199</v>
      </c>
      <c r="L40" s="70"/>
      <c r="M40" s="71">
        <f ca="1">IF($C40="",0,
I40*Decrements!D35+(M39-N39-O39)*(1+G39))</f>
        <v>49141.542358046128</v>
      </c>
      <c r="N40" s="72">
        <f ca="1">K40*'1.a Assumptions'!$B$13*Decrements!E35</f>
        <v>1266.4493677949599</v>
      </c>
      <c r="O40" s="72">
        <f ca="1">J41*(Decrements!F35+Decrements!G35)</f>
        <v>0</v>
      </c>
      <c r="P40" s="72">
        <f ca="1">M40-J41*Decrements!D35</f>
        <v>12555.227288413953</v>
      </c>
      <c r="Q40" s="142"/>
      <c r="R40" s="13"/>
      <c r="S40" s="13"/>
      <c r="T40" s="13"/>
      <c r="U40" s="13"/>
      <c r="V40" s="73">
        <f t="shared" ca="1" si="2"/>
        <v>5012.0123730656342</v>
      </c>
      <c r="W40" s="74">
        <f t="shared" ca="1" si="3"/>
        <v>1.3642420526593924E-11</v>
      </c>
      <c r="X40" s="13"/>
      <c r="Y40" s="13"/>
      <c r="Z40" s="13"/>
      <c r="AA40" s="13"/>
      <c r="AB40" s="13"/>
      <c r="AC40" s="13"/>
      <c r="AD40" s="13"/>
      <c r="AE40" s="13"/>
    </row>
    <row r="41" spans="1:31" x14ac:dyDescent="0.25">
      <c r="A41" s="13"/>
      <c r="B41" s="61">
        <f t="shared" ca="1" si="7"/>
        <v>25</v>
      </c>
      <c r="C41" s="75">
        <f t="shared" ca="1" si="8"/>
        <v>55</v>
      </c>
      <c r="D41" s="76">
        <f t="shared" ca="1" si="9"/>
        <v>0.05</v>
      </c>
      <c r="E41" s="77">
        <f t="shared" ca="1" si="10"/>
        <v>113202.61414405506</v>
      </c>
      <c r="F41" s="66">
        <f t="shared" ca="1" si="11"/>
        <v>1.501035790919647E-2</v>
      </c>
      <c r="G41" s="66">
        <f t="shared" ca="1" si="12"/>
        <v>0.04</v>
      </c>
      <c r="H41" s="67">
        <f t="shared" ca="1" si="13"/>
        <v>4.536475227632672E-2</v>
      </c>
      <c r="I41" s="68">
        <f t="shared" ca="1" si="4"/>
        <v>5212.492867988246</v>
      </c>
      <c r="J41" s="68">
        <f t="shared" ca="1" si="5"/>
        <v>125300.3093266405</v>
      </c>
      <c r="K41" s="69">
        <f t="shared" ca="1" si="6"/>
        <v>125300.3093266405</v>
      </c>
      <c r="L41" s="70"/>
      <c r="M41" s="71">
        <f ca="1">IF($C41="",0,
I41*Decrements!D36+(M40-N40-O40)*(1+G40))</f>
        <v>51235.987881413079</v>
      </c>
      <c r="N41" s="72">
        <f ca="1">K41*'1.a Assumptions'!$B$13*Decrements!E36</f>
        <v>1303.3874743556464</v>
      </c>
      <c r="O41" s="72">
        <f ca="1">J42*(Decrements!F36+Decrements!G36)</f>
        <v>0</v>
      </c>
      <c r="P41" s="72">
        <f ca="1">M41-J42*Decrements!D36</f>
        <v>13642.817421064618</v>
      </c>
      <c r="Q41" s="142"/>
      <c r="R41" s="13"/>
      <c r="S41" s="13"/>
      <c r="T41" s="13"/>
      <c r="U41" s="13"/>
      <c r="V41" s="73">
        <f t="shared" ca="1" si="2"/>
        <v>5212.4928679882578</v>
      </c>
      <c r="W41" s="74">
        <f t="shared" ca="1" si="3"/>
        <v>1.1823431123048067E-11</v>
      </c>
      <c r="X41" s="13"/>
      <c r="Y41" s="13"/>
      <c r="Z41" s="13"/>
      <c r="AA41" s="13"/>
      <c r="AB41" s="13"/>
      <c r="AC41" s="13"/>
      <c r="AD41" s="13"/>
      <c r="AE41" s="13"/>
    </row>
    <row r="42" spans="1:31" x14ac:dyDescent="0.25">
      <c r="A42" s="13"/>
      <c r="B42" s="61">
        <f t="shared" ca="1" si="7"/>
        <v>26</v>
      </c>
      <c r="C42" s="75">
        <f t="shared" ca="1" si="8"/>
        <v>56</v>
      </c>
      <c r="D42" s="76">
        <f t="shared" ca="1" si="9"/>
        <v>0.05</v>
      </c>
      <c r="E42" s="77">
        <f t="shared" ca="1" si="10"/>
        <v>114901.82589861398</v>
      </c>
      <c r="F42" s="66">
        <f t="shared" ca="1" si="11"/>
        <v>1.501035790919647E-2</v>
      </c>
      <c r="G42" s="66">
        <f t="shared" ca="1" si="12"/>
        <v>0.04</v>
      </c>
      <c r="H42" s="67">
        <f t="shared" ca="1" si="13"/>
        <v>4.6481636369271905E-2</v>
      </c>
      <c r="I42" s="68">
        <f t="shared" ca="1" si="4"/>
        <v>5420.9925827077768</v>
      </c>
      <c r="J42" s="68">
        <f t="shared" ca="1" si="5"/>
        <v>135524.81456769438</v>
      </c>
      <c r="K42" s="69">
        <f t="shared" ca="1" si="6"/>
        <v>135524.81456769438</v>
      </c>
      <c r="L42" s="70"/>
      <c r="M42" s="71">
        <f ca="1">IF($C42="",0,
I42*Decrements!D37+(M41-N41-O41)*(1+G41))</f>
        <v>53358.444900832976</v>
      </c>
      <c r="N42" s="72">
        <f ca="1">K42*'1.a Assumptions'!$B$13*Decrements!E37</f>
        <v>1339.2566976499138</v>
      </c>
      <c r="O42" s="72">
        <f ca="1">J43*(Decrements!F37+Decrements!G37)</f>
        <v>0</v>
      </c>
      <c r="P42" s="72">
        <f ca="1">M42-J43*Decrements!D37</f>
        <v>14787.852008515452</v>
      </c>
      <c r="Q42" s="142"/>
      <c r="R42" s="13"/>
      <c r="S42" s="13"/>
      <c r="T42" s="13"/>
      <c r="U42" s="13"/>
      <c r="V42" s="73">
        <f t="shared" ca="1" si="2"/>
        <v>5420.9925827077823</v>
      </c>
      <c r="W42" s="74">
        <f t="shared" ca="1" si="3"/>
        <v>5.4569682106375694E-12</v>
      </c>
      <c r="X42" s="13"/>
      <c r="Y42" s="13"/>
      <c r="Z42" s="13"/>
      <c r="AA42" s="13"/>
      <c r="AB42" s="13"/>
      <c r="AC42" s="13"/>
      <c r="AD42" s="13"/>
      <c r="AE42" s="13"/>
    </row>
    <row r="43" spans="1:31" x14ac:dyDescent="0.25">
      <c r="A43" s="13"/>
      <c r="B43" s="61">
        <f t="shared" ca="1" si="7"/>
        <v>27</v>
      </c>
      <c r="C43" s="75">
        <f t="shared" ca="1" si="8"/>
        <v>57</v>
      </c>
      <c r="D43" s="76">
        <f t="shared" ca="1" si="9"/>
        <v>0.05</v>
      </c>
      <c r="E43" s="77">
        <f t="shared" ca="1" si="10"/>
        <v>116626.54342977236</v>
      </c>
      <c r="F43" s="66">
        <f t="shared" ca="1" si="11"/>
        <v>1.501035790919647E-2</v>
      </c>
      <c r="G43" s="66">
        <f t="shared" ca="1" si="12"/>
        <v>0.04</v>
      </c>
      <c r="H43" s="67">
        <f t="shared" ca="1" si="13"/>
        <v>4.762601824440435E-2</v>
      </c>
      <c r="I43" s="68">
        <f t="shared" ca="1" si="4"/>
        <v>5637.832286016087</v>
      </c>
      <c r="J43" s="68">
        <f t="shared" ca="1" si="5"/>
        <v>146366.79973310995</v>
      </c>
      <c r="K43" s="69">
        <f t="shared" ca="1" si="6"/>
        <v>146366.79973310995</v>
      </c>
      <c r="L43" s="70"/>
      <c r="M43" s="71">
        <f ca="1">IF($C43="",0,
I43*Decrements!D38+(M42-N42-O42)*(1+G42))</f>
        <v>55511.353723073713</v>
      </c>
      <c r="N43" s="72">
        <f ca="1">K43*'1.a Assumptions'!$B$13*Decrements!E38</f>
        <v>1374.0773717888119</v>
      </c>
      <c r="O43" s="72">
        <f ca="1">J44*(Decrements!F38+Decrements!G38)</f>
        <v>0</v>
      </c>
      <c r="P43" s="72">
        <f ca="1">M43-J44*Decrements!D38</f>
        <v>15992.20995370068</v>
      </c>
      <c r="Q43" s="142"/>
      <c r="R43" s="13"/>
      <c r="S43" s="13"/>
      <c r="T43" s="13"/>
      <c r="U43" s="13"/>
      <c r="V43" s="73">
        <f t="shared" ca="1" si="2"/>
        <v>5637.8322860160843</v>
      </c>
      <c r="W43" s="74">
        <f t="shared" ca="1" si="3"/>
        <v>-2.7284841053187847E-12</v>
      </c>
      <c r="X43" s="13"/>
      <c r="Y43" s="13"/>
      <c r="Z43" s="13"/>
      <c r="AA43" s="13"/>
      <c r="AB43" s="13"/>
      <c r="AC43" s="13"/>
      <c r="AD43" s="13"/>
      <c r="AE43" s="13"/>
    </row>
    <row r="44" spans="1:31" x14ac:dyDescent="0.25">
      <c r="A44" s="13"/>
      <c r="B44" s="61">
        <f t="shared" ca="1" si="7"/>
        <v>28</v>
      </c>
      <c r="C44" s="75">
        <f t="shared" ca="1" si="8"/>
        <v>58</v>
      </c>
      <c r="D44" s="76">
        <f t="shared" ca="1" si="9"/>
        <v>0.05</v>
      </c>
      <c r="E44" s="77">
        <f t="shared" ca="1" si="10"/>
        <v>118377.14958836569</v>
      </c>
      <c r="F44" s="66">
        <f t="shared" ca="1" si="11"/>
        <v>1.501035790919647E-2</v>
      </c>
      <c r="G44" s="66">
        <f t="shared" ca="1" si="12"/>
        <v>0.04</v>
      </c>
      <c r="H44" s="67">
        <f t="shared" ca="1" si="13"/>
        <v>4.8798574899480598E-2</v>
      </c>
      <c r="I44" s="68">
        <f t="shared" ca="1" si="4"/>
        <v>5863.3455774567319</v>
      </c>
      <c r="J44" s="68">
        <f t="shared" ca="1" si="5"/>
        <v>157859.30400845045</v>
      </c>
      <c r="K44" s="69">
        <f t="shared" ca="1" si="6"/>
        <v>157859.30400845045</v>
      </c>
      <c r="L44" s="70"/>
      <c r="M44" s="71">
        <f ca="1">IF($C44="",0,
I44*Decrements!D39+(M43-N43-O43)*(1+G43))</f>
        <v>57697.228621198454</v>
      </c>
      <c r="N44" s="72">
        <f ca="1">K44*'1.a Assumptions'!$B$13*Decrements!E39</f>
        <v>1407.8694967839144</v>
      </c>
      <c r="O44" s="72">
        <f ca="1">J45*(Decrements!F39+Decrements!G39)</f>
        <v>0</v>
      </c>
      <c r="P44" s="72">
        <f ca="1">M44-J45*Decrements!D39</f>
        <v>17257.853361195717</v>
      </c>
      <c r="Q44" s="142"/>
      <c r="R44" s="13"/>
      <c r="S44" s="13"/>
      <c r="T44" s="13"/>
      <c r="U44" s="13"/>
      <c r="V44" s="73">
        <f t="shared" ca="1" si="2"/>
        <v>5863.3455774567847</v>
      </c>
      <c r="W44" s="74">
        <f t="shared" ca="1" si="3"/>
        <v>5.2750692702829838E-11</v>
      </c>
      <c r="X44" s="13"/>
      <c r="Y44" s="13"/>
      <c r="Z44" s="13"/>
      <c r="AA44" s="13"/>
      <c r="AB44" s="13"/>
      <c r="AC44" s="13"/>
      <c r="AD44" s="13"/>
      <c r="AE44" s="13"/>
    </row>
    <row r="45" spans="1:31" x14ac:dyDescent="0.25">
      <c r="A45" s="13"/>
      <c r="B45" s="61">
        <f t="shared" ca="1" si="7"/>
        <v>29</v>
      </c>
      <c r="C45" s="75">
        <f t="shared" ca="1" si="8"/>
        <v>59</v>
      </c>
      <c r="D45" s="76">
        <f t="shared" ca="1" si="9"/>
        <v>0.05</v>
      </c>
      <c r="E45" s="77">
        <f t="shared" ca="1" si="10"/>
        <v>120154.03297195755</v>
      </c>
      <c r="F45" s="66">
        <f t="shared" ca="1" si="11"/>
        <v>1.501035790919647E-2</v>
      </c>
      <c r="G45" s="66">
        <f t="shared" ca="1" si="12"/>
        <v>0.04</v>
      </c>
      <c r="H45" s="67">
        <f t="shared" ca="1" si="13"/>
        <v>0.05</v>
      </c>
      <c r="I45" s="68">
        <f t="shared" ca="1" si="4"/>
        <v>6097.8794005550026</v>
      </c>
      <c r="J45" s="68">
        <f t="shared" ca="1" si="5"/>
        <v>170037.02174624524</v>
      </c>
      <c r="K45" s="69">
        <f t="shared" ca="1" si="6"/>
        <v>170037.02174624524</v>
      </c>
      <c r="L45" s="70"/>
      <c r="M45" s="71">
        <f ca="1">IF($C45="",0,
I45*Decrements!D40+(M44-N44-O44)*(1+G44))</f>
        <v>59918.661170662948</v>
      </c>
      <c r="N45" s="72">
        <f ca="1">K45*'1.a Assumptions'!$B$13*Decrements!E40</f>
        <v>0</v>
      </c>
      <c r="O45" s="72">
        <f ca="1">J46*(Decrements!F40+Decrements!G40)</f>
        <v>41331.830438154517</v>
      </c>
      <c r="P45" s="72">
        <f ca="1">M45-J46*Decrements!D40</f>
        <v>18586.830732508432</v>
      </c>
      <c r="Q45" s="142"/>
      <c r="R45" s="13"/>
      <c r="S45" s="13"/>
      <c r="T45" s="13"/>
      <c r="U45" s="13"/>
      <c r="V45" s="73">
        <f t="shared" ca="1" si="2"/>
        <v>6097.8794005549862</v>
      </c>
      <c r="W45" s="74">
        <f t="shared" ca="1" si="3"/>
        <v>-1.6370904631912708E-11</v>
      </c>
      <c r="X45" s="13"/>
      <c r="Y45" s="13"/>
      <c r="Z45" s="13"/>
      <c r="AA45" s="13"/>
      <c r="AB45" s="13"/>
      <c r="AC45" s="13"/>
      <c r="AD45" s="13"/>
      <c r="AE45" s="13"/>
    </row>
    <row r="46" spans="1:31" x14ac:dyDescent="0.25">
      <c r="A46" s="13"/>
      <c r="B46" s="61">
        <f t="shared" ca="1" si="7"/>
        <v>30</v>
      </c>
      <c r="C46" s="75">
        <f t="shared" ca="1" si="8"/>
        <v>60</v>
      </c>
      <c r="D46" s="76">
        <f t="shared" ca="1" si="9"/>
        <v>0.05</v>
      </c>
      <c r="E46" s="77">
        <f t="shared" ca="1" si="10"/>
        <v>121957.58801110003</v>
      </c>
      <c r="F46" s="66">
        <f t="shared" ca="1" si="11"/>
        <v>1.501035790919647E-2</v>
      </c>
      <c r="G46" s="66">
        <f t="shared" ca="1" si="12"/>
        <v>0.04</v>
      </c>
      <c r="H46" s="67">
        <f t="shared" ca="1" si="13"/>
        <v>1.3069871313018972E-2</v>
      </c>
      <c r="I46" s="68">
        <f t="shared" ca="1" si="4"/>
        <v>0</v>
      </c>
      <c r="J46" s="68">
        <f t="shared" ca="1" si="5"/>
        <v>182936.38201665005</v>
      </c>
      <c r="K46" s="69">
        <f t="shared" ca="1" si="6"/>
        <v>182936.38201665005</v>
      </c>
      <c r="L46" s="70"/>
      <c r="M46" s="71">
        <f ca="1">IF($C46="",0,
I46*Decrements!D41+(M45-N45-O45)*(1+G45))</f>
        <v>19330.303961808768</v>
      </c>
      <c r="N46" s="72">
        <f ca="1">K46*'1.a Assumptions'!$B$13*Decrements!E41</f>
        <v>0</v>
      </c>
      <c r="O46" s="72">
        <f ca="1">J47*(Decrements!F41+Decrements!G41)</f>
        <v>0</v>
      </c>
      <c r="P46" s="72">
        <f ca="1">M46-J47*Decrements!D41</f>
        <v>19330.303961808768</v>
      </c>
      <c r="Q46" s="142"/>
      <c r="R46" s="13"/>
      <c r="S46" s="13"/>
      <c r="T46" s="13"/>
      <c r="U46" s="13"/>
      <c r="V46" s="73" t="str">
        <f t="shared" ca="1" si="2"/>
        <v/>
      </c>
      <c r="W46" s="74" t="str">
        <f t="shared" ca="1" si="3"/>
        <v/>
      </c>
      <c r="X46" s="13"/>
      <c r="Y46" s="13"/>
      <c r="Z46" s="13"/>
      <c r="AA46" s="13"/>
      <c r="AB46" s="13"/>
      <c r="AC46" s="13"/>
      <c r="AD46" s="13"/>
      <c r="AE46" s="13"/>
    </row>
    <row r="47" spans="1:31" x14ac:dyDescent="0.25">
      <c r="A47" s="13"/>
      <c r="B47" s="61" t="str">
        <f t="shared" ca="1" si="7"/>
        <v/>
      </c>
      <c r="C47" s="75" t="str">
        <f t="shared" ca="1" si="8"/>
        <v/>
      </c>
      <c r="D47" s="76" t="str">
        <f t="shared" ca="1" si="9"/>
        <v/>
      </c>
      <c r="E47" s="77" t="str">
        <f t="shared" ca="1" si="10"/>
        <v/>
      </c>
      <c r="F47" s="66" t="str">
        <f t="shared" ca="1" si="11"/>
        <v/>
      </c>
      <c r="G47" s="66" t="str">
        <f t="shared" ca="1" si="12"/>
        <v/>
      </c>
      <c r="H47" s="67" t="str">
        <f t="shared" ca="1" si="13"/>
        <v/>
      </c>
      <c r="I47" s="68">
        <f t="shared" ca="1" si="4"/>
        <v>0</v>
      </c>
      <c r="J47" s="68">
        <f t="shared" ca="1" si="5"/>
        <v>0</v>
      </c>
      <c r="K47" s="69">
        <f t="shared" ca="1" si="6"/>
        <v>0</v>
      </c>
      <c r="L47" s="70"/>
      <c r="M47" s="71">
        <f ca="1">IF($C47="",0,
I47*Decrements!D42+(M46-N46-O46)*(1+G46))</f>
        <v>0</v>
      </c>
      <c r="N47" s="72">
        <f ca="1">K47*'1.a Assumptions'!$B$13*Decrements!E42</f>
        <v>0</v>
      </c>
      <c r="O47" s="72">
        <f ca="1">J48*(Decrements!F42+Decrements!G42)</f>
        <v>0</v>
      </c>
      <c r="P47" s="72">
        <f ca="1">M47-J48*Decrements!D42</f>
        <v>0</v>
      </c>
      <c r="Q47" s="142"/>
      <c r="R47" s="13"/>
      <c r="S47" s="13"/>
      <c r="T47" s="13"/>
      <c r="U47" s="13"/>
      <c r="V47" s="73" t="str">
        <f t="shared" ca="1" si="2"/>
        <v/>
      </c>
      <c r="W47" s="74" t="str">
        <f t="shared" ca="1" si="3"/>
        <v/>
      </c>
      <c r="X47" s="13"/>
      <c r="Y47" s="13"/>
      <c r="Z47" s="13"/>
      <c r="AA47" s="13"/>
      <c r="AB47" s="13"/>
      <c r="AC47" s="13"/>
      <c r="AD47" s="13"/>
      <c r="AE47" s="13"/>
    </row>
    <row r="48" spans="1:31" x14ac:dyDescent="0.25">
      <c r="A48" s="13"/>
      <c r="B48" s="61" t="str">
        <f t="shared" ca="1" si="7"/>
        <v/>
      </c>
      <c r="C48" s="75" t="str">
        <f t="shared" ca="1" si="8"/>
        <v/>
      </c>
      <c r="D48" s="76" t="str">
        <f t="shared" ca="1" si="9"/>
        <v/>
      </c>
      <c r="E48" s="77" t="str">
        <f t="shared" ca="1" si="10"/>
        <v/>
      </c>
      <c r="F48" s="66" t="str">
        <f t="shared" ca="1" si="11"/>
        <v/>
      </c>
      <c r="G48" s="66" t="str">
        <f t="shared" ca="1" si="12"/>
        <v/>
      </c>
      <c r="H48" s="67" t="str">
        <f t="shared" ca="1" si="13"/>
        <v/>
      </c>
      <c r="I48" s="68">
        <f t="shared" ca="1" si="4"/>
        <v>0</v>
      </c>
      <c r="J48" s="68">
        <f t="shared" ca="1" si="5"/>
        <v>0</v>
      </c>
      <c r="K48" s="69">
        <f t="shared" ca="1" si="6"/>
        <v>0</v>
      </c>
      <c r="L48" s="70"/>
      <c r="M48" s="71">
        <f ca="1">IF($C48="",0,
I48*Decrements!D43+(M47-N47-O47)*(1+G47))</f>
        <v>0</v>
      </c>
      <c r="N48" s="72">
        <f ca="1">K48*'1.a Assumptions'!$B$13*Decrements!E43</f>
        <v>0</v>
      </c>
      <c r="O48" s="72">
        <f ca="1">J49*(Decrements!F43+Decrements!G43)</f>
        <v>0</v>
      </c>
      <c r="P48" s="72">
        <f ca="1">M48-J49*Decrements!D43</f>
        <v>0</v>
      </c>
      <c r="Q48" s="142"/>
      <c r="R48" s="13"/>
      <c r="S48" s="13"/>
      <c r="T48" s="13"/>
      <c r="U48" s="13"/>
      <c r="V48" s="73" t="str">
        <f t="shared" ref="V48:V79" ca="1" si="14">IF($C49="","",J49-J48*(1+i))</f>
        <v/>
      </c>
      <c r="W48" s="74" t="str">
        <f t="shared" ref="W48:W79" ca="1" si="15">IFERROR(V48-I48,"")</f>
        <v/>
      </c>
      <c r="X48" s="13"/>
      <c r="Y48" s="13"/>
      <c r="Z48" s="13"/>
      <c r="AA48" s="13"/>
      <c r="AB48" s="13"/>
      <c r="AC48" s="13"/>
      <c r="AD48" s="13"/>
      <c r="AE48" s="13"/>
    </row>
    <row r="49" spans="1:31" x14ac:dyDescent="0.25">
      <c r="A49" s="13"/>
      <c r="B49" s="61" t="str">
        <f t="shared" ca="1" si="7"/>
        <v/>
      </c>
      <c r="C49" s="75" t="str">
        <f t="shared" ca="1" si="8"/>
        <v/>
      </c>
      <c r="D49" s="76" t="str">
        <f t="shared" ca="1" si="9"/>
        <v/>
      </c>
      <c r="E49" s="77" t="str">
        <f t="shared" ca="1" si="10"/>
        <v/>
      </c>
      <c r="F49" s="66" t="str">
        <f t="shared" ca="1" si="11"/>
        <v/>
      </c>
      <c r="G49" s="66" t="str">
        <f t="shared" ca="1" si="12"/>
        <v/>
      </c>
      <c r="H49" s="67" t="str">
        <f t="shared" ca="1" si="13"/>
        <v/>
      </c>
      <c r="I49" s="68">
        <f t="shared" ca="1" si="4"/>
        <v>0</v>
      </c>
      <c r="J49" s="68">
        <f t="shared" ca="1" si="5"/>
        <v>0</v>
      </c>
      <c r="K49" s="69">
        <f t="shared" ca="1" si="6"/>
        <v>0</v>
      </c>
      <c r="L49" s="70"/>
      <c r="M49" s="71">
        <f ca="1">IF($C49="",0,
I49*Decrements!D44+(M48-N48-O48)*(1+G48))</f>
        <v>0</v>
      </c>
      <c r="N49" s="72">
        <f ca="1">K49*'1.a Assumptions'!$B$13*Decrements!E44</f>
        <v>0</v>
      </c>
      <c r="O49" s="72">
        <f ca="1">J50*(Decrements!F44+Decrements!G44)</f>
        <v>0</v>
      </c>
      <c r="P49" s="72">
        <f ca="1">M49-J50*Decrements!D44</f>
        <v>0</v>
      </c>
      <c r="Q49" s="142"/>
      <c r="R49" s="13"/>
      <c r="S49" s="13"/>
      <c r="T49" s="13"/>
      <c r="U49" s="13"/>
      <c r="V49" s="73" t="str">
        <f t="shared" ca="1" si="14"/>
        <v/>
      </c>
      <c r="W49" s="74" t="str">
        <f t="shared" ca="1" si="15"/>
        <v/>
      </c>
      <c r="X49" s="13"/>
      <c r="Y49" s="13"/>
      <c r="Z49" s="13"/>
      <c r="AA49" s="13"/>
      <c r="AB49" s="13"/>
      <c r="AC49" s="13"/>
      <c r="AD49" s="13"/>
      <c r="AE49" s="13"/>
    </row>
    <row r="50" spans="1:31" x14ac:dyDescent="0.25">
      <c r="A50" s="13"/>
      <c r="B50" s="61" t="str">
        <f t="shared" ca="1" si="7"/>
        <v/>
      </c>
      <c r="C50" s="75" t="str">
        <f t="shared" ca="1" si="8"/>
        <v/>
      </c>
      <c r="D50" s="76" t="str">
        <f t="shared" ca="1" si="9"/>
        <v/>
      </c>
      <c r="E50" s="77" t="str">
        <f t="shared" ca="1" si="10"/>
        <v/>
      </c>
      <c r="F50" s="66" t="str">
        <f t="shared" ca="1" si="11"/>
        <v/>
      </c>
      <c r="G50" s="66" t="str">
        <f t="shared" ca="1" si="12"/>
        <v/>
      </c>
      <c r="H50" s="67" t="str">
        <f t="shared" ca="1" si="13"/>
        <v/>
      </c>
      <c r="I50" s="68">
        <f t="shared" ca="1" si="4"/>
        <v>0</v>
      </c>
      <c r="J50" s="68">
        <f t="shared" ca="1" si="5"/>
        <v>0</v>
      </c>
      <c r="K50" s="69">
        <f t="shared" ca="1" si="6"/>
        <v>0</v>
      </c>
      <c r="L50" s="70"/>
      <c r="M50" s="71">
        <f ca="1">IF($C50="",0,
I50*Decrements!D45+(M49-N49-O49)*(1+G49))</f>
        <v>0</v>
      </c>
      <c r="N50" s="72">
        <f ca="1">K50*'1.a Assumptions'!$B$13*Decrements!E45</f>
        <v>0</v>
      </c>
      <c r="O50" s="72">
        <f ca="1">J51*(Decrements!F45+Decrements!G45)</f>
        <v>0</v>
      </c>
      <c r="P50" s="72">
        <f ca="1">M50-J51*Decrements!D45</f>
        <v>0</v>
      </c>
      <c r="Q50" s="142"/>
      <c r="R50" s="13"/>
      <c r="S50" s="13"/>
      <c r="T50" s="13"/>
      <c r="U50" s="13"/>
      <c r="V50" s="73" t="str">
        <f t="shared" ca="1" si="14"/>
        <v/>
      </c>
      <c r="W50" s="74" t="str">
        <f t="shared" ca="1" si="15"/>
        <v/>
      </c>
      <c r="X50" s="13"/>
      <c r="Y50" s="13"/>
      <c r="Z50" s="13"/>
      <c r="AA50" s="13"/>
      <c r="AB50" s="13"/>
      <c r="AC50" s="13"/>
      <c r="AD50" s="13"/>
      <c r="AE50" s="13"/>
    </row>
    <row r="51" spans="1:31" x14ac:dyDescent="0.25">
      <c r="A51" s="13"/>
      <c r="B51" s="61" t="str">
        <f t="shared" ca="1" si="7"/>
        <v/>
      </c>
      <c r="C51" s="75" t="str">
        <f t="shared" ca="1" si="8"/>
        <v/>
      </c>
      <c r="D51" s="76" t="str">
        <f t="shared" ca="1" si="9"/>
        <v/>
      </c>
      <c r="E51" s="77" t="str">
        <f t="shared" ca="1" si="10"/>
        <v/>
      </c>
      <c r="F51" s="66" t="str">
        <f t="shared" ca="1" si="11"/>
        <v/>
      </c>
      <c r="G51" s="66" t="str">
        <f t="shared" ca="1" si="12"/>
        <v/>
      </c>
      <c r="H51" s="67" t="str">
        <f t="shared" ca="1" si="13"/>
        <v/>
      </c>
      <c r="I51" s="68">
        <f t="shared" ca="1" si="4"/>
        <v>0</v>
      </c>
      <c r="J51" s="68">
        <f t="shared" ca="1" si="5"/>
        <v>0</v>
      </c>
      <c r="K51" s="69">
        <f t="shared" ca="1" si="6"/>
        <v>0</v>
      </c>
      <c r="L51" s="70"/>
      <c r="M51" s="71">
        <f ca="1">IF($C51="",0,
I51*Decrements!D46+(M50-N50-O50)*(1+G50))</f>
        <v>0</v>
      </c>
      <c r="N51" s="72">
        <f ca="1">K51*'1.a Assumptions'!$B$13*Decrements!E46</f>
        <v>0</v>
      </c>
      <c r="O51" s="72">
        <f ca="1">J52*(Decrements!F46+Decrements!G46)</f>
        <v>0</v>
      </c>
      <c r="P51" s="72">
        <f ca="1">M51-J52*Decrements!D46</f>
        <v>0</v>
      </c>
      <c r="Q51" s="142"/>
      <c r="R51" s="13"/>
      <c r="S51" s="13"/>
      <c r="T51" s="13"/>
      <c r="U51" s="13"/>
      <c r="V51" s="73" t="str">
        <f t="shared" ca="1" si="14"/>
        <v/>
      </c>
      <c r="W51" s="74" t="str">
        <f t="shared" ca="1" si="15"/>
        <v/>
      </c>
      <c r="X51" s="13"/>
      <c r="Y51" s="13"/>
      <c r="Z51" s="13"/>
      <c r="AA51" s="13"/>
      <c r="AB51" s="13"/>
      <c r="AC51" s="13"/>
      <c r="AD51" s="13"/>
      <c r="AE51" s="13"/>
    </row>
    <row r="52" spans="1:31" x14ac:dyDescent="0.25">
      <c r="A52" s="13"/>
      <c r="B52" s="61" t="str">
        <f t="shared" ca="1" si="7"/>
        <v/>
      </c>
      <c r="C52" s="75" t="str">
        <f t="shared" ca="1" si="8"/>
        <v/>
      </c>
      <c r="D52" s="76" t="str">
        <f t="shared" ca="1" si="9"/>
        <v/>
      </c>
      <c r="E52" s="77" t="str">
        <f t="shared" ca="1" si="10"/>
        <v/>
      </c>
      <c r="F52" s="66" t="str">
        <f t="shared" ca="1" si="11"/>
        <v/>
      </c>
      <c r="G52" s="66" t="str">
        <f t="shared" ca="1" si="12"/>
        <v/>
      </c>
      <c r="H52" s="67" t="str">
        <f t="shared" ca="1" si="13"/>
        <v/>
      </c>
      <c r="I52" s="68">
        <f t="shared" ca="1" si="4"/>
        <v>0</v>
      </c>
      <c r="J52" s="68">
        <f t="shared" ca="1" si="5"/>
        <v>0</v>
      </c>
      <c r="K52" s="69">
        <f t="shared" ca="1" si="6"/>
        <v>0</v>
      </c>
      <c r="L52" s="70"/>
      <c r="M52" s="71">
        <f ca="1">IF($C52="",0,
I52*Decrements!D47+(M51-N51-O51)*(1+G51))</f>
        <v>0</v>
      </c>
      <c r="N52" s="72">
        <f ca="1">K52*'1.a Assumptions'!$B$13*Decrements!E47</f>
        <v>0</v>
      </c>
      <c r="O52" s="72">
        <f ca="1">J53*(Decrements!F47+Decrements!G47)</f>
        <v>0</v>
      </c>
      <c r="P52" s="72">
        <f ca="1">M52-J53*Decrements!D47</f>
        <v>0</v>
      </c>
      <c r="Q52" s="142"/>
      <c r="R52" s="13"/>
      <c r="S52" s="13"/>
      <c r="T52" s="13"/>
      <c r="U52" s="13"/>
      <c r="V52" s="73" t="str">
        <f t="shared" ca="1" si="14"/>
        <v/>
      </c>
      <c r="W52" s="74" t="str">
        <f t="shared" ca="1" si="15"/>
        <v/>
      </c>
      <c r="X52" s="13"/>
      <c r="Y52" s="13"/>
      <c r="Z52" s="13"/>
      <c r="AA52" s="13"/>
      <c r="AB52" s="13"/>
      <c r="AC52" s="13"/>
      <c r="AD52" s="13"/>
      <c r="AE52" s="13"/>
    </row>
    <row r="53" spans="1:31" x14ac:dyDescent="0.25">
      <c r="A53" s="13"/>
      <c r="B53" s="61" t="str">
        <f t="shared" ca="1" si="7"/>
        <v/>
      </c>
      <c r="C53" s="75" t="str">
        <f t="shared" ca="1" si="8"/>
        <v/>
      </c>
      <c r="D53" s="76" t="str">
        <f t="shared" ca="1" si="9"/>
        <v/>
      </c>
      <c r="E53" s="77" t="str">
        <f t="shared" ca="1" si="10"/>
        <v/>
      </c>
      <c r="F53" s="66" t="str">
        <f t="shared" ca="1" si="11"/>
        <v/>
      </c>
      <c r="G53" s="66" t="str">
        <f t="shared" ca="1" si="12"/>
        <v/>
      </c>
      <c r="H53" s="67" t="str">
        <f t="shared" ca="1" si="13"/>
        <v/>
      </c>
      <c r="I53" s="68">
        <f t="shared" ca="1" si="4"/>
        <v>0</v>
      </c>
      <c r="J53" s="68">
        <f t="shared" ca="1" si="5"/>
        <v>0</v>
      </c>
      <c r="K53" s="69">
        <f t="shared" ca="1" si="6"/>
        <v>0</v>
      </c>
      <c r="L53" s="70"/>
      <c r="M53" s="71">
        <f ca="1">IF($C53="",0,
I53*Decrements!D48+(M52-N52-O52)*(1+G52))</f>
        <v>0</v>
      </c>
      <c r="N53" s="72">
        <f ca="1">K53*'1.a Assumptions'!$B$13*Decrements!E48</f>
        <v>0</v>
      </c>
      <c r="O53" s="72">
        <f ca="1">J54*(Decrements!F48+Decrements!G48)</f>
        <v>0</v>
      </c>
      <c r="P53" s="72">
        <f ca="1">M53-J54*Decrements!D48</f>
        <v>0</v>
      </c>
      <c r="Q53" s="142"/>
      <c r="R53" s="13"/>
      <c r="S53" s="13"/>
      <c r="T53" s="13"/>
      <c r="U53" s="13"/>
      <c r="V53" s="73" t="str">
        <f t="shared" ca="1" si="14"/>
        <v/>
      </c>
      <c r="W53" s="74" t="str">
        <f t="shared" ca="1" si="15"/>
        <v/>
      </c>
      <c r="X53" s="13"/>
      <c r="Y53" s="13"/>
      <c r="Z53" s="13"/>
      <c r="AA53" s="13"/>
      <c r="AB53" s="13"/>
      <c r="AC53" s="13"/>
      <c r="AD53" s="13"/>
      <c r="AE53" s="13"/>
    </row>
    <row r="54" spans="1:31" x14ac:dyDescent="0.25">
      <c r="A54" s="13"/>
      <c r="B54" s="61" t="str">
        <f t="shared" ca="1" si="7"/>
        <v/>
      </c>
      <c r="C54" s="75" t="str">
        <f t="shared" ca="1" si="8"/>
        <v/>
      </c>
      <c r="D54" s="76" t="str">
        <f t="shared" ca="1" si="9"/>
        <v/>
      </c>
      <c r="E54" s="77" t="str">
        <f t="shared" ca="1" si="10"/>
        <v/>
      </c>
      <c r="F54" s="66" t="str">
        <f t="shared" ca="1" si="11"/>
        <v/>
      </c>
      <c r="G54" s="66" t="str">
        <f t="shared" ca="1" si="12"/>
        <v/>
      </c>
      <c r="H54" s="67" t="str">
        <f t="shared" ca="1" si="13"/>
        <v/>
      </c>
      <c r="I54" s="68">
        <f t="shared" ca="1" si="4"/>
        <v>0</v>
      </c>
      <c r="J54" s="68">
        <f t="shared" ca="1" si="5"/>
        <v>0</v>
      </c>
      <c r="K54" s="69">
        <f t="shared" ca="1" si="6"/>
        <v>0</v>
      </c>
      <c r="L54" s="70"/>
      <c r="M54" s="71">
        <f ca="1">IF($C54="",0,
I54*Decrements!D49+(M53-N53-O53)*(1+G53))</f>
        <v>0</v>
      </c>
      <c r="N54" s="72">
        <f ca="1">K54*'1.a Assumptions'!$B$13*Decrements!E49</f>
        <v>0</v>
      </c>
      <c r="O54" s="72">
        <f ca="1">J55*(Decrements!F49+Decrements!G49)</f>
        <v>0</v>
      </c>
      <c r="P54" s="72">
        <f ca="1">M54-J55*Decrements!D49</f>
        <v>0</v>
      </c>
      <c r="Q54" s="142"/>
      <c r="R54" s="13"/>
      <c r="S54" s="13"/>
      <c r="T54" s="13"/>
      <c r="U54" s="13"/>
      <c r="V54" s="73" t="str">
        <f t="shared" ca="1" si="14"/>
        <v/>
      </c>
      <c r="W54" s="74" t="str">
        <f t="shared" ca="1" si="15"/>
        <v/>
      </c>
      <c r="X54" s="13"/>
      <c r="Y54" s="13"/>
      <c r="Z54" s="13"/>
      <c r="AA54" s="13"/>
      <c r="AB54" s="13"/>
      <c r="AC54" s="13"/>
      <c r="AD54" s="13"/>
      <c r="AE54" s="13"/>
    </row>
    <row r="55" spans="1:31" x14ac:dyDescent="0.25">
      <c r="A55" s="13"/>
      <c r="B55" s="61" t="str">
        <f t="shared" ca="1" si="7"/>
        <v/>
      </c>
      <c r="C55" s="75" t="str">
        <f t="shared" ca="1" si="8"/>
        <v/>
      </c>
      <c r="D55" s="76" t="str">
        <f t="shared" ca="1" si="9"/>
        <v/>
      </c>
      <c r="E55" s="77" t="str">
        <f t="shared" ca="1" si="10"/>
        <v/>
      </c>
      <c r="F55" s="66" t="str">
        <f t="shared" ca="1" si="11"/>
        <v/>
      </c>
      <c r="G55" s="66" t="str">
        <f t="shared" ca="1" si="12"/>
        <v/>
      </c>
      <c r="H55" s="67" t="str">
        <f t="shared" ca="1" si="13"/>
        <v/>
      </c>
      <c r="I55" s="68">
        <f t="shared" ca="1" si="4"/>
        <v>0</v>
      </c>
      <c r="J55" s="68">
        <f t="shared" ca="1" si="5"/>
        <v>0</v>
      </c>
      <c r="K55" s="69">
        <f t="shared" ca="1" si="6"/>
        <v>0</v>
      </c>
      <c r="L55" s="70"/>
      <c r="M55" s="71">
        <f ca="1">IF($C55="",0,
I55*Decrements!D50+(M54-N54-O54)*(1+G54))</f>
        <v>0</v>
      </c>
      <c r="N55" s="72">
        <f ca="1">K55*'1.a Assumptions'!$B$13*Decrements!E50</f>
        <v>0</v>
      </c>
      <c r="O55" s="72">
        <f ca="1">J56*(Decrements!F50+Decrements!G50)</f>
        <v>0</v>
      </c>
      <c r="P55" s="72">
        <f ca="1">M55-J56*Decrements!D50</f>
        <v>0</v>
      </c>
      <c r="Q55" s="142"/>
      <c r="R55" s="13"/>
      <c r="S55" s="13"/>
      <c r="T55" s="13"/>
      <c r="U55" s="13"/>
      <c r="V55" s="73" t="str">
        <f t="shared" ca="1" si="14"/>
        <v/>
      </c>
      <c r="W55" s="74" t="str">
        <f t="shared" ca="1" si="15"/>
        <v/>
      </c>
      <c r="X55" s="13"/>
      <c r="Y55" s="13"/>
      <c r="Z55" s="13"/>
      <c r="AA55" s="13"/>
      <c r="AB55" s="13"/>
      <c r="AC55" s="13"/>
      <c r="AD55" s="13"/>
      <c r="AE55" s="13"/>
    </row>
    <row r="56" spans="1:31" x14ac:dyDescent="0.25">
      <c r="A56" s="13"/>
      <c r="B56" s="61" t="str">
        <f t="shared" ca="1" si="7"/>
        <v/>
      </c>
      <c r="C56" s="75" t="str">
        <f t="shared" ca="1" si="8"/>
        <v/>
      </c>
      <c r="D56" s="76" t="str">
        <f t="shared" ca="1" si="9"/>
        <v/>
      </c>
      <c r="E56" s="77" t="str">
        <f t="shared" ca="1" si="10"/>
        <v/>
      </c>
      <c r="F56" s="66" t="str">
        <f t="shared" ca="1" si="11"/>
        <v/>
      </c>
      <c r="G56" s="66" t="str">
        <f t="shared" ca="1" si="12"/>
        <v/>
      </c>
      <c r="H56" s="67" t="str">
        <f t="shared" ca="1" si="13"/>
        <v/>
      </c>
      <c r="I56" s="68">
        <f t="shared" ca="1" si="4"/>
        <v>0</v>
      </c>
      <c r="J56" s="68">
        <f t="shared" ca="1" si="5"/>
        <v>0</v>
      </c>
      <c r="K56" s="69">
        <f t="shared" ca="1" si="6"/>
        <v>0</v>
      </c>
      <c r="L56" s="70"/>
      <c r="M56" s="71">
        <f ca="1">IF($C56="",0,
I56*Decrements!D51+(M55-N55-O55)*(1+G55))</f>
        <v>0</v>
      </c>
      <c r="N56" s="72">
        <f ca="1">K56*'1.a Assumptions'!$B$13*Decrements!E51</f>
        <v>0</v>
      </c>
      <c r="O56" s="72">
        <f ca="1">J57*(Decrements!F51+Decrements!G51)</f>
        <v>0</v>
      </c>
      <c r="P56" s="72">
        <f ca="1">M56-J57*Decrements!D51</f>
        <v>0</v>
      </c>
      <c r="Q56" s="142"/>
      <c r="R56" s="13"/>
      <c r="S56" s="13"/>
      <c r="T56" s="13"/>
      <c r="U56" s="13"/>
      <c r="V56" s="73" t="str">
        <f t="shared" ca="1" si="14"/>
        <v/>
      </c>
      <c r="W56" s="74" t="str">
        <f t="shared" ca="1" si="15"/>
        <v/>
      </c>
      <c r="X56" s="13"/>
      <c r="Y56" s="13"/>
      <c r="Z56" s="13"/>
      <c r="AA56" s="13"/>
      <c r="AB56" s="13"/>
      <c r="AC56" s="13"/>
      <c r="AD56" s="13"/>
      <c r="AE56" s="13"/>
    </row>
    <row r="57" spans="1:31" x14ac:dyDescent="0.25">
      <c r="A57" s="13"/>
      <c r="B57" s="61" t="str">
        <f t="shared" ca="1" si="7"/>
        <v/>
      </c>
      <c r="C57" s="75" t="str">
        <f t="shared" ca="1" si="8"/>
        <v/>
      </c>
      <c r="D57" s="76" t="str">
        <f t="shared" ca="1" si="9"/>
        <v/>
      </c>
      <c r="E57" s="77" t="str">
        <f t="shared" ca="1" si="10"/>
        <v/>
      </c>
      <c r="F57" s="66" t="str">
        <f t="shared" ca="1" si="11"/>
        <v/>
      </c>
      <c r="G57" s="66" t="str">
        <f t="shared" ca="1" si="12"/>
        <v/>
      </c>
      <c r="H57" s="67" t="str">
        <f t="shared" ca="1" si="13"/>
        <v/>
      </c>
      <c r="I57" s="68">
        <f t="shared" ca="1" si="4"/>
        <v>0</v>
      </c>
      <c r="J57" s="68">
        <f t="shared" ca="1" si="5"/>
        <v>0</v>
      </c>
      <c r="K57" s="69">
        <f t="shared" ca="1" si="6"/>
        <v>0</v>
      </c>
      <c r="L57" s="70"/>
      <c r="M57" s="71">
        <f ca="1">IF($C57="",0,
I57*Decrements!D52+(M56-N56-O56)*(1+G56))</f>
        <v>0</v>
      </c>
      <c r="N57" s="72">
        <f ca="1">K57*'1.a Assumptions'!$B$13*Decrements!E52</f>
        <v>0</v>
      </c>
      <c r="O57" s="72">
        <f ca="1">J58*(Decrements!F52+Decrements!G52)</f>
        <v>0</v>
      </c>
      <c r="P57" s="72">
        <f ca="1">M57-J58*Decrements!D52</f>
        <v>0</v>
      </c>
      <c r="Q57" s="142"/>
      <c r="R57" s="13"/>
      <c r="S57" s="13"/>
      <c r="T57" s="13"/>
      <c r="U57" s="13"/>
      <c r="V57" s="73" t="str">
        <f t="shared" ca="1" si="14"/>
        <v/>
      </c>
      <c r="W57" s="74" t="str">
        <f t="shared" ca="1" si="15"/>
        <v/>
      </c>
      <c r="X57" s="13"/>
      <c r="Y57" s="13"/>
      <c r="Z57" s="13"/>
      <c r="AA57" s="13"/>
      <c r="AB57" s="13"/>
      <c r="AC57" s="13"/>
      <c r="AD57" s="13"/>
      <c r="AE57" s="13"/>
    </row>
    <row r="58" spans="1:31" x14ac:dyDescent="0.25">
      <c r="A58" s="13"/>
      <c r="B58" s="61" t="str">
        <f t="shared" ca="1" si="7"/>
        <v/>
      </c>
      <c r="C58" s="75" t="str">
        <f t="shared" ca="1" si="8"/>
        <v/>
      </c>
      <c r="D58" s="76" t="str">
        <f t="shared" ca="1" si="9"/>
        <v/>
      </c>
      <c r="E58" s="77" t="str">
        <f t="shared" ca="1" si="10"/>
        <v/>
      </c>
      <c r="F58" s="66" t="str">
        <f t="shared" ca="1" si="11"/>
        <v/>
      </c>
      <c r="G58" s="66" t="str">
        <f t="shared" ca="1" si="12"/>
        <v/>
      </c>
      <c r="H58" s="67" t="str">
        <f t="shared" ca="1" si="13"/>
        <v/>
      </c>
      <c r="I58" s="68">
        <f t="shared" ca="1" si="4"/>
        <v>0</v>
      </c>
      <c r="J58" s="68">
        <f t="shared" ca="1" si="5"/>
        <v>0</v>
      </c>
      <c r="K58" s="69">
        <f t="shared" ca="1" si="6"/>
        <v>0</v>
      </c>
      <c r="L58" s="70"/>
      <c r="M58" s="71">
        <f ca="1">IF($C58="",0,
I58*Decrements!D53+(M57-N57-O57)*(1+G57))</f>
        <v>0</v>
      </c>
      <c r="N58" s="72">
        <f ca="1">K58*'1.a Assumptions'!$B$13*Decrements!E53</f>
        <v>0</v>
      </c>
      <c r="O58" s="72">
        <f ca="1">J59*(Decrements!F53+Decrements!G53)</f>
        <v>0</v>
      </c>
      <c r="P58" s="72">
        <f ca="1">M58-J59*Decrements!D53</f>
        <v>0</v>
      </c>
      <c r="Q58" s="142"/>
      <c r="R58" s="13"/>
      <c r="S58" s="13"/>
      <c r="T58" s="13"/>
      <c r="U58" s="13"/>
      <c r="V58" s="73" t="str">
        <f t="shared" ca="1" si="14"/>
        <v/>
      </c>
      <c r="W58" s="74" t="str">
        <f t="shared" ca="1" si="15"/>
        <v/>
      </c>
      <c r="X58" s="13"/>
      <c r="Y58" s="13"/>
      <c r="Z58" s="13"/>
      <c r="AA58" s="13"/>
      <c r="AB58" s="13"/>
      <c r="AC58" s="13"/>
      <c r="AD58" s="13"/>
      <c r="AE58" s="13"/>
    </row>
    <row r="59" spans="1:31" x14ac:dyDescent="0.25">
      <c r="A59" s="13"/>
      <c r="B59" s="61" t="str">
        <f t="shared" ca="1" si="7"/>
        <v/>
      </c>
      <c r="C59" s="75" t="str">
        <f t="shared" ca="1" si="8"/>
        <v/>
      </c>
      <c r="D59" s="76" t="str">
        <f t="shared" ca="1" si="9"/>
        <v/>
      </c>
      <c r="E59" s="77" t="str">
        <f t="shared" ca="1" si="10"/>
        <v/>
      </c>
      <c r="F59" s="66" t="str">
        <f t="shared" ca="1" si="11"/>
        <v/>
      </c>
      <c r="G59" s="66" t="str">
        <f t="shared" ca="1" si="12"/>
        <v/>
      </c>
      <c r="H59" s="67" t="str">
        <f t="shared" ca="1" si="13"/>
        <v/>
      </c>
      <c r="I59" s="68">
        <f t="shared" ca="1" si="4"/>
        <v>0</v>
      </c>
      <c r="J59" s="68">
        <f t="shared" ca="1" si="5"/>
        <v>0</v>
      </c>
      <c r="K59" s="69">
        <f t="shared" ca="1" si="6"/>
        <v>0</v>
      </c>
      <c r="L59" s="70"/>
      <c r="M59" s="71">
        <f ca="1">IF($C59="",0,
I59*Decrements!D54+(M58-N58-O58)*(1+G58))</f>
        <v>0</v>
      </c>
      <c r="N59" s="72">
        <f ca="1">K59*'1.a Assumptions'!$B$13*Decrements!E54</f>
        <v>0</v>
      </c>
      <c r="O59" s="72">
        <f ca="1">J60*(Decrements!F54+Decrements!G54)</f>
        <v>0</v>
      </c>
      <c r="P59" s="72">
        <f ca="1">M59-J60*Decrements!D54</f>
        <v>0</v>
      </c>
      <c r="Q59" s="142"/>
      <c r="R59" s="13"/>
      <c r="S59" s="13"/>
      <c r="T59" s="13"/>
      <c r="U59" s="13"/>
      <c r="V59" s="73" t="str">
        <f t="shared" ca="1" si="14"/>
        <v/>
      </c>
      <c r="W59" s="74" t="str">
        <f t="shared" ca="1" si="15"/>
        <v/>
      </c>
      <c r="X59" s="13"/>
      <c r="Y59" s="13"/>
      <c r="Z59" s="13"/>
      <c r="AA59" s="13"/>
      <c r="AB59" s="13"/>
      <c r="AC59" s="13"/>
      <c r="AD59" s="13"/>
      <c r="AE59" s="13"/>
    </row>
    <row r="60" spans="1:31" x14ac:dyDescent="0.25">
      <c r="A60" s="13"/>
      <c r="B60" s="61" t="str">
        <f t="shared" ca="1" si="7"/>
        <v/>
      </c>
      <c r="C60" s="75" t="str">
        <f t="shared" ca="1" si="8"/>
        <v/>
      </c>
      <c r="D60" s="76" t="str">
        <f t="shared" ca="1" si="9"/>
        <v/>
      </c>
      <c r="E60" s="77" t="str">
        <f t="shared" ca="1" si="10"/>
        <v/>
      </c>
      <c r="F60" s="66" t="str">
        <f t="shared" ca="1" si="11"/>
        <v/>
      </c>
      <c r="G60" s="66" t="str">
        <f t="shared" ca="1" si="12"/>
        <v/>
      </c>
      <c r="H60" s="67" t="str">
        <f t="shared" ca="1" si="13"/>
        <v/>
      </c>
      <c r="I60" s="68">
        <f t="shared" ca="1" si="4"/>
        <v>0</v>
      </c>
      <c r="J60" s="68">
        <f t="shared" ca="1" si="5"/>
        <v>0</v>
      </c>
      <c r="K60" s="69">
        <f t="shared" ca="1" si="6"/>
        <v>0</v>
      </c>
      <c r="L60" s="70"/>
      <c r="M60" s="71">
        <f ca="1">IF($C60="",0,
I60*Decrements!D55+(M59-N59-O59)*(1+G59))</f>
        <v>0</v>
      </c>
      <c r="N60" s="72">
        <f ca="1">K60*'1.a Assumptions'!$B$13*Decrements!E55</f>
        <v>0</v>
      </c>
      <c r="O60" s="72">
        <f ca="1">J61*(Decrements!F55+Decrements!G55)</f>
        <v>0</v>
      </c>
      <c r="P60" s="72">
        <f ca="1">M60-J61*Decrements!D55</f>
        <v>0</v>
      </c>
      <c r="Q60" s="142"/>
      <c r="R60" s="13"/>
      <c r="S60" s="13"/>
      <c r="T60" s="13"/>
      <c r="U60" s="13"/>
      <c r="V60" s="73" t="str">
        <f t="shared" ca="1" si="14"/>
        <v/>
      </c>
      <c r="W60" s="74" t="str">
        <f t="shared" ca="1" si="15"/>
        <v/>
      </c>
      <c r="X60" s="13"/>
      <c r="Y60" s="13"/>
      <c r="Z60" s="13"/>
      <c r="AA60" s="13"/>
      <c r="AB60" s="13"/>
      <c r="AC60" s="13"/>
      <c r="AD60" s="13"/>
      <c r="AE60" s="13"/>
    </row>
    <row r="61" spans="1:31" x14ac:dyDescent="0.25">
      <c r="A61" s="13"/>
      <c r="B61" s="61" t="str">
        <f t="shared" ca="1" si="7"/>
        <v/>
      </c>
      <c r="C61" s="75" t="str">
        <f t="shared" ca="1" si="8"/>
        <v/>
      </c>
      <c r="D61" s="76" t="str">
        <f t="shared" ca="1" si="9"/>
        <v/>
      </c>
      <c r="E61" s="77" t="str">
        <f t="shared" ca="1" si="10"/>
        <v/>
      </c>
      <c r="F61" s="66" t="str">
        <f t="shared" ca="1" si="11"/>
        <v/>
      </c>
      <c r="G61" s="66" t="str">
        <f t="shared" ca="1" si="12"/>
        <v/>
      </c>
      <c r="H61" s="67" t="str">
        <f t="shared" ca="1" si="13"/>
        <v/>
      </c>
      <c r="I61" s="68">
        <f t="shared" ca="1" si="4"/>
        <v>0</v>
      </c>
      <c r="J61" s="68">
        <f t="shared" ca="1" si="5"/>
        <v>0</v>
      </c>
      <c r="K61" s="69">
        <f t="shared" ca="1" si="6"/>
        <v>0</v>
      </c>
      <c r="L61" s="70"/>
      <c r="M61" s="71">
        <f ca="1">IF($C61="",0,
I61*Decrements!D56+(M60-N60-O60)*(1+G60))</f>
        <v>0</v>
      </c>
      <c r="N61" s="72">
        <f ca="1">K61*'1.a Assumptions'!$B$13*Decrements!E56</f>
        <v>0</v>
      </c>
      <c r="O61" s="72">
        <f ca="1">J62*(Decrements!F56+Decrements!G56)</f>
        <v>0</v>
      </c>
      <c r="P61" s="72">
        <f ca="1">M61-J62*Decrements!D56</f>
        <v>0</v>
      </c>
      <c r="Q61" s="142"/>
      <c r="R61" s="13"/>
      <c r="S61" s="13"/>
      <c r="T61" s="13"/>
      <c r="U61" s="13"/>
      <c r="V61" s="73" t="str">
        <f t="shared" ca="1" si="14"/>
        <v/>
      </c>
      <c r="W61" s="74" t="str">
        <f t="shared" ca="1" si="15"/>
        <v/>
      </c>
      <c r="X61" s="13"/>
      <c r="Y61" s="13"/>
      <c r="Z61" s="13"/>
      <c r="AA61" s="13"/>
      <c r="AB61" s="13"/>
      <c r="AC61" s="13"/>
      <c r="AD61" s="13"/>
      <c r="AE61" s="13"/>
    </row>
    <row r="62" spans="1:31" x14ac:dyDescent="0.25">
      <c r="A62" s="13"/>
      <c r="B62" s="61" t="str">
        <f t="shared" ca="1" si="7"/>
        <v/>
      </c>
      <c r="C62" s="75" t="str">
        <f t="shared" ca="1" si="8"/>
        <v/>
      </c>
      <c r="D62" s="76" t="str">
        <f t="shared" ca="1" si="9"/>
        <v/>
      </c>
      <c r="E62" s="77" t="str">
        <f t="shared" ca="1" si="10"/>
        <v/>
      </c>
      <c r="F62" s="66" t="str">
        <f t="shared" ca="1" si="11"/>
        <v/>
      </c>
      <c r="G62" s="66" t="str">
        <f t="shared" ca="1" si="12"/>
        <v/>
      </c>
      <c r="H62" s="67" t="str">
        <f t="shared" ca="1" si="13"/>
        <v/>
      </c>
      <c r="I62" s="68">
        <f t="shared" ca="1" si="4"/>
        <v>0</v>
      </c>
      <c r="J62" s="68">
        <f t="shared" ca="1" si="5"/>
        <v>0</v>
      </c>
      <c r="K62" s="69">
        <f t="shared" ca="1" si="6"/>
        <v>0</v>
      </c>
      <c r="L62" s="70"/>
      <c r="M62" s="71">
        <f ca="1">IF($C62="",0,
I62*Decrements!D57+(M61-N61-O61)*(1+G61))</f>
        <v>0</v>
      </c>
      <c r="N62" s="72">
        <f ca="1">K62*'1.a Assumptions'!$B$13*Decrements!E57</f>
        <v>0</v>
      </c>
      <c r="O62" s="72">
        <f ca="1">J63*(Decrements!F57+Decrements!G57)</f>
        <v>0</v>
      </c>
      <c r="P62" s="72">
        <f ca="1">M62-J63*Decrements!D57</f>
        <v>0</v>
      </c>
      <c r="Q62" s="142"/>
      <c r="R62" s="13"/>
      <c r="S62" s="13"/>
      <c r="T62" s="13"/>
      <c r="U62" s="13"/>
      <c r="V62" s="73" t="str">
        <f t="shared" ca="1" si="14"/>
        <v/>
      </c>
      <c r="W62" s="74" t="str">
        <f t="shared" ca="1" si="15"/>
        <v/>
      </c>
      <c r="X62" s="13"/>
      <c r="Y62" s="13"/>
      <c r="Z62" s="13"/>
      <c r="AA62" s="13"/>
      <c r="AB62" s="13"/>
      <c r="AC62" s="13"/>
      <c r="AD62" s="13"/>
      <c r="AE62" s="13"/>
    </row>
    <row r="63" spans="1:31" x14ac:dyDescent="0.25">
      <c r="A63" s="13"/>
      <c r="B63" s="61" t="str">
        <f t="shared" ca="1" si="7"/>
        <v/>
      </c>
      <c r="C63" s="75" t="str">
        <f t="shared" ca="1" si="8"/>
        <v/>
      </c>
      <c r="D63" s="76" t="str">
        <f t="shared" ca="1" si="9"/>
        <v/>
      </c>
      <c r="E63" s="77" t="str">
        <f t="shared" ca="1" si="10"/>
        <v/>
      </c>
      <c r="F63" s="66" t="str">
        <f t="shared" ca="1" si="11"/>
        <v/>
      </c>
      <c r="G63" s="66" t="str">
        <f t="shared" ca="1" si="12"/>
        <v/>
      </c>
      <c r="H63" s="67" t="str">
        <f t="shared" ca="1" si="13"/>
        <v/>
      </c>
      <c r="I63" s="68">
        <f t="shared" ca="1" si="4"/>
        <v>0</v>
      </c>
      <c r="J63" s="68">
        <f t="shared" ca="1" si="5"/>
        <v>0</v>
      </c>
      <c r="K63" s="69">
        <f t="shared" ca="1" si="6"/>
        <v>0</v>
      </c>
      <c r="L63" s="70"/>
      <c r="M63" s="71">
        <f ca="1">IF($C63="",0,
I63*Decrements!D58+(M62-N62-O62)*(1+G62))</f>
        <v>0</v>
      </c>
      <c r="N63" s="72">
        <f ca="1">K63*'1.a Assumptions'!$B$13*Decrements!E58</f>
        <v>0</v>
      </c>
      <c r="O63" s="72">
        <f ca="1">J64*(Decrements!F58+Decrements!G58)</f>
        <v>0</v>
      </c>
      <c r="P63" s="72">
        <f ca="1">M63-J64*Decrements!D58</f>
        <v>0</v>
      </c>
      <c r="Q63" s="142"/>
      <c r="R63" s="13"/>
      <c r="S63" s="13"/>
      <c r="T63" s="13"/>
      <c r="U63" s="13"/>
      <c r="V63" s="73" t="str">
        <f t="shared" ca="1" si="14"/>
        <v/>
      </c>
      <c r="W63" s="74" t="str">
        <f t="shared" ca="1" si="15"/>
        <v/>
      </c>
      <c r="X63" s="13"/>
      <c r="Y63" s="13"/>
      <c r="Z63" s="13"/>
      <c r="AA63" s="13"/>
      <c r="AB63" s="13"/>
      <c r="AC63" s="13"/>
      <c r="AD63" s="13"/>
      <c r="AE63" s="13"/>
    </row>
    <row r="64" spans="1:31" x14ac:dyDescent="0.25">
      <c r="A64" s="13"/>
      <c r="B64" s="61" t="str">
        <f t="shared" ref="B64:B71" ca="1" si="16">IF($C64="","",B63+1)</f>
        <v/>
      </c>
      <c r="C64" s="75" t="str">
        <f t="shared" ca="1" si="8"/>
        <v/>
      </c>
      <c r="D64" s="76" t="str">
        <f t="shared" ref="D64:D71" ca="1" si="17">IF($C64="","",D63)</f>
        <v/>
      </c>
      <c r="E64" s="77" t="str">
        <f t="shared" ca="1" si="10"/>
        <v/>
      </c>
      <c r="F64" s="66" t="str">
        <f t="shared" ref="F64:F71" ca="1" si="18">IF($C64="","",F63)</f>
        <v/>
      </c>
      <c r="G64" s="66" t="str">
        <f t="shared" ref="G64:G71" ca="1" si="19">IF($C64="","",G63)</f>
        <v/>
      </c>
      <c r="H64" s="67" t="str">
        <f t="shared" ca="1" si="13"/>
        <v/>
      </c>
      <c r="I64" s="68">
        <f t="shared" ca="1" si="4"/>
        <v>0</v>
      </c>
      <c r="J64" s="68">
        <f t="shared" ca="1" si="5"/>
        <v>0</v>
      </c>
      <c r="K64" s="69">
        <f t="shared" ca="1" si="6"/>
        <v>0</v>
      </c>
      <c r="L64" s="70"/>
      <c r="M64" s="71">
        <f ca="1">IF($C64="",0,
I64*Decrements!D59+(M63-N63-O63)*(1+G63))</f>
        <v>0</v>
      </c>
      <c r="N64" s="72">
        <f ca="1">K64*'1.a Assumptions'!$B$13*Decrements!E59</f>
        <v>0</v>
      </c>
      <c r="O64" s="72">
        <f ca="1">J65*(Decrements!F59+Decrements!G59)</f>
        <v>0</v>
      </c>
      <c r="P64" s="72">
        <f ca="1">M64-J65*Decrements!D59</f>
        <v>0</v>
      </c>
      <c r="Q64" s="142"/>
      <c r="R64" s="13"/>
      <c r="S64" s="13"/>
      <c r="T64" s="13"/>
      <c r="U64" s="13"/>
      <c r="V64" s="73" t="str">
        <f t="shared" ca="1" si="14"/>
        <v/>
      </c>
      <c r="W64" s="74" t="str">
        <f t="shared" ca="1" si="15"/>
        <v/>
      </c>
      <c r="X64" s="13"/>
      <c r="Y64" s="13"/>
      <c r="Z64" s="13"/>
      <c r="AA64" s="13"/>
      <c r="AB64" s="13"/>
      <c r="AC64" s="13"/>
      <c r="AD64" s="13"/>
      <c r="AE64" s="13"/>
    </row>
    <row r="65" spans="1:31" x14ac:dyDescent="0.25">
      <c r="A65" s="13"/>
      <c r="B65" s="61" t="str">
        <f t="shared" ca="1" si="16"/>
        <v/>
      </c>
      <c r="C65" s="75" t="str">
        <f t="shared" ca="1" si="8"/>
        <v/>
      </c>
      <c r="D65" s="76" t="str">
        <f t="shared" ca="1" si="17"/>
        <v/>
      </c>
      <c r="E65" s="77" t="str">
        <f t="shared" ca="1" si="10"/>
        <v/>
      </c>
      <c r="F65" s="66" t="str">
        <f t="shared" ca="1" si="18"/>
        <v/>
      </c>
      <c r="G65" s="66" t="str">
        <f t="shared" ca="1" si="19"/>
        <v/>
      </c>
      <c r="H65" s="67" t="str">
        <f t="shared" ca="1" si="13"/>
        <v/>
      </c>
      <c r="I65" s="68">
        <f t="shared" ca="1" si="4"/>
        <v>0</v>
      </c>
      <c r="J65" s="68">
        <f t="shared" ca="1" si="5"/>
        <v>0</v>
      </c>
      <c r="K65" s="69">
        <f t="shared" ca="1" si="6"/>
        <v>0</v>
      </c>
      <c r="L65" s="70"/>
      <c r="M65" s="71">
        <f ca="1">IF($C65="",0,
I65*Decrements!D60+(M64-N64-O64)*(1+G64))</f>
        <v>0</v>
      </c>
      <c r="N65" s="72">
        <f ca="1">K65*'1.a Assumptions'!$B$13*Decrements!E60</f>
        <v>0</v>
      </c>
      <c r="O65" s="72">
        <f ca="1">J66*(Decrements!F60+Decrements!G60)</f>
        <v>0</v>
      </c>
      <c r="P65" s="72">
        <f ca="1">M65-J66*Decrements!D60</f>
        <v>0</v>
      </c>
      <c r="Q65" s="142"/>
      <c r="R65" s="13"/>
      <c r="S65" s="13"/>
      <c r="T65" s="13"/>
      <c r="U65" s="13"/>
      <c r="V65" s="73" t="str">
        <f t="shared" ca="1" si="14"/>
        <v/>
      </c>
      <c r="W65" s="74" t="str">
        <f t="shared" ca="1" si="15"/>
        <v/>
      </c>
      <c r="X65" s="13"/>
      <c r="Y65" s="13"/>
      <c r="Z65" s="13"/>
      <c r="AA65" s="13"/>
      <c r="AB65" s="13"/>
      <c r="AC65" s="13"/>
      <c r="AD65" s="13"/>
      <c r="AE65" s="13"/>
    </row>
    <row r="66" spans="1:31" x14ac:dyDescent="0.25">
      <c r="A66" s="13"/>
      <c r="B66" s="61" t="str">
        <f t="shared" ca="1" si="16"/>
        <v/>
      </c>
      <c r="C66" s="75" t="str">
        <f t="shared" ca="1" si="8"/>
        <v/>
      </c>
      <c r="D66" s="76" t="str">
        <f t="shared" ca="1" si="17"/>
        <v/>
      </c>
      <c r="E66" s="77" t="str">
        <f t="shared" ca="1" si="10"/>
        <v/>
      </c>
      <c r="F66" s="66" t="str">
        <f t="shared" ca="1" si="18"/>
        <v/>
      </c>
      <c r="G66" s="66" t="str">
        <f t="shared" ca="1" si="19"/>
        <v/>
      </c>
      <c r="H66" s="67" t="str">
        <f t="shared" ca="1" si="13"/>
        <v/>
      </c>
      <c r="I66" s="68">
        <f t="shared" ca="1" si="4"/>
        <v>0</v>
      </c>
      <c r="J66" s="68">
        <f t="shared" ca="1" si="5"/>
        <v>0</v>
      </c>
      <c r="K66" s="69">
        <f t="shared" ca="1" si="6"/>
        <v>0</v>
      </c>
      <c r="L66" s="70"/>
      <c r="M66" s="71">
        <f ca="1">IF($C66="",0,
I66*Decrements!D61+(M65-N65-O65)*(1+G65))</f>
        <v>0</v>
      </c>
      <c r="N66" s="72">
        <f ca="1">K66*'1.a Assumptions'!$B$13*Decrements!E61</f>
        <v>0</v>
      </c>
      <c r="O66" s="72">
        <f ca="1">J67*(Decrements!F61+Decrements!G61)</f>
        <v>0</v>
      </c>
      <c r="P66" s="72">
        <f ca="1">M66-J67*Decrements!D61</f>
        <v>0</v>
      </c>
      <c r="Q66" s="142"/>
      <c r="R66" s="13"/>
      <c r="S66" s="13"/>
      <c r="T66" s="13"/>
      <c r="U66" s="13"/>
      <c r="V66" s="73" t="str">
        <f t="shared" ca="1" si="14"/>
        <v/>
      </c>
      <c r="W66" s="74" t="str">
        <f t="shared" ca="1" si="15"/>
        <v/>
      </c>
      <c r="X66" s="13"/>
      <c r="Y66" s="13"/>
      <c r="Z66" s="13"/>
      <c r="AA66" s="13"/>
      <c r="AB66" s="13"/>
      <c r="AC66" s="13"/>
      <c r="AD66" s="13"/>
      <c r="AE66" s="13"/>
    </row>
    <row r="67" spans="1:31" x14ac:dyDescent="0.25">
      <c r="A67" s="13"/>
      <c r="B67" s="61" t="str">
        <f t="shared" ca="1" si="16"/>
        <v/>
      </c>
      <c r="C67" s="75" t="str">
        <f t="shared" ca="1" si="8"/>
        <v/>
      </c>
      <c r="D67" s="76" t="str">
        <f t="shared" ca="1" si="17"/>
        <v/>
      </c>
      <c r="E67" s="77" t="str">
        <f t="shared" ca="1" si="10"/>
        <v/>
      </c>
      <c r="F67" s="66" t="str">
        <f t="shared" ca="1" si="18"/>
        <v/>
      </c>
      <c r="G67" s="66" t="str">
        <f t="shared" ca="1" si="19"/>
        <v/>
      </c>
      <c r="H67" s="67" t="str">
        <f t="shared" ca="1" si="13"/>
        <v/>
      </c>
      <c r="I67" s="68">
        <f t="shared" ca="1" si="4"/>
        <v>0</v>
      </c>
      <c r="J67" s="68">
        <f t="shared" ca="1" si="5"/>
        <v>0</v>
      </c>
      <c r="K67" s="69">
        <f t="shared" ca="1" si="6"/>
        <v>0</v>
      </c>
      <c r="L67" s="70"/>
      <c r="M67" s="71">
        <f ca="1">IF($C67="",0,
I67*Decrements!D62+(M66-N66-O66)*(1+G66))</f>
        <v>0</v>
      </c>
      <c r="N67" s="72">
        <f ca="1">K67*'1.a Assumptions'!$B$13*Decrements!E62</f>
        <v>0</v>
      </c>
      <c r="O67" s="72">
        <f ca="1">J68*(Decrements!F62+Decrements!G62)</f>
        <v>0</v>
      </c>
      <c r="P67" s="72">
        <f ca="1">M67-J68*Decrements!D62</f>
        <v>0</v>
      </c>
      <c r="Q67" s="142"/>
      <c r="R67" s="13"/>
      <c r="S67" s="13"/>
      <c r="T67" s="13"/>
      <c r="U67" s="13"/>
      <c r="V67" s="73" t="str">
        <f t="shared" ca="1" si="14"/>
        <v/>
      </c>
      <c r="W67" s="74" t="str">
        <f t="shared" ca="1" si="15"/>
        <v/>
      </c>
      <c r="X67" s="13"/>
      <c r="Y67" s="13"/>
      <c r="Z67" s="13"/>
      <c r="AA67" s="13"/>
      <c r="AB67" s="13"/>
      <c r="AC67" s="13"/>
      <c r="AD67" s="13"/>
      <c r="AE67" s="13"/>
    </row>
    <row r="68" spans="1:31" x14ac:dyDescent="0.25">
      <c r="A68" s="13"/>
      <c r="B68" s="61" t="str">
        <f t="shared" ca="1" si="16"/>
        <v/>
      </c>
      <c r="C68" s="75" t="str">
        <f t="shared" ca="1" si="8"/>
        <v/>
      </c>
      <c r="D68" s="76" t="str">
        <f t="shared" ca="1" si="17"/>
        <v/>
      </c>
      <c r="E68" s="77" t="str">
        <f t="shared" ca="1" si="10"/>
        <v/>
      </c>
      <c r="F68" s="66" t="str">
        <f t="shared" ca="1" si="18"/>
        <v/>
      </c>
      <c r="G68" s="66" t="str">
        <f t="shared" ca="1" si="19"/>
        <v/>
      </c>
      <c r="H68" s="67" t="str">
        <f t="shared" ca="1" si="13"/>
        <v/>
      </c>
      <c r="I68" s="68">
        <f t="shared" ca="1" si="4"/>
        <v>0</v>
      </c>
      <c r="J68" s="68">
        <f t="shared" ca="1" si="5"/>
        <v>0</v>
      </c>
      <c r="K68" s="69">
        <f t="shared" ca="1" si="6"/>
        <v>0</v>
      </c>
      <c r="L68" s="70"/>
      <c r="M68" s="71">
        <f ca="1">IF($C68="",0,
I68*Decrements!D63+(M67-N67-O67)*(1+G67))</f>
        <v>0</v>
      </c>
      <c r="N68" s="72">
        <f ca="1">K68*'1.a Assumptions'!$B$13*Decrements!E63</f>
        <v>0</v>
      </c>
      <c r="O68" s="72">
        <f ca="1">J69*(Decrements!F63+Decrements!G63)</f>
        <v>0</v>
      </c>
      <c r="P68" s="72">
        <f ca="1">M68-J69*Decrements!D63</f>
        <v>0</v>
      </c>
      <c r="Q68" s="142"/>
      <c r="R68" s="13"/>
      <c r="S68" s="13"/>
      <c r="T68" s="13"/>
      <c r="U68" s="13"/>
      <c r="V68" s="73" t="str">
        <f t="shared" ca="1" si="14"/>
        <v/>
      </c>
      <c r="W68" s="74" t="str">
        <f t="shared" ca="1" si="15"/>
        <v/>
      </c>
      <c r="X68" s="13"/>
      <c r="Y68" s="13"/>
      <c r="Z68" s="13"/>
      <c r="AA68" s="13"/>
      <c r="AB68" s="13"/>
      <c r="AC68" s="13"/>
      <c r="AD68" s="13"/>
      <c r="AE68" s="13"/>
    </row>
    <row r="69" spans="1:31" x14ac:dyDescent="0.25">
      <c r="A69" s="13"/>
      <c r="B69" s="61" t="str">
        <f t="shared" ca="1" si="16"/>
        <v/>
      </c>
      <c r="C69" s="75" t="str">
        <f t="shared" ca="1" si="8"/>
        <v/>
      </c>
      <c r="D69" s="76" t="str">
        <f t="shared" ca="1" si="17"/>
        <v/>
      </c>
      <c r="E69" s="77" t="str">
        <f t="shared" ca="1" si="10"/>
        <v/>
      </c>
      <c r="F69" s="66" t="str">
        <f t="shared" ca="1" si="18"/>
        <v/>
      </c>
      <c r="G69" s="66" t="str">
        <f t="shared" ca="1" si="19"/>
        <v/>
      </c>
      <c r="H69" s="67" t="str">
        <f t="shared" ca="1" si="13"/>
        <v/>
      </c>
      <c r="I69" s="68">
        <f t="shared" ca="1" si="4"/>
        <v>0</v>
      </c>
      <c r="J69" s="68">
        <f t="shared" ca="1" si="5"/>
        <v>0</v>
      </c>
      <c r="K69" s="69">
        <f t="shared" ca="1" si="6"/>
        <v>0</v>
      </c>
      <c r="L69" s="70"/>
      <c r="M69" s="71">
        <f ca="1">IF($C69="",0,
I69*Decrements!D64+(M68-N68-O68)*(1+G68))</f>
        <v>0</v>
      </c>
      <c r="N69" s="72">
        <f ca="1">K69*'1.a Assumptions'!$B$13*Decrements!E64</f>
        <v>0</v>
      </c>
      <c r="O69" s="72">
        <f ca="1">J70*(Decrements!F64+Decrements!G64)</f>
        <v>0</v>
      </c>
      <c r="P69" s="72">
        <f ca="1">M69-J70*Decrements!D64</f>
        <v>0</v>
      </c>
      <c r="Q69" s="142"/>
      <c r="R69" s="13"/>
      <c r="S69" s="13"/>
      <c r="T69" s="13"/>
      <c r="U69" s="13"/>
      <c r="V69" s="73" t="str">
        <f t="shared" ca="1" si="14"/>
        <v/>
      </c>
      <c r="W69" s="74" t="str">
        <f t="shared" ca="1" si="15"/>
        <v/>
      </c>
      <c r="X69" s="13"/>
      <c r="Y69" s="13"/>
      <c r="Z69" s="13"/>
      <c r="AA69" s="13"/>
      <c r="AB69" s="13"/>
      <c r="AC69" s="13"/>
      <c r="AD69" s="13"/>
      <c r="AE69" s="13"/>
    </row>
    <row r="70" spans="1:31" x14ac:dyDescent="0.25">
      <c r="A70" s="13"/>
      <c r="B70" s="61" t="str">
        <f t="shared" ca="1" si="16"/>
        <v/>
      </c>
      <c r="C70" s="75" t="str">
        <f t="shared" ca="1" si="8"/>
        <v/>
      </c>
      <c r="D70" s="76" t="str">
        <f t="shared" ca="1" si="17"/>
        <v/>
      </c>
      <c r="E70" s="77" t="str">
        <f t="shared" ca="1" si="10"/>
        <v/>
      </c>
      <c r="F70" s="66" t="str">
        <f t="shared" ca="1" si="18"/>
        <v/>
      </c>
      <c r="G70" s="66" t="str">
        <f t="shared" ca="1" si="19"/>
        <v/>
      </c>
      <c r="H70" s="67" t="str">
        <f t="shared" ca="1" si="13"/>
        <v/>
      </c>
      <c r="I70" s="68">
        <f t="shared" ca="1" si="4"/>
        <v>0</v>
      </c>
      <c r="J70" s="68">
        <f t="shared" ca="1" si="5"/>
        <v>0</v>
      </c>
      <c r="K70" s="69">
        <f t="shared" ca="1" si="6"/>
        <v>0</v>
      </c>
      <c r="L70" s="70"/>
      <c r="M70" s="71">
        <f ca="1">IF($C70="",0,
I70*Decrements!D65+(M69-N69-O69)*(1+G69))</f>
        <v>0</v>
      </c>
      <c r="N70" s="72">
        <f ca="1">K70*'1.a Assumptions'!$B$13*Decrements!E65</f>
        <v>0</v>
      </c>
      <c r="O70" s="72">
        <f ca="1">J71*(Decrements!F65+Decrements!G65)</f>
        <v>0</v>
      </c>
      <c r="P70" s="72">
        <f ca="1">M70-J71*Decrements!D65</f>
        <v>0</v>
      </c>
      <c r="Q70" s="142"/>
      <c r="R70" s="13"/>
      <c r="S70" s="13"/>
      <c r="T70" s="13"/>
      <c r="U70" s="13"/>
      <c r="V70" s="73" t="str">
        <f t="shared" ca="1" si="14"/>
        <v/>
      </c>
      <c r="W70" s="74" t="str">
        <f t="shared" ca="1" si="15"/>
        <v/>
      </c>
      <c r="X70" s="13"/>
      <c r="Y70" s="13"/>
      <c r="Z70" s="13"/>
      <c r="AA70" s="13"/>
      <c r="AB70" s="13"/>
      <c r="AC70" s="13"/>
      <c r="AD70" s="13"/>
      <c r="AE70" s="13"/>
    </row>
    <row r="71" spans="1:31" x14ac:dyDescent="0.25">
      <c r="A71" s="13"/>
      <c r="B71" s="61" t="str">
        <f t="shared" ca="1" si="16"/>
        <v/>
      </c>
      <c r="C71" s="75" t="str">
        <f t="shared" ca="1" si="8"/>
        <v/>
      </c>
      <c r="D71" s="76" t="str">
        <f t="shared" ca="1" si="17"/>
        <v/>
      </c>
      <c r="E71" s="77" t="str">
        <f t="shared" ca="1" si="10"/>
        <v/>
      </c>
      <c r="F71" s="66" t="str">
        <f t="shared" ca="1" si="18"/>
        <v/>
      </c>
      <c r="G71" s="66" t="str">
        <f t="shared" ca="1" si="19"/>
        <v/>
      </c>
      <c r="H71" s="67" t="str">
        <f t="shared" ca="1" si="13"/>
        <v/>
      </c>
      <c r="I71" s="68">
        <f t="shared" ca="1" si="4"/>
        <v>0</v>
      </c>
      <c r="J71" s="68">
        <f t="shared" ca="1" si="5"/>
        <v>0</v>
      </c>
      <c r="K71" s="69">
        <f t="shared" ca="1" si="6"/>
        <v>0</v>
      </c>
      <c r="L71" s="70"/>
      <c r="M71" s="71">
        <f ca="1">IF($C71="",0,
I71*Decrements!D66+(M70-N70-O70)*(1+G70))</f>
        <v>0</v>
      </c>
      <c r="N71" s="72">
        <f ca="1">K71*'1.a Assumptions'!$B$13*Decrements!E66</f>
        <v>0</v>
      </c>
      <c r="O71" s="72">
        <f ca="1">J72*(Decrements!F66+Decrements!G66)</f>
        <v>0</v>
      </c>
      <c r="P71" s="72">
        <f ca="1">M71-J72*Decrements!D66</f>
        <v>0</v>
      </c>
      <c r="Q71" s="142"/>
      <c r="R71" s="13"/>
      <c r="S71" s="13"/>
      <c r="T71" s="13"/>
      <c r="U71" s="13"/>
      <c r="V71" s="73" t="str">
        <f t="shared" ca="1" si="14"/>
        <v/>
      </c>
      <c r="W71" s="74" t="str">
        <f t="shared" ca="1" si="15"/>
        <v/>
      </c>
      <c r="X71" s="13"/>
      <c r="Y71" s="13"/>
      <c r="Z71" s="13"/>
      <c r="AA71" s="13"/>
      <c r="AB71" s="13"/>
      <c r="AC71" s="13"/>
      <c r="AD71" s="13"/>
      <c r="AE71" s="13"/>
    </row>
    <row r="72" spans="1:31" x14ac:dyDescent="0.25">
      <c r="A72" s="13"/>
      <c r="B72" s="61" t="str">
        <f t="shared" ref="B72:B86" ca="1" si="20">IF($C72="","",B71+1)</f>
        <v/>
      </c>
      <c r="C72" s="75" t="str">
        <f t="shared" ca="1" si="8"/>
        <v/>
      </c>
      <c r="D72" s="76" t="str">
        <f t="shared" ref="D72:D86" ca="1" si="21">IF($C72="","",D71)</f>
        <v/>
      </c>
      <c r="E72" s="77" t="str">
        <f t="shared" ca="1" si="10"/>
        <v/>
      </c>
      <c r="F72" s="66" t="str">
        <f t="shared" ref="F72:F86" ca="1" si="22">IF($C72="","",F71)</f>
        <v/>
      </c>
      <c r="G72" s="66" t="str">
        <f t="shared" ref="G72:G86" ca="1" si="23">IF($C72="","",G71)</f>
        <v/>
      </c>
      <c r="H72" s="67" t="str">
        <f t="shared" ca="1" si="13"/>
        <v/>
      </c>
      <c r="I72" s="68">
        <f t="shared" ca="1" si="4"/>
        <v>0</v>
      </c>
      <c r="J72" s="68">
        <f t="shared" ca="1" si="5"/>
        <v>0</v>
      </c>
      <c r="K72" s="69">
        <f t="shared" ca="1" si="6"/>
        <v>0</v>
      </c>
      <c r="L72" s="70"/>
      <c r="M72" s="71">
        <f ca="1">IF($C72="",0,
I72*Decrements!D67+(M71-N71-O71)*(1+G71))</f>
        <v>0</v>
      </c>
      <c r="N72" s="72">
        <f ca="1">K72*'1.a Assumptions'!$B$13*Decrements!E67</f>
        <v>0</v>
      </c>
      <c r="O72" s="72">
        <f ca="1">J73*(Decrements!F67+Decrements!G67)</f>
        <v>0</v>
      </c>
      <c r="P72" s="72">
        <f ca="1">M72-J73*Decrements!D67</f>
        <v>0</v>
      </c>
      <c r="Q72" s="142"/>
      <c r="R72" s="13"/>
      <c r="S72" s="13"/>
      <c r="T72" s="13"/>
      <c r="U72" s="13"/>
      <c r="V72" s="73" t="str">
        <f t="shared" ca="1" si="14"/>
        <v/>
      </c>
      <c r="W72" s="74" t="str">
        <f t="shared" ca="1" si="15"/>
        <v/>
      </c>
      <c r="X72" s="13"/>
      <c r="Y72" s="13"/>
      <c r="Z72" s="13"/>
      <c r="AA72" s="13"/>
      <c r="AB72" s="13"/>
      <c r="AC72" s="13"/>
      <c r="AD72" s="13"/>
      <c r="AE72" s="13"/>
    </row>
    <row r="73" spans="1:31" x14ac:dyDescent="0.25">
      <c r="A73" s="13"/>
      <c r="B73" s="61" t="str">
        <f t="shared" ca="1" si="20"/>
        <v/>
      </c>
      <c r="C73" s="75" t="str">
        <f t="shared" ca="1" si="8"/>
        <v/>
      </c>
      <c r="D73" s="76" t="str">
        <f t="shared" ca="1" si="21"/>
        <v/>
      </c>
      <c r="E73" s="77" t="str">
        <f t="shared" ca="1" si="10"/>
        <v/>
      </c>
      <c r="F73" s="66" t="str">
        <f t="shared" ca="1" si="22"/>
        <v/>
      </c>
      <c r="G73" s="66" t="str">
        <f t="shared" ca="1" si="23"/>
        <v/>
      </c>
      <c r="H73" s="67" t="str">
        <f t="shared" ca="1" si="13"/>
        <v/>
      </c>
      <c r="I73" s="68">
        <f t="shared" ca="1" si="4"/>
        <v>0</v>
      </c>
      <c r="J73" s="68">
        <f t="shared" ca="1" si="5"/>
        <v>0</v>
      </c>
      <c r="K73" s="69">
        <f t="shared" ca="1" si="6"/>
        <v>0</v>
      </c>
      <c r="L73" s="70"/>
      <c r="M73" s="71">
        <f ca="1">IF($C73="",0,
I73*Decrements!D68+(M72-N72-O72)*(1+G72))</f>
        <v>0</v>
      </c>
      <c r="N73" s="72">
        <f ca="1">K73*'1.a Assumptions'!$B$13*Decrements!E68</f>
        <v>0</v>
      </c>
      <c r="O73" s="72">
        <f ca="1">J74*(Decrements!F68+Decrements!G68)</f>
        <v>0</v>
      </c>
      <c r="P73" s="72">
        <f ca="1">M73-J74*Decrements!D68</f>
        <v>0</v>
      </c>
      <c r="Q73" s="142"/>
      <c r="R73" s="13"/>
      <c r="S73" s="13"/>
      <c r="T73" s="13"/>
      <c r="U73" s="13"/>
      <c r="V73" s="73" t="str">
        <f t="shared" ca="1" si="14"/>
        <v/>
      </c>
      <c r="W73" s="74" t="str">
        <f t="shared" ca="1" si="15"/>
        <v/>
      </c>
      <c r="X73" s="13"/>
      <c r="Y73" s="13"/>
      <c r="Z73" s="13"/>
      <c r="AA73" s="13"/>
      <c r="AB73" s="13"/>
      <c r="AC73" s="13"/>
      <c r="AD73" s="13"/>
      <c r="AE73" s="13"/>
    </row>
    <row r="74" spans="1:31" x14ac:dyDescent="0.25">
      <c r="A74" s="13"/>
      <c r="B74" s="61" t="str">
        <f t="shared" ca="1" si="20"/>
        <v/>
      </c>
      <c r="C74" s="75" t="str">
        <f t="shared" ca="1" si="8"/>
        <v/>
      </c>
      <c r="D74" s="76" t="str">
        <f t="shared" ca="1" si="21"/>
        <v/>
      </c>
      <c r="E74" s="77" t="str">
        <f t="shared" ca="1" si="10"/>
        <v/>
      </c>
      <c r="F74" s="66" t="str">
        <f t="shared" ca="1" si="22"/>
        <v/>
      </c>
      <c r="G74" s="66" t="str">
        <f t="shared" ca="1" si="23"/>
        <v/>
      </c>
      <c r="H74" s="67" t="str">
        <f t="shared" ca="1" si="13"/>
        <v/>
      </c>
      <c r="I74" s="68">
        <f t="shared" ca="1" si="4"/>
        <v>0</v>
      </c>
      <c r="J74" s="68">
        <f t="shared" ca="1" si="5"/>
        <v>0</v>
      </c>
      <c r="K74" s="69">
        <f t="shared" ca="1" si="6"/>
        <v>0</v>
      </c>
      <c r="L74" s="70"/>
      <c r="M74" s="71">
        <f ca="1">IF($C74="",0,
I74*Decrements!D69+(M73-N73-O73)*(1+G73))</f>
        <v>0</v>
      </c>
      <c r="N74" s="72">
        <f ca="1">K74*'1.a Assumptions'!$B$13*Decrements!E69</f>
        <v>0</v>
      </c>
      <c r="O74" s="72">
        <f ca="1">J75*(Decrements!F69+Decrements!G69)</f>
        <v>0</v>
      </c>
      <c r="P74" s="72">
        <f ca="1">M74-J75*Decrements!D69</f>
        <v>0</v>
      </c>
      <c r="Q74" s="142"/>
      <c r="R74" s="13"/>
      <c r="S74" s="13"/>
      <c r="T74" s="13"/>
      <c r="U74" s="13"/>
      <c r="V74" s="73" t="str">
        <f t="shared" ca="1" si="14"/>
        <v/>
      </c>
      <c r="W74" s="74" t="str">
        <f t="shared" ca="1" si="15"/>
        <v/>
      </c>
      <c r="X74" s="13"/>
      <c r="Y74" s="13"/>
      <c r="Z74" s="13"/>
      <c r="AA74" s="13"/>
      <c r="AB74" s="13"/>
      <c r="AC74" s="13"/>
      <c r="AD74" s="13"/>
      <c r="AE74" s="13"/>
    </row>
    <row r="75" spans="1:31" x14ac:dyDescent="0.25">
      <c r="A75" s="13"/>
      <c r="B75" s="61" t="str">
        <f t="shared" ca="1" si="20"/>
        <v/>
      </c>
      <c r="C75" s="75" t="str">
        <f t="shared" ca="1" si="8"/>
        <v/>
      </c>
      <c r="D75" s="76" t="str">
        <f t="shared" ca="1" si="21"/>
        <v/>
      </c>
      <c r="E75" s="77" t="str">
        <f t="shared" ca="1" si="10"/>
        <v/>
      </c>
      <c r="F75" s="66" t="str">
        <f t="shared" ca="1" si="22"/>
        <v/>
      </c>
      <c r="G75" s="66" t="str">
        <f t="shared" ca="1" si="23"/>
        <v/>
      </c>
      <c r="H75" s="67" t="str">
        <f t="shared" ca="1" si="13"/>
        <v/>
      </c>
      <c r="I75" s="68">
        <f t="shared" ca="1" si="4"/>
        <v>0</v>
      </c>
      <c r="J75" s="68">
        <f t="shared" ca="1" si="5"/>
        <v>0</v>
      </c>
      <c r="K75" s="69">
        <f t="shared" ca="1" si="6"/>
        <v>0</v>
      </c>
      <c r="L75" s="70"/>
      <c r="M75" s="71">
        <f ca="1">IF($C75="",0,
I75*Decrements!D70+(M74-N74-O74)*(1+G74))</f>
        <v>0</v>
      </c>
      <c r="N75" s="72">
        <f ca="1">K75*'1.a Assumptions'!$B$13*Decrements!E70</f>
        <v>0</v>
      </c>
      <c r="O75" s="72">
        <f ca="1">J76*(Decrements!F70+Decrements!G70)</f>
        <v>0</v>
      </c>
      <c r="P75" s="72">
        <f ca="1">M75-J76*Decrements!D70</f>
        <v>0</v>
      </c>
      <c r="Q75" s="142"/>
      <c r="R75" s="13"/>
      <c r="S75" s="13"/>
      <c r="T75" s="13"/>
      <c r="U75" s="13"/>
      <c r="V75" s="73" t="str">
        <f t="shared" ca="1" si="14"/>
        <v/>
      </c>
      <c r="W75" s="74" t="str">
        <f t="shared" ca="1" si="15"/>
        <v/>
      </c>
      <c r="X75" s="13"/>
      <c r="Y75" s="13"/>
      <c r="Z75" s="13"/>
      <c r="AA75" s="13"/>
      <c r="AB75" s="13"/>
      <c r="AC75" s="13"/>
      <c r="AD75" s="13"/>
      <c r="AE75" s="13"/>
    </row>
    <row r="76" spans="1:31" x14ac:dyDescent="0.25">
      <c r="A76" s="13"/>
      <c r="B76" s="61" t="str">
        <f t="shared" ca="1" si="20"/>
        <v/>
      </c>
      <c r="C76" s="75" t="str">
        <f t="shared" ca="1" si="8"/>
        <v/>
      </c>
      <c r="D76" s="76" t="str">
        <f t="shared" ca="1" si="21"/>
        <v/>
      </c>
      <c r="E76" s="77" t="str">
        <f t="shared" ca="1" si="10"/>
        <v/>
      </c>
      <c r="F76" s="66" t="str">
        <f t="shared" ca="1" si="22"/>
        <v/>
      </c>
      <c r="G76" s="66" t="str">
        <f t="shared" ca="1" si="23"/>
        <v/>
      </c>
      <c r="H76" s="67" t="str">
        <f t="shared" ca="1" si="13"/>
        <v/>
      </c>
      <c r="I76" s="68">
        <f t="shared" ca="1" si="4"/>
        <v>0</v>
      </c>
      <c r="J76" s="68">
        <f t="shared" ca="1" si="5"/>
        <v>0</v>
      </c>
      <c r="K76" s="69">
        <f t="shared" ca="1" si="6"/>
        <v>0</v>
      </c>
      <c r="L76" s="70"/>
      <c r="M76" s="71">
        <f ca="1">IF($C76="",0,
I76*Decrements!D71+(M75-N75-O75)*(1+G75))</f>
        <v>0</v>
      </c>
      <c r="N76" s="72">
        <f ca="1">K76*'1.a Assumptions'!$B$13*Decrements!E71</f>
        <v>0</v>
      </c>
      <c r="O76" s="72">
        <f ca="1">J77*(Decrements!F71+Decrements!G71)</f>
        <v>0</v>
      </c>
      <c r="P76" s="72">
        <f ca="1">M76-J77*Decrements!D71</f>
        <v>0</v>
      </c>
      <c r="Q76" s="142"/>
      <c r="R76" s="13"/>
      <c r="S76" s="13"/>
      <c r="T76" s="13"/>
      <c r="U76" s="13"/>
      <c r="V76" s="73" t="str">
        <f t="shared" ca="1" si="14"/>
        <v/>
      </c>
      <c r="W76" s="74" t="str">
        <f t="shared" ca="1" si="15"/>
        <v/>
      </c>
      <c r="X76" s="13"/>
      <c r="Y76" s="13"/>
      <c r="Z76" s="13"/>
      <c r="AA76" s="13"/>
      <c r="AB76" s="13"/>
      <c r="AC76" s="13"/>
      <c r="AD76" s="13"/>
      <c r="AE76" s="13"/>
    </row>
    <row r="77" spans="1:31" x14ac:dyDescent="0.25">
      <c r="A77" s="13"/>
      <c r="B77" s="61" t="str">
        <f t="shared" ca="1" si="20"/>
        <v/>
      </c>
      <c r="C77" s="75" t="str">
        <f t="shared" ca="1" si="8"/>
        <v/>
      </c>
      <c r="D77" s="76" t="str">
        <f t="shared" ca="1" si="21"/>
        <v/>
      </c>
      <c r="E77" s="77" t="str">
        <f t="shared" ca="1" si="10"/>
        <v/>
      </c>
      <c r="F77" s="66" t="str">
        <f t="shared" ca="1" si="22"/>
        <v/>
      </c>
      <c r="G77" s="66" t="str">
        <f t="shared" ca="1" si="23"/>
        <v/>
      </c>
      <c r="H77" s="67" t="str">
        <f t="shared" ca="1" si="13"/>
        <v/>
      </c>
      <c r="I77" s="68">
        <f t="shared" ca="1" si="4"/>
        <v>0</v>
      </c>
      <c r="J77" s="68">
        <f t="shared" ca="1" si="5"/>
        <v>0</v>
      </c>
      <c r="K77" s="69">
        <f t="shared" ca="1" si="6"/>
        <v>0</v>
      </c>
      <c r="L77" s="70"/>
      <c r="M77" s="71">
        <f ca="1">IF($C77="",0,
I77*Decrements!D72+(M76-N76-O76)*(1+G76))</f>
        <v>0</v>
      </c>
      <c r="N77" s="72">
        <f ca="1">K77*'1.a Assumptions'!$B$13*Decrements!E72</f>
        <v>0</v>
      </c>
      <c r="O77" s="72">
        <f ca="1">J78*(Decrements!F72+Decrements!G72)</f>
        <v>0</v>
      </c>
      <c r="P77" s="72">
        <f ca="1">M77-J78*Decrements!D72</f>
        <v>0</v>
      </c>
      <c r="Q77" s="142"/>
      <c r="R77" s="13"/>
      <c r="S77" s="13"/>
      <c r="T77" s="13"/>
      <c r="U77" s="13"/>
      <c r="V77" s="73" t="str">
        <f t="shared" ca="1" si="14"/>
        <v/>
      </c>
      <c r="W77" s="74" t="str">
        <f t="shared" ca="1" si="15"/>
        <v/>
      </c>
      <c r="X77" s="13"/>
      <c r="Y77" s="13"/>
      <c r="Z77" s="13"/>
      <c r="AA77" s="13"/>
      <c r="AB77" s="13"/>
      <c r="AC77" s="13"/>
      <c r="AD77" s="13"/>
      <c r="AE77" s="13"/>
    </row>
    <row r="78" spans="1:31" x14ac:dyDescent="0.25">
      <c r="A78" s="13"/>
      <c r="B78" s="61" t="str">
        <f t="shared" ca="1" si="20"/>
        <v/>
      </c>
      <c r="C78" s="75" t="str">
        <f t="shared" ca="1" si="8"/>
        <v/>
      </c>
      <c r="D78" s="76" t="str">
        <f t="shared" ca="1" si="21"/>
        <v/>
      </c>
      <c r="E78" s="77" t="str">
        <f t="shared" ca="1" si="10"/>
        <v/>
      </c>
      <c r="F78" s="66" t="str">
        <f t="shared" ca="1" si="22"/>
        <v/>
      </c>
      <c r="G78" s="66" t="str">
        <f t="shared" ca="1" si="23"/>
        <v/>
      </c>
      <c r="H78" s="67" t="str">
        <f t="shared" ca="1" si="13"/>
        <v/>
      </c>
      <c r="I78" s="68">
        <f t="shared" ca="1" si="4"/>
        <v>0</v>
      </c>
      <c r="J78" s="68">
        <f t="shared" ca="1" si="5"/>
        <v>0</v>
      </c>
      <c r="K78" s="69">
        <f t="shared" ca="1" si="6"/>
        <v>0</v>
      </c>
      <c r="L78" s="70"/>
      <c r="M78" s="71">
        <f ca="1">IF($C78="",0,
I78*Decrements!D73+(M77-N77-O77)*(1+G77))</f>
        <v>0</v>
      </c>
      <c r="N78" s="72">
        <f ca="1">K78*'1.a Assumptions'!$B$13*Decrements!E73</f>
        <v>0</v>
      </c>
      <c r="O78" s="72">
        <f ca="1">J79*(Decrements!F73+Decrements!G73)</f>
        <v>0</v>
      </c>
      <c r="P78" s="72">
        <f ca="1">M78-J79*Decrements!D73</f>
        <v>0</v>
      </c>
      <c r="Q78" s="142"/>
      <c r="R78" s="13"/>
      <c r="S78" s="13"/>
      <c r="T78" s="13"/>
      <c r="U78" s="13"/>
      <c r="V78" s="73" t="str">
        <f t="shared" ca="1" si="14"/>
        <v/>
      </c>
      <c r="W78" s="74" t="str">
        <f t="shared" ca="1" si="15"/>
        <v/>
      </c>
      <c r="X78" s="13"/>
      <c r="Y78" s="13"/>
      <c r="Z78" s="13"/>
      <c r="AA78" s="13"/>
      <c r="AB78" s="13"/>
      <c r="AC78" s="13"/>
      <c r="AD78" s="13"/>
      <c r="AE78" s="13"/>
    </row>
    <row r="79" spans="1:31" x14ac:dyDescent="0.25">
      <c r="A79" s="13"/>
      <c r="B79" s="61" t="str">
        <f t="shared" ca="1" si="20"/>
        <v/>
      </c>
      <c r="C79" s="75" t="str">
        <f t="shared" ca="1" si="8"/>
        <v/>
      </c>
      <c r="D79" s="76" t="str">
        <f t="shared" ca="1" si="21"/>
        <v/>
      </c>
      <c r="E79" s="77" t="str">
        <f t="shared" ca="1" si="10"/>
        <v/>
      </c>
      <c r="F79" s="66" t="str">
        <f t="shared" ca="1" si="22"/>
        <v/>
      </c>
      <c r="G79" s="66" t="str">
        <f t="shared" ca="1" si="23"/>
        <v/>
      </c>
      <c r="H79" s="67" t="str">
        <f t="shared" ca="1" si="13"/>
        <v/>
      </c>
      <c r="I79" s="68">
        <f t="shared" ca="1" si="4"/>
        <v>0</v>
      </c>
      <c r="J79" s="68">
        <f t="shared" ca="1" si="5"/>
        <v>0</v>
      </c>
      <c r="K79" s="69">
        <f t="shared" ca="1" si="6"/>
        <v>0</v>
      </c>
      <c r="L79" s="70"/>
      <c r="M79" s="71">
        <f ca="1">IF($C79="",0,
I79*Decrements!D74+(M78-N78-O78)*(1+G78))</f>
        <v>0</v>
      </c>
      <c r="N79" s="72">
        <f ca="1">K79*'1.a Assumptions'!$B$13*Decrements!E74</f>
        <v>0</v>
      </c>
      <c r="O79" s="72">
        <f ca="1">J80*(Decrements!F74+Decrements!G74)</f>
        <v>0</v>
      </c>
      <c r="P79" s="72">
        <f ca="1">M79-J80*Decrements!D74</f>
        <v>0</v>
      </c>
      <c r="Q79" s="142"/>
      <c r="R79" s="13"/>
      <c r="S79" s="13"/>
      <c r="T79" s="13"/>
      <c r="U79" s="13"/>
      <c r="V79" s="73" t="str">
        <f t="shared" ca="1" si="14"/>
        <v/>
      </c>
      <c r="W79" s="74" t="str">
        <f t="shared" ca="1" si="15"/>
        <v/>
      </c>
      <c r="X79" s="13"/>
      <c r="Y79" s="13"/>
      <c r="Z79" s="13"/>
      <c r="AA79" s="13"/>
      <c r="AB79" s="13"/>
      <c r="AC79" s="13"/>
      <c r="AD79" s="13"/>
      <c r="AE79" s="13"/>
    </row>
    <row r="80" spans="1:31" x14ac:dyDescent="0.25">
      <c r="A80" s="13"/>
      <c r="B80" s="61" t="str">
        <f t="shared" ca="1" si="20"/>
        <v/>
      </c>
      <c r="C80" s="75" t="str">
        <f t="shared" ca="1" si="8"/>
        <v/>
      </c>
      <c r="D80" s="76" t="str">
        <f t="shared" ca="1" si="21"/>
        <v/>
      </c>
      <c r="E80" s="77" t="str">
        <f t="shared" ca="1" si="10"/>
        <v/>
      </c>
      <c r="F80" s="66" t="str">
        <f t="shared" ca="1" si="22"/>
        <v/>
      </c>
      <c r="G80" s="66" t="str">
        <f t="shared" ca="1" si="23"/>
        <v/>
      </c>
      <c r="H80" s="67" t="str">
        <f t="shared" ca="1" si="13"/>
        <v/>
      </c>
      <c r="I80" s="68">
        <f t="shared" ca="1" si="4"/>
        <v>0</v>
      </c>
      <c r="J80" s="68">
        <f t="shared" ca="1" si="5"/>
        <v>0</v>
      </c>
      <c r="K80" s="69">
        <f t="shared" ca="1" si="6"/>
        <v>0</v>
      </c>
      <c r="L80" s="70"/>
      <c r="M80" s="71">
        <f ca="1">IF($C80="",0,
I80*Decrements!D75+(M79-N79-O79)*(1+G79))</f>
        <v>0</v>
      </c>
      <c r="N80" s="72">
        <f ca="1">K80*'1.a Assumptions'!$B$13*Decrements!E75</f>
        <v>0</v>
      </c>
      <c r="O80" s="72">
        <f ca="1">J81*(Decrements!F75+Decrements!G75)</f>
        <v>0</v>
      </c>
      <c r="P80" s="72">
        <f ca="1">M80-J81*Decrements!D75</f>
        <v>0</v>
      </c>
      <c r="Q80" s="142"/>
      <c r="R80" s="13"/>
      <c r="S80" s="13"/>
      <c r="T80" s="13"/>
      <c r="U80" s="13"/>
      <c r="V80" s="73" t="str">
        <f t="shared" ref="V80:V86" ca="1" si="24">IF($C81="","",J81-J80*(1+i))</f>
        <v/>
      </c>
      <c r="W80" s="74" t="str">
        <f t="shared" ref="W80:W86" ca="1" si="25">IFERROR(V80-I80,"")</f>
        <v/>
      </c>
      <c r="X80" s="13"/>
      <c r="Y80" s="13"/>
      <c r="Z80" s="13"/>
      <c r="AA80" s="13"/>
      <c r="AB80" s="13"/>
      <c r="AC80" s="13"/>
      <c r="AD80" s="13"/>
      <c r="AE80" s="13"/>
    </row>
    <row r="81" spans="1:31" x14ac:dyDescent="0.25">
      <c r="A81" s="13"/>
      <c r="B81" s="61" t="str">
        <f t="shared" ca="1" si="20"/>
        <v/>
      </c>
      <c r="C81" s="75" t="str">
        <f t="shared" ca="1" si="8"/>
        <v/>
      </c>
      <c r="D81" s="76" t="str">
        <f t="shared" ca="1" si="21"/>
        <v/>
      </c>
      <c r="E81" s="77" t="str">
        <f t="shared" ca="1" si="10"/>
        <v/>
      </c>
      <c r="F81" s="66" t="str">
        <f t="shared" ca="1" si="22"/>
        <v/>
      </c>
      <c r="G81" s="66" t="str">
        <f t="shared" ca="1" si="23"/>
        <v/>
      </c>
      <c r="H81" s="67" t="str">
        <f t="shared" ca="1" si="13"/>
        <v/>
      </c>
      <c r="I81" s="68">
        <f t="shared" ref="I81:I86" ca="1" si="26">IF($C82="",0,
H81*E81*(1+F81))</f>
        <v>0</v>
      </c>
      <c r="J81" s="68">
        <f t="shared" ref="J81:J86" ca="1" si="27">IF($C81="",0,
D81*E81*B81*((1+F81)/(1+G81))^MAX(0,$D$5-C81))</f>
        <v>0</v>
      </c>
      <c r="K81" s="69">
        <f t="shared" ref="K81:K86" ca="1" si="28">J81</f>
        <v>0</v>
      </c>
      <c r="L81" s="70"/>
      <c r="M81" s="71">
        <f ca="1">IF($C81="",0,
I81*Decrements!D76+(M80-N80-O80)*(1+G80))</f>
        <v>0</v>
      </c>
      <c r="N81" s="72">
        <f ca="1">K81*'1.a Assumptions'!$B$13*Decrements!E76</f>
        <v>0</v>
      </c>
      <c r="O81" s="72">
        <f ca="1">J82*(Decrements!F76+Decrements!G76)</f>
        <v>0</v>
      </c>
      <c r="P81" s="72">
        <f ca="1">M81-J82*Decrements!D76</f>
        <v>0</v>
      </c>
      <c r="Q81" s="142"/>
      <c r="R81" s="13"/>
      <c r="S81" s="13"/>
      <c r="T81" s="13"/>
      <c r="U81" s="13"/>
      <c r="V81" s="73" t="str">
        <f t="shared" ca="1" si="24"/>
        <v/>
      </c>
      <c r="W81" s="74" t="str">
        <f t="shared" ca="1" si="25"/>
        <v/>
      </c>
      <c r="X81" s="13"/>
      <c r="Y81" s="13"/>
      <c r="Z81" s="13"/>
      <c r="AA81" s="13"/>
      <c r="AB81" s="13"/>
      <c r="AC81" s="13"/>
      <c r="AD81" s="13"/>
      <c r="AE81" s="13"/>
    </row>
    <row r="82" spans="1:31" x14ac:dyDescent="0.25">
      <c r="A82" s="13"/>
      <c r="B82" s="61" t="str">
        <f t="shared" ca="1" si="20"/>
        <v/>
      </c>
      <c r="C82" s="75" t="str">
        <f t="shared" ref="C82:C86" ca="1" si="29">IF(C81="","",IF($D$2="A",IF(C81+1&gt;$D$5+15,"",C81+1),IF(C81+1&gt;$D$5,"",C81+1)))</f>
        <v/>
      </c>
      <c r="D82" s="76" t="str">
        <f t="shared" ca="1" si="21"/>
        <v/>
      </c>
      <c r="E82" s="77" t="str">
        <f t="shared" ref="E82:E86" ca="1" si="30">IF($C82="","",E81*(1+F81))</f>
        <v/>
      </c>
      <c r="F82" s="66" t="str">
        <f t="shared" ca="1" si="22"/>
        <v/>
      </c>
      <c r="G82" s="66" t="str">
        <f t="shared" ca="1" si="23"/>
        <v/>
      </c>
      <c r="H82" s="67" t="str">
        <f t="shared" ca="1" si="13"/>
        <v/>
      </c>
      <c r="I82" s="68">
        <f t="shared" ca="1" si="26"/>
        <v>0</v>
      </c>
      <c r="J82" s="68">
        <f t="shared" ca="1" si="27"/>
        <v>0</v>
      </c>
      <c r="K82" s="69">
        <f t="shared" ca="1" si="28"/>
        <v>0</v>
      </c>
      <c r="L82" s="70"/>
      <c r="M82" s="71">
        <f ca="1">IF($C82="",0,
I82*Decrements!D77+(M81-N81-O81)*(1+G81))</f>
        <v>0</v>
      </c>
      <c r="N82" s="72">
        <f ca="1">K82*'1.a Assumptions'!$B$13*Decrements!E77</f>
        <v>0</v>
      </c>
      <c r="O82" s="72">
        <f ca="1">J83*(Decrements!F77+Decrements!G77)</f>
        <v>0</v>
      </c>
      <c r="P82" s="72">
        <f ca="1">M82-J83*Decrements!D77</f>
        <v>0</v>
      </c>
      <c r="Q82" s="142"/>
      <c r="R82" s="13"/>
      <c r="S82" s="13"/>
      <c r="T82" s="13"/>
      <c r="U82" s="13"/>
      <c r="V82" s="73" t="str">
        <f t="shared" ca="1" si="24"/>
        <v/>
      </c>
      <c r="W82" s="74" t="str">
        <f t="shared" ca="1" si="25"/>
        <v/>
      </c>
      <c r="X82" s="13"/>
      <c r="Y82" s="13"/>
      <c r="Z82" s="13"/>
      <c r="AA82" s="13"/>
      <c r="AB82" s="13"/>
      <c r="AC82" s="13"/>
      <c r="AD82" s="13"/>
      <c r="AE82" s="13"/>
    </row>
    <row r="83" spans="1:31" x14ac:dyDescent="0.25">
      <c r="A83" s="13"/>
      <c r="B83" s="61" t="str">
        <f t="shared" ca="1" si="20"/>
        <v/>
      </c>
      <c r="C83" s="75" t="str">
        <f t="shared" ca="1" si="29"/>
        <v/>
      </c>
      <c r="D83" s="76" t="str">
        <f t="shared" ca="1" si="21"/>
        <v/>
      </c>
      <c r="E83" s="77" t="str">
        <f t="shared" ca="1" si="30"/>
        <v/>
      </c>
      <c r="F83" s="66" t="str">
        <f t="shared" ca="1" si="22"/>
        <v/>
      </c>
      <c r="G83" s="66" t="str">
        <f t="shared" ca="1" si="23"/>
        <v/>
      </c>
      <c r="H83" s="67" t="str">
        <f t="shared" ca="1" si="13"/>
        <v/>
      </c>
      <c r="I83" s="68">
        <f t="shared" ca="1" si="26"/>
        <v>0</v>
      </c>
      <c r="J83" s="68">
        <f t="shared" ca="1" si="27"/>
        <v>0</v>
      </c>
      <c r="K83" s="69">
        <f t="shared" ca="1" si="28"/>
        <v>0</v>
      </c>
      <c r="L83" s="70"/>
      <c r="M83" s="71">
        <f ca="1">IF($C83="",0,
I83*Decrements!D78+(M82-N82-O82)*(1+G82))</f>
        <v>0</v>
      </c>
      <c r="N83" s="72">
        <f ca="1">K83*'1.a Assumptions'!$B$13*Decrements!E78</f>
        <v>0</v>
      </c>
      <c r="O83" s="72">
        <f ca="1">J84*(Decrements!F78+Decrements!G78)</f>
        <v>0</v>
      </c>
      <c r="P83" s="72">
        <f ca="1">M83-J84*Decrements!D78</f>
        <v>0</v>
      </c>
      <c r="Q83" s="142"/>
      <c r="R83" s="13"/>
      <c r="S83" s="13"/>
      <c r="T83" s="13"/>
      <c r="U83" s="13"/>
      <c r="V83" s="73" t="str">
        <f t="shared" ca="1" si="24"/>
        <v/>
      </c>
      <c r="W83" s="74" t="str">
        <f t="shared" ca="1" si="25"/>
        <v/>
      </c>
      <c r="X83" s="13"/>
      <c r="Y83" s="13"/>
      <c r="Z83" s="13"/>
      <c r="AA83" s="13"/>
      <c r="AB83" s="13"/>
      <c r="AC83" s="13"/>
      <c r="AD83" s="13"/>
      <c r="AE83" s="13"/>
    </row>
    <row r="84" spans="1:31" x14ac:dyDescent="0.25">
      <c r="A84" s="13"/>
      <c r="B84" s="61" t="str">
        <f t="shared" ca="1" si="20"/>
        <v/>
      </c>
      <c r="C84" s="75" t="str">
        <f t="shared" ca="1" si="29"/>
        <v/>
      </c>
      <c r="D84" s="76" t="str">
        <f t="shared" ca="1" si="21"/>
        <v/>
      </c>
      <c r="E84" s="77" t="str">
        <f t="shared" ca="1" si="30"/>
        <v/>
      </c>
      <c r="F84" s="66" t="str">
        <f t="shared" ca="1" si="22"/>
        <v/>
      </c>
      <c r="G84" s="66" t="str">
        <f t="shared" ca="1" si="23"/>
        <v/>
      </c>
      <c r="H84" s="67" t="str">
        <f t="shared" ca="1" si="13"/>
        <v/>
      </c>
      <c r="I84" s="68">
        <f t="shared" ca="1" si="26"/>
        <v>0</v>
      </c>
      <c r="J84" s="68">
        <f t="shared" ca="1" si="27"/>
        <v>0</v>
      </c>
      <c r="K84" s="69">
        <f t="shared" ca="1" si="28"/>
        <v>0</v>
      </c>
      <c r="L84" s="70"/>
      <c r="M84" s="71">
        <f ca="1">IF($C84="",0,
I84*Decrements!D79+(M83-N83-O83)*(1+G83))</f>
        <v>0</v>
      </c>
      <c r="N84" s="72">
        <f ca="1">K84*'1.a Assumptions'!$B$13*Decrements!E79</f>
        <v>0</v>
      </c>
      <c r="O84" s="72">
        <f ca="1">J85*(Decrements!F79+Decrements!G79)</f>
        <v>0</v>
      </c>
      <c r="P84" s="72">
        <f ca="1">M84-J85*Decrements!D79</f>
        <v>0</v>
      </c>
      <c r="Q84" s="142"/>
      <c r="R84" s="13"/>
      <c r="S84" s="13"/>
      <c r="T84" s="13"/>
      <c r="U84" s="13"/>
      <c r="V84" s="73" t="str">
        <f t="shared" ca="1" si="24"/>
        <v/>
      </c>
      <c r="W84" s="74" t="str">
        <f t="shared" ca="1" si="25"/>
        <v/>
      </c>
      <c r="X84" s="13"/>
      <c r="Y84" s="13"/>
      <c r="Z84" s="13"/>
      <c r="AA84" s="13"/>
      <c r="AB84" s="13"/>
      <c r="AC84" s="13"/>
      <c r="AD84" s="13"/>
      <c r="AE84" s="13"/>
    </row>
    <row r="85" spans="1:31" x14ac:dyDescent="0.25">
      <c r="A85" s="13"/>
      <c r="B85" s="61" t="str">
        <f t="shared" ca="1" si="20"/>
        <v/>
      </c>
      <c r="C85" s="75" t="str">
        <f t="shared" ca="1" si="29"/>
        <v/>
      </c>
      <c r="D85" s="76" t="str">
        <f t="shared" ca="1" si="21"/>
        <v/>
      </c>
      <c r="E85" s="77" t="str">
        <f t="shared" ca="1" si="30"/>
        <v/>
      </c>
      <c r="F85" s="66" t="str">
        <f t="shared" ca="1" si="22"/>
        <v/>
      </c>
      <c r="G85" s="66" t="str">
        <f t="shared" ca="1" si="23"/>
        <v/>
      </c>
      <c r="H85" s="67" t="str">
        <f t="shared" ca="1" si="13"/>
        <v/>
      </c>
      <c r="I85" s="68">
        <f t="shared" ca="1" si="26"/>
        <v>0</v>
      </c>
      <c r="J85" s="68">
        <f t="shared" ca="1" si="27"/>
        <v>0</v>
      </c>
      <c r="K85" s="69">
        <f t="shared" ca="1" si="28"/>
        <v>0</v>
      </c>
      <c r="L85" s="70"/>
      <c r="M85" s="71">
        <f ca="1">IF($C85="",0,
I85*Decrements!D80+(M84-N84-O84)*(1+G84))</f>
        <v>0</v>
      </c>
      <c r="N85" s="72">
        <f ca="1">K85*'1.a Assumptions'!$B$13*Decrements!E80</f>
        <v>0</v>
      </c>
      <c r="O85" s="72">
        <f ca="1">J86*(Decrements!F80+Decrements!G80)</f>
        <v>0</v>
      </c>
      <c r="P85" s="72">
        <f ca="1">M85-J86*Decrements!D80</f>
        <v>0</v>
      </c>
      <c r="Q85" s="142"/>
      <c r="R85" s="13"/>
      <c r="S85" s="13"/>
      <c r="T85" s="13"/>
      <c r="U85" s="13"/>
      <c r="V85" s="73" t="str">
        <f t="shared" ca="1" si="24"/>
        <v/>
      </c>
      <c r="W85" s="74" t="str">
        <f t="shared" ca="1" si="25"/>
        <v/>
      </c>
      <c r="X85" s="13"/>
      <c r="Y85" s="13"/>
      <c r="Z85" s="13"/>
      <c r="AA85" s="13"/>
      <c r="AB85" s="13"/>
      <c r="AC85" s="13"/>
      <c r="AD85" s="13"/>
      <c r="AE85" s="13"/>
    </row>
    <row r="86" spans="1:31" x14ac:dyDescent="0.25">
      <c r="A86" s="13"/>
      <c r="B86" s="61" t="str">
        <f t="shared" ca="1" si="20"/>
        <v/>
      </c>
      <c r="C86" s="75" t="str">
        <f t="shared" ca="1" si="29"/>
        <v/>
      </c>
      <c r="D86" s="76" t="str">
        <f t="shared" ca="1" si="21"/>
        <v/>
      </c>
      <c r="E86" s="77" t="str">
        <f t="shared" ca="1" si="30"/>
        <v/>
      </c>
      <c r="F86" s="66" t="str">
        <f t="shared" ca="1" si="22"/>
        <v/>
      </c>
      <c r="G86" s="66" t="str">
        <f t="shared" ca="1" si="23"/>
        <v/>
      </c>
      <c r="H86" s="67" t="str">
        <f t="shared" ca="1" si="13"/>
        <v/>
      </c>
      <c r="I86" s="68">
        <f t="shared" si="26"/>
        <v>0</v>
      </c>
      <c r="J86" s="68">
        <f t="shared" ca="1" si="27"/>
        <v>0</v>
      </c>
      <c r="K86" s="69">
        <f t="shared" ca="1" si="28"/>
        <v>0</v>
      </c>
      <c r="L86" s="70"/>
      <c r="M86" s="71">
        <f ca="1">IF($C86="",0,
I86*Decrements!D81+(M85-N85-O85)*(1+G85))</f>
        <v>0</v>
      </c>
      <c r="N86" s="72">
        <f ca="1">K86*'1.a Assumptions'!$B$13*Decrements!E81</f>
        <v>0</v>
      </c>
      <c r="O86" s="72">
        <f ca="1">J87*(Decrements!F81+Decrements!G81)</f>
        <v>0</v>
      </c>
      <c r="P86" s="72">
        <f ca="1">M86-J87*Decrements!D81</f>
        <v>0</v>
      </c>
      <c r="Q86" s="142"/>
      <c r="R86" s="13"/>
      <c r="S86" s="13"/>
      <c r="T86" s="13"/>
      <c r="U86" s="13"/>
      <c r="V86" s="73" t="str">
        <f t="shared" si="24"/>
        <v/>
      </c>
      <c r="W86" s="74" t="str">
        <f t="shared" si="25"/>
        <v/>
      </c>
      <c r="X86" s="13"/>
      <c r="Y86" s="13"/>
      <c r="Z86" s="13"/>
      <c r="AA86" s="13"/>
      <c r="AB86" s="13"/>
      <c r="AC86" s="13"/>
      <c r="AD86" s="13"/>
      <c r="AE86" s="13"/>
    </row>
  </sheetData>
  <conditionalFormatting sqref="W15">
    <cfRule type="cellIs" dxfId="13" priority="5" operator="equal">
      <formula>"Pass"</formula>
    </cfRule>
    <cfRule type="cellIs" dxfId="12" priority="6" operator="equal">
      <formula>"Check!"</formula>
    </cfRule>
  </conditionalFormatting>
  <conditionalFormatting sqref="H7">
    <cfRule type="cellIs" dxfId="11" priority="3" operator="equal">
      <formula>"Pass"</formula>
    </cfRule>
    <cfRule type="cellIs" dxfId="10" priority="4" operator="equal">
      <formula>"Check!"</formula>
    </cfRule>
  </conditionalFormatting>
  <conditionalFormatting sqref="I7:Q7">
    <cfRule type="cellIs" dxfId="9" priority="1" operator="equal">
      <formula>"Pass"</formula>
    </cfRule>
    <cfRule type="cellIs" dxfId="8" priority="2" operator="equal">
      <formula>"Check!"</formula>
    </cfRule>
  </conditionalFormatting>
  <pageMargins left="0.7" right="0.7" top="0.75" bottom="0.75" header="0.3" footer="0.3"/>
  <pageSetup orientation="portrait"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theme="4" tint="0.59999389629810485"/>
  </sheetPr>
  <dimension ref="A1:Y84"/>
  <sheetViews>
    <sheetView zoomScale="85" zoomScaleNormal="85" workbookViewId="0">
      <selection activeCell="B4" sqref="B4"/>
    </sheetView>
  </sheetViews>
  <sheetFormatPr defaultRowHeight="13.5" x14ac:dyDescent="0.25"/>
  <cols>
    <col min="1" max="1" width="3" style="13" customWidth="1"/>
    <col min="2" max="2" width="14.85546875" style="13" customWidth="1"/>
    <col min="3" max="3" width="17.85546875" style="13" bestFit="1" customWidth="1"/>
    <col min="4" max="4" width="11.140625" style="13" customWidth="1"/>
    <col min="5" max="5" width="16.28515625" style="13" customWidth="1"/>
    <col min="6" max="6" width="17.7109375" style="13" bestFit="1" customWidth="1"/>
    <col min="7" max="7" width="12.140625" style="13" customWidth="1"/>
    <col min="8" max="8" width="16.85546875" style="13" customWidth="1"/>
    <col min="9" max="9" width="15.7109375" style="13" customWidth="1"/>
    <col min="10" max="10" width="16.7109375" style="13" customWidth="1"/>
    <col min="11" max="18" width="15.7109375" style="13" customWidth="1"/>
    <col min="19" max="19" width="2.28515625" style="13" customWidth="1"/>
    <col min="20" max="20" width="13.5703125" style="13" customWidth="1"/>
    <col min="21" max="21" width="14.28515625" style="13" customWidth="1"/>
    <col min="22" max="22" width="2" style="13" customWidth="1"/>
    <col min="23" max="23" width="14.7109375" style="13" customWidth="1"/>
    <col min="24" max="24" width="14.140625" style="13" customWidth="1"/>
    <col min="25" max="25" width="13.42578125" style="13" customWidth="1"/>
    <col min="26" max="26" width="11.5703125" style="13" bestFit="1" customWidth="1"/>
    <col min="27" max="16384" width="9.140625" style="13"/>
  </cols>
  <sheetData>
    <row r="1" spans="1:25" ht="15" customHeight="1" thickBot="1" x14ac:dyDescent="0.3">
      <c r="A1" s="127" t="s">
        <v>55</v>
      </c>
    </row>
    <row r="2" spans="1:25" ht="15" customHeight="1" thickBot="1" x14ac:dyDescent="0.3">
      <c r="B2" s="19" t="s">
        <v>17</v>
      </c>
      <c r="C2" s="20" t="s">
        <v>25</v>
      </c>
      <c r="D2" s="21" t="str">
        <f>RIGHT($B$3,1)</f>
        <v>B</v>
      </c>
      <c r="H2" s="22" t="s">
        <v>73</v>
      </c>
      <c r="I2" s="23"/>
      <c r="J2" s="23"/>
      <c r="K2" s="23"/>
      <c r="L2" s="23"/>
      <c r="M2" s="23"/>
      <c r="N2" s="23"/>
      <c r="O2" s="23"/>
      <c r="P2" s="23"/>
      <c r="Q2" s="23"/>
    </row>
    <row r="3" spans="1:25" ht="15" customHeight="1" thickBot="1" x14ac:dyDescent="0.3">
      <c r="B3" s="24" t="s">
        <v>56</v>
      </c>
      <c r="C3" s="20" t="s">
        <v>72</v>
      </c>
      <c r="D3" s="21">
        <f>VLOOKUP($B$3,'opening demographics'!$A$1:$E$11,3,FALSE)</f>
        <v>210</v>
      </c>
      <c r="F3" s="25" t="s">
        <v>68</v>
      </c>
      <c r="G3" s="91" t="str">
        <f>B3</f>
        <v>30B</v>
      </c>
      <c r="H3" s="27" t="s">
        <v>18</v>
      </c>
      <c r="I3" s="28" t="s">
        <v>58</v>
      </c>
      <c r="J3" s="28" t="s">
        <v>60</v>
      </c>
      <c r="K3" s="28" t="s">
        <v>62</v>
      </c>
      <c r="L3" s="29" t="s">
        <v>64</v>
      </c>
      <c r="M3" s="30" t="s">
        <v>56</v>
      </c>
      <c r="N3" s="28" t="s">
        <v>57</v>
      </c>
      <c r="O3" s="28" t="s">
        <v>59</v>
      </c>
      <c r="P3" s="28" t="s">
        <v>61</v>
      </c>
      <c r="Q3" s="31" t="s">
        <v>63</v>
      </c>
    </row>
    <row r="4" spans="1:25" ht="15" customHeight="1" x14ac:dyDescent="0.25">
      <c r="C4" s="20" t="s">
        <v>26</v>
      </c>
      <c r="D4" s="21">
        <f>VALUE(LEFT($B$3,2))</f>
        <v>30</v>
      </c>
      <c r="F4" s="32" t="s">
        <v>69</v>
      </c>
      <c r="G4" s="92">
        <f>D3</f>
        <v>210</v>
      </c>
      <c r="H4" s="34">
        <f t="dataTable" ref="H4:Q7" dt2D="0" dtr="1" r1="B3" ca="1"/>
        <v>20</v>
      </c>
      <c r="I4" s="35">
        <v>15</v>
      </c>
      <c r="J4" s="35">
        <v>30</v>
      </c>
      <c r="K4" s="35">
        <v>25</v>
      </c>
      <c r="L4" s="36">
        <v>10</v>
      </c>
      <c r="M4" s="37">
        <v>210</v>
      </c>
      <c r="N4" s="35">
        <v>220</v>
      </c>
      <c r="O4" s="35">
        <v>240</v>
      </c>
      <c r="P4" s="35">
        <v>180</v>
      </c>
      <c r="Q4" s="38">
        <v>50</v>
      </c>
    </row>
    <row r="5" spans="1:25" ht="15" customHeight="1" x14ac:dyDescent="0.25">
      <c r="C5" s="20" t="s">
        <v>27</v>
      </c>
      <c r="D5" s="21">
        <f ca="1">INDIRECT("NRA_"&amp;$D$2)</f>
        <v>60</v>
      </c>
      <c r="F5" s="32" t="s">
        <v>14</v>
      </c>
      <c r="G5" s="93">
        <f ca="1">K14</f>
        <v>2721.4010136238189</v>
      </c>
      <c r="H5" s="34">
        <v>10034.811328683076</v>
      </c>
      <c r="I5" s="35">
        <v>15052.216993024613</v>
      </c>
      <c r="J5" s="35">
        <v>17560.919825195382</v>
      </c>
      <c r="K5" s="35">
        <v>18564.400958063692</v>
      </c>
      <c r="L5" s="36">
        <v>25087.02832170769</v>
      </c>
      <c r="M5" s="37">
        <v>2721.4010136238189</v>
      </c>
      <c r="N5" s="35">
        <v>3035.4088228881055</v>
      </c>
      <c r="O5" s="35">
        <v>3314.5268755674715</v>
      </c>
      <c r="P5" s="35">
        <v>3593.6449282468375</v>
      </c>
      <c r="Q5" s="38">
        <v>3593.6449282468375</v>
      </c>
    </row>
    <row r="6" spans="1:25" ht="15" customHeight="1" x14ac:dyDescent="0.25">
      <c r="C6" s="20" t="s">
        <v>28</v>
      </c>
      <c r="D6" s="40">
        <f ca="1">INDIRECT("accrual_rate_"&amp;$D$2)</f>
        <v>0.05</v>
      </c>
      <c r="F6" s="32" t="s">
        <v>71</v>
      </c>
      <c r="G6" s="93">
        <f ca="1">E15</f>
        <v>79170.807916917329</v>
      </c>
      <c r="H6" s="34">
        <v>103648.4317092171</v>
      </c>
      <c r="I6" s="35">
        <v>155472.64756382565</v>
      </c>
      <c r="J6" s="35">
        <v>181384.75549112991</v>
      </c>
      <c r="K6" s="35">
        <v>191749.59866205163</v>
      </c>
      <c r="L6" s="36">
        <v>259121.07927304273</v>
      </c>
      <c r="M6" s="37">
        <v>79170.807916917329</v>
      </c>
      <c r="N6" s="35">
        <v>88305.901138100089</v>
      </c>
      <c r="O6" s="35">
        <v>96425.984001373668</v>
      </c>
      <c r="P6" s="35">
        <v>104546.06686464723</v>
      </c>
      <c r="Q6" s="38">
        <v>104546.06686464723</v>
      </c>
    </row>
    <row r="7" spans="1:25" ht="15" customHeight="1" thickBot="1" x14ac:dyDescent="0.3">
      <c r="C7" s="20" t="s">
        <v>29</v>
      </c>
      <c r="D7" s="41">
        <f>VLOOKUP($B$3,'opening demographics'!$A$1:$E$11,4,FALSE)</f>
        <v>78000</v>
      </c>
      <c r="F7" s="42" t="s">
        <v>23</v>
      </c>
      <c r="G7" s="94" t="str">
        <f ca="1">U13</f>
        <v>Pass</v>
      </c>
      <c r="H7" s="44" t="str">
        <v>Pass</v>
      </c>
      <c r="I7" s="45" t="str">
        <v>Pass</v>
      </c>
      <c r="J7" s="45" t="str">
        <v>Pass</v>
      </c>
      <c r="K7" s="45" t="str">
        <v>Pass</v>
      </c>
      <c r="L7" s="46" t="str">
        <v>Pass</v>
      </c>
      <c r="M7" s="45" t="str">
        <v>Pass</v>
      </c>
      <c r="N7" s="45" t="str">
        <v>Pass</v>
      </c>
      <c r="O7" s="45" t="str">
        <v>Pass</v>
      </c>
      <c r="P7" s="45" t="str">
        <v>Pass</v>
      </c>
      <c r="Q7" s="47" t="str">
        <v>Pass</v>
      </c>
    </row>
    <row r="8" spans="1:25" ht="15" customHeight="1" thickBot="1" x14ac:dyDescent="0.3">
      <c r="C8" s="20" t="s">
        <v>30</v>
      </c>
      <c r="D8" s="48">
        <f ca="1">INDIRECT("e_"&amp;$D$2)</f>
        <v>1.501035790919647E-2</v>
      </c>
      <c r="G8" s="95" t="s">
        <v>67</v>
      </c>
      <c r="H8" s="96">
        <f>H5/H6</f>
        <v>9.681585300620342E-2</v>
      </c>
      <c r="I8" s="97">
        <f t="shared" ref="I8:Q8" si="0">I5/I6</f>
        <v>9.6815853006203406E-2</v>
      </c>
      <c r="J8" s="97">
        <f t="shared" si="0"/>
        <v>9.681585300620342E-2</v>
      </c>
      <c r="K8" s="97">
        <f t="shared" si="0"/>
        <v>9.681585300620342E-2</v>
      </c>
      <c r="L8" s="98">
        <f t="shared" si="0"/>
        <v>9.681585300620342E-2</v>
      </c>
      <c r="M8" s="99">
        <f t="shared" si="0"/>
        <v>3.4373793639692111E-2</v>
      </c>
      <c r="N8" s="97">
        <f t="shared" si="0"/>
        <v>3.4373793639692111E-2</v>
      </c>
      <c r="O8" s="97">
        <f t="shared" si="0"/>
        <v>3.4373793639692111E-2</v>
      </c>
      <c r="P8" s="97">
        <f t="shared" si="0"/>
        <v>3.4373793639692111E-2</v>
      </c>
      <c r="Q8" s="100">
        <f t="shared" si="0"/>
        <v>3.4373793639692111E-2</v>
      </c>
    </row>
    <row r="9" spans="1:25" ht="15" customHeight="1" x14ac:dyDescent="0.25">
      <c r="C9" s="20" t="s">
        <v>31</v>
      </c>
      <c r="D9" s="101">
        <f>'1.a Assumptions'!B29</f>
        <v>30</v>
      </c>
      <c r="E9" s="102"/>
    </row>
    <row r="10" spans="1:25" ht="15" customHeight="1" x14ac:dyDescent="0.25">
      <c r="C10" s="20" t="s">
        <v>76</v>
      </c>
      <c r="D10" s="48">
        <f ca="1">(1+G14)/(1+D8)-1</f>
        <v>2.46200857913208E-2</v>
      </c>
    </row>
    <row r="11" spans="1:25" ht="15" customHeight="1" x14ac:dyDescent="0.25"/>
    <row r="12" spans="1:25" ht="15" customHeight="1" x14ac:dyDescent="0.25"/>
    <row r="13" spans="1:25" ht="51.75" customHeight="1" x14ac:dyDescent="0.25">
      <c r="B13" s="108" t="s">
        <v>70</v>
      </c>
      <c r="C13" s="108" t="s">
        <v>21</v>
      </c>
      <c r="D13" s="108" t="s">
        <v>19</v>
      </c>
      <c r="E13" s="108" t="s">
        <v>22</v>
      </c>
      <c r="F13" s="108" t="s">
        <v>102</v>
      </c>
      <c r="G13" s="108" t="s">
        <v>20</v>
      </c>
      <c r="H13" s="108" t="s">
        <v>109</v>
      </c>
      <c r="I13" s="108" t="s">
        <v>110</v>
      </c>
      <c r="J13" s="108" t="s">
        <v>111</v>
      </c>
      <c r="K13" s="108" t="s">
        <v>44</v>
      </c>
      <c r="L13" s="108" t="s">
        <v>103</v>
      </c>
      <c r="M13" s="108" t="s">
        <v>93</v>
      </c>
      <c r="N13" s="110" t="s">
        <v>104</v>
      </c>
      <c r="O13" s="108" t="s">
        <v>101</v>
      </c>
      <c r="P13" s="108" t="s">
        <v>105</v>
      </c>
      <c r="Q13" s="108" t="s">
        <v>106</v>
      </c>
      <c r="R13" s="130" t="s">
        <v>126</v>
      </c>
      <c r="T13" s="107" t="s">
        <v>74</v>
      </c>
      <c r="U13" s="60" t="str">
        <f ca="1">IF(ABS(SUM(U14:U84))&lt;0.0001,"Pass","Check!")</f>
        <v>Pass</v>
      </c>
      <c r="W13" s="107" t="s">
        <v>107</v>
      </c>
      <c r="X13" s="107" t="s">
        <v>108</v>
      </c>
      <c r="Y13" s="60" t="str">
        <f ca="1">IF(ABS(SUM(Y14:Y84))&lt;0.0001,"Pass","Check!")</f>
        <v>Pass</v>
      </c>
    </row>
    <row r="14" spans="1:25" ht="15" customHeight="1" x14ac:dyDescent="0.25">
      <c r="B14" s="61">
        <v>0</v>
      </c>
      <c r="C14" s="62">
        <f>D4</f>
        <v>30</v>
      </c>
      <c r="D14" s="63">
        <f ca="1">D6</f>
        <v>0.05</v>
      </c>
      <c r="E14" s="64">
        <f>D7</f>
        <v>78000</v>
      </c>
      <c r="F14" s="65">
        <f ca="1">D8</f>
        <v>1.501035790919647E-2</v>
      </c>
      <c r="G14" s="66">
        <f t="shared" ref="G14" si="1">i</f>
        <v>0.04</v>
      </c>
      <c r="H14" s="103">
        <f ca="1">(1-(1+$D$10)^-($D$5-$D$9))/$D$10</f>
        <v>21.03671089968751</v>
      </c>
      <c r="I14" s="103">
        <f t="shared" ref="I14:I45" ca="1" si="2">IFERROR((1-(1+$D$10)^-($D$5-$C14))/$D$10,0)</f>
        <v>21.03671089968751</v>
      </c>
      <c r="J14" s="67">
        <f t="shared" ref="J14:J45" ca="1" si="3">IF($C14="","",
D14*($D$5-$D$9)*((1+F14)/(1+G14))^($D$5-$D$9)/$H$14)</f>
        <v>3.4373793639692111E-2</v>
      </c>
      <c r="K14" s="69">
        <f t="shared" ref="K14:K45" ca="1" si="4">IF($C15="",0,
J14*E14*(1+F14))</f>
        <v>2721.4010136238189</v>
      </c>
      <c r="L14" s="68">
        <f ca="1">IF($C14="",0,
IF($C14&gt;$D$5,D14*B14*E14,
D14*($D$5-$D$4)*E14*((1+F14)/(1+G14))^($D$5-C14)-J14*E14*I14))</f>
        <v>0</v>
      </c>
      <c r="M14" s="69">
        <f ca="1">IF($C14="",0,
D14*B14*E14*((1+F14)/(1+G14))^MAX(0,$D$5-C14))</f>
        <v>0</v>
      </c>
      <c r="N14" s="70"/>
      <c r="O14" s="71">
        <f ca="1">IF($C14="",0,
(K14)*Decrements!D11)</f>
        <v>2721.4010136238189</v>
      </c>
      <c r="P14" s="72">
        <f ca="1">M14*'1.a Assumptions'!$B$13*Decrements!E11</f>
        <v>0</v>
      </c>
      <c r="Q14" s="72">
        <f ca="1">L15*(Decrements!F11+Decrements!G11)</f>
        <v>0</v>
      </c>
      <c r="R14" s="72">
        <f ca="1">O14-L15*Decrements!D11</f>
        <v>-9.5496943686157465E-12</v>
      </c>
      <c r="T14" s="73">
        <f t="shared" ref="T14:T45" ca="1" si="5">IF($C15&lt;=$D$5,L15-L14*(1+i),"")</f>
        <v>2721.4010136238285</v>
      </c>
      <c r="U14" s="74">
        <f t="shared" ref="U14:U45" ca="1" si="6">IF(T14="","",T14-K14)</f>
        <v>9.5496943686157465E-12</v>
      </c>
      <c r="V14" s="104"/>
      <c r="W14" s="105">
        <f ca="1">IF(T14="","",J14/PUC_Projection!H16)</f>
        <v>1.391811917713965</v>
      </c>
      <c r="X14" s="105">
        <f t="shared" ref="X14:X45" ca="1" si="7">IF(T14="","",($D$5-$D$9)/$H$14*(1+$D$10)^-(C14-$D$9+1))</f>
        <v>1.3918119177139656</v>
      </c>
      <c r="Y14" s="106">
        <f ca="1">IF(T14="","",W14-X14)</f>
        <v>-6.6613381477509392E-16</v>
      </c>
    </row>
    <row r="15" spans="1:25" ht="15" customHeight="1" x14ac:dyDescent="0.25">
      <c r="B15" s="61">
        <f ca="1">IF($C15="","",B14+1)</f>
        <v>1</v>
      </c>
      <c r="C15" s="75">
        <f ca="1">IF(C14="","",IF($D$2="A",IF(C14+1&gt;$D$5+15,"",C14+1),IF(C14+1&gt;$D$5,"",C14+1)))</f>
        <v>31</v>
      </c>
      <c r="D15" s="76">
        <f ca="1">IF($C15="","",D14)</f>
        <v>0.05</v>
      </c>
      <c r="E15" s="77">
        <f ca="1">IF($C15="","",E14*(1+F14))</f>
        <v>79170.807916917329</v>
      </c>
      <c r="F15" s="66">
        <f ca="1">IF($C15="","",F14)</f>
        <v>1.501035790919647E-2</v>
      </c>
      <c r="G15" s="66">
        <f ca="1">IF($C15="","",G14)</f>
        <v>0.04</v>
      </c>
      <c r="I15" s="103">
        <f t="shared" ca="1" si="2"/>
        <v>20.554636526805034</v>
      </c>
      <c r="J15" s="67">
        <f t="shared" ca="1" si="3"/>
        <v>3.4373793639692111E-2</v>
      </c>
      <c r="K15" s="69">
        <f t="shared" ca="1" si="4"/>
        <v>2762.2502168527626</v>
      </c>
      <c r="L15" s="68">
        <f t="shared" ref="L15:L78" ca="1" si="8">IF($C15="",0,
IF($C15&gt;$D$5,D15*B15*E15,
D15*($D$5-$D$4)*E15*((1+F15)/(1+G15))^($D$5-C15)-J15*E15*I15))</f>
        <v>2721.4010136238285</v>
      </c>
      <c r="M15" s="69">
        <f t="shared" ref="M15:M78" ca="1" si="9">IF($C15="",0,
D15*B15*E15*((1+F15)/(1+G15))^MAX(0,$D$5-C15))</f>
        <v>1955.2936564113406</v>
      </c>
      <c r="N15" s="70"/>
      <c r="O15" s="71">
        <f ca="1">IF($C15="",0,
K15*Decrements!D12+(O14-P14-Q14)*(1+G14))</f>
        <v>5454.3947601788968</v>
      </c>
      <c r="P15" s="72">
        <f ca="1">M15*'1.a Assumptions'!$B$13*Decrements!E12</f>
        <v>69.657336509654016</v>
      </c>
      <c r="Q15" s="72">
        <f ca="1">L16*(Decrements!F12+Decrements!G12)</f>
        <v>0</v>
      </c>
      <c r="R15" s="72">
        <f ca="1">O15-L16*Decrements!D12</f>
        <v>141.51285270842072</v>
      </c>
      <c r="T15" s="73">
        <f t="shared" ca="1" si="5"/>
        <v>2762.2502168527717</v>
      </c>
      <c r="U15" s="74">
        <f t="shared" ca="1" si="6"/>
        <v>9.0949470177292824E-12</v>
      </c>
      <c r="V15" s="104"/>
      <c r="W15" s="105">
        <f ca="1">IF(T15="","",J15/PUC_Projection!H17)</f>
        <v>1.3583687622510932</v>
      </c>
      <c r="X15" s="105">
        <f t="shared" ca="1" si="7"/>
        <v>1.3583687622510934</v>
      </c>
      <c r="Y15" s="106">
        <f t="shared" ref="Y15:Y78" ca="1" si="10">IF(T15="","",W15-X15)</f>
        <v>-2.2204460492503131E-16</v>
      </c>
    </row>
    <row r="16" spans="1:25" ht="15" customHeight="1" x14ac:dyDescent="0.25">
      <c r="B16" s="61">
        <f t="shared" ref="B16:B79" ca="1" si="11">IF($C16="","",B15+1)</f>
        <v>2</v>
      </c>
      <c r="C16" s="75">
        <f t="shared" ref="C16:C79" ca="1" si="12">IF(C15="","",IF($D$2="A",IF(C15+1&gt;$D$5+15,"",C15+1),IF(C15+1&gt;$D$5,"",C15+1)))</f>
        <v>32</v>
      </c>
      <c r="D16" s="76">
        <f t="shared" ref="D16:D79" ca="1" si="13">IF($C16="","",D15)</f>
        <v>0.05</v>
      </c>
      <c r="E16" s="77">
        <f t="shared" ref="E16:E79" ca="1" si="14">IF($C16="","",E15*(1+F15))</f>
        <v>80359.190079710505</v>
      </c>
      <c r="F16" s="66">
        <f t="shared" ref="F16:G31" ca="1" si="15">IF($C16="","",F15)</f>
        <v>1.501035790919647E-2</v>
      </c>
      <c r="G16" s="66">
        <f t="shared" ca="1" si="15"/>
        <v>0.04</v>
      </c>
      <c r="I16" s="103">
        <f t="shared" ca="1" si="2"/>
        <v>20.060693441504387</v>
      </c>
      <c r="J16" s="67">
        <f t="shared" ca="1" si="3"/>
        <v>3.4373793639692111E-2</v>
      </c>
      <c r="K16" s="69">
        <f t="shared" ca="1" si="4"/>
        <v>2803.7125812424779</v>
      </c>
      <c r="L16" s="68">
        <f t="shared" ca="1" si="8"/>
        <v>5592.5072710215536</v>
      </c>
      <c r="M16" s="69">
        <f t="shared" ca="1" si="9"/>
        <v>4067.0108053355884</v>
      </c>
      <c r="N16" s="70"/>
      <c r="O16" s="71">
        <f ca="1">IF($C16="",0,
K16*Decrements!D13+(O15-P15-Q15)*(1+G15))</f>
        <v>8130.4775251873489</v>
      </c>
      <c r="P16" s="72">
        <f ca="1">M16*'1.a Assumptions'!$B$13*Decrements!E13</f>
        <v>137.64289694307632</v>
      </c>
      <c r="Q16" s="72">
        <f ca="1">L17*(Decrements!F13+Decrements!G13)</f>
        <v>0</v>
      </c>
      <c r="R16" s="72">
        <f ca="1">O16-L17*Decrements!D13</f>
        <v>350.99959603518346</v>
      </c>
      <c r="T16" s="73">
        <f t="shared" ca="1" si="5"/>
        <v>2803.7125812424774</v>
      </c>
      <c r="U16" s="74">
        <f t="shared" ca="1" si="6"/>
        <v>-4.5474735088646412E-13</v>
      </c>
      <c r="V16" s="104"/>
      <c r="W16" s="105">
        <f ca="1">IF(T16="","",J16/PUC_Projection!H18)</f>
        <v>1.3257291957164943</v>
      </c>
      <c r="X16" s="105">
        <f t="shared" ca="1" si="7"/>
        <v>1.3257291957164947</v>
      </c>
      <c r="Y16" s="106">
        <f t="shared" ca="1" si="10"/>
        <v>-4.4408920985006262E-16</v>
      </c>
    </row>
    <row r="17" spans="2:25" ht="15" customHeight="1" x14ac:dyDescent="0.25">
      <c r="B17" s="61">
        <f t="shared" ca="1" si="11"/>
        <v>3</v>
      </c>
      <c r="C17" s="75">
        <f t="shared" ca="1" si="12"/>
        <v>33</v>
      </c>
      <c r="D17" s="76">
        <f t="shared" ca="1" si="13"/>
        <v>0.05</v>
      </c>
      <c r="E17" s="77">
        <f t="shared" ca="1" si="14"/>
        <v>81565.410284100115</v>
      </c>
      <c r="F17" s="66">
        <f t="shared" ca="1" si="15"/>
        <v>1.501035790919647E-2</v>
      </c>
      <c r="G17" s="66">
        <f t="shared" ca="1" si="15"/>
        <v>0.04</v>
      </c>
      <c r="I17" s="103">
        <f t="shared" ca="1" si="2"/>
        <v>19.554589435067612</v>
      </c>
      <c r="J17" s="67">
        <f t="shared" ca="1" si="3"/>
        <v>3.4373793639692111E-2</v>
      </c>
      <c r="K17" s="69">
        <f t="shared" ca="1" si="4"/>
        <v>2845.7973105614446</v>
      </c>
      <c r="L17" s="68">
        <f t="shared" ca="1" si="8"/>
        <v>8619.9201431048932</v>
      </c>
      <c r="M17" s="69">
        <f t="shared" ca="1" si="9"/>
        <v>6344.5368563235206</v>
      </c>
      <c r="N17" s="70"/>
      <c r="O17" s="71">
        <f ca="1">IF($C17="",0,
K17*Decrements!D14+(O16-P16-Q16)*(1+G16))</f>
        <v>10752.463482516663</v>
      </c>
      <c r="P17" s="72">
        <f ca="1">M17*'1.a Assumptions'!$B$13*Decrements!E14</f>
        <v>203.9867732696392</v>
      </c>
      <c r="Q17" s="72">
        <f ca="1">L18*(Decrements!F14+Decrements!G14)</f>
        <v>0</v>
      </c>
      <c r="R17" s="72">
        <f ca="1">O17-L18*Decrements!D14</f>
        <v>626.42381937171194</v>
      </c>
      <c r="T17" s="73">
        <f t="shared" ca="1" si="5"/>
        <v>2845.7973105614365</v>
      </c>
      <c r="U17" s="74">
        <f t="shared" ca="1" si="6"/>
        <v>-8.1854523159563541E-12</v>
      </c>
      <c r="V17" s="104"/>
      <c r="W17" s="105">
        <f ca="1">IF(T17="","",J17/PUC_Projection!H19)</f>
        <v>1.2938739090719904</v>
      </c>
      <c r="X17" s="105">
        <f t="shared" ca="1" si="7"/>
        <v>1.2938739090719904</v>
      </c>
      <c r="Y17" s="106">
        <f t="shared" ca="1" si="10"/>
        <v>0</v>
      </c>
    </row>
    <row r="18" spans="2:25" ht="15" customHeight="1" x14ac:dyDescent="0.25">
      <c r="B18" s="61">
        <f t="shared" ca="1" si="11"/>
        <v>4</v>
      </c>
      <c r="C18" s="75">
        <f t="shared" ca="1" si="12"/>
        <v>34</v>
      </c>
      <c r="D18" s="76">
        <f t="shared" ca="1" si="13"/>
        <v>0.05</v>
      </c>
      <c r="E18" s="77">
        <f t="shared" ca="1" si="14"/>
        <v>82789.736285474908</v>
      </c>
      <c r="F18" s="66">
        <f t="shared" ca="1" si="15"/>
        <v>1.501035790919647E-2</v>
      </c>
      <c r="G18" s="66">
        <f t="shared" ca="1" si="15"/>
        <v>0.04</v>
      </c>
      <c r="I18" s="103">
        <f t="shared" ca="1" si="2"/>
        <v>19.036025104573032</v>
      </c>
      <c r="J18" s="67">
        <f t="shared" ca="1" si="3"/>
        <v>3.4373793639692111E-2</v>
      </c>
      <c r="K18" s="69">
        <f t="shared" ca="1" si="4"/>
        <v>2888.5137467300005</v>
      </c>
      <c r="L18" s="68">
        <f t="shared" ca="1" si="8"/>
        <v>11810.514259390526</v>
      </c>
      <c r="M18" s="69">
        <f t="shared" ca="1" si="9"/>
        <v>8797.7577741019486</v>
      </c>
      <c r="N18" s="70"/>
      <c r="O18" s="71">
        <f ca="1">IF($C18="",0,
K18*Decrements!D15+(O17-P17-Q17)*(1+G17))</f>
        <v>13323.12827753941</v>
      </c>
      <c r="P18" s="72">
        <f ca="1">M18*'1.a Assumptions'!$B$13*Decrements!E15</f>
        <v>268.7185759872047</v>
      </c>
      <c r="Q18" s="72">
        <f ca="1">L19*(Decrements!F15+Decrements!G15)</f>
        <v>0</v>
      </c>
      <c r="R18" s="72">
        <f ca="1">O18-L19*Decrements!D15</f>
        <v>965.88859042969307</v>
      </c>
      <c r="T18" s="73">
        <f t="shared" ca="1" si="5"/>
        <v>2888.5137467300028</v>
      </c>
      <c r="U18" s="74">
        <f t="shared" ca="1" si="6"/>
        <v>2.2737367544323206E-12</v>
      </c>
      <c r="V18" s="104"/>
      <c r="W18" s="105">
        <f ca="1">IF(T18="","",J18/PUC_Projection!H20)</f>
        <v>1.2627840572466651</v>
      </c>
      <c r="X18" s="105">
        <f t="shared" ca="1" si="7"/>
        <v>1.2627840572466655</v>
      </c>
      <c r="Y18" s="106">
        <f t="shared" ca="1" si="10"/>
        <v>-4.4408920985006262E-16</v>
      </c>
    </row>
    <row r="19" spans="2:25" ht="15" customHeight="1" x14ac:dyDescent="0.25">
      <c r="B19" s="61">
        <f t="shared" ca="1" si="11"/>
        <v>5</v>
      </c>
      <c r="C19" s="75">
        <f t="shared" ca="1" si="12"/>
        <v>35</v>
      </c>
      <c r="D19" s="76">
        <f t="shared" ca="1" si="13"/>
        <v>0.05</v>
      </c>
      <c r="E19" s="77">
        <f t="shared" ca="1" si="14"/>
        <v>84032.439858327882</v>
      </c>
      <c r="F19" s="66">
        <f t="shared" ca="1" si="15"/>
        <v>1.501035790919647E-2</v>
      </c>
      <c r="G19" s="66">
        <f t="shared" ca="1" si="15"/>
        <v>0.04</v>
      </c>
      <c r="I19" s="103">
        <f t="shared" ca="1" si="2"/>
        <v>18.504693675773357</v>
      </c>
      <c r="J19" s="67">
        <f t="shared" ca="1" si="3"/>
        <v>3.4373793639692111E-2</v>
      </c>
      <c r="K19" s="69">
        <f t="shared" ca="1" si="4"/>
        <v>2931.8713718940526</v>
      </c>
      <c r="L19" s="68">
        <f t="shared" ca="1" si="8"/>
        <v>15171.44857649615</v>
      </c>
      <c r="M19" s="69">
        <f t="shared" ca="1" si="9"/>
        <v>11437.085106332535</v>
      </c>
      <c r="N19" s="70"/>
      <c r="O19" s="71">
        <f ca="1">IF($C19="",0,
K19*Decrements!D16+(O18-P18-Q18)*(1+G18))</f>
        <v>15845.212268387886</v>
      </c>
      <c r="P19" s="72">
        <f ca="1">M19*'1.a Assumptions'!$B$13*Decrements!E16</f>
        <v>331.86744134419786</v>
      </c>
      <c r="Q19" s="72">
        <f ca="1">L20*(Decrements!F16+Decrements!G16)</f>
        <v>0</v>
      </c>
      <c r="R19" s="72">
        <f ca="1">O19-L20*Decrements!D16</f>
        <v>1367.6332787498905</v>
      </c>
      <c r="T19" s="73">
        <f t="shared" ca="1" si="5"/>
        <v>2931.871371894058</v>
      </c>
      <c r="U19" s="74">
        <f t="shared" ca="1" si="6"/>
        <v>5.4569682106375694E-12</v>
      </c>
      <c r="V19" s="104"/>
      <c r="W19" s="105">
        <f ca="1">IF(T19="","",J19/PUC_Projection!H21)</f>
        <v>1.2324412479884277</v>
      </c>
      <c r="X19" s="105">
        <f t="shared" ca="1" si="7"/>
        <v>1.2324412479884277</v>
      </c>
      <c r="Y19" s="106">
        <f t="shared" ca="1" si="10"/>
        <v>0</v>
      </c>
    </row>
    <row r="20" spans="2:25" ht="15" customHeight="1" x14ac:dyDescent="0.25">
      <c r="B20" s="61">
        <f t="shared" ca="1" si="11"/>
        <v>6</v>
      </c>
      <c r="C20" s="75">
        <f t="shared" ca="1" si="12"/>
        <v>36</v>
      </c>
      <c r="D20" s="76">
        <f t="shared" ca="1" si="13"/>
        <v>0.05</v>
      </c>
      <c r="E20" s="77">
        <f t="shared" ca="1" si="14"/>
        <v>85293.796856584406</v>
      </c>
      <c r="F20" s="66">
        <f t="shared" ca="1" si="15"/>
        <v>1.501035790919647E-2</v>
      </c>
      <c r="G20" s="66">
        <f t="shared" ca="1" si="15"/>
        <v>0.04</v>
      </c>
      <c r="I20" s="103">
        <f t="shared" ca="1" si="2"/>
        <v>17.960280821613008</v>
      </c>
      <c r="J20" s="67">
        <f t="shared" ca="1" si="3"/>
        <v>3.4373793639692111E-2</v>
      </c>
      <c r="K20" s="69">
        <f t="shared" ca="1" si="4"/>
        <v>2975.8798105299088</v>
      </c>
      <c r="L20" s="68">
        <f t="shared" ca="1" si="8"/>
        <v>18710.177891450054</v>
      </c>
      <c r="M20" s="69">
        <f t="shared" ca="1" si="9"/>
        <v>14273.482212703004</v>
      </c>
      <c r="N20" s="70"/>
      <c r="O20" s="71">
        <f ca="1">IF($C20="",0,
K20*Decrements!D17+(O19-P19-Q19)*(1+G19))</f>
        <v>18321.423736320634</v>
      </c>
      <c r="P20" s="72">
        <f ca="1">M20*'1.a Assumptions'!$B$13*Decrements!E17</f>
        <v>393.46203845768099</v>
      </c>
      <c r="Q20" s="72">
        <f ca="1">L21*(Decrements!F17+Decrements!G17)</f>
        <v>0</v>
      </c>
      <c r="R20" s="72">
        <f ca="1">O20-L21*Decrements!D17</f>
        <v>1830.0305783630974</v>
      </c>
      <c r="T20" s="73">
        <f t="shared" ca="1" si="5"/>
        <v>2975.8798105299065</v>
      </c>
      <c r="U20" s="74">
        <f t="shared" ca="1" si="6"/>
        <v>-2.2737367544323206E-12</v>
      </c>
      <c r="V20" s="104"/>
      <c r="W20" s="105">
        <f ca="1">IF(T20="","",J20/PUC_Projection!H22)</f>
        <v>1.2028275309834526</v>
      </c>
      <c r="X20" s="105">
        <f t="shared" ca="1" si="7"/>
        <v>1.2028275309834529</v>
      </c>
      <c r="Y20" s="106">
        <f t="shared" ca="1" si="10"/>
        <v>-2.2204460492503131E-16</v>
      </c>
    </row>
    <row r="21" spans="2:25" ht="15" customHeight="1" x14ac:dyDescent="0.25">
      <c r="B21" s="61">
        <f t="shared" ca="1" si="11"/>
        <v>7</v>
      </c>
      <c r="C21" s="75">
        <f t="shared" ca="1" si="12"/>
        <v>37</v>
      </c>
      <c r="D21" s="76">
        <f t="shared" ca="1" si="13"/>
        <v>0.05</v>
      </c>
      <c r="E21" s="77">
        <f t="shared" ca="1" si="14"/>
        <v>86574.087274836042</v>
      </c>
      <c r="F21" s="66">
        <f t="shared" ca="1" si="15"/>
        <v>1.501035790919647E-2</v>
      </c>
      <c r="G21" s="66">
        <f t="shared" ca="1" si="15"/>
        <v>0.04</v>
      </c>
      <c r="I21" s="103">
        <f t="shared" ca="1" si="2"/>
        <v>17.402464476277331</v>
      </c>
      <c r="J21" s="67">
        <f t="shared" ca="1" si="3"/>
        <v>3.4373793639692111E-2</v>
      </c>
      <c r="K21" s="69">
        <f t="shared" ca="1" si="4"/>
        <v>3020.5488315807147</v>
      </c>
      <c r="L21" s="68">
        <f t="shared" ca="1" si="8"/>
        <v>22434.464817637963</v>
      </c>
      <c r="M21" s="69">
        <f t="shared" ca="1" si="9"/>
        <v>17318.491751412977</v>
      </c>
      <c r="N21" s="70"/>
      <c r="O21" s="71">
        <f ca="1">IF($C21="",0,
K21*Decrements!D18+(O20-P20-Q20)*(1+G20))</f>
        <v>20754.442069542685</v>
      </c>
      <c r="P21" s="72">
        <f ca="1">M21*'1.a Assumptions'!$B$13*Decrements!E18</f>
        <v>453.53057632888698</v>
      </c>
      <c r="Q21" s="72">
        <f ca="1">L22*(Decrements!F18+Decrements!G18)</f>
        <v>0</v>
      </c>
      <c r="R21" s="72">
        <f ca="1">O21-L22*Decrements!D18</f>
        <v>2351.5837257154417</v>
      </c>
      <c r="T21" s="73">
        <f t="shared" ca="1" si="5"/>
        <v>3020.5488315806906</v>
      </c>
      <c r="U21" s="74">
        <f t="shared" ca="1" si="6"/>
        <v>-2.4101609596982598E-11</v>
      </c>
      <c r="V21" s="104"/>
      <c r="W21" s="105">
        <f ca="1">IF(T21="","",J21/PUC_Projection!H23)</f>
        <v>1.1739253872370665</v>
      </c>
      <c r="X21" s="105">
        <f t="shared" ca="1" si="7"/>
        <v>1.1739253872370665</v>
      </c>
      <c r="Y21" s="106">
        <f t="shared" ca="1" si="10"/>
        <v>0</v>
      </c>
    </row>
    <row r="22" spans="2:25" ht="15" customHeight="1" x14ac:dyDescent="0.25">
      <c r="B22" s="61">
        <f t="shared" ca="1" si="11"/>
        <v>8</v>
      </c>
      <c r="C22" s="75">
        <f t="shared" ca="1" si="12"/>
        <v>38</v>
      </c>
      <c r="D22" s="76">
        <f t="shared" ca="1" si="13"/>
        <v>0.05</v>
      </c>
      <c r="E22" s="77">
        <f t="shared" ca="1" si="14"/>
        <v>87873.595310493343</v>
      </c>
      <c r="F22" s="66">
        <f t="shared" ca="1" si="15"/>
        <v>1.501035790919647E-2</v>
      </c>
      <c r="G22" s="66">
        <f t="shared" ca="1" si="15"/>
        <v>0.04</v>
      </c>
      <c r="I22" s="103">
        <f t="shared" ca="1" si="2"/>
        <v>16.830914644663697</v>
      </c>
      <c r="J22" s="67">
        <f t="shared" ca="1" si="3"/>
        <v>3.4373793639692111E-2</v>
      </c>
      <c r="K22" s="69">
        <f t="shared" ca="1" si="4"/>
        <v>3065.8883506249463</v>
      </c>
      <c r="L22" s="68">
        <f t="shared" ca="1" si="8"/>
        <v>26352.392241924172</v>
      </c>
      <c r="M22" s="69">
        <f t="shared" ca="1" si="9"/>
        <v>20584.264481679427</v>
      </c>
      <c r="N22" s="70"/>
      <c r="O22" s="71">
        <f ca="1">IF($C22="",0,
K22*Decrements!D19+(O21-P21-Q21)*(1+G21))</f>
        <v>23146.920924798065</v>
      </c>
      <c r="P22" s="72">
        <f ca="1">M22*'1.a Assumptions'!$B$13*Decrements!E19</f>
        <v>512.10081075764617</v>
      </c>
      <c r="Q22" s="72">
        <f ca="1">L23*(Decrements!F19+Decrements!G19)</f>
        <v>0</v>
      </c>
      <c r="R22" s="72">
        <f ca="1">O22-L23*Decrements!D19</f>
        <v>2930.9239092410098</v>
      </c>
      <c r="T22" s="73">
        <f t="shared" ca="1" si="5"/>
        <v>3065.8883506249804</v>
      </c>
      <c r="U22" s="74">
        <f t="shared" ca="1" si="6"/>
        <v>3.4106051316484809E-11</v>
      </c>
      <c r="V22" s="104"/>
      <c r="W22" s="105">
        <f ca="1">IF(T22="","",J22/PUC_Projection!H24)</f>
        <v>1.1457177187097949</v>
      </c>
      <c r="X22" s="105">
        <f t="shared" ca="1" si="7"/>
        <v>1.1457177187097951</v>
      </c>
      <c r="Y22" s="106">
        <f t="shared" ca="1" si="10"/>
        <v>-2.2204460492503131E-16</v>
      </c>
    </row>
    <row r="23" spans="2:25" ht="15" customHeight="1" x14ac:dyDescent="0.25">
      <c r="B23" s="61">
        <f t="shared" ca="1" si="11"/>
        <v>9</v>
      </c>
      <c r="C23" s="75">
        <f t="shared" ca="1" si="12"/>
        <v>39</v>
      </c>
      <c r="D23" s="76">
        <f t="shared" ca="1" si="13"/>
        <v>0.05</v>
      </c>
      <c r="E23" s="77">
        <f t="shared" ca="1" si="14"/>
        <v>89192.609426871742</v>
      </c>
      <c r="F23" s="66">
        <f t="shared" ca="1" si="15"/>
        <v>1.501035790919647E-2</v>
      </c>
      <c r="G23" s="66">
        <f t="shared" ca="1" si="15"/>
        <v>0.04</v>
      </c>
      <c r="I23" s="103">
        <f t="shared" ca="1" si="2"/>
        <v>16.245293207161708</v>
      </c>
      <c r="J23" s="67">
        <f t="shared" ca="1" si="3"/>
        <v>3.4373793639692111E-2</v>
      </c>
      <c r="K23" s="69">
        <f t="shared" ca="1" si="4"/>
        <v>3111.9084320774632</v>
      </c>
      <c r="L23" s="68">
        <f t="shared" ca="1" si="8"/>
        <v>30472.37628222612</v>
      </c>
      <c r="M23" s="69">
        <f t="shared" ca="1" si="9"/>
        <v>24083.589443564935</v>
      </c>
      <c r="N23" s="70"/>
      <c r="O23" s="71">
        <f ca="1">IF($C23="",0,
K23*Decrements!D20+(O22-P22-Q22)*(1+G22))</f>
        <v>25501.491371035896</v>
      </c>
      <c r="P23" s="72">
        <f ca="1">M23*'1.a Assumptions'!$B$13*Decrements!E20</f>
        <v>569.20005115712388</v>
      </c>
      <c r="Q23" s="72">
        <f ca="1">L24*(Decrements!F20+Decrements!G20)</f>
        <v>0</v>
      </c>
      <c r="R23" s="72">
        <f ca="1">O23-L24*Decrements!D20</f>
        <v>3566.8078672316733</v>
      </c>
      <c r="T23" s="73">
        <f t="shared" ca="1" si="5"/>
        <v>3111.9084320774637</v>
      </c>
      <c r="U23" s="74">
        <f t="shared" ca="1" si="6"/>
        <v>4.5474735088646412E-13</v>
      </c>
      <c r="V23" s="104"/>
      <c r="W23" s="105">
        <f ca="1">IF(T23="","",J23/PUC_Projection!H25)</f>
        <v>1.1181878382024393</v>
      </c>
      <c r="X23" s="105">
        <f t="shared" ca="1" si="7"/>
        <v>1.1181878382024395</v>
      </c>
      <c r="Y23" s="106">
        <f t="shared" ca="1" si="10"/>
        <v>-2.2204460492503131E-16</v>
      </c>
    </row>
    <row r="24" spans="2:25" ht="15" customHeight="1" x14ac:dyDescent="0.25">
      <c r="B24" s="61">
        <f t="shared" ca="1" si="11"/>
        <v>10</v>
      </c>
      <c r="C24" s="75">
        <f t="shared" ca="1" si="12"/>
        <v>40</v>
      </c>
      <c r="D24" s="76">
        <f t="shared" ca="1" si="13"/>
        <v>0.05</v>
      </c>
      <c r="E24" s="77">
        <f t="shared" ca="1" si="14"/>
        <v>90531.422417224254</v>
      </c>
      <c r="F24" s="66">
        <f t="shared" ca="1" si="15"/>
        <v>1.501035790919647E-2</v>
      </c>
      <c r="G24" s="66">
        <f t="shared" ca="1" si="15"/>
        <v>0.04</v>
      </c>
      <c r="I24" s="103">
        <f t="shared" ca="1" si="2"/>
        <v>15.645253719627194</v>
      </c>
      <c r="J24" s="67">
        <f t="shared" ca="1" si="3"/>
        <v>3.4373793639692111E-2</v>
      </c>
      <c r="K24" s="69">
        <f t="shared" ca="1" si="4"/>
        <v>3158.6192914235917</v>
      </c>
      <c r="L24" s="68">
        <f t="shared" ca="1" si="8"/>
        <v>34803.179765592628</v>
      </c>
      <c r="M24" s="69">
        <f t="shared" ca="1" si="9"/>
        <v>27829.925579230596</v>
      </c>
      <c r="N24" s="70"/>
      <c r="O24" s="71">
        <f ca="1">IF($C24="",0,
K24*Decrements!D21+(O23-P23-Q23)*(1+G23))</f>
        <v>27820.765019440183</v>
      </c>
      <c r="P24" s="72">
        <f ca="1">M24*'1.a Assumptions'!$B$13*Decrements!E21</f>
        <v>624.85516727026493</v>
      </c>
      <c r="Q24" s="72">
        <f ca="1">L25*(Decrements!F21+Decrements!G21)</f>
        <v>0</v>
      </c>
      <c r="R24" s="72">
        <f ca="1">O24-L25*Decrements!D21</f>
        <v>4258.1156709153438</v>
      </c>
      <c r="T24" s="73">
        <f t="shared" ca="1" si="5"/>
        <v>3158.6192914236017</v>
      </c>
      <c r="U24" s="74">
        <f t="shared" ca="1" si="6"/>
        <v>1.0004441719502211E-11</v>
      </c>
      <c r="V24" s="104"/>
      <c r="W24" s="105">
        <f ca="1">IF(T24="","",J24/PUC_Projection!H26)</f>
        <v>1.0913194594842004</v>
      </c>
      <c r="X24" s="105">
        <f t="shared" ca="1" si="7"/>
        <v>1.0913194594842006</v>
      </c>
      <c r="Y24" s="106">
        <f t="shared" ca="1" si="10"/>
        <v>-2.2204460492503131E-16</v>
      </c>
    </row>
    <row r="25" spans="2:25" ht="15" customHeight="1" x14ac:dyDescent="0.25">
      <c r="B25" s="61">
        <f t="shared" ca="1" si="11"/>
        <v>11</v>
      </c>
      <c r="C25" s="75">
        <f t="shared" ca="1" si="12"/>
        <v>41</v>
      </c>
      <c r="D25" s="76">
        <f t="shared" ca="1" si="13"/>
        <v>0.05</v>
      </c>
      <c r="E25" s="77">
        <f t="shared" ca="1" si="14"/>
        <v>91890.331469735436</v>
      </c>
      <c r="F25" s="66">
        <f t="shared" ca="1" si="15"/>
        <v>1.501035790919647E-2</v>
      </c>
      <c r="G25" s="66">
        <f t="shared" ca="1" si="15"/>
        <v>0.04</v>
      </c>
      <c r="I25" s="103">
        <f t="shared" ca="1" si="2"/>
        <v>15.030441208431395</v>
      </c>
      <c r="J25" s="67">
        <f t="shared" ca="1" si="3"/>
        <v>3.4373793639692111E-2</v>
      </c>
      <c r="K25" s="69">
        <f t="shared" ca="1" si="4"/>
        <v>3206.0312974867525</v>
      </c>
      <c r="L25" s="68">
        <f t="shared" ca="1" si="8"/>
        <v>39353.926247639938</v>
      </c>
      <c r="M25" s="69">
        <f t="shared" ca="1" si="9"/>
        <v>31837.434862639806</v>
      </c>
      <c r="N25" s="70"/>
      <c r="O25" s="71">
        <f ca="1">IF($C25="",0,
K25*Decrements!D22+(O24-P24-Q24)*(1+G24))</f>
        <v>30107.337144108402</v>
      </c>
      <c r="P25" s="72">
        <f ca="1">M25*'1.a Assumptions'!$B$13*Decrements!E22</f>
        <v>679.09259578932392</v>
      </c>
      <c r="Q25" s="72">
        <f ca="1">L26*(Decrements!F22+Decrements!G22)</f>
        <v>0</v>
      </c>
      <c r="R25" s="72">
        <f ca="1">O25-L26*Decrements!D22</f>
        <v>5003.8486899141863</v>
      </c>
      <c r="T25" s="73">
        <f t="shared" ca="1" si="5"/>
        <v>3206.0312974867338</v>
      </c>
      <c r="U25" s="74">
        <f t="shared" ca="1" si="6"/>
        <v>-1.8644641386345029E-11</v>
      </c>
      <c r="V25" s="104"/>
      <c r="W25" s="105">
        <f ca="1">IF(T25="","",J25/PUC_Projection!H27)</f>
        <v>1.0650966876580088</v>
      </c>
      <c r="X25" s="105">
        <f t="shared" ca="1" si="7"/>
        <v>1.0650966876580088</v>
      </c>
      <c r="Y25" s="106">
        <f t="shared" ca="1" si="10"/>
        <v>0</v>
      </c>
    </row>
    <row r="26" spans="2:25" ht="15" customHeight="1" x14ac:dyDescent="0.25">
      <c r="B26" s="61">
        <f t="shared" ca="1" si="11"/>
        <v>12</v>
      </c>
      <c r="C26" s="75">
        <f t="shared" ca="1" si="12"/>
        <v>42</v>
      </c>
      <c r="D26" s="76">
        <f t="shared" ca="1" si="13"/>
        <v>0.05</v>
      </c>
      <c r="E26" s="77">
        <f t="shared" ca="1" si="14"/>
        <v>93269.63823349087</v>
      </c>
      <c r="F26" s="66">
        <f t="shared" ca="1" si="15"/>
        <v>1.501035790919647E-2</v>
      </c>
      <c r="G26" s="66">
        <f t="shared" ca="1" si="15"/>
        <v>0.04</v>
      </c>
      <c r="I26" s="103">
        <f t="shared" ca="1" si="2"/>
        <v>14.400491960464382</v>
      </c>
      <c r="J26" s="67">
        <f t="shared" ca="1" si="3"/>
        <v>3.4373793639692111E-2</v>
      </c>
      <c r="K26" s="69">
        <f t="shared" ca="1" si="4"/>
        <v>3254.1549747301142</v>
      </c>
      <c r="L26" s="68">
        <f t="shared" ca="1" si="8"/>
        <v>44134.114595032268</v>
      </c>
      <c r="M26" s="69">
        <f t="shared" ca="1" si="9"/>
        <v>36121.017007794988</v>
      </c>
      <c r="N26" s="70"/>
      <c r="O26" s="71">
        <f ca="1">IF($C26="",0,
K26*Decrements!D23+(O25-P25-Q25)*(1+G25))</f>
        <v>32363.789797664813</v>
      </c>
      <c r="P26" s="72">
        <f ca="1">M26*'1.a Assumptions'!$B$13*Decrements!E23</f>
        <v>731.93834687983883</v>
      </c>
      <c r="Q26" s="72">
        <f ca="1">L27*(Decrements!F23+Decrements!G23)</f>
        <v>0</v>
      </c>
      <c r="R26" s="72">
        <f ca="1">O26-L27*Decrements!D23</f>
        <v>5803.1277375079517</v>
      </c>
      <c r="T26" s="73">
        <f t="shared" ca="1" si="5"/>
        <v>3254.1549747301324</v>
      </c>
      <c r="U26" s="74">
        <f t="shared" ca="1" si="6"/>
        <v>1.8189894035458565E-11</v>
      </c>
      <c r="V26" s="104"/>
      <c r="W26" s="105">
        <f ca="1">IF(T26="","",J26/PUC_Projection!H28)</f>
        <v>1.0395040097573607</v>
      </c>
      <c r="X26" s="105">
        <f t="shared" ca="1" si="7"/>
        <v>1.0395040097573607</v>
      </c>
      <c r="Y26" s="106">
        <f t="shared" ca="1" si="10"/>
        <v>0</v>
      </c>
    </row>
    <row r="27" spans="2:25" ht="15" customHeight="1" x14ac:dyDescent="0.25">
      <c r="B27" s="61">
        <f t="shared" ca="1" si="11"/>
        <v>13</v>
      </c>
      <c r="C27" s="75">
        <f t="shared" ca="1" si="12"/>
        <v>43</v>
      </c>
      <c r="D27" s="76">
        <f t="shared" ca="1" si="13"/>
        <v>0.05</v>
      </c>
      <c r="E27" s="77">
        <f t="shared" ca="1" si="14"/>
        <v>94669.648885436836</v>
      </c>
      <c r="F27" s="66">
        <f t="shared" ca="1" si="15"/>
        <v>1.501035790919647E-2</v>
      </c>
      <c r="G27" s="66">
        <f t="shared" ca="1" si="15"/>
        <v>0.04</v>
      </c>
      <c r="I27" s="103">
        <f t="shared" ca="1" si="2"/>
        <v>13.75503330796824</v>
      </c>
      <c r="J27" s="67">
        <f t="shared" ca="1" si="3"/>
        <v>3.4373793639692111E-2</v>
      </c>
      <c r="K27" s="69">
        <f t="shared" ca="1" si="4"/>
        <v>3303.0010055928055</v>
      </c>
      <c r="L27" s="68">
        <f t="shared" ca="1" si="8"/>
        <v>49153.634153563689</v>
      </c>
      <c r="M27" s="69">
        <f t="shared" ca="1" si="9"/>
        <v>40696.345828782345</v>
      </c>
      <c r="N27" s="70"/>
      <c r="O27" s="71">
        <f ca="1">IF($C27="",0,
K27*Decrements!D24+(O26-P26-Q26)*(1+G26))</f>
        <v>34592.694926101685</v>
      </c>
      <c r="P27" s="72">
        <f ca="1">M27*'1.a Assumptions'!$B$13*Decrements!E24</f>
        <v>783.41801061038746</v>
      </c>
      <c r="Q27" s="72">
        <f ca="1">L28*(Decrements!F24+Decrements!G24)</f>
        <v>0</v>
      </c>
      <c r="R27" s="72">
        <f ca="1">O27-L28*Decrements!D24</f>
        <v>6655.1913933813958</v>
      </c>
      <c r="T27" s="73">
        <f t="shared" ca="1" si="5"/>
        <v>3303.0010055927996</v>
      </c>
      <c r="U27" s="74">
        <f t="shared" ca="1" si="6"/>
        <v>-5.9117155615240335E-12</v>
      </c>
      <c r="V27" s="104"/>
      <c r="W27" s="105">
        <f ca="1">IF(T27="","",J27/PUC_Projection!H29)</f>
        <v>1.0145262855690993</v>
      </c>
      <c r="X27" s="105">
        <f t="shared" ca="1" si="7"/>
        <v>1.0145262855690993</v>
      </c>
      <c r="Y27" s="106">
        <f t="shared" ca="1" si="10"/>
        <v>0</v>
      </c>
    </row>
    <row r="28" spans="2:25" ht="15" customHeight="1" x14ac:dyDescent="0.25">
      <c r="B28" s="61">
        <f t="shared" ca="1" si="11"/>
        <v>14</v>
      </c>
      <c r="C28" s="75">
        <f t="shared" ca="1" si="12"/>
        <v>44</v>
      </c>
      <c r="D28" s="76">
        <f t="shared" ca="1" si="13"/>
        <v>0.05</v>
      </c>
      <c r="E28" s="77">
        <f t="shared" ca="1" si="14"/>
        <v>96090.674198345208</v>
      </c>
      <c r="F28" s="66">
        <f t="shared" ca="1" si="15"/>
        <v>1.501035790919647E-2</v>
      </c>
      <c r="G28" s="66">
        <f t="shared" ca="1" si="15"/>
        <v>0.04</v>
      </c>
      <c r="I28" s="103">
        <f t="shared" ca="1" si="2"/>
        <v>13.093683408072893</v>
      </c>
      <c r="J28" s="67">
        <f t="shared" ca="1" si="3"/>
        <v>3.4373793639692111E-2</v>
      </c>
      <c r="K28" s="69">
        <f t="shared" ca="1" si="4"/>
        <v>3352.5802328611894</v>
      </c>
      <c r="L28" s="68">
        <f t="shared" ca="1" si="8"/>
        <v>54422.780525299037</v>
      </c>
      <c r="M28" s="69">
        <f t="shared" ca="1" si="9"/>
        <v>45579.907328236244</v>
      </c>
      <c r="N28" s="70"/>
      <c r="O28" s="71">
        <f ca="1">IF($C28="",0,
K28*Decrements!D25+(O27-P27-Q27)*(1+G27))</f>
        <v>36796.617487154668</v>
      </c>
      <c r="P28" s="72">
        <f ca="1">M28*'1.a Assumptions'!$B$13*Decrements!E25</f>
        <v>833.55676328945253</v>
      </c>
      <c r="Q28" s="72">
        <f ca="1">L29*(Decrements!F25+Decrements!G25)</f>
        <v>0</v>
      </c>
      <c r="R28" s="72">
        <f ca="1">O28-L29*Decrements!D25</f>
        <v>7559.3945017832921</v>
      </c>
      <c r="T28" s="73">
        <f t="shared" ca="1" si="5"/>
        <v>3352.5802328612117</v>
      </c>
      <c r="U28" s="74">
        <f t="shared" ca="1" si="6"/>
        <v>2.2282620193436742E-11</v>
      </c>
      <c r="V28" s="104"/>
      <c r="W28" s="105">
        <f ca="1">IF(T28="","",J28/PUC_Projection!H30)</f>
        <v>0.9901487386767106</v>
      </c>
      <c r="X28" s="105">
        <f t="shared" ca="1" si="7"/>
        <v>0.99014873867671072</v>
      </c>
      <c r="Y28" s="106">
        <f t="shared" ca="1" si="10"/>
        <v>-1.1102230246251565E-16</v>
      </c>
    </row>
    <row r="29" spans="2:25" ht="15" customHeight="1" x14ac:dyDescent="0.25">
      <c r="B29" s="61">
        <f t="shared" ca="1" si="11"/>
        <v>15</v>
      </c>
      <c r="C29" s="75">
        <f t="shared" ca="1" si="12"/>
        <v>45</v>
      </c>
      <c r="D29" s="76">
        <f t="shared" ca="1" si="13"/>
        <v>0.05</v>
      </c>
      <c r="E29" s="77">
        <f t="shared" ca="1" si="14"/>
        <v>97533.029609798366</v>
      </c>
      <c r="F29" s="66">
        <f t="shared" ca="1" si="15"/>
        <v>1.501035790919647E-2</v>
      </c>
      <c r="G29" s="66">
        <f t="shared" ca="1" si="15"/>
        <v>0.04</v>
      </c>
      <c r="I29" s="103">
        <f t="shared" ca="1" si="2"/>
        <v>12.41605101690404</v>
      </c>
      <c r="J29" s="67">
        <f t="shared" ca="1" si="3"/>
        <v>3.4373793639692111E-2</v>
      </c>
      <c r="K29" s="69">
        <f t="shared" ca="1" si="4"/>
        <v>3402.9036620757333</v>
      </c>
      <c r="L29" s="68">
        <f t="shared" ca="1" si="8"/>
        <v>59952.271979172212</v>
      </c>
      <c r="M29" s="69">
        <f t="shared" ca="1" si="9"/>
        <v>50789.039594320384</v>
      </c>
      <c r="N29" s="70"/>
      <c r="O29" s="71">
        <f ca="1">IF($C29="",0,
K29*Decrements!D26+(O28-P28-Q28)*(1+G28))</f>
        <v>38978.118576538021</v>
      </c>
      <c r="P29" s="72">
        <f ca="1">M29*'1.a Assumptions'!$B$13*Decrements!E26</f>
        <v>882.37937371069177</v>
      </c>
      <c r="Q29" s="72">
        <f ca="1">L30*(Decrements!F26+Decrements!G26)</f>
        <v>0</v>
      </c>
      <c r="R29" s="72">
        <f ca="1">O29-L30*Decrements!D26</f>
        <v>8515.2068432729247</v>
      </c>
      <c r="T29" s="73">
        <f t="shared" ca="1" si="5"/>
        <v>3402.9036620756888</v>
      </c>
      <c r="U29" s="74">
        <f t="shared" ca="1" si="6"/>
        <v>-4.4565240386873484E-11</v>
      </c>
      <c r="V29" s="104"/>
      <c r="W29" s="105">
        <f ca="1">IF(T29="","",J29/PUC_Projection!H31)</f>
        <v>0.96635694771883407</v>
      </c>
      <c r="X29" s="105">
        <f t="shared" ca="1" si="7"/>
        <v>0.96635694771883407</v>
      </c>
      <c r="Y29" s="106">
        <f t="shared" ca="1" si="10"/>
        <v>0</v>
      </c>
    </row>
    <row r="30" spans="2:25" ht="15" customHeight="1" x14ac:dyDescent="0.25">
      <c r="B30" s="61">
        <f t="shared" ca="1" si="11"/>
        <v>16</v>
      </c>
      <c r="C30" s="75">
        <f t="shared" ca="1" si="12"/>
        <v>46</v>
      </c>
      <c r="D30" s="76">
        <f t="shared" ca="1" si="13"/>
        <v>0.05</v>
      </c>
      <c r="E30" s="77">
        <f t="shared" ca="1" si="14"/>
        <v>98997.035292209694</v>
      </c>
      <c r="F30" s="66">
        <f t="shared" ca="1" si="15"/>
        <v>1.501035790919647E-2</v>
      </c>
      <c r="G30" s="66">
        <f t="shared" ca="1" si="15"/>
        <v>0.04</v>
      </c>
      <c r="I30" s="103">
        <f t="shared" ca="1" si="2"/>
        <v>11.721735258129636</v>
      </c>
      <c r="J30" s="67">
        <f t="shared" ca="1" si="3"/>
        <v>3.4373793639692111E-2</v>
      </c>
      <c r="K30" s="69">
        <f t="shared" ca="1" si="4"/>
        <v>3453.982463974005</v>
      </c>
      <c r="L30" s="68">
        <f t="shared" ca="1" si="8"/>
        <v>65753.266520414792</v>
      </c>
      <c r="M30" s="69">
        <f t="shared" ca="1" si="9"/>
        <v>56341.97458996607</v>
      </c>
      <c r="N30" s="70"/>
      <c r="O30" s="71">
        <f ca="1">IF($C30="",0,
K30*Decrements!D27+(O29-P29-Q29)*(1+G29))</f>
        <v>41139.758566390919</v>
      </c>
      <c r="P30" s="72">
        <f ca="1">M30*'1.a Assumptions'!$B$13*Decrements!E27</f>
        <v>929.91020930790762</v>
      </c>
      <c r="Q30" s="72">
        <f ca="1">L31*(Decrements!F27+Decrements!G27)</f>
        <v>0</v>
      </c>
      <c r="R30" s="72">
        <f ca="1">O30-L31*Decrements!D27</f>
        <v>9522.2119784744937</v>
      </c>
      <c r="T30" s="73">
        <f t="shared" ca="1" si="5"/>
        <v>3453.98246397404</v>
      </c>
      <c r="U30" s="74">
        <f t="shared" ca="1" si="6"/>
        <v>3.5015546018257737E-11</v>
      </c>
      <c r="V30" s="104"/>
      <c r="W30" s="105">
        <f ca="1">IF(T30="","",J30/PUC_Projection!H32)</f>
        <v>0.94313683785781943</v>
      </c>
      <c r="X30" s="105">
        <f t="shared" ca="1" si="7"/>
        <v>0.94313683785781943</v>
      </c>
      <c r="Y30" s="106">
        <f t="shared" ca="1" si="10"/>
        <v>0</v>
      </c>
    </row>
    <row r="31" spans="2:25" ht="15" customHeight="1" x14ac:dyDescent="0.25">
      <c r="B31" s="61">
        <f t="shared" ca="1" si="11"/>
        <v>17</v>
      </c>
      <c r="C31" s="75">
        <f t="shared" ca="1" si="12"/>
        <v>47</v>
      </c>
      <c r="D31" s="76">
        <f t="shared" ca="1" si="13"/>
        <v>0.05</v>
      </c>
      <c r="E31" s="77">
        <f t="shared" ca="1" si="14"/>
        <v>100483.01622389512</v>
      </c>
      <c r="F31" s="66">
        <f t="shared" ca="1" si="15"/>
        <v>1.501035790919647E-2</v>
      </c>
      <c r="G31" s="66">
        <f t="shared" ca="1" si="15"/>
        <v>0.04</v>
      </c>
      <c r="I31" s="103">
        <f t="shared" ca="1" si="2"/>
        <v>11.010325385807937</v>
      </c>
      <c r="J31" s="67">
        <f t="shared" ca="1" si="3"/>
        <v>3.4373793639692111E-2</v>
      </c>
      <c r="K31" s="69">
        <f t="shared" ca="1" si="4"/>
        <v>3505.8279769703431</v>
      </c>
      <c r="L31" s="68">
        <f t="shared" ca="1" si="8"/>
        <v>71837.379645205423</v>
      </c>
      <c r="M31" s="69">
        <f t="shared" ca="1" si="9"/>
        <v>62257.881921912536</v>
      </c>
      <c r="N31" s="70"/>
      <c r="O31" s="71">
        <f ca="1">IF($C31="",0,
K31*Decrements!D28+(O30-P30-Q30)*(1+G30))</f>
        <v>43284.100260317951</v>
      </c>
      <c r="P31" s="72">
        <f ca="1">M31*'1.a Assumptions'!$B$13*Decrements!E28</f>
        <v>976.17324222097636</v>
      </c>
      <c r="Q31" s="72">
        <f ca="1">L32*(Decrements!F28+Decrements!G28)</f>
        <v>0</v>
      </c>
      <c r="R31" s="72">
        <f ca="1">O31-L32*Decrements!D28</f>
        <v>10580.106262504909</v>
      </c>
      <c r="T31" s="73">
        <f t="shared" ca="1" si="5"/>
        <v>3505.8279769703513</v>
      </c>
      <c r="U31" s="74">
        <f t="shared" ca="1" si="6"/>
        <v>8.1854523159563541E-12</v>
      </c>
      <c r="V31" s="104"/>
      <c r="W31" s="105">
        <f ca="1">IF(T31="","",J31/PUC_Projection!H33)</f>
        <v>0.92047467245328185</v>
      </c>
      <c r="X31" s="105">
        <f t="shared" ca="1" si="7"/>
        <v>0.92047467245328174</v>
      </c>
      <c r="Y31" s="106">
        <f t="shared" ca="1" si="10"/>
        <v>1.1102230246251565E-16</v>
      </c>
    </row>
    <row r="32" spans="2:25" ht="15" customHeight="1" x14ac:dyDescent="0.25">
      <c r="B32" s="61">
        <f t="shared" ca="1" si="11"/>
        <v>18</v>
      </c>
      <c r="C32" s="75">
        <f t="shared" ca="1" si="12"/>
        <v>48</v>
      </c>
      <c r="D32" s="76">
        <f t="shared" ca="1" si="13"/>
        <v>0.05</v>
      </c>
      <c r="E32" s="77">
        <f t="shared" ca="1" si="14"/>
        <v>101991.30226121137</v>
      </c>
      <c r="F32" s="66">
        <f t="shared" ref="F32:G47" ca="1" si="16">IF($C32="","",F31)</f>
        <v>1.501035790919647E-2</v>
      </c>
      <c r="G32" s="66">
        <f t="shared" ca="1" si="16"/>
        <v>0.04</v>
      </c>
      <c r="I32" s="103">
        <f t="shared" ca="1" si="2"/>
        <v>10.281400541396883</v>
      </c>
      <c r="J32" s="67">
        <f t="shared" ca="1" si="3"/>
        <v>3.4373793639692111E-2</v>
      </c>
      <c r="K32" s="69">
        <f t="shared" ca="1" si="4"/>
        <v>3558.4517096727423</v>
      </c>
      <c r="L32" s="68">
        <f t="shared" ca="1" si="8"/>
        <v>78216.702807983995</v>
      </c>
      <c r="M32" s="69">
        <f t="shared" ca="1" si="9"/>
        <v>68556.914681070732</v>
      </c>
      <c r="N32" s="70"/>
      <c r="O32" s="71">
        <f ca="1">IF($C32="",0,
K32*Decrements!D29+(O31-P31-Q31)*(1+G31))</f>
        <v>45413.712069444999</v>
      </c>
      <c r="P32" s="72">
        <f ca="1">M32*'1.a Assumptions'!$B$13*Decrements!E29</f>
        <v>1021.1920552739907</v>
      </c>
      <c r="Q32" s="72">
        <f ca="1">L33*(Decrements!F29+Decrements!G29)</f>
        <v>0</v>
      </c>
      <c r="R32" s="72">
        <f ca="1">O32-L33*Decrements!D29</f>
        <v>11688.698028981562</v>
      </c>
      <c r="T32" s="73">
        <f t="shared" ca="1" si="5"/>
        <v>3558.451709672765</v>
      </c>
      <c r="U32" s="74">
        <f t="shared" ca="1" si="6"/>
        <v>2.2737367544323206E-11</v>
      </c>
      <c r="V32" s="104"/>
      <c r="W32" s="105">
        <f ca="1">IF(T32="","",J32/PUC_Projection!H34)</f>
        <v>0.89835704493572677</v>
      </c>
      <c r="X32" s="105">
        <f t="shared" ca="1" si="7"/>
        <v>0.89835704493572688</v>
      </c>
      <c r="Y32" s="106">
        <f t="shared" ca="1" si="10"/>
        <v>-1.1102230246251565E-16</v>
      </c>
    </row>
    <row r="33" spans="2:25" ht="15" customHeight="1" x14ac:dyDescent="0.25">
      <c r="B33" s="61">
        <f t="shared" ca="1" si="11"/>
        <v>19</v>
      </c>
      <c r="C33" s="75">
        <f t="shared" ca="1" si="12"/>
        <v>49</v>
      </c>
      <c r="D33" s="76">
        <f t="shared" ca="1" si="13"/>
        <v>0.05</v>
      </c>
      <c r="E33" s="77">
        <f t="shared" ca="1" si="14"/>
        <v>103522.2282117772</v>
      </c>
      <c r="F33" s="66">
        <f t="shared" ca="1" si="16"/>
        <v>1.501035790919647E-2</v>
      </c>
      <c r="G33" s="66">
        <f t="shared" ca="1" si="16"/>
        <v>0.04</v>
      </c>
      <c r="I33" s="103">
        <f t="shared" ca="1" si="2"/>
        <v>9.5345295047810072</v>
      </c>
      <c r="J33" s="67">
        <f t="shared" ca="1" si="3"/>
        <v>3.4373793639692111E-2</v>
      </c>
      <c r="K33" s="69">
        <f t="shared" ca="1" si="4"/>
        <v>3611.8653434375224</v>
      </c>
      <c r="L33" s="68">
        <f t="shared" ca="1" si="8"/>
        <v>84903.822629976115</v>
      </c>
      <c r="M33" s="69">
        <f t="shared" ca="1" si="9"/>
        <v>75260.257449886558</v>
      </c>
      <c r="N33" s="70"/>
      <c r="O33" s="71">
        <f ca="1">IF($C33="",0,
K33*Decrements!D30+(O32-P32-Q32)*(1+G32))</f>
        <v>47531.171213956426</v>
      </c>
      <c r="P33" s="72">
        <f ca="1">M33*'1.a Assumptions'!$B$13*Decrements!E30</f>
        <v>1064.9898478668531</v>
      </c>
      <c r="Q33" s="72">
        <f ca="1">L34*(Decrements!F30+Decrements!G30)</f>
        <v>0</v>
      </c>
      <c r="R33" s="72">
        <f ca="1">O33-L34*Decrements!D30</f>
        <v>12847.906942759982</v>
      </c>
      <c r="T33" s="73">
        <f t="shared" ca="1" si="5"/>
        <v>3611.8653434375155</v>
      </c>
      <c r="U33" s="74">
        <f t="shared" ca="1" si="6"/>
        <v>-6.8212102632969618E-12</v>
      </c>
      <c r="V33" s="104"/>
      <c r="W33" s="105">
        <f ca="1">IF(T33="","",J33/PUC_Projection!H35)</f>
        <v>0.87677087087544225</v>
      </c>
      <c r="X33" s="105">
        <f t="shared" ca="1" si="7"/>
        <v>0.87677087087544237</v>
      </c>
      <c r="Y33" s="106">
        <f t="shared" ca="1" si="10"/>
        <v>-1.1102230246251565E-16</v>
      </c>
    </row>
    <row r="34" spans="2:25" ht="15" customHeight="1" x14ac:dyDescent="0.25">
      <c r="B34" s="61">
        <f t="shared" ca="1" si="11"/>
        <v>20</v>
      </c>
      <c r="C34" s="75">
        <f t="shared" ca="1" si="12"/>
        <v>50</v>
      </c>
      <c r="D34" s="76">
        <f t="shared" ca="1" si="13"/>
        <v>0.05</v>
      </c>
      <c r="E34" s="77">
        <f t="shared" ca="1" si="14"/>
        <v>105076.13390879349</v>
      </c>
      <c r="F34" s="66">
        <f t="shared" ca="1" si="16"/>
        <v>1.501035790919647E-2</v>
      </c>
      <c r="G34" s="66">
        <f t="shared" ca="1" si="16"/>
        <v>0.04</v>
      </c>
      <c r="I34" s="103">
        <f t="shared" ca="1" si="2"/>
        <v>8.7692704391685972</v>
      </c>
      <c r="J34" s="67">
        <f t="shared" ca="1" si="3"/>
        <v>3.4373793639692111E-2</v>
      </c>
      <c r="K34" s="69">
        <f t="shared" ca="1" si="4"/>
        <v>3666.0807349623424</v>
      </c>
      <c r="L34" s="68">
        <f t="shared" ca="1" si="8"/>
        <v>91911.840878612682</v>
      </c>
      <c r="M34" s="69">
        <f t="shared" ca="1" si="9"/>
        <v>82390.176576717917</v>
      </c>
      <c r="N34" s="70"/>
      <c r="O34" s="71">
        <f ca="1">IF($C34="",0,
K34*Decrements!D31+(O33-P33-Q33)*(1+G33))</f>
        <v>49639.066954630318</v>
      </c>
      <c r="P34" s="72">
        <f ca="1">M34*'1.a Assumptions'!$B$13*Decrements!E31</f>
        <v>1107.5894417815273</v>
      </c>
      <c r="Q34" s="72">
        <f ca="1">L35*(Decrements!F31+Decrements!G31)</f>
        <v>0</v>
      </c>
      <c r="R34" s="72">
        <f ca="1">O34-L35*Decrements!D31</f>
        <v>14057.763520791064</v>
      </c>
      <c r="T34" s="73">
        <f t="shared" ca="1" si="5"/>
        <v>3666.0807349623501</v>
      </c>
      <c r="U34" s="74">
        <f t="shared" ca="1" si="6"/>
        <v>7.73070496506989E-12</v>
      </c>
      <c r="V34" s="104"/>
      <c r="W34" s="105">
        <f ca="1">IF(T34="","",J34/PUC_Projection!H36)</f>
        <v>0.85570338024196202</v>
      </c>
      <c r="X34" s="105">
        <f t="shared" ca="1" si="7"/>
        <v>0.85570338024196224</v>
      </c>
      <c r="Y34" s="106">
        <f t="shared" ca="1" si="10"/>
        <v>-2.2204460492503131E-16</v>
      </c>
    </row>
    <row r="35" spans="2:25" ht="15" customHeight="1" x14ac:dyDescent="0.25">
      <c r="B35" s="61">
        <f t="shared" ca="1" si="11"/>
        <v>21</v>
      </c>
      <c r="C35" s="75">
        <f t="shared" ca="1" si="12"/>
        <v>51</v>
      </c>
      <c r="D35" s="76">
        <f t="shared" ca="1" si="13"/>
        <v>0.05</v>
      </c>
      <c r="E35" s="77">
        <f t="shared" ca="1" si="14"/>
        <v>106653.36428647913</v>
      </c>
      <c r="F35" s="66">
        <f t="shared" ca="1" si="16"/>
        <v>1.501035790919647E-2</v>
      </c>
      <c r="G35" s="66">
        <f t="shared" ca="1" si="16"/>
        <v>0.04</v>
      </c>
      <c r="I35" s="103">
        <f t="shared" ca="1" si="2"/>
        <v>7.9851706297082208</v>
      </c>
      <c r="J35" s="67">
        <f t="shared" ca="1" si="3"/>
        <v>3.4373793639692111E-2</v>
      </c>
      <c r="K35" s="69">
        <f t="shared" ca="1" si="4"/>
        <v>3721.1099189181373</v>
      </c>
      <c r="L35" s="68">
        <f t="shared" ca="1" si="8"/>
        <v>99254.395248719549</v>
      </c>
      <c r="M35" s="69">
        <f t="shared" ca="1" si="9"/>
        <v>89970.072821775975</v>
      </c>
      <c r="N35" s="70"/>
      <c r="O35" s="71">
        <f ca="1">IF($C35="",0,
K35*Decrements!D32+(O34-P34-Q34)*(1+G34))</f>
        <v>51740.003858946344</v>
      </c>
      <c r="P35" s="72">
        <f ca="1">M35*'1.a Assumptions'!$B$13*Decrements!E32</f>
        <v>1149.0132869041565</v>
      </c>
      <c r="Q35" s="72">
        <f ca="1">L36*(Decrements!F32+Decrements!G32)</f>
        <v>0</v>
      </c>
      <c r="R35" s="72">
        <f ca="1">O35-L36*Decrements!D32</f>
        <v>15318.408820729557</v>
      </c>
      <c r="T35" s="73">
        <f t="shared" ca="1" si="5"/>
        <v>3721.1099189181405</v>
      </c>
      <c r="U35" s="74">
        <f t="shared" ca="1" si="6"/>
        <v>3.1832314562052488E-12</v>
      </c>
      <c r="V35" s="104"/>
      <c r="W35" s="105">
        <f ca="1">IF(T35="","",J35/PUC_Projection!H37)</f>
        <v>0.8351421098495222</v>
      </c>
      <c r="X35" s="105">
        <f t="shared" ca="1" si="7"/>
        <v>0.83514210984952209</v>
      </c>
      <c r="Y35" s="106">
        <f t="shared" ca="1" si="10"/>
        <v>1.1102230246251565E-16</v>
      </c>
    </row>
    <row r="36" spans="2:25" ht="15" customHeight="1" x14ac:dyDescent="0.25">
      <c r="B36" s="61">
        <f t="shared" ca="1" si="11"/>
        <v>22</v>
      </c>
      <c r="C36" s="75">
        <f t="shared" ca="1" si="12"/>
        <v>52</v>
      </c>
      <c r="D36" s="76">
        <f t="shared" ca="1" si="13"/>
        <v>0.05</v>
      </c>
      <c r="E36" s="77">
        <f t="shared" ca="1" si="14"/>
        <v>108254.2694566391</v>
      </c>
      <c r="F36" s="66">
        <f t="shared" ca="1" si="16"/>
        <v>1.501035790919647E-2</v>
      </c>
      <c r="G36" s="66">
        <f t="shared" ca="1" si="16"/>
        <v>0.04</v>
      </c>
      <c r="I36" s="103">
        <f t="shared" ca="1" si="2"/>
        <v>7.1817662156699695</v>
      </c>
      <c r="J36" s="67">
        <f t="shared" ca="1" si="3"/>
        <v>3.4373793639692111E-2</v>
      </c>
      <c r="K36" s="69">
        <f t="shared" ca="1" si="4"/>
        <v>3776.9651106205597</v>
      </c>
      <c r="L36" s="68">
        <f t="shared" ca="1" si="8"/>
        <v>106945.68097758648</v>
      </c>
      <c r="M36" s="69">
        <f t="shared" ca="1" si="9"/>
        <v>98024.53648391593</v>
      </c>
      <c r="N36" s="70"/>
      <c r="O36" s="71">
        <f ca="1">IF($C36="",0,
K36*Decrements!D33+(O35-P35-Q35)*(1+G35))</f>
        <v>53836.605106404968</v>
      </c>
      <c r="P36" s="72">
        <f ca="1">M36*'1.a Assumptions'!$B$13*Decrements!E33</f>
        <v>1189.2834668642261</v>
      </c>
      <c r="Q36" s="72">
        <f ca="1">L37*(Decrements!F33+Decrements!G33)</f>
        <v>0</v>
      </c>
      <c r="R36" s="72">
        <f ca="1">O36-L37*Decrements!D33</f>
        <v>16630.094297165699</v>
      </c>
      <c r="T36" s="73">
        <f t="shared" ca="1" si="5"/>
        <v>3776.965110620542</v>
      </c>
      <c r="U36" s="74">
        <f t="shared" ca="1" si="6"/>
        <v>-1.7735146684572101E-11</v>
      </c>
      <c r="V36" s="104"/>
      <c r="W36" s="105">
        <f ca="1">IF(T36="","",J36/PUC_Projection!H38)</f>
        <v>0.81507489598404315</v>
      </c>
      <c r="X36" s="105">
        <f t="shared" ca="1" si="7"/>
        <v>0.81507489598404315</v>
      </c>
      <c r="Y36" s="106">
        <f t="shared" ca="1" si="10"/>
        <v>0</v>
      </c>
    </row>
    <row r="37" spans="2:25" ht="15" customHeight="1" x14ac:dyDescent="0.25">
      <c r="B37" s="61">
        <f t="shared" ca="1" si="11"/>
        <v>23</v>
      </c>
      <c r="C37" s="75">
        <f t="shared" ca="1" si="12"/>
        <v>53</v>
      </c>
      <c r="D37" s="76">
        <f t="shared" ca="1" si="13"/>
        <v>0.05</v>
      </c>
      <c r="E37" s="77">
        <f t="shared" ca="1" si="14"/>
        <v>109879.20478638184</v>
      </c>
      <c r="F37" s="66">
        <f t="shared" ca="1" si="16"/>
        <v>1.501035790919647E-2</v>
      </c>
      <c r="G37" s="66">
        <f t="shared" ca="1" si="16"/>
        <v>0.04</v>
      </c>
      <c r="I37" s="103">
        <f t="shared" ca="1" si="2"/>
        <v>6.3585819160329704</v>
      </c>
      <c r="J37" s="67">
        <f t="shared" ca="1" si="3"/>
        <v>3.4373793639692111E-2</v>
      </c>
      <c r="K37" s="69">
        <f t="shared" ca="1" si="4"/>
        <v>3833.6587087415219</v>
      </c>
      <c r="L37" s="68">
        <f t="shared" ca="1" si="8"/>
        <v>115000.47332731049</v>
      </c>
      <c r="M37" s="69">
        <f t="shared" ca="1" si="9"/>
        <v>106579.40512251225</v>
      </c>
      <c r="N37" s="70"/>
      <c r="O37" s="71">
        <f ca="1">IF($C37="",0,
K37*Decrements!D34+(O36-P36-Q36)*(1+G36))</f>
        <v>55931.515837767933</v>
      </c>
      <c r="P37" s="72">
        <f ca="1">M37*'1.a Assumptions'!$B$13*Decrements!E34</f>
        <v>1228.4217045919399</v>
      </c>
      <c r="Q37" s="72">
        <f ca="1">L38*(Decrements!F34+Decrements!G34)</f>
        <v>0</v>
      </c>
      <c r="R37" s="72">
        <f ca="1">O37-L38*Decrements!D34</f>
        <v>17993.18182559398</v>
      </c>
      <c r="T37" s="73">
        <f t="shared" ca="1" si="5"/>
        <v>3833.6587087415246</v>
      </c>
      <c r="U37" s="74">
        <f t="shared" ca="1" si="6"/>
        <v>2.7284841053187847E-12</v>
      </c>
      <c r="V37" s="104"/>
      <c r="W37" s="105">
        <f ca="1">IF(T37="","",J37/PUC_Projection!H39)</f>
        <v>0.79548986720727377</v>
      </c>
      <c r="X37" s="105">
        <f t="shared" ca="1" si="7"/>
        <v>0.79548986720727366</v>
      </c>
      <c r="Y37" s="106">
        <f t="shared" ca="1" si="10"/>
        <v>1.1102230246251565E-16</v>
      </c>
    </row>
    <row r="38" spans="2:25" ht="15" customHeight="1" x14ac:dyDescent="0.25">
      <c r="B38" s="61">
        <f t="shared" ca="1" si="11"/>
        <v>24</v>
      </c>
      <c r="C38" s="75">
        <f t="shared" ca="1" si="12"/>
        <v>54</v>
      </c>
      <c r="D38" s="76">
        <f t="shared" ca="1" si="13"/>
        <v>0.05</v>
      </c>
      <c r="E38" s="77">
        <f t="shared" ca="1" si="14"/>
        <v>111528.53097700333</v>
      </c>
      <c r="F38" s="66">
        <f t="shared" ca="1" si="16"/>
        <v>1.501035790919647E-2</v>
      </c>
      <c r="G38" s="66">
        <f t="shared" ca="1" si="16"/>
        <v>0.04</v>
      </c>
      <c r="I38" s="103">
        <f t="shared" ca="1" si="2"/>
        <v>5.5151307483168486</v>
      </c>
      <c r="J38" s="67">
        <f t="shared" ca="1" si="3"/>
        <v>3.4373793639692111E-2</v>
      </c>
      <c r="K38" s="69">
        <f t="shared" ca="1" si="4"/>
        <v>3891.2032980614399</v>
      </c>
      <c r="L38" s="68">
        <f t="shared" ca="1" si="8"/>
        <v>123434.15096914444</v>
      </c>
      <c r="M38" s="69">
        <f t="shared" ca="1" si="9"/>
        <v>115661.82399382199</v>
      </c>
      <c r="N38" s="70"/>
      <c r="O38" s="71">
        <f ca="1">IF($C38="",0,
K38*Decrements!D35+(O37-P37-Q37)*(1+G37))</f>
        <v>58027.406553007808</v>
      </c>
      <c r="P38" s="72">
        <f ca="1">M38*'1.a Assumptions'!$B$13*Decrements!E35</f>
        <v>1266.4493677949599</v>
      </c>
      <c r="Q38" s="72">
        <f ca="1">L39*(Decrements!F35+Decrements!G35)</f>
        <v>0</v>
      </c>
      <c r="R38" s="72">
        <f ca="1">O38-L39*Decrements!D35</f>
        <v>19408.143894475143</v>
      </c>
      <c r="T38" s="73">
        <f t="shared" ca="1" si="5"/>
        <v>3891.2032980615186</v>
      </c>
      <c r="U38" s="74">
        <f t="shared" ca="1" si="6"/>
        <v>7.8671291703358293E-11</v>
      </c>
      <c r="V38" s="104"/>
      <c r="W38" s="105">
        <f ca="1">IF(T38="","",J38/PUC_Projection!H40)</f>
        <v>0.77637543733384029</v>
      </c>
      <c r="X38" s="105">
        <f t="shared" ca="1" si="7"/>
        <v>0.77637543733384018</v>
      </c>
      <c r="Y38" s="106">
        <f t="shared" ca="1" si="10"/>
        <v>1.1102230246251565E-16</v>
      </c>
    </row>
    <row r="39" spans="2:25" ht="15" customHeight="1" x14ac:dyDescent="0.25">
      <c r="B39" s="61">
        <f t="shared" ca="1" si="11"/>
        <v>25</v>
      </c>
      <c r="C39" s="75">
        <f t="shared" ca="1" si="12"/>
        <v>55</v>
      </c>
      <c r="D39" s="76">
        <f t="shared" ca="1" si="13"/>
        <v>0.05</v>
      </c>
      <c r="E39" s="77">
        <f t="shared" ca="1" si="14"/>
        <v>113202.61414405506</v>
      </c>
      <c r="F39" s="66">
        <f t="shared" ca="1" si="16"/>
        <v>1.501035790919647E-2</v>
      </c>
      <c r="G39" s="66">
        <f t="shared" ca="1" si="16"/>
        <v>0.04</v>
      </c>
      <c r="I39" s="103">
        <f t="shared" ca="1" si="2"/>
        <v>4.6509137404907541</v>
      </c>
      <c r="J39" s="67">
        <f t="shared" ca="1" si="3"/>
        <v>3.4373793639692111E-2</v>
      </c>
      <c r="K39" s="69">
        <f t="shared" ca="1" si="4"/>
        <v>3949.6116522627876</v>
      </c>
      <c r="L39" s="68">
        <f t="shared" ca="1" si="8"/>
        <v>132262.72030597174</v>
      </c>
      <c r="M39" s="69">
        <f t="shared" ca="1" si="9"/>
        <v>125300.3093266405</v>
      </c>
      <c r="N39" s="70"/>
      <c r="O39" s="71">
        <f ca="1">IF($C39="",0,
K39*Decrements!D36+(O38-P38-Q38)*(1+G38))</f>
        <v>60126.976562839562</v>
      </c>
      <c r="P39" s="72">
        <f ca="1">M39*'1.a Assumptions'!$B$13*Decrements!E36</f>
        <v>1303.3874743556464</v>
      </c>
      <c r="Q39" s="72">
        <f ca="1">L40*(Decrements!F36+Decrements!G36)</f>
        <v>0</v>
      </c>
      <c r="R39" s="72">
        <f ca="1">O39-L40*Decrements!D36</f>
        <v>20875.563965991103</v>
      </c>
      <c r="T39" s="73">
        <f t="shared" ca="1" si="5"/>
        <v>3949.6116522627417</v>
      </c>
      <c r="U39" s="74">
        <f t="shared" ca="1" si="6"/>
        <v>-4.5929482439532876E-11</v>
      </c>
      <c r="V39" s="104"/>
      <c r="W39" s="105">
        <f ca="1">IF(T39="","",J39/PUC_Projection!H41)</f>
        <v>0.75772029857704826</v>
      </c>
      <c r="X39" s="105">
        <f t="shared" ca="1" si="7"/>
        <v>0.75772029857704815</v>
      </c>
      <c r="Y39" s="106">
        <f t="shared" ca="1" si="10"/>
        <v>1.1102230246251565E-16</v>
      </c>
    </row>
    <row r="40" spans="2:25" ht="15" customHeight="1" x14ac:dyDescent="0.25">
      <c r="B40" s="61">
        <f t="shared" ca="1" si="11"/>
        <v>26</v>
      </c>
      <c r="C40" s="75">
        <f t="shared" ca="1" si="12"/>
        <v>56</v>
      </c>
      <c r="D40" s="76">
        <f t="shared" ca="1" si="13"/>
        <v>0.05</v>
      </c>
      <c r="E40" s="77">
        <f t="shared" ca="1" si="14"/>
        <v>114901.82589861398</v>
      </c>
      <c r="F40" s="66">
        <f t="shared" ca="1" si="16"/>
        <v>1.501035790919647E-2</v>
      </c>
      <c r="G40" s="66">
        <f t="shared" ca="1" si="16"/>
        <v>0.04</v>
      </c>
      <c r="I40" s="103">
        <f t="shared" ca="1" si="2"/>
        <v>3.7654196357896748</v>
      </c>
      <c r="J40" s="67">
        <f t="shared" ca="1" si="3"/>
        <v>3.4373793639692111E-2</v>
      </c>
      <c r="K40" s="69">
        <f t="shared" ca="1" si="4"/>
        <v>4008.896736765585</v>
      </c>
      <c r="L40" s="68">
        <f t="shared" ca="1" si="8"/>
        <v>141502.84077047335</v>
      </c>
      <c r="M40" s="69">
        <f t="shared" ca="1" si="9"/>
        <v>135524.81456769438</v>
      </c>
      <c r="N40" s="70"/>
      <c r="O40" s="71">
        <f ca="1">IF($C40="",0,
K40*Decrements!D37+(O39-P39-Q39)*(1+G39))</f>
        <v>62232.957498799151</v>
      </c>
      <c r="P40" s="72">
        <f ca="1">M40*'1.a Assumptions'!$B$13*Decrements!E37</f>
        <v>1339.2566976499138</v>
      </c>
      <c r="Q40" s="72">
        <f ca="1">L41*(Decrements!F37+Decrements!G37)</f>
        <v>0</v>
      </c>
      <c r="R40" s="72">
        <f ca="1">O40-L41*Decrements!D37</f>
        <v>22396.137006336998</v>
      </c>
      <c r="T40" s="73">
        <f t="shared" ca="1" si="5"/>
        <v>4008.8967367656296</v>
      </c>
      <c r="U40" s="74">
        <f t="shared" ca="1" si="6"/>
        <v>4.4565240386873484E-11</v>
      </c>
      <c r="V40" s="104"/>
      <c r="W40" s="105">
        <f ca="1">IF(T40="","",J40/PUC_Projection!H42)</f>
        <v>0.73951341485937772</v>
      </c>
      <c r="X40" s="105">
        <f t="shared" ca="1" si="7"/>
        <v>0.73951341485937772</v>
      </c>
      <c r="Y40" s="106">
        <f t="shared" ca="1" si="10"/>
        <v>0</v>
      </c>
    </row>
    <row r="41" spans="2:25" ht="15" customHeight="1" x14ac:dyDescent="0.25">
      <c r="B41" s="61">
        <f t="shared" ca="1" si="11"/>
        <v>27</v>
      </c>
      <c r="C41" s="75">
        <f t="shared" ca="1" si="12"/>
        <v>57</v>
      </c>
      <c r="D41" s="76">
        <f t="shared" ca="1" si="13"/>
        <v>0.05</v>
      </c>
      <c r="E41" s="77">
        <f t="shared" ca="1" si="14"/>
        <v>116626.54342977236</v>
      </c>
      <c r="F41" s="66">
        <f t="shared" ca="1" si="16"/>
        <v>1.501035790919647E-2</v>
      </c>
      <c r="G41" s="66">
        <f t="shared" ca="1" si="16"/>
        <v>0.04</v>
      </c>
      <c r="I41" s="103">
        <f t="shared" ca="1" si="2"/>
        <v>2.8581245902631349</v>
      </c>
      <c r="J41" s="67">
        <f t="shared" ca="1" si="3"/>
        <v>3.4373793639692111E-2</v>
      </c>
      <c r="K41" s="69">
        <f t="shared" ca="1" si="4"/>
        <v>4069.0717116054457</v>
      </c>
      <c r="L41" s="68">
        <f t="shared" ca="1" si="8"/>
        <v>151171.85113805791</v>
      </c>
      <c r="M41" s="69">
        <f t="shared" ca="1" si="9"/>
        <v>146366.79973310995</v>
      </c>
      <c r="N41" s="70"/>
      <c r="O41" s="71">
        <f ca="1">IF($C41="",0,
K41*Decrements!D38+(O40-P40-Q40)*(1+G40))</f>
        <v>64348.116886933851</v>
      </c>
      <c r="P41" s="72">
        <f ca="1">M41*'1.a Assumptions'!$B$13*Decrements!E38</f>
        <v>1374.0773717888119</v>
      </c>
      <c r="Q41" s="72">
        <f ca="1">L42*(Decrements!F38+Decrements!G38)</f>
        <v>0</v>
      </c>
      <c r="R41" s="72">
        <f ca="1">O41-L42*Decrements!D38</f>
        <v>23970.670186642594</v>
      </c>
      <c r="T41" s="73">
        <f t="shared" ca="1" si="5"/>
        <v>4069.0717116054439</v>
      </c>
      <c r="U41" s="74">
        <f t="shared" ca="1" si="6"/>
        <v>-1.8189894035458565E-12</v>
      </c>
      <c r="V41" s="104"/>
      <c r="W41" s="105">
        <f ca="1">IF(T41="","",J41/PUC_Projection!H43)</f>
        <v>0.72174401528372023</v>
      </c>
      <c r="X41" s="105">
        <f t="shared" ca="1" si="7"/>
        <v>0.72174401528372012</v>
      </c>
      <c r="Y41" s="106">
        <f t="shared" ca="1" si="10"/>
        <v>1.1102230246251565E-16</v>
      </c>
    </row>
    <row r="42" spans="2:25" ht="15" customHeight="1" x14ac:dyDescent="0.25">
      <c r="B42" s="61">
        <f t="shared" ca="1" si="11"/>
        <v>28</v>
      </c>
      <c r="C42" s="75">
        <f t="shared" ca="1" si="12"/>
        <v>58</v>
      </c>
      <c r="D42" s="76">
        <f t="shared" ca="1" si="13"/>
        <v>0.05</v>
      </c>
      <c r="E42" s="77">
        <f t="shared" ca="1" si="14"/>
        <v>118377.14958836569</v>
      </c>
      <c r="F42" s="66">
        <f t="shared" ca="1" si="16"/>
        <v>1.501035790919647E-2</v>
      </c>
      <c r="G42" s="66">
        <f t="shared" ca="1" si="16"/>
        <v>0.04</v>
      </c>
      <c r="I42" s="103">
        <f t="shared" ca="1" si="2"/>
        <v>1.9284918628776981</v>
      </c>
      <c r="J42" s="67">
        <f t="shared" ca="1" si="3"/>
        <v>3.4373793639692111E-2</v>
      </c>
      <c r="K42" s="69">
        <f t="shared" ca="1" si="4"/>
        <v>4130.1499343548303</v>
      </c>
      <c r="L42" s="68">
        <f t="shared" ca="1" si="8"/>
        <v>161287.79689518569</v>
      </c>
      <c r="M42" s="69">
        <f t="shared" ca="1" si="9"/>
        <v>157859.30400845045</v>
      </c>
      <c r="N42" s="70"/>
      <c r="O42" s="71">
        <f ca="1">IF($C42="",0,
K42*Decrements!D39+(O41-P41-Q41)*(1+G41))</f>
        <v>66475.261790275967</v>
      </c>
      <c r="P42" s="72">
        <f ca="1">M42*'1.a Assumptions'!$B$13*Decrements!E39</f>
        <v>1407.8694967839144</v>
      </c>
      <c r="Q42" s="72">
        <f ca="1">L43*(Decrements!F39+Decrements!G39)</f>
        <v>0</v>
      </c>
      <c r="R42" s="72">
        <f ca="1">O42-L43*Decrements!D39</f>
        <v>25600.083755863081</v>
      </c>
      <c r="T42" s="73">
        <f t="shared" ca="1" si="5"/>
        <v>4130.1499343548494</v>
      </c>
      <c r="U42" s="74">
        <f t="shared" ca="1" si="6"/>
        <v>1.9099388737231493E-11</v>
      </c>
      <c r="V42" s="104"/>
      <c r="W42" s="105">
        <f ca="1">IF(T42="","",J42/PUC_Projection!H44)</f>
        <v>0.70440158776148976</v>
      </c>
      <c r="X42" s="105">
        <f t="shared" ca="1" si="7"/>
        <v>0.70440158776148964</v>
      </c>
      <c r="Y42" s="106">
        <f t="shared" ca="1" si="10"/>
        <v>1.1102230246251565E-16</v>
      </c>
    </row>
    <row r="43" spans="2:25" ht="15" customHeight="1" x14ac:dyDescent="0.25">
      <c r="B43" s="61">
        <f t="shared" ca="1" si="11"/>
        <v>29</v>
      </c>
      <c r="C43" s="75">
        <f t="shared" ca="1" si="12"/>
        <v>59</v>
      </c>
      <c r="D43" s="76">
        <f t="shared" ca="1" si="13"/>
        <v>0.05</v>
      </c>
      <c r="E43" s="77">
        <f t="shared" ca="1" si="14"/>
        <v>120154.03297195755</v>
      </c>
      <c r="F43" s="66">
        <f t="shared" ca="1" si="16"/>
        <v>1.501035790919647E-2</v>
      </c>
      <c r="G43" s="66">
        <f t="shared" ca="1" si="16"/>
        <v>0.04</v>
      </c>
      <c r="I43" s="103">
        <f t="shared" ca="1" si="2"/>
        <v>0.97597149798961047</v>
      </c>
      <c r="J43" s="67">
        <f t="shared" ca="1" si="3"/>
        <v>3.4373793639692111E-2</v>
      </c>
      <c r="K43" s="69">
        <f t="shared" ca="1" si="4"/>
        <v>4192.1449630881416</v>
      </c>
      <c r="L43" s="68">
        <f t="shared" ca="1" si="8"/>
        <v>171869.45870534796</v>
      </c>
      <c r="M43" s="69">
        <f t="shared" ca="1" si="9"/>
        <v>170037.02174624524</v>
      </c>
      <c r="N43" s="70"/>
      <c r="O43" s="71">
        <f ca="1">IF($C43="",0,
K43*Decrements!D40+(O42-P42-Q42)*(1+G42))</f>
        <v>68617.242525386318</v>
      </c>
      <c r="P43" s="72">
        <f ca="1">M43*'1.a Assumptions'!$B$13*Decrements!E40</f>
        <v>0</v>
      </c>
      <c r="Q43" s="72">
        <f ca="1">L44*(Decrements!F40+Decrements!G40)</f>
        <v>41331.830438154517</v>
      </c>
      <c r="R43" s="72">
        <f ca="1">O43-L44*Decrements!D40</f>
        <v>27285.412087231802</v>
      </c>
      <c r="T43" s="73">
        <f t="shared" ca="1" si="5"/>
        <v>4192.1449630881543</v>
      </c>
      <c r="U43" s="74">
        <f t="shared" ca="1" si="6"/>
        <v>1.2732925824820995E-11</v>
      </c>
      <c r="V43" s="104"/>
      <c r="W43" s="105">
        <f ca="1">IF(T43="","",J43/PUC_Projection!H45)</f>
        <v>0.68747587279384215</v>
      </c>
      <c r="X43" s="105">
        <f t="shared" ca="1" si="7"/>
        <v>0.68747587279384204</v>
      </c>
      <c r="Y43" s="106">
        <f t="shared" ca="1" si="10"/>
        <v>1.1102230246251565E-16</v>
      </c>
    </row>
    <row r="44" spans="2:25" ht="15" customHeight="1" x14ac:dyDescent="0.25">
      <c r="B44" s="61">
        <f t="shared" ca="1" si="11"/>
        <v>30</v>
      </c>
      <c r="C44" s="75">
        <f t="shared" ca="1" si="12"/>
        <v>60</v>
      </c>
      <c r="D44" s="76">
        <f t="shared" ca="1" si="13"/>
        <v>0.05</v>
      </c>
      <c r="E44" s="77">
        <f t="shared" ca="1" si="14"/>
        <v>121957.58801110003</v>
      </c>
      <c r="F44" s="66">
        <f t="shared" ca="1" si="16"/>
        <v>1.501035790919647E-2</v>
      </c>
      <c r="G44" s="66">
        <f t="shared" ca="1" si="16"/>
        <v>0.04</v>
      </c>
      <c r="I44" s="103">
        <f t="shared" ca="1" si="2"/>
        <v>0</v>
      </c>
      <c r="J44" s="67">
        <f t="shared" ca="1" si="3"/>
        <v>3.4373793639692111E-2</v>
      </c>
      <c r="K44" s="69">
        <f t="shared" ca="1" si="4"/>
        <v>0</v>
      </c>
      <c r="L44" s="68">
        <f t="shared" ca="1" si="8"/>
        <v>182936.38201665005</v>
      </c>
      <c r="M44" s="69">
        <f t="shared" ca="1" si="9"/>
        <v>182936.38201665005</v>
      </c>
      <c r="N44" s="70"/>
      <c r="O44" s="71">
        <f ca="1">IF($C44="",0,
K44*Decrements!D41+(O43-P43-Q43)*(1+G43))</f>
        <v>28376.828570721074</v>
      </c>
      <c r="P44" s="72">
        <f ca="1">M44*'1.a Assumptions'!$B$13*Decrements!E41</f>
        <v>0</v>
      </c>
      <c r="Q44" s="72">
        <f ca="1">L45*(Decrements!F41+Decrements!G41)</f>
        <v>0</v>
      </c>
      <c r="R44" s="72">
        <f ca="1">O44-L45*Decrements!D41</f>
        <v>28376.828570721074</v>
      </c>
      <c r="T44" s="73" t="str">
        <f t="shared" ca="1" si="5"/>
        <v/>
      </c>
      <c r="U44" s="74" t="str">
        <f t="shared" ca="1" si="6"/>
        <v/>
      </c>
      <c r="V44" s="104"/>
      <c r="W44" s="105" t="str">
        <f ca="1">IF(T44="","",J44/PUC_Projection!H46)</f>
        <v/>
      </c>
      <c r="X44" s="105" t="str">
        <f t="shared" ca="1" si="7"/>
        <v/>
      </c>
      <c r="Y44" s="106" t="str">
        <f t="shared" ca="1" si="10"/>
        <v/>
      </c>
    </row>
    <row r="45" spans="2:25" ht="15" customHeight="1" x14ac:dyDescent="0.25">
      <c r="B45" s="61" t="str">
        <f t="shared" ca="1" si="11"/>
        <v/>
      </c>
      <c r="C45" s="75" t="str">
        <f t="shared" ca="1" si="12"/>
        <v/>
      </c>
      <c r="D45" s="76" t="str">
        <f t="shared" ca="1" si="13"/>
        <v/>
      </c>
      <c r="E45" s="77" t="str">
        <f t="shared" ca="1" si="14"/>
        <v/>
      </c>
      <c r="F45" s="66" t="str">
        <f t="shared" ca="1" si="16"/>
        <v/>
      </c>
      <c r="G45" s="66" t="str">
        <f t="shared" ca="1" si="16"/>
        <v/>
      </c>
      <c r="I45" s="103">
        <f t="shared" ca="1" si="2"/>
        <v>0</v>
      </c>
      <c r="J45" s="67" t="str">
        <f t="shared" ca="1" si="3"/>
        <v/>
      </c>
      <c r="K45" s="69">
        <f t="shared" ca="1" si="4"/>
        <v>0</v>
      </c>
      <c r="L45" s="68">
        <f t="shared" ca="1" si="8"/>
        <v>0</v>
      </c>
      <c r="M45" s="69">
        <f t="shared" ca="1" si="9"/>
        <v>0</v>
      </c>
      <c r="N45" s="70"/>
      <c r="O45" s="71">
        <f ca="1">IF($C45="",0,
K45*Decrements!D42+(O44-P44-Q44)*(1+G44))</f>
        <v>0</v>
      </c>
      <c r="P45" s="72">
        <f ca="1">M45*'1.a Assumptions'!$B$13*Decrements!E42</f>
        <v>0</v>
      </c>
      <c r="Q45" s="72">
        <f ca="1">L46*(Decrements!F42+Decrements!G42)</f>
        <v>0</v>
      </c>
      <c r="R45" s="72">
        <f ca="1">O45-L46*Decrements!D42</f>
        <v>0</v>
      </c>
      <c r="T45" s="73" t="str">
        <f t="shared" ca="1" si="5"/>
        <v/>
      </c>
      <c r="U45" s="74" t="str">
        <f t="shared" ca="1" si="6"/>
        <v/>
      </c>
      <c r="V45" s="104"/>
      <c r="W45" s="105" t="str">
        <f ca="1">IF(T45="","",J45/PUC_Projection!H47)</f>
        <v/>
      </c>
      <c r="X45" s="105" t="str">
        <f t="shared" ca="1" si="7"/>
        <v/>
      </c>
      <c r="Y45" s="106" t="str">
        <f t="shared" ca="1" si="10"/>
        <v/>
      </c>
    </row>
    <row r="46" spans="2:25" ht="15" customHeight="1" x14ac:dyDescent="0.25">
      <c r="B46" s="61" t="str">
        <f t="shared" ca="1" si="11"/>
        <v/>
      </c>
      <c r="C46" s="75" t="str">
        <f t="shared" ca="1" si="12"/>
        <v/>
      </c>
      <c r="D46" s="76" t="str">
        <f t="shared" ca="1" si="13"/>
        <v/>
      </c>
      <c r="E46" s="77" t="str">
        <f t="shared" ca="1" si="14"/>
        <v/>
      </c>
      <c r="F46" s="66" t="str">
        <f t="shared" ca="1" si="16"/>
        <v/>
      </c>
      <c r="G46" s="66" t="str">
        <f t="shared" ca="1" si="16"/>
        <v/>
      </c>
      <c r="I46" s="103">
        <f t="shared" ref="I46:I77" ca="1" si="17">IFERROR((1-(1+$D$10)^-($D$5-$C46))/$D$10,0)</f>
        <v>0</v>
      </c>
      <c r="J46" s="67" t="str">
        <f t="shared" ref="J46:J77" ca="1" si="18">IF($C46="","",
D46*($D$5-$D$9)*((1+F46)/(1+G46))^($D$5-$D$9)/$H$14)</f>
        <v/>
      </c>
      <c r="K46" s="69">
        <f t="shared" ref="K46:K77" ca="1" si="19">IF($C47="",0,
J46*E46*(1+F46))</f>
        <v>0</v>
      </c>
      <c r="L46" s="68">
        <f t="shared" ca="1" si="8"/>
        <v>0</v>
      </c>
      <c r="M46" s="69">
        <f t="shared" ca="1" si="9"/>
        <v>0</v>
      </c>
      <c r="N46" s="70"/>
      <c r="O46" s="71">
        <f ca="1">IF($C46="",0,
K46*Decrements!D43+(O45-P45-Q45)*(1+G45))</f>
        <v>0</v>
      </c>
      <c r="P46" s="72">
        <f ca="1">M46*'1.a Assumptions'!$B$13*Decrements!E43</f>
        <v>0</v>
      </c>
      <c r="Q46" s="72">
        <f ca="1">L47*(Decrements!F43+Decrements!G43)</f>
        <v>0</v>
      </c>
      <c r="R46" s="72">
        <f ca="1">O46-L47*Decrements!D43</f>
        <v>0</v>
      </c>
      <c r="T46" s="73" t="str">
        <f t="shared" ref="T46:T77" ca="1" si="20">IF($C47&lt;=$D$5,L47-L46*(1+i),"")</f>
        <v/>
      </c>
      <c r="U46" s="74" t="str">
        <f t="shared" ref="U46:U77" ca="1" si="21">IF(T46="","",T46-K46)</f>
        <v/>
      </c>
      <c r="V46" s="104"/>
      <c r="W46" s="105" t="str">
        <f ca="1">IF(T46="","",J46/PUC_Projection!H48)</f>
        <v/>
      </c>
      <c r="X46" s="105" t="str">
        <f t="shared" ref="X46:X77" ca="1" si="22">IF(T46="","",($D$5-$D$9)/$H$14*(1+$D$10)^-(C46-$D$9+1))</f>
        <v/>
      </c>
      <c r="Y46" s="106" t="str">
        <f t="shared" ca="1" si="10"/>
        <v/>
      </c>
    </row>
    <row r="47" spans="2:25" ht="15" customHeight="1" x14ac:dyDescent="0.25">
      <c r="B47" s="61" t="str">
        <f t="shared" ca="1" si="11"/>
        <v/>
      </c>
      <c r="C47" s="75" t="str">
        <f t="shared" ca="1" si="12"/>
        <v/>
      </c>
      <c r="D47" s="76" t="str">
        <f t="shared" ca="1" si="13"/>
        <v/>
      </c>
      <c r="E47" s="77" t="str">
        <f t="shared" ca="1" si="14"/>
        <v/>
      </c>
      <c r="F47" s="66" t="str">
        <f t="shared" ca="1" si="16"/>
        <v/>
      </c>
      <c r="G47" s="66" t="str">
        <f t="shared" ca="1" si="16"/>
        <v/>
      </c>
      <c r="I47" s="103">
        <f t="shared" ca="1" si="17"/>
        <v>0</v>
      </c>
      <c r="J47" s="67" t="str">
        <f t="shared" ca="1" si="18"/>
        <v/>
      </c>
      <c r="K47" s="69">
        <f t="shared" ca="1" si="19"/>
        <v>0</v>
      </c>
      <c r="L47" s="68">
        <f t="shared" ca="1" si="8"/>
        <v>0</v>
      </c>
      <c r="M47" s="69">
        <f t="shared" ca="1" si="9"/>
        <v>0</v>
      </c>
      <c r="N47" s="70"/>
      <c r="O47" s="71">
        <f ca="1">IF($C47="",0,
K47*Decrements!D44+(O46-P46-Q46)*(1+G46))</f>
        <v>0</v>
      </c>
      <c r="P47" s="72">
        <f ca="1">M47*'1.a Assumptions'!$B$13*Decrements!E44</f>
        <v>0</v>
      </c>
      <c r="Q47" s="72">
        <f ca="1">L48*(Decrements!F44+Decrements!G44)</f>
        <v>0</v>
      </c>
      <c r="R47" s="72">
        <f ca="1">O47-L48*Decrements!D44</f>
        <v>0</v>
      </c>
      <c r="T47" s="73" t="str">
        <f t="shared" ca="1" si="20"/>
        <v/>
      </c>
      <c r="U47" s="74" t="str">
        <f t="shared" ca="1" si="21"/>
        <v/>
      </c>
      <c r="V47" s="104"/>
      <c r="W47" s="105" t="str">
        <f ca="1">IF(T47="","",J47/PUC_Projection!H49)</f>
        <v/>
      </c>
      <c r="X47" s="105" t="str">
        <f t="shared" ca="1" si="22"/>
        <v/>
      </c>
      <c r="Y47" s="106" t="str">
        <f t="shared" ca="1" si="10"/>
        <v/>
      </c>
    </row>
    <row r="48" spans="2:25" ht="15" customHeight="1" x14ac:dyDescent="0.25">
      <c r="B48" s="61" t="str">
        <f t="shared" ca="1" si="11"/>
        <v/>
      </c>
      <c r="C48" s="75" t="str">
        <f t="shared" ca="1" si="12"/>
        <v/>
      </c>
      <c r="D48" s="76" t="str">
        <f t="shared" ca="1" si="13"/>
        <v/>
      </c>
      <c r="E48" s="77" t="str">
        <f t="shared" ca="1" si="14"/>
        <v/>
      </c>
      <c r="F48" s="66" t="str">
        <f t="shared" ref="F48:G63" ca="1" si="23">IF($C48="","",F47)</f>
        <v/>
      </c>
      <c r="G48" s="66" t="str">
        <f t="shared" ca="1" si="23"/>
        <v/>
      </c>
      <c r="I48" s="103">
        <f t="shared" ca="1" si="17"/>
        <v>0</v>
      </c>
      <c r="J48" s="67" t="str">
        <f t="shared" ca="1" si="18"/>
        <v/>
      </c>
      <c r="K48" s="69">
        <f t="shared" ca="1" si="19"/>
        <v>0</v>
      </c>
      <c r="L48" s="68">
        <f t="shared" ca="1" si="8"/>
        <v>0</v>
      </c>
      <c r="M48" s="69">
        <f t="shared" ca="1" si="9"/>
        <v>0</v>
      </c>
      <c r="N48" s="70"/>
      <c r="O48" s="71">
        <f ca="1">IF($C48="",0,
K48*Decrements!D45+(O47-P47-Q47)*(1+G47))</f>
        <v>0</v>
      </c>
      <c r="P48" s="72">
        <f ca="1">M48*'1.a Assumptions'!$B$13*Decrements!E45</f>
        <v>0</v>
      </c>
      <c r="Q48" s="72">
        <f ca="1">L49*(Decrements!F45+Decrements!G45)</f>
        <v>0</v>
      </c>
      <c r="R48" s="72">
        <f ca="1">O48-L49*Decrements!D45</f>
        <v>0</v>
      </c>
      <c r="T48" s="73" t="str">
        <f t="shared" ca="1" si="20"/>
        <v/>
      </c>
      <c r="U48" s="74" t="str">
        <f t="shared" ca="1" si="21"/>
        <v/>
      </c>
      <c r="V48" s="104"/>
      <c r="W48" s="105" t="str">
        <f ca="1">IF(T48="","",J48/PUC_Projection!H50)</f>
        <v/>
      </c>
      <c r="X48" s="105" t="str">
        <f t="shared" ca="1" si="22"/>
        <v/>
      </c>
      <c r="Y48" s="106" t="str">
        <f t="shared" ca="1" si="10"/>
        <v/>
      </c>
    </row>
    <row r="49" spans="2:25" ht="15" customHeight="1" x14ac:dyDescent="0.25">
      <c r="B49" s="61" t="str">
        <f t="shared" ca="1" si="11"/>
        <v/>
      </c>
      <c r="C49" s="75" t="str">
        <f t="shared" ca="1" si="12"/>
        <v/>
      </c>
      <c r="D49" s="76" t="str">
        <f t="shared" ca="1" si="13"/>
        <v/>
      </c>
      <c r="E49" s="77" t="str">
        <f t="shared" ca="1" si="14"/>
        <v/>
      </c>
      <c r="F49" s="66" t="str">
        <f t="shared" ca="1" si="23"/>
        <v/>
      </c>
      <c r="G49" s="66" t="str">
        <f t="shared" ca="1" si="23"/>
        <v/>
      </c>
      <c r="I49" s="103">
        <f t="shared" ca="1" si="17"/>
        <v>0</v>
      </c>
      <c r="J49" s="67" t="str">
        <f t="shared" ca="1" si="18"/>
        <v/>
      </c>
      <c r="K49" s="69">
        <f t="shared" ca="1" si="19"/>
        <v>0</v>
      </c>
      <c r="L49" s="68">
        <f t="shared" ca="1" si="8"/>
        <v>0</v>
      </c>
      <c r="M49" s="69">
        <f t="shared" ca="1" si="9"/>
        <v>0</v>
      </c>
      <c r="N49" s="70"/>
      <c r="O49" s="71">
        <f ca="1">IF($C49="",0,
K49*Decrements!D46+(O48-P48-Q48)*(1+G48))</f>
        <v>0</v>
      </c>
      <c r="P49" s="72">
        <f ca="1">M49*'1.a Assumptions'!$B$13*Decrements!E46</f>
        <v>0</v>
      </c>
      <c r="Q49" s="72">
        <f ca="1">L50*(Decrements!F46+Decrements!G46)</f>
        <v>0</v>
      </c>
      <c r="R49" s="72">
        <f ca="1">O49-L50*Decrements!D46</f>
        <v>0</v>
      </c>
      <c r="T49" s="73" t="str">
        <f t="shared" ca="1" si="20"/>
        <v/>
      </c>
      <c r="U49" s="74" t="str">
        <f t="shared" ca="1" si="21"/>
        <v/>
      </c>
      <c r="V49" s="104"/>
      <c r="W49" s="105" t="str">
        <f ca="1">IF(T49="","",J49/PUC_Projection!H51)</f>
        <v/>
      </c>
      <c r="X49" s="105" t="str">
        <f t="shared" ca="1" si="22"/>
        <v/>
      </c>
      <c r="Y49" s="106" t="str">
        <f t="shared" ca="1" si="10"/>
        <v/>
      </c>
    </row>
    <row r="50" spans="2:25" ht="15" customHeight="1" x14ac:dyDescent="0.25">
      <c r="B50" s="61" t="str">
        <f t="shared" ca="1" si="11"/>
        <v/>
      </c>
      <c r="C50" s="75" t="str">
        <f t="shared" ca="1" si="12"/>
        <v/>
      </c>
      <c r="D50" s="76" t="str">
        <f t="shared" ca="1" si="13"/>
        <v/>
      </c>
      <c r="E50" s="77" t="str">
        <f t="shared" ca="1" si="14"/>
        <v/>
      </c>
      <c r="F50" s="66" t="str">
        <f t="shared" ca="1" si="23"/>
        <v/>
      </c>
      <c r="G50" s="66" t="str">
        <f t="shared" ca="1" si="23"/>
        <v/>
      </c>
      <c r="I50" s="103">
        <f t="shared" ca="1" si="17"/>
        <v>0</v>
      </c>
      <c r="J50" s="67" t="str">
        <f t="shared" ca="1" si="18"/>
        <v/>
      </c>
      <c r="K50" s="69">
        <f t="shared" ca="1" si="19"/>
        <v>0</v>
      </c>
      <c r="L50" s="68">
        <f t="shared" ca="1" si="8"/>
        <v>0</v>
      </c>
      <c r="M50" s="69">
        <f t="shared" ca="1" si="9"/>
        <v>0</v>
      </c>
      <c r="N50" s="70"/>
      <c r="O50" s="71">
        <f ca="1">IF($C50="",0,
K50*Decrements!D47+(O49-P49-Q49)*(1+G49))</f>
        <v>0</v>
      </c>
      <c r="P50" s="72">
        <f ca="1">M50*'1.a Assumptions'!$B$13*Decrements!E47</f>
        <v>0</v>
      </c>
      <c r="Q50" s="72">
        <f ca="1">L51*(Decrements!F47+Decrements!G47)</f>
        <v>0</v>
      </c>
      <c r="R50" s="72">
        <f ca="1">O50-L51*Decrements!D47</f>
        <v>0</v>
      </c>
      <c r="T50" s="73" t="str">
        <f t="shared" ca="1" si="20"/>
        <v/>
      </c>
      <c r="U50" s="74" t="str">
        <f t="shared" ca="1" si="21"/>
        <v/>
      </c>
      <c r="V50" s="104"/>
      <c r="W50" s="105" t="str">
        <f ca="1">IF(T50="","",J50/PUC_Projection!H52)</f>
        <v/>
      </c>
      <c r="X50" s="105" t="str">
        <f t="shared" ca="1" si="22"/>
        <v/>
      </c>
      <c r="Y50" s="106" t="str">
        <f t="shared" ca="1" si="10"/>
        <v/>
      </c>
    </row>
    <row r="51" spans="2:25" ht="15" customHeight="1" x14ac:dyDescent="0.25">
      <c r="B51" s="61" t="str">
        <f t="shared" ca="1" si="11"/>
        <v/>
      </c>
      <c r="C51" s="75" t="str">
        <f t="shared" ca="1" si="12"/>
        <v/>
      </c>
      <c r="D51" s="76" t="str">
        <f t="shared" ca="1" si="13"/>
        <v/>
      </c>
      <c r="E51" s="77" t="str">
        <f t="shared" ca="1" si="14"/>
        <v/>
      </c>
      <c r="F51" s="66" t="str">
        <f t="shared" ca="1" si="23"/>
        <v/>
      </c>
      <c r="G51" s="66" t="str">
        <f t="shared" ca="1" si="23"/>
        <v/>
      </c>
      <c r="I51" s="103">
        <f t="shared" ca="1" si="17"/>
        <v>0</v>
      </c>
      <c r="J51" s="67" t="str">
        <f t="shared" ca="1" si="18"/>
        <v/>
      </c>
      <c r="K51" s="69">
        <f t="shared" ca="1" si="19"/>
        <v>0</v>
      </c>
      <c r="L51" s="68">
        <f t="shared" ca="1" si="8"/>
        <v>0</v>
      </c>
      <c r="M51" s="69">
        <f t="shared" ca="1" si="9"/>
        <v>0</v>
      </c>
      <c r="N51" s="70"/>
      <c r="O51" s="71">
        <f ca="1">IF($C51="",0,
K51*Decrements!D48+(O50-P50-Q50)*(1+G50))</f>
        <v>0</v>
      </c>
      <c r="P51" s="72">
        <f ca="1">M51*'1.a Assumptions'!$B$13*Decrements!E48</f>
        <v>0</v>
      </c>
      <c r="Q51" s="72">
        <f ca="1">L52*(Decrements!F48+Decrements!G48)</f>
        <v>0</v>
      </c>
      <c r="R51" s="72">
        <f ca="1">O51-L52*Decrements!D48</f>
        <v>0</v>
      </c>
      <c r="T51" s="73" t="str">
        <f t="shared" ca="1" si="20"/>
        <v/>
      </c>
      <c r="U51" s="74" t="str">
        <f t="shared" ca="1" si="21"/>
        <v/>
      </c>
      <c r="V51" s="104"/>
      <c r="W51" s="105" t="str">
        <f ca="1">IF(T51="","",J51/PUC_Projection!H53)</f>
        <v/>
      </c>
      <c r="X51" s="105" t="str">
        <f t="shared" ca="1" si="22"/>
        <v/>
      </c>
      <c r="Y51" s="106" t="str">
        <f t="shared" ca="1" si="10"/>
        <v/>
      </c>
    </row>
    <row r="52" spans="2:25" ht="15" customHeight="1" x14ac:dyDescent="0.25">
      <c r="B52" s="61" t="str">
        <f t="shared" ca="1" si="11"/>
        <v/>
      </c>
      <c r="C52" s="75" t="str">
        <f t="shared" ca="1" si="12"/>
        <v/>
      </c>
      <c r="D52" s="76" t="str">
        <f t="shared" ca="1" si="13"/>
        <v/>
      </c>
      <c r="E52" s="77" t="str">
        <f t="shared" ca="1" si="14"/>
        <v/>
      </c>
      <c r="F52" s="66" t="str">
        <f t="shared" ca="1" si="23"/>
        <v/>
      </c>
      <c r="G52" s="66" t="str">
        <f t="shared" ca="1" si="23"/>
        <v/>
      </c>
      <c r="I52" s="103">
        <f t="shared" ca="1" si="17"/>
        <v>0</v>
      </c>
      <c r="J52" s="67" t="str">
        <f t="shared" ca="1" si="18"/>
        <v/>
      </c>
      <c r="K52" s="69">
        <f t="shared" ca="1" si="19"/>
        <v>0</v>
      </c>
      <c r="L52" s="68">
        <f t="shared" ca="1" si="8"/>
        <v>0</v>
      </c>
      <c r="M52" s="69">
        <f t="shared" ca="1" si="9"/>
        <v>0</v>
      </c>
      <c r="N52" s="70"/>
      <c r="O52" s="71">
        <f ca="1">IF($C52="",0,
K52*Decrements!D49+(O51-P51-Q51)*(1+G51))</f>
        <v>0</v>
      </c>
      <c r="P52" s="72">
        <f ca="1">M52*'1.a Assumptions'!$B$13*Decrements!E49</f>
        <v>0</v>
      </c>
      <c r="Q52" s="72">
        <f ca="1">L53*(Decrements!F49+Decrements!G49)</f>
        <v>0</v>
      </c>
      <c r="R52" s="72">
        <f ca="1">O52-L53*Decrements!D49</f>
        <v>0</v>
      </c>
      <c r="T52" s="73" t="str">
        <f t="shared" ca="1" si="20"/>
        <v/>
      </c>
      <c r="U52" s="74" t="str">
        <f t="shared" ca="1" si="21"/>
        <v/>
      </c>
      <c r="V52" s="104"/>
      <c r="W52" s="105" t="str">
        <f ca="1">IF(T52="","",J52/PUC_Projection!H54)</f>
        <v/>
      </c>
      <c r="X52" s="105" t="str">
        <f t="shared" ca="1" si="22"/>
        <v/>
      </c>
      <c r="Y52" s="106" t="str">
        <f t="shared" ca="1" si="10"/>
        <v/>
      </c>
    </row>
    <row r="53" spans="2:25" ht="15" customHeight="1" x14ac:dyDescent="0.25">
      <c r="B53" s="61" t="str">
        <f t="shared" ca="1" si="11"/>
        <v/>
      </c>
      <c r="C53" s="75" t="str">
        <f t="shared" ca="1" si="12"/>
        <v/>
      </c>
      <c r="D53" s="76" t="str">
        <f t="shared" ca="1" si="13"/>
        <v/>
      </c>
      <c r="E53" s="77" t="str">
        <f t="shared" ca="1" si="14"/>
        <v/>
      </c>
      <c r="F53" s="66" t="str">
        <f t="shared" ca="1" si="23"/>
        <v/>
      </c>
      <c r="G53" s="66" t="str">
        <f t="shared" ca="1" si="23"/>
        <v/>
      </c>
      <c r="I53" s="103">
        <f t="shared" ca="1" si="17"/>
        <v>0</v>
      </c>
      <c r="J53" s="67" t="str">
        <f t="shared" ca="1" si="18"/>
        <v/>
      </c>
      <c r="K53" s="69">
        <f t="shared" ca="1" si="19"/>
        <v>0</v>
      </c>
      <c r="L53" s="68">
        <f t="shared" ca="1" si="8"/>
        <v>0</v>
      </c>
      <c r="M53" s="69">
        <f t="shared" ca="1" si="9"/>
        <v>0</v>
      </c>
      <c r="N53" s="70"/>
      <c r="O53" s="71">
        <f ca="1">IF($C53="",0,
K53*Decrements!D50+(O52-P52-Q52)*(1+G52))</f>
        <v>0</v>
      </c>
      <c r="P53" s="72">
        <f ca="1">M53*'1.a Assumptions'!$B$13*Decrements!E50</f>
        <v>0</v>
      </c>
      <c r="Q53" s="72">
        <f ca="1">L54*(Decrements!F50+Decrements!G50)</f>
        <v>0</v>
      </c>
      <c r="R53" s="72">
        <f ca="1">O53-L54*Decrements!D50</f>
        <v>0</v>
      </c>
      <c r="T53" s="73" t="str">
        <f t="shared" ca="1" si="20"/>
        <v/>
      </c>
      <c r="U53" s="74" t="str">
        <f t="shared" ca="1" si="21"/>
        <v/>
      </c>
      <c r="V53" s="104"/>
      <c r="W53" s="105" t="str">
        <f ca="1">IF(T53="","",J53/PUC_Projection!H55)</f>
        <v/>
      </c>
      <c r="X53" s="105" t="str">
        <f t="shared" ca="1" si="22"/>
        <v/>
      </c>
      <c r="Y53" s="106" t="str">
        <f t="shared" ca="1" si="10"/>
        <v/>
      </c>
    </row>
    <row r="54" spans="2:25" ht="15" customHeight="1" x14ac:dyDescent="0.25">
      <c r="B54" s="61" t="str">
        <f t="shared" ca="1" si="11"/>
        <v/>
      </c>
      <c r="C54" s="75" t="str">
        <f t="shared" ca="1" si="12"/>
        <v/>
      </c>
      <c r="D54" s="76" t="str">
        <f t="shared" ca="1" si="13"/>
        <v/>
      </c>
      <c r="E54" s="77" t="str">
        <f t="shared" ca="1" si="14"/>
        <v/>
      </c>
      <c r="F54" s="66" t="str">
        <f t="shared" ca="1" si="23"/>
        <v/>
      </c>
      <c r="G54" s="66" t="str">
        <f t="shared" ca="1" si="23"/>
        <v/>
      </c>
      <c r="I54" s="103">
        <f t="shared" ca="1" si="17"/>
        <v>0</v>
      </c>
      <c r="J54" s="67" t="str">
        <f t="shared" ca="1" si="18"/>
        <v/>
      </c>
      <c r="K54" s="69">
        <f t="shared" ca="1" si="19"/>
        <v>0</v>
      </c>
      <c r="L54" s="68">
        <f t="shared" ca="1" si="8"/>
        <v>0</v>
      </c>
      <c r="M54" s="69">
        <f t="shared" ca="1" si="9"/>
        <v>0</v>
      </c>
      <c r="N54" s="70"/>
      <c r="O54" s="71">
        <f ca="1">IF($C54="",0,
K54*Decrements!D51+(O53-P53-Q53)*(1+G53))</f>
        <v>0</v>
      </c>
      <c r="P54" s="72">
        <f ca="1">M54*'1.a Assumptions'!$B$13*Decrements!E51</f>
        <v>0</v>
      </c>
      <c r="Q54" s="72">
        <f ca="1">L55*(Decrements!F51+Decrements!G51)</f>
        <v>0</v>
      </c>
      <c r="R54" s="72">
        <f ca="1">O54-L55*Decrements!D51</f>
        <v>0</v>
      </c>
      <c r="T54" s="73" t="str">
        <f t="shared" ca="1" si="20"/>
        <v/>
      </c>
      <c r="U54" s="74" t="str">
        <f t="shared" ca="1" si="21"/>
        <v/>
      </c>
      <c r="V54" s="104"/>
      <c r="W54" s="105" t="str">
        <f ca="1">IF(T54="","",J54/PUC_Projection!H56)</f>
        <v/>
      </c>
      <c r="X54" s="105" t="str">
        <f t="shared" ca="1" si="22"/>
        <v/>
      </c>
      <c r="Y54" s="106" t="str">
        <f t="shared" ca="1" si="10"/>
        <v/>
      </c>
    </row>
    <row r="55" spans="2:25" ht="15" customHeight="1" x14ac:dyDescent="0.25">
      <c r="B55" s="61" t="str">
        <f t="shared" ca="1" si="11"/>
        <v/>
      </c>
      <c r="C55" s="75" t="str">
        <f t="shared" ca="1" si="12"/>
        <v/>
      </c>
      <c r="D55" s="76" t="str">
        <f t="shared" ca="1" si="13"/>
        <v/>
      </c>
      <c r="E55" s="77" t="str">
        <f t="shared" ca="1" si="14"/>
        <v/>
      </c>
      <c r="F55" s="66" t="str">
        <f t="shared" ca="1" si="23"/>
        <v/>
      </c>
      <c r="G55" s="66" t="str">
        <f t="shared" ca="1" si="23"/>
        <v/>
      </c>
      <c r="I55" s="103">
        <f t="shared" ca="1" si="17"/>
        <v>0</v>
      </c>
      <c r="J55" s="67" t="str">
        <f t="shared" ca="1" si="18"/>
        <v/>
      </c>
      <c r="K55" s="69">
        <f t="shared" ca="1" si="19"/>
        <v>0</v>
      </c>
      <c r="L55" s="68">
        <f t="shared" ca="1" si="8"/>
        <v>0</v>
      </c>
      <c r="M55" s="69">
        <f t="shared" ca="1" si="9"/>
        <v>0</v>
      </c>
      <c r="N55" s="70"/>
      <c r="O55" s="71">
        <f ca="1">IF($C55="",0,
K55*Decrements!D52+(O54-P54-Q54)*(1+G54))</f>
        <v>0</v>
      </c>
      <c r="P55" s="72">
        <f ca="1">M55*'1.a Assumptions'!$B$13*Decrements!E52</f>
        <v>0</v>
      </c>
      <c r="Q55" s="72">
        <f ca="1">L56*(Decrements!F52+Decrements!G52)</f>
        <v>0</v>
      </c>
      <c r="R55" s="72">
        <f ca="1">O55-L56*Decrements!D52</f>
        <v>0</v>
      </c>
      <c r="T55" s="73" t="str">
        <f t="shared" ca="1" si="20"/>
        <v/>
      </c>
      <c r="U55" s="74" t="str">
        <f t="shared" ca="1" si="21"/>
        <v/>
      </c>
      <c r="V55" s="104"/>
      <c r="W55" s="105" t="str">
        <f ca="1">IF(T55="","",J55/PUC_Projection!H57)</f>
        <v/>
      </c>
      <c r="X55" s="105" t="str">
        <f t="shared" ca="1" si="22"/>
        <v/>
      </c>
      <c r="Y55" s="106" t="str">
        <f t="shared" ca="1" si="10"/>
        <v/>
      </c>
    </row>
    <row r="56" spans="2:25" ht="15" customHeight="1" x14ac:dyDescent="0.25">
      <c r="B56" s="61" t="str">
        <f t="shared" ca="1" si="11"/>
        <v/>
      </c>
      <c r="C56" s="75" t="str">
        <f t="shared" ca="1" si="12"/>
        <v/>
      </c>
      <c r="D56" s="76" t="str">
        <f t="shared" ca="1" si="13"/>
        <v/>
      </c>
      <c r="E56" s="77" t="str">
        <f t="shared" ca="1" si="14"/>
        <v/>
      </c>
      <c r="F56" s="66" t="str">
        <f t="shared" ca="1" si="23"/>
        <v/>
      </c>
      <c r="G56" s="66" t="str">
        <f t="shared" ca="1" si="23"/>
        <v/>
      </c>
      <c r="I56" s="103">
        <f t="shared" ca="1" si="17"/>
        <v>0</v>
      </c>
      <c r="J56" s="67" t="str">
        <f t="shared" ca="1" si="18"/>
        <v/>
      </c>
      <c r="K56" s="69">
        <f t="shared" ca="1" si="19"/>
        <v>0</v>
      </c>
      <c r="L56" s="68">
        <f t="shared" ca="1" si="8"/>
        <v>0</v>
      </c>
      <c r="M56" s="69">
        <f t="shared" ca="1" si="9"/>
        <v>0</v>
      </c>
      <c r="N56" s="70"/>
      <c r="O56" s="71">
        <f ca="1">IF($C56="",0,
K56*Decrements!D53+(O55-P55-Q55)*(1+G55))</f>
        <v>0</v>
      </c>
      <c r="P56" s="72">
        <f ca="1">M56*'1.a Assumptions'!$B$13*Decrements!E53</f>
        <v>0</v>
      </c>
      <c r="Q56" s="72">
        <f ca="1">L57*(Decrements!F53+Decrements!G53)</f>
        <v>0</v>
      </c>
      <c r="R56" s="72">
        <f ca="1">O56-L57*Decrements!D53</f>
        <v>0</v>
      </c>
      <c r="T56" s="73" t="str">
        <f t="shared" ca="1" si="20"/>
        <v/>
      </c>
      <c r="U56" s="74" t="str">
        <f t="shared" ca="1" si="21"/>
        <v/>
      </c>
      <c r="V56" s="104"/>
      <c r="W56" s="105" t="str">
        <f ca="1">IF(T56="","",J56/PUC_Projection!H58)</f>
        <v/>
      </c>
      <c r="X56" s="105" t="str">
        <f t="shared" ca="1" si="22"/>
        <v/>
      </c>
      <c r="Y56" s="106" t="str">
        <f t="shared" ca="1" si="10"/>
        <v/>
      </c>
    </row>
    <row r="57" spans="2:25" ht="15" customHeight="1" x14ac:dyDescent="0.25">
      <c r="B57" s="61" t="str">
        <f t="shared" ca="1" si="11"/>
        <v/>
      </c>
      <c r="C57" s="75" t="str">
        <f t="shared" ca="1" si="12"/>
        <v/>
      </c>
      <c r="D57" s="76" t="str">
        <f t="shared" ca="1" si="13"/>
        <v/>
      </c>
      <c r="E57" s="77" t="str">
        <f t="shared" ca="1" si="14"/>
        <v/>
      </c>
      <c r="F57" s="66" t="str">
        <f t="shared" ca="1" si="23"/>
        <v/>
      </c>
      <c r="G57" s="66" t="str">
        <f t="shared" ca="1" si="23"/>
        <v/>
      </c>
      <c r="I57" s="103">
        <f t="shared" ca="1" si="17"/>
        <v>0</v>
      </c>
      <c r="J57" s="67" t="str">
        <f t="shared" ca="1" si="18"/>
        <v/>
      </c>
      <c r="K57" s="69">
        <f t="shared" ca="1" si="19"/>
        <v>0</v>
      </c>
      <c r="L57" s="68">
        <f t="shared" ca="1" si="8"/>
        <v>0</v>
      </c>
      <c r="M57" s="69">
        <f t="shared" ca="1" si="9"/>
        <v>0</v>
      </c>
      <c r="N57" s="70"/>
      <c r="O57" s="71">
        <f ca="1">IF($C57="",0,
K57*Decrements!D54+(O56-P56-Q56)*(1+G56))</f>
        <v>0</v>
      </c>
      <c r="P57" s="72">
        <f ca="1">M57*'1.a Assumptions'!$B$13*Decrements!E54</f>
        <v>0</v>
      </c>
      <c r="Q57" s="72">
        <f ca="1">L58*(Decrements!F54+Decrements!G54)</f>
        <v>0</v>
      </c>
      <c r="R57" s="72">
        <f ca="1">O57-L58*Decrements!D54</f>
        <v>0</v>
      </c>
      <c r="T57" s="73" t="str">
        <f t="shared" ca="1" si="20"/>
        <v/>
      </c>
      <c r="U57" s="74" t="str">
        <f t="shared" ca="1" si="21"/>
        <v/>
      </c>
      <c r="V57" s="104"/>
      <c r="W57" s="105" t="str">
        <f ca="1">IF(T57="","",J57/PUC_Projection!H59)</f>
        <v/>
      </c>
      <c r="X57" s="105" t="str">
        <f t="shared" ca="1" si="22"/>
        <v/>
      </c>
      <c r="Y57" s="106" t="str">
        <f t="shared" ca="1" si="10"/>
        <v/>
      </c>
    </row>
    <row r="58" spans="2:25" ht="15" customHeight="1" x14ac:dyDescent="0.25">
      <c r="B58" s="61" t="str">
        <f t="shared" ca="1" si="11"/>
        <v/>
      </c>
      <c r="C58" s="75" t="str">
        <f t="shared" ca="1" si="12"/>
        <v/>
      </c>
      <c r="D58" s="76" t="str">
        <f t="shared" ca="1" si="13"/>
        <v/>
      </c>
      <c r="E58" s="77" t="str">
        <f t="shared" ca="1" si="14"/>
        <v/>
      </c>
      <c r="F58" s="66" t="str">
        <f t="shared" ca="1" si="23"/>
        <v/>
      </c>
      <c r="G58" s="66" t="str">
        <f t="shared" ca="1" si="23"/>
        <v/>
      </c>
      <c r="I58" s="103">
        <f t="shared" ca="1" si="17"/>
        <v>0</v>
      </c>
      <c r="J58" s="67" t="str">
        <f t="shared" ca="1" si="18"/>
        <v/>
      </c>
      <c r="K58" s="69">
        <f t="shared" ca="1" si="19"/>
        <v>0</v>
      </c>
      <c r="L58" s="68">
        <f t="shared" ca="1" si="8"/>
        <v>0</v>
      </c>
      <c r="M58" s="69">
        <f t="shared" ca="1" si="9"/>
        <v>0</v>
      </c>
      <c r="N58" s="70"/>
      <c r="O58" s="71">
        <f ca="1">IF($C58="",0,
K58*Decrements!D55+(O57-P57-Q57)*(1+G57))</f>
        <v>0</v>
      </c>
      <c r="P58" s="72">
        <f ca="1">M58*'1.a Assumptions'!$B$13*Decrements!E55</f>
        <v>0</v>
      </c>
      <c r="Q58" s="72">
        <f ca="1">L59*(Decrements!F55+Decrements!G55)</f>
        <v>0</v>
      </c>
      <c r="R58" s="72">
        <f ca="1">O58-L59*Decrements!D55</f>
        <v>0</v>
      </c>
      <c r="T58" s="73" t="str">
        <f t="shared" ca="1" si="20"/>
        <v/>
      </c>
      <c r="U58" s="74" t="str">
        <f t="shared" ca="1" si="21"/>
        <v/>
      </c>
      <c r="V58" s="104"/>
      <c r="W58" s="105" t="str">
        <f ca="1">IF(T58="","",J58/PUC_Projection!H60)</f>
        <v/>
      </c>
      <c r="X58" s="105" t="str">
        <f t="shared" ca="1" si="22"/>
        <v/>
      </c>
      <c r="Y58" s="106" t="str">
        <f t="shared" ca="1" si="10"/>
        <v/>
      </c>
    </row>
    <row r="59" spans="2:25" ht="15" customHeight="1" x14ac:dyDescent="0.25">
      <c r="B59" s="61" t="str">
        <f t="shared" ca="1" si="11"/>
        <v/>
      </c>
      <c r="C59" s="75" t="str">
        <f t="shared" ca="1" si="12"/>
        <v/>
      </c>
      <c r="D59" s="76" t="str">
        <f t="shared" ca="1" si="13"/>
        <v/>
      </c>
      <c r="E59" s="77" t="str">
        <f t="shared" ca="1" si="14"/>
        <v/>
      </c>
      <c r="F59" s="66" t="str">
        <f t="shared" ca="1" si="23"/>
        <v/>
      </c>
      <c r="G59" s="66" t="str">
        <f t="shared" ca="1" si="23"/>
        <v/>
      </c>
      <c r="I59" s="103">
        <f t="shared" ca="1" si="17"/>
        <v>0</v>
      </c>
      <c r="J59" s="67" t="str">
        <f t="shared" ca="1" si="18"/>
        <v/>
      </c>
      <c r="K59" s="69">
        <f t="shared" ca="1" si="19"/>
        <v>0</v>
      </c>
      <c r="L59" s="68">
        <f t="shared" ca="1" si="8"/>
        <v>0</v>
      </c>
      <c r="M59" s="69">
        <f t="shared" ca="1" si="9"/>
        <v>0</v>
      </c>
      <c r="N59" s="70"/>
      <c r="O59" s="71">
        <f ca="1">IF($C59="",0,
K59*Decrements!D56+(O58-P58-Q58)*(1+G58))</f>
        <v>0</v>
      </c>
      <c r="P59" s="72">
        <f ca="1">M59*'1.a Assumptions'!$B$13*Decrements!E56</f>
        <v>0</v>
      </c>
      <c r="Q59" s="72">
        <f ca="1">L60*(Decrements!F56+Decrements!G56)</f>
        <v>0</v>
      </c>
      <c r="R59" s="72">
        <f ca="1">O59-L60*Decrements!D56</f>
        <v>0</v>
      </c>
      <c r="T59" s="73" t="str">
        <f t="shared" ca="1" si="20"/>
        <v/>
      </c>
      <c r="U59" s="74" t="str">
        <f t="shared" ca="1" si="21"/>
        <v/>
      </c>
      <c r="V59" s="104"/>
      <c r="W59" s="105" t="str">
        <f ca="1">IF(T59="","",J59/PUC_Projection!H61)</f>
        <v/>
      </c>
      <c r="X59" s="105" t="str">
        <f t="shared" ca="1" si="22"/>
        <v/>
      </c>
      <c r="Y59" s="106" t="str">
        <f t="shared" ca="1" si="10"/>
        <v/>
      </c>
    </row>
    <row r="60" spans="2:25" ht="15" customHeight="1" x14ac:dyDescent="0.25">
      <c r="B60" s="61" t="str">
        <f t="shared" ca="1" si="11"/>
        <v/>
      </c>
      <c r="C60" s="75" t="str">
        <f t="shared" ca="1" si="12"/>
        <v/>
      </c>
      <c r="D60" s="76" t="str">
        <f t="shared" ca="1" si="13"/>
        <v/>
      </c>
      <c r="E60" s="77" t="str">
        <f t="shared" ca="1" si="14"/>
        <v/>
      </c>
      <c r="F60" s="66" t="str">
        <f t="shared" ca="1" si="23"/>
        <v/>
      </c>
      <c r="G60" s="66" t="str">
        <f t="shared" ca="1" si="23"/>
        <v/>
      </c>
      <c r="I60" s="103">
        <f t="shared" ca="1" si="17"/>
        <v>0</v>
      </c>
      <c r="J60" s="67" t="str">
        <f t="shared" ca="1" si="18"/>
        <v/>
      </c>
      <c r="K60" s="69">
        <f t="shared" ca="1" si="19"/>
        <v>0</v>
      </c>
      <c r="L60" s="68">
        <f t="shared" ca="1" si="8"/>
        <v>0</v>
      </c>
      <c r="M60" s="69">
        <f t="shared" ca="1" si="9"/>
        <v>0</v>
      </c>
      <c r="N60" s="70"/>
      <c r="O60" s="71">
        <f ca="1">IF($C60="",0,
K60*Decrements!D57+(O59-P59-Q59)*(1+G59))</f>
        <v>0</v>
      </c>
      <c r="P60" s="72">
        <f ca="1">M60*'1.a Assumptions'!$B$13*Decrements!E57</f>
        <v>0</v>
      </c>
      <c r="Q60" s="72">
        <f ca="1">L61*(Decrements!F57+Decrements!G57)</f>
        <v>0</v>
      </c>
      <c r="R60" s="72">
        <f ca="1">O60-L61*Decrements!D57</f>
        <v>0</v>
      </c>
      <c r="T60" s="73" t="str">
        <f t="shared" ca="1" si="20"/>
        <v/>
      </c>
      <c r="U60" s="74" t="str">
        <f t="shared" ca="1" si="21"/>
        <v/>
      </c>
      <c r="V60" s="104"/>
      <c r="W60" s="105" t="str">
        <f ca="1">IF(T60="","",J60/PUC_Projection!H62)</f>
        <v/>
      </c>
      <c r="X60" s="105" t="str">
        <f t="shared" ca="1" si="22"/>
        <v/>
      </c>
      <c r="Y60" s="106" t="str">
        <f t="shared" ca="1" si="10"/>
        <v/>
      </c>
    </row>
    <row r="61" spans="2:25" ht="15" customHeight="1" x14ac:dyDescent="0.25">
      <c r="B61" s="61" t="str">
        <f t="shared" ca="1" si="11"/>
        <v/>
      </c>
      <c r="C61" s="75" t="str">
        <f t="shared" ca="1" si="12"/>
        <v/>
      </c>
      <c r="D61" s="76" t="str">
        <f t="shared" ca="1" si="13"/>
        <v/>
      </c>
      <c r="E61" s="77" t="str">
        <f t="shared" ca="1" si="14"/>
        <v/>
      </c>
      <c r="F61" s="66" t="str">
        <f t="shared" ca="1" si="23"/>
        <v/>
      </c>
      <c r="G61" s="66" t="str">
        <f t="shared" ca="1" si="23"/>
        <v/>
      </c>
      <c r="I61" s="103">
        <f t="shared" ca="1" si="17"/>
        <v>0</v>
      </c>
      <c r="J61" s="67" t="str">
        <f t="shared" ca="1" si="18"/>
        <v/>
      </c>
      <c r="K61" s="69">
        <f t="shared" ca="1" si="19"/>
        <v>0</v>
      </c>
      <c r="L61" s="68">
        <f t="shared" ca="1" si="8"/>
        <v>0</v>
      </c>
      <c r="M61" s="69">
        <f t="shared" ca="1" si="9"/>
        <v>0</v>
      </c>
      <c r="N61" s="70"/>
      <c r="O61" s="71">
        <f ca="1">IF($C61="",0,
K61*Decrements!D58+(O60-P60-Q60)*(1+G60))</f>
        <v>0</v>
      </c>
      <c r="P61" s="72">
        <f ca="1">M61*'1.a Assumptions'!$B$13*Decrements!E58</f>
        <v>0</v>
      </c>
      <c r="Q61" s="72">
        <f ca="1">L62*(Decrements!F58+Decrements!G58)</f>
        <v>0</v>
      </c>
      <c r="R61" s="72">
        <f ca="1">O61-L62*Decrements!D58</f>
        <v>0</v>
      </c>
      <c r="T61" s="73" t="str">
        <f t="shared" ca="1" si="20"/>
        <v/>
      </c>
      <c r="U61" s="74" t="str">
        <f t="shared" ca="1" si="21"/>
        <v/>
      </c>
      <c r="V61" s="104"/>
      <c r="W61" s="105" t="str">
        <f ca="1">IF(T61="","",J61/PUC_Projection!H63)</f>
        <v/>
      </c>
      <c r="X61" s="105" t="str">
        <f t="shared" ca="1" si="22"/>
        <v/>
      </c>
      <c r="Y61" s="106" t="str">
        <f t="shared" ca="1" si="10"/>
        <v/>
      </c>
    </row>
    <row r="62" spans="2:25" ht="15" customHeight="1" x14ac:dyDescent="0.25">
      <c r="B62" s="61" t="str">
        <f t="shared" ca="1" si="11"/>
        <v/>
      </c>
      <c r="C62" s="75" t="str">
        <f t="shared" ca="1" si="12"/>
        <v/>
      </c>
      <c r="D62" s="76" t="str">
        <f t="shared" ca="1" si="13"/>
        <v/>
      </c>
      <c r="E62" s="77" t="str">
        <f t="shared" ca="1" si="14"/>
        <v/>
      </c>
      <c r="F62" s="66" t="str">
        <f t="shared" ca="1" si="23"/>
        <v/>
      </c>
      <c r="G62" s="66" t="str">
        <f t="shared" ca="1" si="23"/>
        <v/>
      </c>
      <c r="I62" s="103">
        <f t="shared" ca="1" si="17"/>
        <v>0</v>
      </c>
      <c r="J62" s="67" t="str">
        <f t="shared" ca="1" si="18"/>
        <v/>
      </c>
      <c r="K62" s="69">
        <f t="shared" ca="1" si="19"/>
        <v>0</v>
      </c>
      <c r="L62" s="68">
        <f t="shared" ca="1" si="8"/>
        <v>0</v>
      </c>
      <c r="M62" s="69">
        <f t="shared" ca="1" si="9"/>
        <v>0</v>
      </c>
      <c r="N62" s="70"/>
      <c r="O62" s="71">
        <f ca="1">IF($C62="",0,
K62*Decrements!D59+(O61-P61-Q61)*(1+G61))</f>
        <v>0</v>
      </c>
      <c r="P62" s="72">
        <f ca="1">M62*'1.a Assumptions'!$B$13*Decrements!E59</f>
        <v>0</v>
      </c>
      <c r="Q62" s="72">
        <f ca="1">L63*(Decrements!F59+Decrements!G59)</f>
        <v>0</v>
      </c>
      <c r="R62" s="72">
        <f ca="1">O62-L63*Decrements!D59</f>
        <v>0</v>
      </c>
      <c r="T62" s="73" t="str">
        <f t="shared" ca="1" si="20"/>
        <v/>
      </c>
      <c r="U62" s="74" t="str">
        <f t="shared" ca="1" si="21"/>
        <v/>
      </c>
      <c r="V62" s="104"/>
      <c r="W62" s="105" t="str">
        <f ca="1">IF(T62="","",J62/PUC_Projection!H64)</f>
        <v/>
      </c>
      <c r="X62" s="105" t="str">
        <f t="shared" ca="1" si="22"/>
        <v/>
      </c>
      <c r="Y62" s="106" t="str">
        <f t="shared" ca="1" si="10"/>
        <v/>
      </c>
    </row>
    <row r="63" spans="2:25" ht="15" customHeight="1" x14ac:dyDescent="0.25">
      <c r="B63" s="61" t="str">
        <f t="shared" ca="1" si="11"/>
        <v/>
      </c>
      <c r="C63" s="75" t="str">
        <f t="shared" ca="1" si="12"/>
        <v/>
      </c>
      <c r="D63" s="76" t="str">
        <f t="shared" ca="1" si="13"/>
        <v/>
      </c>
      <c r="E63" s="77" t="str">
        <f t="shared" ca="1" si="14"/>
        <v/>
      </c>
      <c r="F63" s="66" t="str">
        <f t="shared" ca="1" si="23"/>
        <v/>
      </c>
      <c r="G63" s="66" t="str">
        <f t="shared" ca="1" si="23"/>
        <v/>
      </c>
      <c r="I63" s="103">
        <f t="shared" ca="1" si="17"/>
        <v>0</v>
      </c>
      <c r="J63" s="67" t="str">
        <f t="shared" ca="1" si="18"/>
        <v/>
      </c>
      <c r="K63" s="69">
        <f t="shared" ca="1" si="19"/>
        <v>0</v>
      </c>
      <c r="L63" s="68">
        <f t="shared" ca="1" si="8"/>
        <v>0</v>
      </c>
      <c r="M63" s="69">
        <f t="shared" ca="1" si="9"/>
        <v>0</v>
      </c>
      <c r="N63" s="70"/>
      <c r="O63" s="71">
        <f ca="1">IF($C63="",0,
K63*Decrements!D60+(O62-P62-Q62)*(1+G62))</f>
        <v>0</v>
      </c>
      <c r="P63" s="72">
        <f ca="1">M63*'1.a Assumptions'!$B$13*Decrements!E60</f>
        <v>0</v>
      </c>
      <c r="Q63" s="72">
        <f ca="1">L64*(Decrements!F60+Decrements!G60)</f>
        <v>0</v>
      </c>
      <c r="R63" s="72">
        <f ca="1">O63-L64*Decrements!D60</f>
        <v>0</v>
      </c>
      <c r="T63" s="73" t="str">
        <f t="shared" ca="1" si="20"/>
        <v/>
      </c>
      <c r="U63" s="74" t="str">
        <f t="shared" ca="1" si="21"/>
        <v/>
      </c>
      <c r="V63" s="104"/>
      <c r="W63" s="105" t="str">
        <f ca="1">IF(T63="","",J63/PUC_Projection!H65)</f>
        <v/>
      </c>
      <c r="X63" s="105" t="str">
        <f t="shared" ca="1" si="22"/>
        <v/>
      </c>
      <c r="Y63" s="106" t="str">
        <f t="shared" ca="1" si="10"/>
        <v/>
      </c>
    </row>
    <row r="64" spans="2:25" ht="15" customHeight="1" x14ac:dyDescent="0.25">
      <c r="B64" s="61" t="str">
        <f t="shared" ca="1" si="11"/>
        <v/>
      </c>
      <c r="C64" s="75" t="str">
        <f t="shared" ca="1" si="12"/>
        <v/>
      </c>
      <c r="D64" s="76" t="str">
        <f t="shared" ca="1" si="13"/>
        <v/>
      </c>
      <c r="E64" s="77" t="str">
        <f t="shared" ca="1" si="14"/>
        <v/>
      </c>
      <c r="F64" s="66" t="str">
        <f t="shared" ref="F64:G79" ca="1" si="24">IF($C64="","",F63)</f>
        <v/>
      </c>
      <c r="G64" s="66" t="str">
        <f t="shared" ca="1" si="24"/>
        <v/>
      </c>
      <c r="I64" s="103">
        <f t="shared" ca="1" si="17"/>
        <v>0</v>
      </c>
      <c r="J64" s="67" t="str">
        <f t="shared" ca="1" si="18"/>
        <v/>
      </c>
      <c r="K64" s="69">
        <f t="shared" ca="1" si="19"/>
        <v>0</v>
      </c>
      <c r="L64" s="68">
        <f t="shared" ca="1" si="8"/>
        <v>0</v>
      </c>
      <c r="M64" s="69">
        <f t="shared" ca="1" si="9"/>
        <v>0</v>
      </c>
      <c r="N64" s="70"/>
      <c r="O64" s="71">
        <f ca="1">IF($C64="",0,
K64*Decrements!D61+(O63-P63-Q63)*(1+G63))</f>
        <v>0</v>
      </c>
      <c r="P64" s="72">
        <f ca="1">M64*'1.a Assumptions'!$B$13*Decrements!E61</f>
        <v>0</v>
      </c>
      <c r="Q64" s="72">
        <f ca="1">L65*(Decrements!F61+Decrements!G61)</f>
        <v>0</v>
      </c>
      <c r="R64" s="72">
        <f ca="1">O64-L65*Decrements!D61</f>
        <v>0</v>
      </c>
      <c r="T64" s="73" t="str">
        <f t="shared" ca="1" si="20"/>
        <v/>
      </c>
      <c r="U64" s="74" t="str">
        <f t="shared" ca="1" si="21"/>
        <v/>
      </c>
      <c r="V64" s="104"/>
      <c r="W64" s="105" t="str">
        <f ca="1">IF(T64="","",J64/PUC_Projection!H66)</f>
        <v/>
      </c>
      <c r="X64" s="105" t="str">
        <f t="shared" ca="1" si="22"/>
        <v/>
      </c>
      <c r="Y64" s="106" t="str">
        <f t="shared" ca="1" si="10"/>
        <v/>
      </c>
    </row>
    <row r="65" spans="2:25" ht="15" customHeight="1" x14ac:dyDescent="0.25">
      <c r="B65" s="61" t="str">
        <f t="shared" ca="1" si="11"/>
        <v/>
      </c>
      <c r="C65" s="75" t="str">
        <f t="shared" ca="1" si="12"/>
        <v/>
      </c>
      <c r="D65" s="76" t="str">
        <f t="shared" ca="1" si="13"/>
        <v/>
      </c>
      <c r="E65" s="77" t="str">
        <f t="shared" ca="1" si="14"/>
        <v/>
      </c>
      <c r="F65" s="66" t="str">
        <f t="shared" ca="1" si="24"/>
        <v/>
      </c>
      <c r="G65" s="66" t="str">
        <f t="shared" ca="1" si="24"/>
        <v/>
      </c>
      <c r="I65" s="103">
        <f t="shared" ca="1" si="17"/>
        <v>0</v>
      </c>
      <c r="J65" s="67" t="str">
        <f t="shared" ca="1" si="18"/>
        <v/>
      </c>
      <c r="K65" s="69">
        <f t="shared" ca="1" si="19"/>
        <v>0</v>
      </c>
      <c r="L65" s="68">
        <f t="shared" ca="1" si="8"/>
        <v>0</v>
      </c>
      <c r="M65" s="69">
        <f t="shared" ca="1" si="9"/>
        <v>0</v>
      </c>
      <c r="N65" s="70"/>
      <c r="O65" s="71">
        <f ca="1">IF($C65="",0,
K65*Decrements!D62+(O64-P64-Q64)*(1+G64))</f>
        <v>0</v>
      </c>
      <c r="P65" s="72">
        <f ca="1">M65*'1.a Assumptions'!$B$13*Decrements!E62</f>
        <v>0</v>
      </c>
      <c r="Q65" s="72">
        <f ca="1">L66*(Decrements!F62+Decrements!G62)</f>
        <v>0</v>
      </c>
      <c r="R65" s="72">
        <f ca="1">O65-L66*Decrements!D62</f>
        <v>0</v>
      </c>
      <c r="T65" s="73" t="str">
        <f t="shared" ca="1" si="20"/>
        <v/>
      </c>
      <c r="U65" s="74" t="str">
        <f t="shared" ca="1" si="21"/>
        <v/>
      </c>
      <c r="V65" s="104"/>
      <c r="W65" s="105" t="str">
        <f ca="1">IF(T65="","",J65/PUC_Projection!H67)</f>
        <v/>
      </c>
      <c r="X65" s="105" t="str">
        <f t="shared" ca="1" si="22"/>
        <v/>
      </c>
      <c r="Y65" s="106" t="str">
        <f t="shared" ca="1" si="10"/>
        <v/>
      </c>
    </row>
    <row r="66" spans="2:25" ht="15" customHeight="1" x14ac:dyDescent="0.25">
      <c r="B66" s="61" t="str">
        <f t="shared" ca="1" si="11"/>
        <v/>
      </c>
      <c r="C66" s="75" t="str">
        <f t="shared" ca="1" si="12"/>
        <v/>
      </c>
      <c r="D66" s="76" t="str">
        <f t="shared" ca="1" si="13"/>
        <v/>
      </c>
      <c r="E66" s="77" t="str">
        <f t="shared" ca="1" si="14"/>
        <v/>
      </c>
      <c r="F66" s="66" t="str">
        <f t="shared" ca="1" si="24"/>
        <v/>
      </c>
      <c r="G66" s="66" t="str">
        <f t="shared" ca="1" si="24"/>
        <v/>
      </c>
      <c r="I66" s="103">
        <f t="shared" ca="1" si="17"/>
        <v>0</v>
      </c>
      <c r="J66" s="67" t="str">
        <f t="shared" ca="1" si="18"/>
        <v/>
      </c>
      <c r="K66" s="69">
        <f t="shared" ca="1" si="19"/>
        <v>0</v>
      </c>
      <c r="L66" s="68">
        <f t="shared" ca="1" si="8"/>
        <v>0</v>
      </c>
      <c r="M66" s="69">
        <f t="shared" ca="1" si="9"/>
        <v>0</v>
      </c>
      <c r="N66" s="70"/>
      <c r="O66" s="71">
        <f ca="1">IF($C66="",0,
K66*Decrements!D63+(O65-P65-Q65)*(1+G65))</f>
        <v>0</v>
      </c>
      <c r="P66" s="72">
        <f ca="1">M66*'1.a Assumptions'!$B$13*Decrements!E63</f>
        <v>0</v>
      </c>
      <c r="Q66" s="72">
        <f ca="1">L67*(Decrements!F63+Decrements!G63)</f>
        <v>0</v>
      </c>
      <c r="R66" s="72">
        <f ca="1">O66-L67*Decrements!D63</f>
        <v>0</v>
      </c>
      <c r="T66" s="73" t="str">
        <f t="shared" ca="1" si="20"/>
        <v/>
      </c>
      <c r="U66" s="74" t="str">
        <f t="shared" ca="1" si="21"/>
        <v/>
      </c>
      <c r="V66" s="104"/>
      <c r="W66" s="105" t="str">
        <f ca="1">IF(T66="","",J66/PUC_Projection!H68)</f>
        <v/>
      </c>
      <c r="X66" s="105" t="str">
        <f t="shared" ca="1" si="22"/>
        <v/>
      </c>
      <c r="Y66" s="106" t="str">
        <f t="shared" ca="1" si="10"/>
        <v/>
      </c>
    </row>
    <row r="67" spans="2:25" ht="15" customHeight="1" x14ac:dyDescent="0.25">
      <c r="B67" s="61" t="str">
        <f t="shared" ca="1" si="11"/>
        <v/>
      </c>
      <c r="C67" s="75" t="str">
        <f t="shared" ca="1" si="12"/>
        <v/>
      </c>
      <c r="D67" s="76" t="str">
        <f t="shared" ca="1" si="13"/>
        <v/>
      </c>
      <c r="E67" s="77" t="str">
        <f t="shared" ca="1" si="14"/>
        <v/>
      </c>
      <c r="F67" s="66" t="str">
        <f t="shared" ca="1" si="24"/>
        <v/>
      </c>
      <c r="G67" s="66" t="str">
        <f t="shared" ca="1" si="24"/>
        <v/>
      </c>
      <c r="I67" s="103">
        <f t="shared" ca="1" si="17"/>
        <v>0</v>
      </c>
      <c r="J67" s="67" t="str">
        <f t="shared" ca="1" si="18"/>
        <v/>
      </c>
      <c r="K67" s="69">
        <f t="shared" ca="1" si="19"/>
        <v>0</v>
      </c>
      <c r="L67" s="68">
        <f t="shared" ca="1" si="8"/>
        <v>0</v>
      </c>
      <c r="M67" s="69">
        <f t="shared" ca="1" si="9"/>
        <v>0</v>
      </c>
      <c r="N67" s="70"/>
      <c r="O67" s="71">
        <f ca="1">IF($C67="",0,
K67*Decrements!D64+(O66-P66-Q66)*(1+G66))</f>
        <v>0</v>
      </c>
      <c r="P67" s="72">
        <f ca="1">M67*'1.a Assumptions'!$B$13*Decrements!E64</f>
        <v>0</v>
      </c>
      <c r="Q67" s="72">
        <f ca="1">L68*(Decrements!F64+Decrements!G64)</f>
        <v>0</v>
      </c>
      <c r="R67" s="72">
        <f ca="1">O67-L68*Decrements!D64</f>
        <v>0</v>
      </c>
      <c r="T67" s="73" t="str">
        <f t="shared" ca="1" si="20"/>
        <v/>
      </c>
      <c r="U67" s="74" t="str">
        <f t="shared" ca="1" si="21"/>
        <v/>
      </c>
      <c r="V67" s="104"/>
      <c r="W67" s="105" t="str">
        <f ca="1">IF(T67="","",J67/PUC_Projection!H69)</f>
        <v/>
      </c>
      <c r="X67" s="105" t="str">
        <f t="shared" ca="1" si="22"/>
        <v/>
      </c>
      <c r="Y67" s="106" t="str">
        <f t="shared" ca="1" si="10"/>
        <v/>
      </c>
    </row>
    <row r="68" spans="2:25" ht="15" customHeight="1" x14ac:dyDescent="0.25">
      <c r="B68" s="61" t="str">
        <f t="shared" ca="1" si="11"/>
        <v/>
      </c>
      <c r="C68" s="75" t="str">
        <f t="shared" ca="1" si="12"/>
        <v/>
      </c>
      <c r="D68" s="76" t="str">
        <f t="shared" ca="1" si="13"/>
        <v/>
      </c>
      <c r="E68" s="77" t="str">
        <f t="shared" ca="1" si="14"/>
        <v/>
      </c>
      <c r="F68" s="66" t="str">
        <f t="shared" ca="1" si="24"/>
        <v/>
      </c>
      <c r="G68" s="66" t="str">
        <f t="shared" ca="1" si="24"/>
        <v/>
      </c>
      <c r="I68" s="103">
        <f t="shared" ca="1" si="17"/>
        <v>0</v>
      </c>
      <c r="J68" s="67" t="str">
        <f t="shared" ca="1" si="18"/>
        <v/>
      </c>
      <c r="K68" s="69">
        <f t="shared" ca="1" si="19"/>
        <v>0</v>
      </c>
      <c r="L68" s="68">
        <f t="shared" ca="1" si="8"/>
        <v>0</v>
      </c>
      <c r="M68" s="69">
        <f t="shared" ca="1" si="9"/>
        <v>0</v>
      </c>
      <c r="N68" s="70"/>
      <c r="O68" s="71">
        <f ca="1">IF($C68="",0,
K68*Decrements!D65+(O67-P67-Q67)*(1+G67))</f>
        <v>0</v>
      </c>
      <c r="P68" s="72">
        <f ca="1">M68*'1.a Assumptions'!$B$13*Decrements!E65</f>
        <v>0</v>
      </c>
      <c r="Q68" s="72">
        <f ca="1">L69*(Decrements!F65+Decrements!G65)</f>
        <v>0</v>
      </c>
      <c r="R68" s="72">
        <f ca="1">O68-L69*Decrements!D65</f>
        <v>0</v>
      </c>
      <c r="T68" s="73" t="str">
        <f t="shared" ca="1" si="20"/>
        <v/>
      </c>
      <c r="U68" s="74" t="str">
        <f t="shared" ca="1" si="21"/>
        <v/>
      </c>
      <c r="V68" s="104"/>
      <c r="W68" s="105" t="str">
        <f ca="1">IF(T68="","",J68/PUC_Projection!H70)</f>
        <v/>
      </c>
      <c r="X68" s="105" t="str">
        <f t="shared" ca="1" si="22"/>
        <v/>
      </c>
      <c r="Y68" s="106" t="str">
        <f t="shared" ca="1" si="10"/>
        <v/>
      </c>
    </row>
    <row r="69" spans="2:25" ht="15" customHeight="1" x14ac:dyDescent="0.25">
      <c r="B69" s="61" t="str">
        <f t="shared" ca="1" si="11"/>
        <v/>
      </c>
      <c r="C69" s="75" t="str">
        <f t="shared" ca="1" si="12"/>
        <v/>
      </c>
      <c r="D69" s="76" t="str">
        <f t="shared" ca="1" si="13"/>
        <v/>
      </c>
      <c r="E69" s="77" t="str">
        <f t="shared" ca="1" si="14"/>
        <v/>
      </c>
      <c r="F69" s="66" t="str">
        <f t="shared" ca="1" si="24"/>
        <v/>
      </c>
      <c r="G69" s="66" t="str">
        <f t="shared" ca="1" si="24"/>
        <v/>
      </c>
      <c r="I69" s="103">
        <f t="shared" ca="1" si="17"/>
        <v>0</v>
      </c>
      <c r="J69" s="67" t="str">
        <f t="shared" ca="1" si="18"/>
        <v/>
      </c>
      <c r="K69" s="69">
        <f t="shared" ca="1" si="19"/>
        <v>0</v>
      </c>
      <c r="L69" s="68">
        <f t="shared" ca="1" si="8"/>
        <v>0</v>
      </c>
      <c r="M69" s="69">
        <f t="shared" ca="1" si="9"/>
        <v>0</v>
      </c>
      <c r="N69" s="70"/>
      <c r="O69" s="71">
        <f ca="1">IF($C69="",0,
K69*Decrements!D66+(O68-P68-Q68)*(1+G68))</f>
        <v>0</v>
      </c>
      <c r="P69" s="72">
        <f ca="1">M69*'1.a Assumptions'!$B$13*Decrements!E66</f>
        <v>0</v>
      </c>
      <c r="Q69" s="72">
        <f ca="1">L70*(Decrements!F66+Decrements!G66)</f>
        <v>0</v>
      </c>
      <c r="R69" s="72">
        <f ca="1">O69-L70*Decrements!D66</f>
        <v>0</v>
      </c>
      <c r="T69" s="73" t="str">
        <f t="shared" ca="1" si="20"/>
        <v/>
      </c>
      <c r="U69" s="74" t="str">
        <f t="shared" ca="1" si="21"/>
        <v/>
      </c>
      <c r="V69" s="104"/>
      <c r="W69" s="105" t="str">
        <f ca="1">IF(T69="","",J69/PUC_Projection!H71)</f>
        <v/>
      </c>
      <c r="X69" s="105" t="str">
        <f t="shared" ca="1" si="22"/>
        <v/>
      </c>
      <c r="Y69" s="106" t="str">
        <f t="shared" ca="1" si="10"/>
        <v/>
      </c>
    </row>
    <row r="70" spans="2:25" ht="15" customHeight="1" x14ac:dyDescent="0.25">
      <c r="B70" s="61" t="str">
        <f t="shared" ca="1" si="11"/>
        <v/>
      </c>
      <c r="C70" s="75" t="str">
        <f t="shared" ca="1" si="12"/>
        <v/>
      </c>
      <c r="D70" s="76" t="str">
        <f t="shared" ca="1" si="13"/>
        <v/>
      </c>
      <c r="E70" s="77" t="str">
        <f t="shared" ca="1" si="14"/>
        <v/>
      </c>
      <c r="F70" s="66" t="str">
        <f t="shared" ca="1" si="24"/>
        <v/>
      </c>
      <c r="G70" s="66" t="str">
        <f t="shared" ca="1" si="24"/>
        <v/>
      </c>
      <c r="I70" s="103">
        <f t="shared" ca="1" si="17"/>
        <v>0</v>
      </c>
      <c r="J70" s="67" t="str">
        <f t="shared" ca="1" si="18"/>
        <v/>
      </c>
      <c r="K70" s="69">
        <f t="shared" ca="1" si="19"/>
        <v>0</v>
      </c>
      <c r="L70" s="68">
        <f t="shared" ca="1" si="8"/>
        <v>0</v>
      </c>
      <c r="M70" s="69">
        <f t="shared" ca="1" si="9"/>
        <v>0</v>
      </c>
      <c r="N70" s="70"/>
      <c r="O70" s="71">
        <f ca="1">IF($C70="",0,
K70*Decrements!D67+(O69-P69-Q69)*(1+G69))</f>
        <v>0</v>
      </c>
      <c r="P70" s="72">
        <f ca="1">M70*'1.a Assumptions'!$B$13*Decrements!E67</f>
        <v>0</v>
      </c>
      <c r="Q70" s="72">
        <f ca="1">L71*(Decrements!F67+Decrements!G67)</f>
        <v>0</v>
      </c>
      <c r="R70" s="72">
        <f ca="1">O70-L71*Decrements!D67</f>
        <v>0</v>
      </c>
      <c r="T70" s="73" t="str">
        <f t="shared" ca="1" si="20"/>
        <v/>
      </c>
      <c r="U70" s="74" t="str">
        <f t="shared" ca="1" si="21"/>
        <v/>
      </c>
      <c r="V70" s="104"/>
      <c r="W70" s="105" t="str">
        <f ca="1">IF(T70="","",J70/PUC_Projection!H72)</f>
        <v/>
      </c>
      <c r="X70" s="105" t="str">
        <f t="shared" ca="1" si="22"/>
        <v/>
      </c>
      <c r="Y70" s="106" t="str">
        <f t="shared" ca="1" si="10"/>
        <v/>
      </c>
    </row>
    <row r="71" spans="2:25" ht="15" customHeight="1" x14ac:dyDescent="0.25">
      <c r="B71" s="61" t="str">
        <f t="shared" ca="1" si="11"/>
        <v/>
      </c>
      <c r="C71" s="75" t="str">
        <f t="shared" ca="1" si="12"/>
        <v/>
      </c>
      <c r="D71" s="76" t="str">
        <f t="shared" ca="1" si="13"/>
        <v/>
      </c>
      <c r="E71" s="77" t="str">
        <f t="shared" ca="1" si="14"/>
        <v/>
      </c>
      <c r="F71" s="66" t="str">
        <f t="shared" ca="1" si="24"/>
        <v/>
      </c>
      <c r="G71" s="66" t="str">
        <f t="shared" ca="1" si="24"/>
        <v/>
      </c>
      <c r="I71" s="103">
        <f t="shared" ca="1" si="17"/>
        <v>0</v>
      </c>
      <c r="J71" s="67" t="str">
        <f t="shared" ca="1" si="18"/>
        <v/>
      </c>
      <c r="K71" s="69">
        <f t="shared" ca="1" si="19"/>
        <v>0</v>
      </c>
      <c r="L71" s="68">
        <f t="shared" ca="1" si="8"/>
        <v>0</v>
      </c>
      <c r="M71" s="69">
        <f t="shared" ca="1" si="9"/>
        <v>0</v>
      </c>
      <c r="N71" s="70"/>
      <c r="O71" s="71">
        <f ca="1">IF($C71="",0,
K71*Decrements!D68+(O70-P70-Q70)*(1+G70))</f>
        <v>0</v>
      </c>
      <c r="P71" s="72">
        <f ca="1">M71*'1.a Assumptions'!$B$13*Decrements!E68</f>
        <v>0</v>
      </c>
      <c r="Q71" s="72">
        <f ca="1">L72*(Decrements!F68+Decrements!G68)</f>
        <v>0</v>
      </c>
      <c r="R71" s="72">
        <f ca="1">O71-L72*Decrements!D68</f>
        <v>0</v>
      </c>
      <c r="T71" s="73" t="str">
        <f t="shared" ca="1" si="20"/>
        <v/>
      </c>
      <c r="U71" s="74" t="str">
        <f t="shared" ca="1" si="21"/>
        <v/>
      </c>
      <c r="V71" s="104"/>
      <c r="W71" s="105" t="str">
        <f ca="1">IF(T71="","",J71/PUC_Projection!H73)</f>
        <v/>
      </c>
      <c r="X71" s="105" t="str">
        <f t="shared" ca="1" si="22"/>
        <v/>
      </c>
      <c r="Y71" s="106" t="str">
        <f t="shared" ca="1" si="10"/>
        <v/>
      </c>
    </row>
    <row r="72" spans="2:25" ht="15" customHeight="1" x14ac:dyDescent="0.25">
      <c r="B72" s="61" t="str">
        <f t="shared" ca="1" si="11"/>
        <v/>
      </c>
      <c r="C72" s="75" t="str">
        <f t="shared" ca="1" si="12"/>
        <v/>
      </c>
      <c r="D72" s="76" t="str">
        <f t="shared" ca="1" si="13"/>
        <v/>
      </c>
      <c r="E72" s="77" t="str">
        <f t="shared" ca="1" si="14"/>
        <v/>
      </c>
      <c r="F72" s="66" t="str">
        <f t="shared" ca="1" si="24"/>
        <v/>
      </c>
      <c r="G72" s="66" t="str">
        <f t="shared" ca="1" si="24"/>
        <v/>
      </c>
      <c r="I72" s="103">
        <f t="shared" ca="1" si="17"/>
        <v>0</v>
      </c>
      <c r="J72" s="67" t="str">
        <f t="shared" ca="1" si="18"/>
        <v/>
      </c>
      <c r="K72" s="69">
        <f t="shared" ca="1" si="19"/>
        <v>0</v>
      </c>
      <c r="L72" s="68">
        <f t="shared" ca="1" si="8"/>
        <v>0</v>
      </c>
      <c r="M72" s="69">
        <f t="shared" ca="1" si="9"/>
        <v>0</v>
      </c>
      <c r="N72" s="70"/>
      <c r="O72" s="71">
        <f ca="1">IF($C72="",0,
K72*Decrements!D69+(O71-P71-Q71)*(1+G71))</f>
        <v>0</v>
      </c>
      <c r="P72" s="72">
        <f ca="1">M72*'1.a Assumptions'!$B$13*Decrements!E69</f>
        <v>0</v>
      </c>
      <c r="Q72" s="72">
        <f ca="1">L73*(Decrements!F69+Decrements!G69)</f>
        <v>0</v>
      </c>
      <c r="R72" s="72">
        <f ca="1">O72-L73*Decrements!D69</f>
        <v>0</v>
      </c>
      <c r="T72" s="73" t="str">
        <f t="shared" ca="1" si="20"/>
        <v/>
      </c>
      <c r="U72" s="74" t="str">
        <f t="shared" ca="1" si="21"/>
        <v/>
      </c>
      <c r="V72" s="104"/>
      <c r="W72" s="105" t="str">
        <f ca="1">IF(T72="","",J72/PUC_Projection!H74)</f>
        <v/>
      </c>
      <c r="X72" s="105" t="str">
        <f t="shared" ca="1" si="22"/>
        <v/>
      </c>
      <c r="Y72" s="106" t="str">
        <f t="shared" ca="1" si="10"/>
        <v/>
      </c>
    </row>
    <row r="73" spans="2:25" ht="15" customHeight="1" x14ac:dyDescent="0.25">
      <c r="B73" s="61" t="str">
        <f t="shared" ca="1" si="11"/>
        <v/>
      </c>
      <c r="C73" s="75" t="str">
        <f t="shared" ca="1" si="12"/>
        <v/>
      </c>
      <c r="D73" s="76" t="str">
        <f t="shared" ca="1" si="13"/>
        <v/>
      </c>
      <c r="E73" s="77" t="str">
        <f t="shared" ca="1" si="14"/>
        <v/>
      </c>
      <c r="F73" s="66" t="str">
        <f t="shared" ca="1" si="24"/>
        <v/>
      </c>
      <c r="G73" s="66" t="str">
        <f t="shared" ca="1" si="24"/>
        <v/>
      </c>
      <c r="I73" s="103">
        <f t="shared" ca="1" si="17"/>
        <v>0</v>
      </c>
      <c r="J73" s="67" t="str">
        <f t="shared" ca="1" si="18"/>
        <v/>
      </c>
      <c r="K73" s="69">
        <f t="shared" ca="1" si="19"/>
        <v>0</v>
      </c>
      <c r="L73" s="68">
        <f t="shared" ca="1" si="8"/>
        <v>0</v>
      </c>
      <c r="M73" s="69">
        <f t="shared" ca="1" si="9"/>
        <v>0</v>
      </c>
      <c r="N73" s="70"/>
      <c r="O73" s="71">
        <f ca="1">IF($C73="",0,
K73*Decrements!D70+(O72-P72-Q72)*(1+G72))</f>
        <v>0</v>
      </c>
      <c r="P73" s="72">
        <f ca="1">M73*'1.a Assumptions'!$B$13*Decrements!E70</f>
        <v>0</v>
      </c>
      <c r="Q73" s="72">
        <f ca="1">L74*(Decrements!F70+Decrements!G70)</f>
        <v>0</v>
      </c>
      <c r="R73" s="72">
        <f ca="1">O73-L74*Decrements!D70</f>
        <v>0</v>
      </c>
      <c r="T73" s="73" t="str">
        <f t="shared" ca="1" si="20"/>
        <v/>
      </c>
      <c r="U73" s="74" t="str">
        <f t="shared" ca="1" si="21"/>
        <v/>
      </c>
      <c r="V73" s="104"/>
      <c r="W73" s="105" t="str">
        <f ca="1">IF(T73="","",J73/PUC_Projection!H75)</f>
        <v/>
      </c>
      <c r="X73" s="105" t="str">
        <f t="shared" ca="1" si="22"/>
        <v/>
      </c>
      <c r="Y73" s="106" t="str">
        <f t="shared" ca="1" si="10"/>
        <v/>
      </c>
    </row>
    <row r="74" spans="2:25" ht="15" customHeight="1" x14ac:dyDescent="0.25">
      <c r="B74" s="61" t="str">
        <f t="shared" ca="1" si="11"/>
        <v/>
      </c>
      <c r="C74" s="75" t="str">
        <f t="shared" ca="1" si="12"/>
        <v/>
      </c>
      <c r="D74" s="76" t="str">
        <f t="shared" ca="1" si="13"/>
        <v/>
      </c>
      <c r="E74" s="77" t="str">
        <f t="shared" ca="1" si="14"/>
        <v/>
      </c>
      <c r="F74" s="66" t="str">
        <f t="shared" ca="1" si="24"/>
        <v/>
      </c>
      <c r="G74" s="66" t="str">
        <f t="shared" ca="1" si="24"/>
        <v/>
      </c>
      <c r="I74" s="103">
        <f t="shared" ca="1" si="17"/>
        <v>0</v>
      </c>
      <c r="J74" s="67" t="str">
        <f t="shared" ca="1" si="18"/>
        <v/>
      </c>
      <c r="K74" s="69">
        <f t="shared" ca="1" si="19"/>
        <v>0</v>
      </c>
      <c r="L74" s="68">
        <f t="shared" ca="1" si="8"/>
        <v>0</v>
      </c>
      <c r="M74" s="69">
        <f t="shared" ca="1" si="9"/>
        <v>0</v>
      </c>
      <c r="N74" s="70"/>
      <c r="O74" s="71">
        <f ca="1">IF($C74="",0,
K74*Decrements!D71+(O73-P73-Q73)*(1+G73))</f>
        <v>0</v>
      </c>
      <c r="P74" s="72">
        <f ca="1">M74*'1.a Assumptions'!$B$13*Decrements!E71</f>
        <v>0</v>
      </c>
      <c r="Q74" s="72">
        <f ca="1">L75*(Decrements!F71+Decrements!G71)</f>
        <v>0</v>
      </c>
      <c r="R74" s="72">
        <f ca="1">O74-L75*Decrements!D71</f>
        <v>0</v>
      </c>
      <c r="T74" s="73" t="str">
        <f t="shared" ca="1" si="20"/>
        <v/>
      </c>
      <c r="U74" s="74" t="str">
        <f t="shared" ca="1" si="21"/>
        <v/>
      </c>
      <c r="V74" s="104"/>
      <c r="W74" s="105" t="str">
        <f ca="1">IF(T74="","",J74/PUC_Projection!H76)</f>
        <v/>
      </c>
      <c r="X74" s="105" t="str">
        <f t="shared" ca="1" si="22"/>
        <v/>
      </c>
      <c r="Y74" s="106" t="str">
        <f t="shared" ca="1" si="10"/>
        <v/>
      </c>
    </row>
    <row r="75" spans="2:25" ht="15" customHeight="1" x14ac:dyDescent="0.25">
      <c r="B75" s="61" t="str">
        <f t="shared" ca="1" si="11"/>
        <v/>
      </c>
      <c r="C75" s="75" t="str">
        <f t="shared" ca="1" si="12"/>
        <v/>
      </c>
      <c r="D75" s="76" t="str">
        <f t="shared" ca="1" si="13"/>
        <v/>
      </c>
      <c r="E75" s="77" t="str">
        <f t="shared" ca="1" si="14"/>
        <v/>
      </c>
      <c r="F75" s="66" t="str">
        <f t="shared" ca="1" si="24"/>
        <v/>
      </c>
      <c r="G75" s="66" t="str">
        <f t="shared" ca="1" si="24"/>
        <v/>
      </c>
      <c r="I75" s="103">
        <f t="shared" ca="1" si="17"/>
        <v>0</v>
      </c>
      <c r="J75" s="67" t="str">
        <f t="shared" ca="1" si="18"/>
        <v/>
      </c>
      <c r="K75" s="69">
        <f t="shared" ca="1" si="19"/>
        <v>0</v>
      </c>
      <c r="L75" s="68">
        <f t="shared" ca="1" si="8"/>
        <v>0</v>
      </c>
      <c r="M75" s="69">
        <f t="shared" ca="1" si="9"/>
        <v>0</v>
      </c>
      <c r="N75" s="70"/>
      <c r="O75" s="71">
        <f ca="1">IF($C75="",0,
K75*Decrements!D72+(O74-P74-Q74)*(1+G74))</f>
        <v>0</v>
      </c>
      <c r="P75" s="72">
        <f ca="1">M75*'1.a Assumptions'!$B$13*Decrements!E72</f>
        <v>0</v>
      </c>
      <c r="Q75" s="72">
        <f ca="1">L76*(Decrements!F72+Decrements!G72)</f>
        <v>0</v>
      </c>
      <c r="R75" s="72">
        <f ca="1">O75-L76*Decrements!D72</f>
        <v>0</v>
      </c>
      <c r="T75" s="73" t="str">
        <f t="shared" ca="1" si="20"/>
        <v/>
      </c>
      <c r="U75" s="74" t="str">
        <f t="shared" ca="1" si="21"/>
        <v/>
      </c>
      <c r="V75" s="104"/>
      <c r="W75" s="105" t="str">
        <f ca="1">IF(T75="","",J75/PUC_Projection!H77)</f>
        <v/>
      </c>
      <c r="X75" s="105" t="str">
        <f t="shared" ca="1" si="22"/>
        <v/>
      </c>
      <c r="Y75" s="106" t="str">
        <f t="shared" ca="1" si="10"/>
        <v/>
      </c>
    </row>
    <row r="76" spans="2:25" ht="15" customHeight="1" x14ac:dyDescent="0.25">
      <c r="B76" s="61" t="str">
        <f t="shared" ca="1" si="11"/>
        <v/>
      </c>
      <c r="C76" s="75" t="str">
        <f t="shared" ca="1" si="12"/>
        <v/>
      </c>
      <c r="D76" s="76" t="str">
        <f t="shared" ca="1" si="13"/>
        <v/>
      </c>
      <c r="E76" s="77" t="str">
        <f t="shared" ca="1" si="14"/>
        <v/>
      </c>
      <c r="F76" s="66" t="str">
        <f t="shared" ca="1" si="24"/>
        <v/>
      </c>
      <c r="G76" s="66" t="str">
        <f t="shared" ca="1" si="24"/>
        <v/>
      </c>
      <c r="I76" s="103">
        <f t="shared" ca="1" si="17"/>
        <v>0</v>
      </c>
      <c r="J76" s="67" t="str">
        <f t="shared" ca="1" si="18"/>
        <v/>
      </c>
      <c r="K76" s="69">
        <f t="shared" ca="1" si="19"/>
        <v>0</v>
      </c>
      <c r="L76" s="68">
        <f t="shared" ca="1" si="8"/>
        <v>0</v>
      </c>
      <c r="M76" s="69">
        <f t="shared" ca="1" si="9"/>
        <v>0</v>
      </c>
      <c r="N76" s="70"/>
      <c r="O76" s="71">
        <f ca="1">IF($C76="",0,
K76*Decrements!D73+(O75-P75-Q75)*(1+G75))</f>
        <v>0</v>
      </c>
      <c r="P76" s="72">
        <f ca="1">M76*'1.a Assumptions'!$B$13*Decrements!E73</f>
        <v>0</v>
      </c>
      <c r="Q76" s="72">
        <f ca="1">L77*(Decrements!F73+Decrements!G73)</f>
        <v>0</v>
      </c>
      <c r="R76" s="72">
        <f ca="1">O76-L77*Decrements!D73</f>
        <v>0</v>
      </c>
      <c r="T76" s="73" t="str">
        <f t="shared" ca="1" si="20"/>
        <v/>
      </c>
      <c r="U76" s="74" t="str">
        <f t="shared" ca="1" si="21"/>
        <v/>
      </c>
      <c r="V76" s="104"/>
      <c r="W76" s="105" t="str">
        <f ca="1">IF(T76="","",J76/PUC_Projection!H78)</f>
        <v/>
      </c>
      <c r="X76" s="105" t="str">
        <f t="shared" ca="1" si="22"/>
        <v/>
      </c>
      <c r="Y76" s="106" t="str">
        <f t="shared" ca="1" si="10"/>
        <v/>
      </c>
    </row>
    <row r="77" spans="2:25" ht="15" customHeight="1" x14ac:dyDescent="0.25">
      <c r="B77" s="61" t="str">
        <f t="shared" ca="1" si="11"/>
        <v/>
      </c>
      <c r="C77" s="75" t="str">
        <f t="shared" ca="1" si="12"/>
        <v/>
      </c>
      <c r="D77" s="76" t="str">
        <f t="shared" ca="1" si="13"/>
        <v/>
      </c>
      <c r="E77" s="77" t="str">
        <f t="shared" ca="1" si="14"/>
        <v/>
      </c>
      <c r="F77" s="66" t="str">
        <f t="shared" ca="1" si="24"/>
        <v/>
      </c>
      <c r="G77" s="66" t="str">
        <f t="shared" ca="1" si="24"/>
        <v/>
      </c>
      <c r="I77" s="103">
        <f t="shared" ca="1" si="17"/>
        <v>0</v>
      </c>
      <c r="J77" s="67" t="str">
        <f t="shared" ca="1" si="18"/>
        <v/>
      </c>
      <c r="K77" s="69">
        <f t="shared" ca="1" si="19"/>
        <v>0</v>
      </c>
      <c r="L77" s="68">
        <f t="shared" ca="1" si="8"/>
        <v>0</v>
      </c>
      <c r="M77" s="69">
        <f t="shared" ca="1" si="9"/>
        <v>0</v>
      </c>
      <c r="N77" s="70"/>
      <c r="O77" s="71">
        <f ca="1">IF($C77="",0,
K77*Decrements!D74+(O76-P76-Q76)*(1+G76))</f>
        <v>0</v>
      </c>
      <c r="P77" s="72">
        <f ca="1">M77*'1.a Assumptions'!$B$13*Decrements!E74</f>
        <v>0</v>
      </c>
      <c r="Q77" s="72">
        <f ca="1">L78*(Decrements!F74+Decrements!G74)</f>
        <v>0</v>
      </c>
      <c r="R77" s="72">
        <f ca="1">O77-L78*Decrements!D74</f>
        <v>0</v>
      </c>
      <c r="T77" s="73" t="str">
        <f t="shared" ca="1" si="20"/>
        <v/>
      </c>
      <c r="U77" s="74" t="str">
        <f t="shared" ca="1" si="21"/>
        <v/>
      </c>
      <c r="V77" s="104"/>
      <c r="W77" s="105" t="str">
        <f ca="1">IF(T77="","",J77/PUC_Projection!H79)</f>
        <v/>
      </c>
      <c r="X77" s="105" t="str">
        <f t="shared" ca="1" si="22"/>
        <v/>
      </c>
      <c r="Y77" s="106" t="str">
        <f t="shared" ca="1" si="10"/>
        <v/>
      </c>
    </row>
    <row r="78" spans="2:25" ht="15" customHeight="1" x14ac:dyDescent="0.25">
      <c r="B78" s="61" t="str">
        <f t="shared" ca="1" si="11"/>
        <v/>
      </c>
      <c r="C78" s="75" t="str">
        <f t="shared" ca="1" si="12"/>
        <v/>
      </c>
      <c r="D78" s="76" t="str">
        <f t="shared" ca="1" si="13"/>
        <v/>
      </c>
      <c r="E78" s="77" t="str">
        <f t="shared" ca="1" si="14"/>
        <v/>
      </c>
      <c r="F78" s="66" t="str">
        <f t="shared" ca="1" si="24"/>
        <v/>
      </c>
      <c r="G78" s="66" t="str">
        <f t="shared" ca="1" si="24"/>
        <v/>
      </c>
      <c r="I78" s="103">
        <f t="shared" ref="I78:I84" ca="1" si="25">IFERROR((1-(1+$D$10)^-($D$5-$C78))/$D$10,0)</f>
        <v>0</v>
      </c>
      <c r="J78" s="67" t="str">
        <f t="shared" ref="J78:J84" ca="1" si="26">IF($C78="","",
D78*($D$5-$D$9)*((1+F78)/(1+G78))^($D$5-$D$9)/$H$14)</f>
        <v/>
      </c>
      <c r="K78" s="69">
        <f t="shared" ref="K78:K84" ca="1" si="27">IF($C79="",0,
J78*E78*(1+F78))</f>
        <v>0</v>
      </c>
      <c r="L78" s="68">
        <f t="shared" ca="1" si="8"/>
        <v>0</v>
      </c>
      <c r="M78" s="69">
        <f t="shared" ca="1" si="9"/>
        <v>0</v>
      </c>
      <c r="N78" s="70"/>
      <c r="O78" s="71">
        <f ca="1">IF($C78="",0,
K78*Decrements!D75+(O77-P77-Q77)*(1+G77))</f>
        <v>0</v>
      </c>
      <c r="P78" s="72">
        <f ca="1">M78*'1.a Assumptions'!$B$13*Decrements!E75</f>
        <v>0</v>
      </c>
      <c r="Q78" s="72">
        <f ca="1">L79*(Decrements!F75+Decrements!G75)</f>
        <v>0</v>
      </c>
      <c r="R78" s="72">
        <f ca="1">O78-L79*Decrements!D75</f>
        <v>0</v>
      </c>
      <c r="T78" s="73" t="str">
        <f t="shared" ref="T78:T83" ca="1" si="28">IF($C79&lt;=$D$5,L79-L78*(1+i),"")</f>
        <v/>
      </c>
      <c r="U78" s="74" t="str">
        <f t="shared" ref="U78:U109" ca="1" si="29">IF(T78="","",T78-K78)</f>
        <v/>
      </c>
      <c r="V78" s="104"/>
      <c r="W78" s="105" t="str">
        <f ca="1">IF(T78="","",J78/PUC_Projection!H80)</f>
        <v/>
      </c>
      <c r="X78" s="105" t="str">
        <f t="shared" ref="X78:X83" ca="1" si="30">IF(T78="","",($D$5-$D$9)/$H$14*(1+$D$10)^-(C78-$D$9+1))</f>
        <v/>
      </c>
      <c r="Y78" s="106" t="str">
        <f t="shared" ca="1" si="10"/>
        <v/>
      </c>
    </row>
    <row r="79" spans="2:25" ht="15" customHeight="1" x14ac:dyDescent="0.25">
      <c r="B79" s="61" t="str">
        <f t="shared" ca="1" si="11"/>
        <v/>
      </c>
      <c r="C79" s="75" t="str">
        <f t="shared" ca="1" si="12"/>
        <v/>
      </c>
      <c r="D79" s="76" t="str">
        <f t="shared" ca="1" si="13"/>
        <v/>
      </c>
      <c r="E79" s="77" t="str">
        <f t="shared" ca="1" si="14"/>
        <v/>
      </c>
      <c r="F79" s="66" t="str">
        <f t="shared" ca="1" si="24"/>
        <v/>
      </c>
      <c r="G79" s="66" t="str">
        <f t="shared" ca="1" si="24"/>
        <v/>
      </c>
      <c r="I79" s="103">
        <f t="shared" ca="1" si="25"/>
        <v>0</v>
      </c>
      <c r="J79" s="67" t="str">
        <f t="shared" ca="1" si="26"/>
        <v/>
      </c>
      <c r="K79" s="69">
        <f t="shared" ca="1" si="27"/>
        <v>0</v>
      </c>
      <c r="L79" s="68">
        <f t="shared" ref="L79:L84" ca="1" si="31">IF($C79="",0,
IF($C79&gt;$D$5,D79*B79*E79,
D79*($D$5-$D$4)*E79*((1+F79)/(1+G79))^($D$5-C79)-J79*E79*I79))</f>
        <v>0</v>
      </c>
      <c r="M79" s="69">
        <f t="shared" ref="M79:M84" ca="1" si="32">IF($C79="",0,
D79*B79*E79*((1+F79)/(1+G79))^MAX(0,$D$5-C79))</f>
        <v>0</v>
      </c>
      <c r="N79" s="70"/>
      <c r="O79" s="71">
        <f ca="1">IF($C79="",0,
K79*Decrements!D76+(O78-P78-Q78)*(1+G78))</f>
        <v>0</v>
      </c>
      <c r="P79" s="72">
        <f ca="1">M79*'1.a Assumptions'!$B$13*Decrements!E76</f>
        <v>0</v>
      </c>
      <c r="Q79" s="72">
        <f ca="1">L80*(Decrements!F76+Decrements!G76)</f>
        <v>0</v>
      </c>
      <c r="R79" s="72">
        <f ca="1">O79-L80*Decrements!D76</f>
        <v>0</v>
      </c>
      <c r="T79" s="73" t="str">
        <f t="shared" ca="1" si="28"/>
        <v/>
      </c>
      <c r="U79" s="74" t="str">
        <f t="shared" ca="1" si="29"/>
        <v/>
      </c>
      <c r="V79" s="104"/>
      <c r="W79" s="105" t="str">
        <f ca="1">IF(T79="","",J79/PUC_Projection!H81)</f>
        <v/>
      </c>
      <c r="X79" s="105" t="str">
        <f t="shared" ca="1" si="30"/>
        <v/>
      </c>
      <c r="Y79" s="106" t="str">
        <f t="shared" ref="Y79:Y83" ca="1" si="33">IF(T79="","",W79-X79)</f>
        <v/>
      </c>
    </row>
    <row r="80" spans="2:25" ht="15" customHeight="1" x14ac:dyDescent="0.25">
      <c r="B80" s="61" t="str">
        <f t="shared" ref="B80:B84" ca="1" si="34">IF($C80="","",B79+1)</f>
        <v/>
      </c>
      <c r="C80" s="75" t="str">
        <f t="shared" ref="C80:C84" ca="1" si="35">IF(C79="","",IF($D$2="A",IF(C79+1&gt;$D$5+15,"",C79+1),IF(C79+1&gt;$D$5,"",C79+1)))</f>
        <v/>
      </c>
      <c r="D80" s="76" t="str">
        <f t="shared" ref="D80:D84" ca="1" si="36">IF($C80="","",D79)</f>
        <v/>
      </c>
      <c r="E80" s="77" t="str">
        <f t="shared" ref="E80:E84" ca="1" si="37">IF($C80="","",E79*(1+F79))</f>
        <v/>
      </c>
      <c r="F80" s="66" t="str">
        <f t="shared" ref="F80:G84" ca="1" si="38">IF($C80="","",F79)</f>
        <v/>
      </c>
      <c r="G80" s="66" t="str">
        <f t="shared" ca="1" si="38"/>
        <v/>
      </c>
      <c r="I80" s="103">
        <f t="shared" ca="1" si="25"/>
        <v>0</v>
      </c>
      <c r="J80" s="67" t="str">
        <f t="shared" ca="1" si="26"/>
        <v/>
      </c>
      <c r="K80" s="69">
        <f t="shared" ca="1" si="27"/>
        <v>0</v>
      </c>
      <c r="L80" s="68">
        <f t="shared" ca="1" si="31"/>
        <v>0</v>
      </c>
      <c r="M80" s="69">
        <f t="shared" ca="1" si="32"/>
        <v>0</v>
      </c>
      <c r="N80" s="70"/>
      <c r="O80" s="71">
        <f ca="1">IF($C80="",0,
K80*Decrements!D77+(O79-P79-Q79)*(1+G79))</f>
        <v>0</v>
      </c>
      <c r="P80" s="72">
        <f ca="1">M80*'1.a Assumptions'!$B$13*Decrements!E77</f>
        <v>0</v>
      </c>
      <c r="Q80" s="72">
        <f ca="1">L81*(Decrements!F77+Decrements!G77)</f>
        <v>0</v>
      </c>
      <c r="R80" s="72">
        <f ca="1">O80-L81*Decrements!D77</f>
        <v>0</v>
      </c>
      <c r="T80" s="73" t="str">
        <f t="shared" ca="1" si="28"/>
        <v/>
      </c>
      <c r="U80" s="74" t="str">
        <f t="shared" ca="1" si="29"/>
        <v/>
      </c>
      <c r="V80" s="104"/>
      <c r="W80" s="105" t="str">
        <f ca="1">IF(T80="","",J80/PUC_Projection!H82)</f>
        <v/>
      </c>
      <c r="X80" s="105" t="str">
        <f t="shared" ca="1" si="30"/>
        <v/>
      </c>
      <c r="Y80" s="106" t="str">
        <f t="shared" ca="1" si="33"/>
        <v/>
      </c>
    </row>
    <row r="81" spans="2:25" ht="15" customHeight="1" x14ac:dyDescent="0.25">
      <c r="B81" s="61" t="str">
        <f t="shared" ca="1" si="34"/>
        <v/>
      </c>
      <c r="C81" s="75" t="str">
        <f t="shared" ca="1" si="35"/>
        <v/>
      </c>
      <c r="D81" s="76" t="str">
        <f t="shared" ca="1" si="36"/>
        <v/>
      </c>
      <c r="E81" s="77" t="str">
        <f t="shared" ca="1" si="37"/>
        <v/>
      </c>
      <c r="F81" s="66" t="str">
        <f t="shared" ca="1" si="38"/>
        <v/>
      </c>
      <c r="G81" s="66" t="str">
        <f t="shared" ca="1" si="38"/>
        <v/>
      </c>
      <c r="I81" s="103">
        <f t="shared" ca="1" si="25"/>
        <v>0</v>
      </c>
      <c r="J81" s="67" t="str">
        <f t="shared" ca="1" si="26"/>
        <v/>
      </c>
      <c r="K81" s="69">
        <f t="shared" ca="1" si="27"/>
        <v>0</v>
      </c>
      <c r="L81" s="68">
        <f t="shared" ca="1" si="31"/>
        <v>0</v>
      </c>
      <c r="M81" s="69">
        <f t="shared" ca="1" si="32"/>
        <v>0</v>
      </c>
      <c r="N81" s="70"/>
      <c r="O81" s="71">
        <f ca="1">IF($C81="",0,
K81*Decrements!D78+(O80-P80-Q80)*(1+G80))</f>
        <v>0</v>
      </c>
      <c r="P81" s="72">
        <f ca="1">M81*'1.a Assumptions'!$B$13*Decrements!E78</f>
        <v>0</v>
      </c>
      <c r="Q81" s="72">
        <f ca="1">L82*(Decrements!F78+Decrements!G78)</f>
        <v>0</v>
      </c>
      <c r="R81" s="72">
        <f ca="1">O81-L82*Decrements!D78</f>
        <v>0</v>
      </c>
      <c r="T81" s="73" t="str">
        <f t="shared" ca="1" si="28"/>
        <v/>
      </c>
      <c r="U81" s="74" t="str">
        <f t="shared" ca="1" si="29"/>
        <v/>
      </c>
      <c r="V81" s="104"/>
      <c r="W81" s="105" t="str">
        <f ca="1">IF(T81="","",J81/PUC_Projection!H83)</f>
        <v/>
      </c>
      <c r="X81" s="105" t="str">
        <f t="shared" ca="1" si="30"/>
        <v/>
      </c>
      <c r="Y81" s="106" t="str">
        <f t="shared" ca="1" si="33"/>
        <v/>
      </c>
    </row>
    <row r="82" spans="2:25" ht="15" customHeight="1" x14ac:dyDescent="0.25">
      <c r="B82" s="61" t="str">
        <f t="shared" ca="1" si="34"/>
        <v/>
      </c>
      <c r="C82" s="75" t="str">
        <f t="shared" ca="1" si="35"/>
        <v/>
      </c>
      <c r="D82" s="76" t="str">
        <f t="shared" ca="1" si="36"/>
        <v/>
      </c>
      <c r="E82" s="77" t="str">
        <f t="shared" ca="1" si="37"/>
        <v/>
      </c>
      <c r="F82" s="66" t="str">
        <f t="shared" ca="1" si="38"/>
        <v/>
      </c>
      <c r="G82" s="66" t="str">
        <f t="shared" ca="1" si="38"/>
        <v/>
      </c>
      <c r="I82" s="103">
        <f t="shared" ca="1" si="25"/>
        <v>0</v>
      </c>
      <c r="J82" s="67" t="str">
        <f t="shared" ca="1" si="26"/>
        <v/>
      </c>
      <c r="K82" s="69">
        <f t="shared" ca="1" si="27"/>
        <v>0</v>
      </c>
      <c r="L82" s="68">
        <f t="shared" ca="1" si="31"/>
        <v>0</v>
      </c>
      <c r="M82" s="69">
        <f t="shared" ca="1" si="32"/>
        <v>0</v>
      </c>
      <c r="N82" s="70"/>
      <c r="O82" s="71">
        <f ca="1">IF($C82="",0,
K82*Decrements!D79+(O81-P81-Q81)*(1+G81))</f>
        <v>0</v>
      </c>
      <c r="P82" s="72">
        <f ca="1">M82*'1.a Assumptions'!$B$13*Decrements!E79</f>
        <v>0</v>
      </c>
      <c r="Q82" s="72">
        <f ca="1">L83*(Decrements!F79+Decrements!G79)</f>
        <v>0</v>
      </c>
      <c r="R82" s="72">
        <f ca="1">O82-L83*Decrements!D79</f>
        <v>0</v>
      </c>
      <c r="T82" s="73" t="str">
        <f t="shared" ca="1" si="28"/>
        <v/>
      </c>
      <c r="U82" s="74" t="str">
        <f t="shared" ca="1" si="29"/>
        <v/>
      </c>
      <c r="V82" s="104"/>
      <c r="W82" s="105" t="str">
        <f ca="1">IF(T82="","",J82/PUC_Projection!H84)</f>
        <v/>
      </c>
      <c r="X82" s="105" t="str">
        <f t="shared" ca="1" si="30"/>
        <v/>
      </c>
      <c r="Y82" s="106" t="str">
        <f t="shared" ca="1" si="33"/>
        <v/>
      </c>
    </row>
    <row r="83" spans="2:25" ht="15" customHeight="1" x14ac:dyDescent="0.25">
      <c r="B83" s="61" t="str">
        <f t="shared" ca="1" si="34"/>
        <v/>
      </c>
      <c r="C83" s="75" t="str">
        <f t="shared" ca="1" si="35"/>
        <v/>
      </c>
      <c r="D83" s="76" t="str">
        <f t="shared" ca="1" si="36"/>
        <v/>
      </c>
      <c r="E83" s="77" t="str">
        <f t="shared" ca="1" si="37"/>
        <v/>
      </c>
      <c r="F83" s="66" t="str">
        <f t="shared" ca="1" si="38"/>
        <v/>
      </c>
      <c r="G83" s="66" t="str">
        <f t="shared" ca="1" si="38"/>
        <v/>
      </c>
      <c r="I83" s="103">
        <f t="shared" ca="1" si="25"/>
        <v>0</v>
      </c>
      <c r="J83" s="67" t="str">
        <f t="shared" ca="1" si="26"/>
        <v/>
      </c>
      <c r="K83" s="69">
        <f t="shared" ca="1" si="27"/>
        <v>0</v>
      </c>
      <c r="L83" s="68">
        <f t="shared" ca="1" si="31"/>
        <v>0</v>
      </c>
      <c r="M83" s="69">
        <f t="shared" ca="1" si="32"/>
        <v>0</v>
      </c>
      <c r="N83" s="70"/>
      <c r="O83" s="71">
        <f ca="1">IF($C83="",0,
K83*Decrements!D80+(O82-P82-Q82)*(1+G82))</f>
        <v>0</v>
      </c>
      <c r="P83" s="72">
        <f ca="1">M83*'1.a Assumptions'!$B$13*Decrements!E80</f>
        <v>0</v>
      </c>
      <c r="Q83" s="72">
        <f ca="1">L84*(Decrements!F80+Decrements!G80)</f>
        <v>0</v>
      </c>
      <c r="R83" s="72">
        <f ca="1">O83-L84*Decrements!D80</f>
        <v>0</v>
      </c>
      <c r="T83" s="73" t="str">
        <f t="shared" ca="1" si="28"/>
        <v/>
      </c>
      <c r="U83" s="74" t="str">
        <f t="shared" ca="1" si="29"/>
        <v/>
      </c>
      <c r="V83" s="104"/>
      <c r="W83" s="105" t="str">
        <f ca="1">IF(T83="","",J83/PUC_Projection!H85)</f>
        <v/>
      </c>
      <c r="X83" s="105" t="str">
        <f t="shared" ca="1" si="30"/>
        <v/>
      </c>
      <c r="Y83" s="106" t="str">
        <f t="shared" ca="1" si="33"/>
        <v/>
      </c>
    </row>
    <row r="84" spans="2:25" ht="15" customHeight="1" x14ac:dyDescent="0.25">
      <c r="B84" s="61" t="str">
        <f t="shared" ca="1" si="34"/>
        <v/>
      </c>
      <c r="C84" s="75" t="str">
        <f t="shared" ca="1" si="35"/>
        <v/>
      </c>
      <c r="D84" s="76" t="str">
        <f t="shared" ca="1" si="36"/>
        <v/>
      </c>
      <c r="E84" s="77" t="str">
        <f t="shared" ca="1" si="37"/>
        <v/>
      </c>
      <c r="F84" s="66" t="str">
        <f t="shared" ca="1" si="38"/>
        <v/>
      </c>
      <c r="G84" s="66" t="str">
        <f t="shared" ca="1" si="38"/>
        <v/>
      </c>
      <c r="I84" s="103">
        <f t="shared" ca="1" si="25"/>
        <v>0</v>
      </c>
      <c r="J84" s="67" t="str">
        <f t="shared" ca="1" si="26"/>
        <v/>
      </c>
      <c r="K84" s="69">
        <f t="shared" si="27"/>
        <v>0</v>
      </c>
      <c r="L84" s="68">
        <f t="shared" ca="1" si="31"/>
        <v>0</v>
      </c>
      <c r="M84" s="69">
        <f t="shared" ca="1" si="32"/>
        <v>0</v>
      </c>
      <c r="N84" s="70"/>
      <c r="O84" s="71">
        <f ca="1">IF($C84="",0,
K84*Decrements!D81+(O83-P83-Q83)*(1+G83))</f>
        <v>0</v>
      </c>
      <c r="P84" s="72">
        <f ca="1">M84*'1.a Assumptions'!$B$13*Decrements!E81</f>
        <v>0</v>
      </c>
      <c r="Q84" s="72">
        <f ca="1">L85*(Decrements!F81+Decrements!G81)</f>
        <v>0</v>
      </c>
      <c r="R84" s="72">
        <f ca="1">O84-L85*Decrements!D81</f>
        <v>0</v>
      </c>
      <c r="T84" s="73"/>
      <c r="U84" s="74"/>
      <c r="V84" s="104"/>
      <c r="W84" s="105"/>
      <c r="X84" s="105"/>
      <c r="Y84" s="106"/>
    </row>
  </sheetData>
  <conditionalFormatting sqref="U13">
    <cfRule type="cellIs" dxfId="7" priority="7" operator="equal">
      <formula>"Pass"</formula>
    </cfRule>
    <cfRule type="cellIs" dxfId="6" priority="8" operator="equal">
      <formula>"Check!"</formula>
    </cfRule>
  </conditionalFormatting>
  <conditionalFormatting sqref="Y13">
    <cfRule type="cellIs" dxfId="5" priority="5" operator="equal">
      <formula>"Pass"</formula>
    </cfRule>
    <cfRule type="cellIs" dxfId="4" priority="6" operator="equal">
      <formula>"Check!"</formula>
    </cfRule>
  </conditionalFormatting>
  <conditionalFormatting sqref="H7">
    <cfRule type="cellIs" dxfId="3" priority="3" operator="equal">
      <formula>"Pass"</formula>
    </cfRule>
    <cfRule type="cellIs" dxfId="2" priority="4" operator="equal">
      <formula>"Check!"</formula>
    </cfRule>
  </conditionalFormatting>
  <conditionalFormatting sqref="I7:Q7">
    <cfRule type="cellIs" dxfId="1" priority="1" operator="equal">
      <formula>"Pass"</formula>
    </cfRule>
    <cfRule type="cellIs" dxfId="0" priority="2" operator="equal">
      <formula>"Check!"</formula>
    </cfRule>
  </conditionalFormatting>
  <pageMargins left="0.7" right="0.7" top="0.75" bottom="0.75" header="0.3" footer="0.3"/>
  <pageSetup orientation="portrait"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0" tint="-0.499984740745262"/>
  </sheetPr>
  <dimension ref="A1"/>
  <sheetViews>
    <sheetView showGridLines="0" workbookViewId="0"/>
  </sheetViews>
  <sheetFormatPr defaultRowHeight="15" x14ac:dyDescent="0.25"/>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0" tint="-0.249977111117893"/>
  </sheetPr>
  <dimension ref="A1:H13"/>
  <sheetViews>
    <sheetView workbookViewId="0"/>
  </sheetViews>
  <sheetFormatPr defaultRowHeight="15" x14ac:dyDescent="0.25"/>
  <cols>
    <col min="3" max="3" width="11" customWidth="1"/>
    <col min="6" max="6" width="9.140625" customWidth="1"/>
  </cols>
  <sheetData>
    <row r="1" spans="1:8" ht="41.25" thickBot="1" x14ac:dyDescent="0.35">
      <c r="A1" s="8" t="s">
        <v>17</v>
      </c>
      <c r="B1" s="1" t="s">
        <v>3</v>
      </c>
      <c r="C1" s="1" t="s">
        <v>4</v>
      </c>
      <c r="D1" s="1" t="s">
        <v>5</v>
      </c>
      <c r="E1" s="1" t="s">
        <v>6</v>
      </c>
      <c r="F1" s="11" t="s">
        <v>8</v>
      </c>
      <c r="G1" s="12" t="s">
        <v>7</v>
      </c>
      <c r="H1" s="17"/>
    </row>
    <row r="2" spans="1:8" ht="15.75" thickBot="1" x14ac:dyDescent="0.3">
      <c r="A2" s="2" t="str">
        <f>B2&amp;E2</f>
        <v>30B</v>
      </c>
      <c r="B2" s="2">
        <v>30</v>
      </c>
      <c r="C2" s="3">
        <v>210</v>
      </c>
      <c r="D2" s="4">
        <v>78000</v>
      </c>
      <c r="E2" s="9" t="s">
        <v>7</v>
      </c>
      <c r="F2" s="80"/>
      <c r="G2" s="81"/>
      <c r="H2" s="13"/>
    </row>
    <row r="3" spans="1:8" ht="15.75" thickBot="1" x14ac:dyDescent="0.3">
      <c r="A3" s="5" t="str">
        <f t="shared" ref="A3:A13" si="0">B3&amp;E3</f>
        <v>30A</v>
      </c>
      <c r="B3" s="5">
        <v>30</v>
      </c>
      <c r="C3" s="6">
        <v>20</v>
      </c>
      <c r="D3" s="7">
        <v>100000</v>
      </c>
      <c r="E3" s="10" t="s">
        <v>8</v>
      </c>
      <c r="F3" s="82"/>
      <c r="G3" s="83"/>
      <c r="H3" s="13"/>
    </row>
    <row r="4" spans="1:8" ht="15.75" thickBot="1" x14ac:dyDescent="0.3">
      <c r="A4" s="5" t="str">
        <f t="shared" si="0"/>
        <v>40B</v>
      </c>
      <c r="B4" s="5">
        <v>40</v>
      </c>
      <c r="C4" s="6">
        <v>220</v>
      </c>
      <c r="D4" s="7">
        <v>87000</v>
      </c>
      <c r="E4" s="10" t="s">
        <v>7</v>
      </c>
      <c r="F4" s="80"/>
      <c r="G4" s="81">
        <f>($D4/$D2)^(1/($B4-$B2))</f>
        <v>1.0109797692413225</v>
      </c>
      <c r="H4" s="13"/>
    </row>
    <row r="5" spans="1:8" ht="15.75" thickBot="1" x14ac:dyDescent="0.3">
      <c r="A5" s="5" t="str">
        <f t="shared" si="0"/>
        <v>40A</v>
      </c>
      <c r="B5" s="5">
        <v>40</v>
      </c>
      <c r="C5" s="6">
        <v>15</v>
      </c>
      <c r="D5" s="7">
        <v>150000</v>
      </c>
      <c r="E5" s="10" t="s">
        <v>8</v>
      </c>
      <c r="F5" s="82">
        <f>($D5/$D3)^(1/($B5-$B3))</f>
        <v>1.0413797439924106</v>
      </c>
      <c r="G5" s="83"/>
      <c r="H5" s="13"/>
    </row>
    <row r="6" spans="1:8" ht="15.75" thickBot="1" x14ac:dyDescent="0.3">
      <c r="A6" s="5" t="str">
        <f t="shared" si="0"/>
        <v>45B</v>
      </c>
      <c r="B6" s="5">
        <v>45</v>
      </c>
      <c r="C6" s="6">
        <v>240</v>
      </c>
      <c r="D6" s="7">
        <v>95000</v>
      </c>
      <c r="E6" s="10" t="s">
        <v>7</v>
      </c>
      <c r="F6" s="80"/>
      <c r="G6" s="81">
        <f>($D6/$D4)^(1/($B6-$B4))</f>
        <v>1.0177494363582376</v>
      </c>
      <c r="H6" s="13"/>
    </row>
    <row r="7" spans="1:8" ht="15.75" thickBot="1" x14ac:dyDescent="0.3">
      <c r="A7" s="5" t="str">
        <f t="shared" si="0"/>
        <v>45A</v>
      </c>
      <c r="B7" s="5">
        <v>45</v>
      </c>
      <c r="C7" s="6">
        <v>30</v>
      </c>
      <c r="D7" s="7">
        <v>175000</v>
      </c>
      <c r="E7" s="10" t="s">
        <v>8</v>
      </c>
      <c r="F7" s="82">
        <f>($D7/$D5)^(1/($B7-$B5))</f>
        <v>1.0313103064775451</v>
      </c>
      <c r="G7" s="83"/>
      <c r="H7" s="13"/>
    </row>
    <row r="8" spans="1:8" ht="15.75" thickBot="1" x14ac:dyDescent="0.3">
      <c r="A8" s="5" t="str">
        <f t="shared" si="0"/>
        <v>50B</v>
      </c>
      <c r="B8" s="5">
        <v>50</v>
      </c>
      <c r="C8" s="6">
        <v>180</v>
      </c>
      <c r="D8" s="7">
        <v>103000</v>
      </c>
      <c r="E8" s="10" t="s">
        <v>7</v>
      </c>
      <c r="F8" s="80"/>
      <c r="G8" s="81">
        <f>($D8/$D6)^(1/($B8-$B6))</f>
        <v>1.0163018681280294</v>
      </c>
      <c r="H8" s="13"/>
    </row>
    <row r="9" spans="1:8" ht="15.75" thickBot="1" x14ac:dyDescent="0.3">
      <c r="A9" s="5" t="str">
        <f t="shared" si="0"/>
        <v>50A</v>
      </c>
      <c r="B9" s="5">
        <v>50</v>
      </c>
      <c r="C9" s="6">
        <v>25</v>
      </c>
      <c r="D9" s="7">
        <v>185000</v>
      </c>
      <c r="E9" s="10" t="s">
        <v>8</v>
      </c>
      <c r="F9" s="82">
        <f>($D9/$D7)^(1/($B9-$B7))</f>
        <v>1.0111759598354646</v>
      </c>
      <c r="G9" s="83"/>
      <c r="H9" s="13"/>
    </row>
    <row r="10" spans="1:8" ht="15.75" thickBot="1" x14ac:dyDescent="0.3">
      <c r="A10" s="5" t="str">
        <f t="shared" si="0"/>
        <v>55B</v>
      </c>
      <c r="B10" s="5">
        <v>55</v>
      </c>
      <c r="C10" s="6">
        <v>50</v>
      </c>
      <c r="D10" s="7">
        <v>103000</v>
      </c>
      <c r="E10" s="10" t="s">
        <v>7</v>
      </c>
      <c r="F10" s="80"/>
      <c r="G10" s="81">
        <f>($D10/$D8)^(1/($B10-$B8))</f>
        <v>1</v>
      </c>
      <c r="H10" s="13"/>
    </row>
    <row r="11" spans="1:8" ht="15.75" thickBot="1" x14ac:dyDescent="0.3">
      <c r="A11" s="5" t="str">
        <f t="shared" si="0"/>
        <v>55A</v>
      </c>
      <c r="B11" s="5">
        <v>55</v>
      </c>
      <c r="C11" s="6">
        <v>10</v>
      </c>
      <c r="D11" s="7">
        <v>250000</v>
      </c>
      <c r="E11" s="10" t="s">
        <v>8</v>
      </c>
      <c r="F11" s="84">
        <f>($D11/$D9)^(1/($B11-$B9))</f>
        <v>1.062071258063263</v>
      </c>
      <c r="G11" s="85"/>
      <c r="H11" s="86"/>
    </row>
    <row r="12" spans="1:8" ht="16.5" x14ac:dyDescent="0.3">
      <c r="A12" s="17" t="str">
        <f t="shared" si="0"/>
        <v/>
      </c>
      <c r="B12" s="17"/>
      <c r="C12" s="17"/>
      <c r="D12" s="17"/>
      <c r="E12" s="17"/>
      <c r="F12" s="131">
        <f>AVERAGE(F2:F11)-1</f>
        <v>3.6484317092170926E-2</v>
      </c>
      <c r="G12" s="87">
        <f>AVERAGE(G2:G9)-1</f>
        <v>1.501035790919647E-2</v>
      </c>
      <c r="H12" s="88" t="s">
        <v>16</v>
      </c>
    </row>
    <row r="13" spans="1:8" ht="16.5" x14ac:dyDescent="0.3">
      <c r="A13" s="17" t="str">
        <f t="shared" si="0"/>
        <v/>
      </c>
      <c r="B13" s="17"/>
      <c r="C13" s="17"/>
      <c r="D13" s="17"/>
      <c r="E13" s="17"/>
      <c r="F13" s="132"/>
      <c r="G13" s="89">
        <v>0</v>
      </c>
      <c r="H13" s="90" t="s">
        <v>15</v>
      </c>
    </row>
  </sheetData>
  <autoFilter ref="B2:B11"/>
  <mergeCells count="1">
    <mergeCell ref="F12:F13"/>
  </mergeCells>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8</vt:i4>
      </vt:variant>
    </vt:vector>
  </HeadingPairs>
  <TitlesOfParts>
    <vt:vector size="17" baseType="lpstr">
      <vt:lpstr>Note</vt:lpstr>
      <vt:lpstr>1.a Assumptions</vt:lpstr>
      <vt:lpstr>1.b Flowchart</vt:lpstr>
      <vt:lpstr>1.c Calculation --&gt;</vt:lpstr>
      <vt:lpstr>Decrements</vt:lpstr>
      <vt:lpstr>PUC_Projection</vt:lpstr>
      <vt:lpstr>EAN_Projection</vt:lpstr>
      <vt:lpstr>Input --&gt;</vt:lpstr>
      <vt:lpstr>opening demographics</vt:lpstr>
      <vt:lpstr>accrual_rate_A</vt:lpstr>
      <vt:lpstr>accrual_rate_B</vt:lpstr>
      <vt:lpstr>e_A</vt:lpstr>
      <vt:lpstr>e_B</vt:lpstr>
      <vt:lpstr>i</vt:lpstr>
      <vt:lpstr>NRA_A</vt:lpstr>
      <vt:lpstr>NRA_B</vt:lpstr>
      <vt:lpstr>withdraw_rate</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Zhu, Jinfeng</dc:creator>
  <cp:lastModifiedBy>Zhu, Vincent</cp:lastModifiedBy>
  <dcterms:created xsi:type="dcterms:W3CDTF">2006-09-16T00:00:00Z</dcterms:created>
  <dcterms:modified xsi:type="dcterms:W3CDTF">2020-02-21T15:25:23Z</dcterms:modified>
</cp:coreProperties>
</file>