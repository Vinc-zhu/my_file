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zhu\Desktop\LIRV\Assignment\"/>
    </mc:Choice>
  </mc:AlternateContent>
  <bookViews>
    <workbookView xWindow="240" yWindow="105" windowWidth="14805" windowHeight="8010" tabRatio="703"/>
  </bookViews>
  <sheets>
    <sheet name="Summary" sheetId="23" r:id="rId1"/>
    <sheet name="1.a Assumptions" sheetId="1" r:id="rId2"/>
    <sheet name="1.b Flowchart" sheetId="11" r:id="rId3"/>
    <sheet name="1.c Calculation --&gt;" sheetId="6" r:id="rId4"/>
    <sheet name="1.c Decrements" sheetId="8" r:id="rId5"/>
    <sheet name="1.c PUC_Projection" sheetId="2" r:id="rId6"/>
    <sheet name="1.c EAN_Projection" sheetId="10" r:id="rId7"/>
    <sheet name="2 Calculation --&gt;" sheetId="16" r:id="rId8"/>
    <sheet name="2.a PUC_Projection" sheetId="14" r:id="rId9"/>
    <sheet name="2.b EAN_Projection" sheetId="17" r:id="rId10"/>
    <sheet name="2.c Decrements" sheetId="19" r:id="rId11"/>
    <sheet name="2.c EAN_Projection" sheetId="20" r:id="rId12"/>
    <sheet name="2.d Decrements" sheetId="21" r:id="rId13"/>
    <sheet name="2.d EAN_Projection" sheetId="22" r:id="rId14"/>
    <sheet name="Input --&gt;" sheetId="7" r:id="rId15"/>
    <sheet name="opening demographics" sheetId="3" r:id="rId16"/>
    <sheet name="RP-2014-White Collar Male" sheetId="12" r:id="rId17"/>
    <sheet name="RP-2014-White Collar Female" sheetId="13" r:id="rId18"/>
  </sheets>
  <definedNames>
    <definedName name="_xlnm._FilterDatabase" localSheetId="15" hidden="1">'opening demographics'!$B$2:$B$11</definedName>
    <definedName name="accrual_rate_A">'1.a Assumptions'!$C$6</definedName>
    <definedName name="accrual_rate_B">'1.a Assumptions'!$C$7</definedName>
    <definedName name="e_A">'1.a Assumptions'!$C$28</definedName>
    <definedName name="e_B">'1.a Assumptions'!$C$29</definedName>
    <definedName name="EA_A">'1.a Assumptions'!$C$32</definedName>
    <definedName name="EA_B">'1.a Assumptions'!$C$33</definedName>
    <definedName name="i">'1.a Assumptions'!$C$17</definedName>
    <definedName name="NRA_A">'1.a Assumptions'!$C$10</definedName>
    <definedName name="NRA_B">'1.a Assumptions'!$C$11</definedName>
    <definedName name="turnover_rate_A">'1.a Assumptions'!$C$24</definedName>
    <definedName name="turnover_rate_B">'1.a Assumptions'!$C$25</definedName>
    <definedName name="withdraw_rate_A">'1.a Assumptions'!$C$20</definedName>
    <definedName name="withdraw_rate_B">'1.a Assumptions'!$C$21</definedName>
  </definedNames>
  <calcPr calcId="152511"/>
</workbook>
</file>

<file path=xl/calcChain.xml><?xml version="1.0" encoding="utf-8"?>
<calcChain xmlns="http://schemas.openxmlformats.org/spreadsheetml/2006/main">
  <c r="B3" i="22" l="1"/>
  <c r="B3" i="20"/>
  <c r="B3" i="17"/>
  <c r="B3" i="14" s="1"/>
  <c r="B3" i="10" s="1"/>
  <c r="B3" i="2" s="1"/>
  <c r="B3" i="21" l="1"/>
  <c r="B3" i="19"/>
  <c r="D2" i="19" s="1"/>
  <c r="H2" i="3"/>
  <c r="I2" i="3"/>
  <c r="H3" i="3"/>
  <c r="I3" i="3"/>
  <c r="H4" i="3"/>
  <c r="I4" i="3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G17" i="2"/>
  <c r="F11" i="21"/>
  <c r="J11" i="22"/>
  <c r="D26" i="23" s="1"/>
  <c r="I11" i="22"/>
  <c r="C26" i="23" s="1"/>
  <c r="K85" i="22"/>
  <c r="G15" i="22"/>
  <c r="U14" i="22"/>
  <c r="T14" i="22"/>
  <c r="F7" i="22"/>
  <c r="M10" i="21"/>
  <c r="N10" i="21" s="1"/>
  <c r="O10" i="21" s="1"/>
  <c r="P10" i="21" s="1"/>
  <c r="Q10" i="21" s="1"/>
  <c r="R10" i="21" s="1"/>
  <c r="S10" i="21" s="1"/>
  <c r="T10" i="21" s="1"/>
  <c r="U10" i="21" s="1"/>
  <c r="V10" i="21" s="1"/>
  <c r="W10" i="21" s="1"/>
  <c r="X10" i="21" s="1"/>
  <c r="Y10" i="21" s="1"/>
  <c r="Z10" i="21" s="1"/>
  <c r="O12" i="10"/>
  <c r="N12" i="10"/>
  <c r="O11" i="2"/>
  <c r="N11" i="2"/>
  <c r="G15" i="20"/>
  <c r="S14" i="20"/>
  <c r="K85" i="20"/>
  <c r="T14" i="20"/>
  <c r="J11" i="20"/>
  <c r="D22" i="23" s="1"/>
  <c r="I11" i="20"/>
  <c r="C22" i="23" s="1"/>
  <c r="F7" i="20"/>
  <c r="L10" i="19"/>
  <c r="M10" i="19" s="1"/>
  <c r="J11" i="17"/>
  <c r="D18" i="23" s="1"/>
  <c r="I11" i="17"/>
  <c r="C18" i="23" s="1"/>
  <c r="J11" i="14"/>
  <c r="D14" i="23" s="1"/>
  <c r="I11" i="14"/>
  <c r="C14" i="23" s="1"/>
  <c r="R15" i="14"/>
  <c r="T14" i="17"/>
  <c r="T17" i="10"/>
  <c r="R16" i="2"/>
  <c r="S14" i="17"/>
  <c r="S17" i="10"/>
  <c r="Q16" i="2"/>
  <c r="Q15" i="14"/>
  <c r="K85" i="17"/>
  <c r="G15" i="17"/>
  <c r="F7" i="17"/>
  <c r="I86" i="14"/>
  <c r="G16" i="14"/>
  <c r="F7" i="14"/>
  <c r="K11" i="22" l="1"/>
  <c r="D2" i="22"/>
  <c r="P12" i="10"/>
  <c r="P11" i="2"/>
  <c r="K11" i="20"/>
  <c r="K11" i="17"/>
  <c r="K11" i="14"/>
  <c r="G3" i="17"/>
  <c r="D2" i="17"/>
  <c r="D4" i="17"/>
  <c r="C15" i="17" s="1"/>
  <c r="J11" i="2"/>
  <c r="C33" i="1"/>
  <c r="C32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19" i="1"/>
  <c r="C25" i="1"/>
  <c r="C24" i="1"/>
  <c r="H20" i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F7" i="2"/>
  <c r="F7" i="10"/>
  <c r="D9" i="22"/>
  <c r="D6" i="22"/>
  <c r="D5" i="22"/>
  <c r="D4" i="22" l="1"/>
  <c r="C15" i="22" s="1"/>
  <c r="C16" i="22" s="1"/>
  <c r="G3" i="22"/>
  <c r="D2" i="21"/>
  <c r="D4" i="21"/>
  <c r="C11" i="21" s="1"/>
  <c r="K11" i="21" s="1"/>
  <c r="D15" i="22"/>
  <c r="L10" i="8"/>
  <c r="M10" i="8" s="1"/>
  <c r="N10" i="8" s="1"/>
  <c r="O10" i="8" s="1"/>
  <c r="P10" i="8" s="1"/>
  <c r="Q10" i="8" s="1"/>
  <c r="R10" i="8" s="1"/>
  <c r="S10" i="8" s="1"/>
  <c r="T10" i="8" s="1"/>
  <c r="U10" i="8" s="1"/>
  <c r="V10" i="8" s="1"/>
  <c r="W10" i="8" s="1"/>
  <c r="X10" i="8" s="1"/>
  <c r="Y10" i="8" s="1"/>
  <c r="D9" i="17"/>
  <c r="D5" i="21"/>
  <c r="D6" i="21"/>
  <c r="D5" i="17"/>
  <c r="D6" i="17"/>
  <c r="C12" i="21" l="1"/>
  <c r="K12" i="21" s="1"/>
  <c r="H11" i="21"/>
  <c r="C17" i="22"/>
  <c r="D16" i="22"/>
  <c r="B16" i="22"/>
  <c r="G16" i="22"/>
  <c r="C16" i="17"/>
  <c r="D15" i="17"/>
  <c r="G20" i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E11" i="21"/>
  <c r="C13" i="21" l="1"/>
  <c r="K13" i="21" s="1"/>
  <c r="B12" i="21"/>
  <c r="G11" i="21"/>
  <c r="I11" i="21" s="1"/>
  <c r="C18" i="22"/>
  <c r="D17" i="22"/>
  <c r="G17" i="22"/>
  <c r="B17" i="22"/>
  <c r="B16" i="17"/>
  <c r="C17" i="17"/>
  <c r="D16" i="17"/>
  <c r="G16" i="17"/>
  <c r="I87" i="2"/>
  <c r="F12" i="21" l="1"/>
  <c r="D12" i="21"/>
  <c r="C14" i="21"/>
  <c r="K14" i="21" s="1"/>
  <c r="B13" i="21"/>
  <c r="G18" i="22"/>
  <c r="B18" i="22"/>
  <c r="C19" i="22"/>
  <c r="D18" i="22"/>
  <c r="C18" i="17"/>
  <c r="D17" i="17"/>
  <c r="G17" i="17"/>
  <c r="B17" i="17"/>
  <c r="Q9" i="10"/>
  <c r="P9" i="10"/>
  <c r="O9" i="10"/>
  <c r="N9" i="10"/>
  <c r="M9" i="10"/>
  <c r="D10" i="23" s="1"/>
  <c r="L9" i="10"/>
  <c r="K9" i="10"/>
  <c r="J9" i="10"/>
  <c r="I9" i="10"/>
  <c r="H9" i="10"/>
  <c r="C10" i="23" s="1"/>
  <c r="I11" i="2"/>
  <c r="H12" i="21" l="1"/>
  <c r="C15" i="21"/>
  <c r="C16" i="21" s="1"/>
  <c r="B14" i="21"/>
  <c r="B19" i="22"/>
  <c r="G19" i="22"/>
  <c r="C20" i="22"/>
  <c r="D19" i="22"/>
  <c r="J15" i="17"/>
  <c r="J16" i="17" s="1"/>
  <c r="C19" i="17"/>
  <c r="D18" i="17"/>
  <c r="G18" i="17"/>
  <c r="B18" i="17"/>
  <c r="K88" i="10"/>
  <c r="G18" i="10"/>
  <c r="E12" i="21"/>
  <c r="K15" i="21" l="1"/>
  <c r="B15" i="21"/>
  <c r="C21" i="22"/>
  <c r="D20" i="22"/>
  <c r="B20" i="22"/>
  <c r="G20" i="22"/>
  <c r="C17" i="21"/>
  <c r="K16" i="21"/>
  <c r="J17" i="17"/>
  <c r="J18" i="17" s="1"/>
  <c r="J19" i="17" s="1"/>
  <c r="G19" i="17"/>
  <c r="B19" i="17"/>
  <c r="C20" i="17"/>
  <c r="D19" i="17"/>
  <c r="J10" i="2"/>
  <c r="I10" i="2"/>
  <c r="T87" i="2"/>
  <c r="B16" i="21" l="1"/>
  <c r="C18" i="21"/>
  <c r="K17" i="21"/>
  <c r="C22" i="22"/>
  <c r="D21" i="22"/>
  <c r="G21" i="22"/>
  <c r="B21" i="22"/>
  <c r="J20" i="17"/>
  <c r="B20" i="17"/>
  <c r="C21" i="17"/>
  <c r="D20" i="17"/>
  <c r="G20" i="17"/>
  <c r="I12" i="2"/>
  <c r="C9" i="23" s="1"/>
  <c r="J12" i="2"/>
  <c r="D9" i="23" s="1"/>
  <c r="A3" i="3"/>
  <c r="A4" i="3"/>
  <c r="A5" i="3"/>
  <c r="A6" i="3"/>
  <c r="A7" i="3"/>
  <c r="A8" i="3"/>
  <c r="A9" i="3"/>
  <c r="A10" i="3"/>
  <c r="A11" i="3"/>
  <c r="A12" i="3"/>
  <c r="A2" i="3"/>
  <c r="G4" i="3"/>
  <c r="G6" i="3"/>
  <c r="G8" i="3"/>
  <c r="G10" i="3"/>
  <c r="F11" i="3"/>
  <c r="F9" i="3"/>
  <c r="F7" i="3"/>
  <c r="F5" i="3"/>
  <c r="G12" i="3" l="1"/>
  <c r="C29" i="1" s="1"/>
  <c r="F12" i="3"/>
  <c r="C28" i="1" s="1"/>
  <c r="D7" i="17"/>
  <c r="E15" i="17" s="1"/>
  <c r="D3" i="2"/>
  <c r="D3" i="21"/>
  <c r="L11" i="21" s="1"/>
  <c r="D3" i="22"/>
  <c r="G4" i="22" s="1"/>
  <c r="D7" i="22"/>
  <c r="E15" i="22" s="1"/>
  <c r="D7" i="21"/>
  <c r="D3" i="17"/>
  <c r="G4" i="17" s="1"/>
  <c r="B17" i="21"/>
  <c r="G22" i="22"/>
  <c r="B22" i="22"/>
  <c r="D22" i="22"/>
  <c r="C23" i="22"/>
  <c r="C19" i="21"/>
  <c r="K18" i="21"/>
  <c r="J21" i="17"/>
  <c r="C22" i="17"/>
  <c r="D21" i="17"/>
  <c r="G21" i="17"/>
  <c r="B21" i="17"/>
  <c r="O11" i="21"/>
  <c r="N11" i="21"/>
  <c r="D8" i="21"/>
  <c r="M11" i="21"/>
  <c r="Y11" i="21"/>
  <c r="P11" i="21"/>
  <c r="V11" i="21"/>
  <c r="T11" i="21"/>
  <c r="U11" i="21"/>
  <c r="D8" i="22"/>
  <c r="Q11" i="21"/>
  <c r="W11" i="21"/>
  <c r="D8" i="17"/>
  <c r="X11" i="21"/>
  <c r="R11" i="21"/>
  <c r="S11" i="21"/>
  <c r="Z11" i="21"/>
  <c r="F15" i="22" l="1"/>
  <c r="M15" i="22" s="1"/>
  <c r="P15" i="22" s="1"/>
  <c r="D10" i="22"/>
  <c r="I22" i="22" s="1"/>
  <c r="F15" i="17"/>
  <c r="K15" i="17" s="1"/>
  <c r="D10" i="17"/>
  <c r="I21" i="17" s="1"/>
  <c r="T18" i="22"/>
  <c r="T17" i="22"/>
  <c r="T16" i="22"/>
  <c r="T19" i="22"/>
  <c r="T15" i="22"/>
  <c r="T20" i="22"/>
  <c r="T12" i="21"/>
  <c r="T21" i="22"/>
  <c r="B18" i="21"/>
  <c r="B23" i="22"/>
  <c r="T22" i="22" s="1"/>
  <c r="G23" i="22"/>
  <c r="D23" i="22"/>
  <c r="C24" i="22"/>
  <c r="C20" i="21"/>
  <c r="K19" i="21"/>
  <c r="J22" i="17"/>
  <c r="C23" i="17"/>
  <c r="D22" i="17"/>
  <c r="G22" i="17"/>
  <c r="B22" i="17"/>
  <c r="I17" i="22" l="1"/>
  <c r="E16" i="22"/>
  <c r="G6" i="22" s="1"/>
  <c r="F16" i="22"/>
  <c r="F17" i="22" s="1"/>
  <c r="I20" i="22"/>
  <c r="H15" i="22"/>
  <c r="J15" i="22" s="1"/>
  <c r="K15" i="22" s="1"/>
  <c r="G5" i="22" s="1"/>
  <c r="I21" i="22"/>
  <c r="I15" i="22"/>
  <c r="I18" i="22"/>
  <c r="I15" i="17"/>
  <c r="L15" i="17" s="1"/>
  <c r="I23" i="22"/>
  <c r="I19" i="22"/>
  <c r="I16" i="22"/>
  <c r="M15" i="17"/>
  <c r="E16" i="17"/>
  <c r="G6" i="17" s="1"/>
  <c r="I22" i="17"/>
  <c r="I18" i="17"/>
  <c r="F16" i="17"/>
  <c r="F17" i="17" s="1"/>
  <c r="F18" i="17" s="1"/>
  <c r="F19" i="17" s="1"/>
  <c r="F20" i="17" s="1"/>
  <c r="F21" i="17" s="1"/>
  <c r="F22" i="17" s="1"/>
  <c r="F23" i="17" s="1"/>
  <c r="I17" i="17"/>
  <c r="I20" i="17"/>
  <c r="I16" i="17"/>
  <c r="I19" i="17"/>
  <c r="H15" i="17"/>
  <c r="B19" i="21"/>
  <c r="B20" i="21" s="1"/>
  <c r="K20" i="21"/>
  <c r="C21" i="21"/>
  <c r="C25" i="22"/>
  <c r="D24" i="22"/>
  <c r="B24" i="22"/>
  <c r="T23" i="22" s="1"/>
  <c r="G24" i="22"/>
  <c r="I24" i="22"/>
  <c r="O15" i="17"/>
  <c r="G5" i="17"/>
  <c r="J23" i="17"/>
  <c r="G23" i="17"/>
  <c r="C24" i="17"/>
  <c r="D23" i="17"/>
  <c r="B23" i="17"/>
  <c r="I23" i="17"/>
  <c r="E17" i="22" l="1"/>
  <c r="M17" i="22" s="1"/>
  <c r="M16" i="22"/>
  <c r="O15" i="22"/>
  <c r="J16" i="22"/>
  <c r="K16" i="22" s="1"/>
  <c r="L15" i="22"/>
  <c r="R15" i="22" s="1"/>
  <c r="K16" i="17"/>
  <c r="L16" i="17"/>
  <c r="V15" i="17" s="1"/>
  <c r="Z15" i="17" s="1"/>
  <c r="E17" i="17"/>
  <c r="M17" i="17" s="1"/>
  <c r="M16" i="17"/>
  <c r="J17" i="22"/>
  <c r="F18" i="22"/>
  <c r="C26" i="22"/>
  <c r="D25" i="22"/>
  <c r="G25" i="22"/>
  <c r="B25" i="22"/>
  <c r="T24" i="22" s="1"/>
  <c r="I25" i="22"/>
  <c r="B21" i="21"/>
  <c r="K21" i="21"/>
  <c r="C22" i="21"/>
  <c r="J24" i="17"/>
  <c r="F24" i="17"/>
  <c r="B24" i="17"/>
  <c r="C25" i="17"/>
  <c r="D24" i="17"/>
  <c r="G24" i="17"/>
  <c r="I24" i="17"/>
  <c r="E18" i="22" l="1"/>
  <c r="M18" i="22" s="1"/>
  <c r="L17" i="17"/>
  <c r="V16" i="17" s="1"/>
  <c r="Z16" i="17" s="1"/>
  <c r="L16" i="22"/>
  <c r="Q15" i="22" s="1"/>
  <c r="W15" i="17"/>
  <c r="R15" i="17"/>
  <c r="K17" i="17"/>
  <c r="E18" i="17"/>
  <c r="K18" i="17" s="1"/>
  <c r="L17" i="22"/>
  <c r="K17" i="22"/>
  <c r="J18" i="22"/>
  <c r="F19" i="22"/>
  <c r="K22" i="21"/>
  <c r="C23" i="21"/>
  <c r="B22" i="21"/>
  <c r="G26" i="22"/>
  <c r="B26" i="22"/>
  <c r="T25" i="22" s="1"/>
  <c r="C27" i="22"/>
  <c r="D26" i="22"/>
  <c r="I26" i="22"/>
  <c r="J25" i="17"/>
  <c r="C26" i="17"/>
  <c r="D25" i="17"/>
  <c r="G25" i="17"/>
  <c r="F25" i="17"/>
  <c r="B25" i="17"/>
  <c r="I25" i="17"/>
  <c r="E19" i="22" l="1"/>
  <c r="E20" i="22" s="1"/>
  <c r="K18" i="22"/>
  <c r="L18" i="17"/>
  <c r="V17" i="17" s="1"/>
  <c r="Z17" i="17" s="1"/>
  <c r="E19" i="17"/>
  <c r="M19" i="17" s="1"/>
  <c r="W15" i="22"/>
  <c r="AA15" i="22" s="1"/>
  <c r="W16" i="22"/>
  <c r="X16" i="22" s="1"/>
  <c r="S15" i="22"/>
  <c r="M18" i="17"/>
  <c r="W16" i="17"/>
  <c r="L18" i="22"/>
  <c r="W17" i="22" s="1"/>
  <c r="X17" i="22" s="1"/>
  <c r="J19" i="22"/>
  <c r="F20" i="22"/>
  <c r="K23" i="21"/>
  <c r="C24" i="21"/>
  <c r="B23" i="21"/>
  <c r="B27" i="22"/>
  <c r="T26" i="22" s="1"/>
  <c r="C28" i="22"/>
  <c r="G27" i="22"/>
  <c r="D27" i="22"/>
  <c r="I27" i="22"/>
  <c r="J26" i="17"/>
  <c r="C27" i="17"/>
  <c r="D26" i="17"/>
  <c r="G26" i="17"/>
  <c r="F26" i="17"/>
  <c r="B26" i="17"/>
  <c r="I26" i="17"/>
  <c r="M19" i="22" l="1"/>
  <c r="K19" i="17"/>
  <c r="W17" i="17"/>
  <c r="E20" i="17"/>
  <c r="E21" i="17" s="1"/>
  <c r="X15" i="22"/>
  <c r="L19" i="17"/>
  <c r="V18" i="17" s="1"/>
  <c r="W18" i="17" s="1"/>
  <c r="AA16" i="22"/>
  <c r="AA17" i="22"/>
  <c r="J20" i="22"/>
  <c r="K20" i="22" s="1"/>
  <c r="F21" i="22"/>
  <c r="L19" i="22"/>
  <c r="W18" i="22" s="1"/>
  <c r="K19" i="22"/>
  <c r="E21" i="22"/>
  <c r="M20" i="22"/>
  <c r="C29" i="22"/>
  <c r="D28" i="22"/>
  <c r="B28" i="22"/>
  <c r="T27" i="22" s="1"/>
  <c r="G28" i="22"/>
  <c r="I28" i="22"/>
  <c r="B24" i="21"/>
  <c r="C25" i="21"/>
  <c r="K24" i="21"/>
  <c r="J27" i="17"/>
  <c r="G27" i="17"/>
  <c r="F27" i="17"/>
  <c r="B27" i="17"/>
  <c r="C28" i="17"/>
  <c r="D27" i="17"/>
  <c r="I27" i="17"/>
  <c r="L20" i="17" l="1"/>
  <c r="V19" i="17" s="1"/>
  <c r="W19" i="17" s="1"/>
  <c r="K20" i="17"/>
  <c r="M20" i="17"/>
  <c r="Z18" i="17"/>
  <c r="L20" i="22"/>
  <c r="W19" i="22" s="1"/>
  <c r="AA19" i="22" s="1"/>
  <c r="F22" i="22"/>
  <c r="J21" i="22"/>
  <c r="AA18" i="22"/>
  <c r="X18" i="22"/>
  <c r="M21" i="22"/>
  <c r="E22" i="22"/>
  <c r="C30" i="22"/>
  <c r="D29" i="22"/>
  <c r="G29" i="22"/>
  <c r="B29" i="22"/>
  <c r="T28" i="22" s="1"/>
  <c r="I29" i="22"/>
  <c r="C26" i="21"/>
  <c r="B25" i="21"/>
  <c r="K25" i="21"/>
  <c r="M21" i="17"/>
  <c r="E22" i="17"/>
  <c r="K21" i="17"/>
  <c r="L21" i="17"/>
  <c r="J28" i="17"/>
  <c r="F28" i="17"/>
  <c r="B28" i="17"/>
  <c r="C29" i="17"/>
  <c r="D28" i="17"/>
  <c r="G28" i="17"/>
  <c r="I28" i="17"/>
  <c r="V20" i="17" l="1"/>
  <c r="W20" i="17" s="1"/>
  <c r="Z19" i="17"/>
  <c r="X19" i="22"/>
  <c r="E23" i="22"/>
  <c r="M22" i="22"/>
  <c r="L21" i="22"/>
  <c r="W20" i="22" s="1"/>
  <c r="K21" i="22"/>
  <c r="J22" i="22"/>
  <c r="F23" i="22"/>
  <c r="G30" i="22"/>
  <c r="B30" i="22"/>
  <c r="T29" i="22" s="1"/>
  <c r="D30" i="22"/>
  <c r="C31" i="22"/>
  <c r="I30" i="22"/>
  <c r="C27" i="21"/>
  <c r="B26" i="21"/>
  <c r="M22" i="17"/>
  <c r="E23" i="17"/>
  <c r="L22" i="17"/>
  <c r="V21" i="17" s="1"/>
  <c r="K22" i="17"/>
  <c r="J29" i="17"/>
  <c r="C30" i="17"/>
  <c r="D29" i="17"/>
  <c r="G29" i="17"/>
  <c r="F29" i="17"/>
  <c r="B29" i="17"/>
  <c r="I29" i="17"/>
  <c r="Z20" i="17" l="1"/>
  <c r="AA20" i="22"/>
  <c r="X20" i="22"/>
  <c r="F24" i="22"/>
  <c r="J23" i="22"/>
  <c r="L22" i="22"/>
  <c r="W21" i="22" s="1"/>
  <c r="K22" i="22"/>
  <c r="M23" i="22"/>
  <c r="E24" i="22"/>
  <c r="B27" i="21"/>
  <c r="C28" i="21"/>
  <c r="B31" i="22"/>
  <c r="T30" i="22" s="1"/>
  <c r="G31" i="22"/>
  <c r="D31" i="22"/>
  <c r="C32" i="22"/>
  <c r="I31" i="22"/>
  <c r="E24" i="17"/>
  <c r="M23" i="17"/>
  <c r="L23" i="17"/>
  <c r="V22" i="17" s="1"/>
  <c r="K23" i="17"/>
  <c r="W21" i="17"/>
  <c r="Z21" i="17"/>
  <c r="J30" i="17"/>
  <c r="C31" i="17"/>
  <c r="D30" i="17"/>
  <c r="G30" i="17"/>
  <c r="F30" i="17"/>
  <c r="B30" i="17"/>
  <c r="I30" i="17"/>
  <c r="L23" i="22" l="1"/>
  <c r="W22" i="22" s="1"/>
  <c r="K23" i="22"/>
  <c r="F25" i="22"/>
  <c r="J24" i="22"/>
  <c r="E25" i="22"/>
  <c r="M24" i="22"/>
  <c r="AA21" i="22"/>
  <c r="X21" i="22"/>
  <c r="C33" i="22"/>
  <c r="D32" i="22"/>
  <c r="B32" i="22"/>
  <c r="T31" i="22" s="1"/>
  <c r="G32" i="22"/>
  <c r="I32" i="22"/>
  <c r="C29" i="21"/>
  <c r="B28" i="21"/>
  <c r="W22" i="17"/>
  <c r="Z22" i="17"/>
  <c r="E25" i="17"/>
  <c r="M24" i="17"/>
  <c r="K24" i="17"/>
  <c r="L24" i="17"/>
  <c r="V23" i="17" s="1"/>
  <c r="J31" i="17"/>
  <c r="G31" i="17"/>
  <c r="F31" i="17"/>
  <c r="B31" i="17"/>
  <c r="S30" i="17" s="1"/>
  <c r="C32" i="17"/>
  <c r="D31" i="17"/>
  <c r="I31" i="17"/>
  <c r="L24" i="22" l="1"/>
  <c r="W23" i="22" s="1"/>
  <c r="K24" i="22"/>
  <c r="J25" i="22"/>
  <c r="F26" i="22"/>
  <c r="M25" i="22"/>
  <c r="E26" i="22"/>
  <c r="X22" i="22"/>
  <c r="AA22" i="22"/>
  <c r="C30" i="21"/>
  <c r="B29" i="21"/>
  <c r="C34" i="22"/>
  <c r="D33" i="22"/>
  <c r="G33" i="22"/>
  <c r="B33" i="22"/>
  <c r="T32" i="22" s="1"/>
  <c r="I33" i="22"/>
  <c r="E26" i="17"/>
  <c r="M25" i="17"/>
  <c r="K25" i="17"/>
  <c r="L25" i="17"/>
  <c r="V24" i="17" s="1"/>
  <c r="W23" i="17"/>
  <c r="Z23" i="17"/>
  <c r="J32" i="17"/>
  <c r="F32" i="17"/>
  <c r="B32" i="17"/>
  <c r="S31" i="17" s="1"/>
  <c r="C33" i="17"/>
  <c r="D32" i="17"/>
  <c r="G32" i="17"/>
  <c r="I32" i="17"/>
  <c r="J26" i="22" l="1"/>
  <c r="F27" i="22"/>
  <c r="L25" i="22"/>
  <c r="W24" i="22" s="1"/>
  <c r="K25" i="22"/>
  <c r="M26" i="22"/>
  <c r="E27" i="22"/>
  <c r="X23" i="22"/>
  <c r="AA23" i="22"/>
  <c r="G34" i="22"/>
  <c r="B34" i="22"/>
  <c r="T33" i="22" s="1"/>
  <c r="C35" i="22"/>
  <c r="D34" i="22"/>
  <c r="I34" i="22"/>
  <c r="C31" i="21"/>
  <c r="B30" i="21"/>
  <c r="W24" i="17"/>
  <c r="Z24" i="17"/>
  <c r="M26" i="17"/>
  <c r="E27" i="17"/>
  <c r="K26" i="17"/>
  <c r="L26" i="17"/>
  <c r="V25" i="17" s="1"/>
  <c r="J33" i="17"/>
  <c r="C34" i="17"/>
  <c r="D33" i="17"/>
  <c r="G33" i="17"/>
  <c r="F33" i="17"/>
  <c r="B33" i="17"/>
  <c r="S32" i="17" s="1"/>
  <c r="I33" i="17"/>
  <c r="M27" i="22" l="1"/>
  <c r="E28" i="22"/>
  <c r="J27" i="22"/>
  <c r="K27" i="22" s="1"/>
  <c r="F28" i="22"/>
  <c r="AA24" i="22"/>
  <c r="X24" i="22"/>
  <c r="L26" i="22"/>
  <c r="W25" i="22" s="1"/>
  <c r="K26" i="22"/>
  <c r="C32" i="21"/>
  <c r="B31" i="21"/>
  <c r="B35" i="22"/>
  <c r="T34" i="22" s="1"/>
  <c r="G35" i="22"/>
  <c r="C36" i="22"/>
  <c r="D35" i="22"/>
  <c r="I35" i="22"/>
  <c r="E28" i="17"/>
  <c r="M27" i="17"/>
  <c r="K27" i="17"/>
  <c r="L27" i="17"/>
  <c r="V26" i="17" s="1"/>
  <c r="Z25" i="17"/>
  <c r="W25" i="17"/>
  <c r="J34" i="17"/>
  <c r="C35" i="17"/>
  <c r="D34" i="17"/>
  <c r="G34" i="17"/>
  <c r="F34" i="17"/>
  <c r="B34" i="17"/>
  <c r="S33" i="17" s="1"/>
  <c r="I34" i="17"/>
  <c r="AA25" i="22" l="1"/>
  <c r="X25" i="22"/>
  <c r="E29" i="22"/>
  <c r="M28" i="22"/>
  <c r="L27" i="22"/>
  <c r="W26" i="22" s="1"/>
  <c r="J28" i="22"/>
  <c r="F29" i="22"/>
  <c r="B36" i="22"/>
  <c r="T35" i="22" s="1"/>
  <c r="G36" i="22"/>
  <c r="C37" i="22"/>
  <c r="D36" i="22"/>
  <c r="I36" i="22"/>
  <c r="C33" i="21"/>
  <c r="B32" i="21"/>
  <c r="W26" i="17"/>
  <c r="Z26" i="17"/>
  <c r="M28" i="17"/>
  <c r="E29" i="17"/>
  <c r="L28" i="17"/>
  <c r="V27" i="17" s="1"/>
  <c r="K28" i="17"/>
  <c r="J35" i="17"/>
  <c r="G35" i="17"/>
  <c r="F35" i="17"/>
  <c r="B35" i="17"/>
  <c r="S34" i="17" s="1"/>
  <c r="C36" i="17"/>
  <c r="D35" i="17"/>
  <c r="I35" i="17"/>
  <c r="L28" i="22" l="1"/>
  <c r="W27" i="22" s="1"/>
  <c r="K28" i="22"/>
  <c r="F30" i="22"/>
  <c r="J29" i="22"/>
  <c r="K29" i="22" s="1"/>
  <c r="M29" i="22"/>
  <c r="E30" i="22"/>
  <c r="AA26" i="22"/>
  <c r="X26" i="22"/>
  <c r="C38" i="22"/>
  <c r="D37" i="22"/>
  <c r="B37" i="22"/>
  <c r="T36" i="22" s="1"/>
  <c r="G37" i="22"/>
  <c r="I37" i="22"/>
  <c r="C34" i="21"/>
  <c r="B33" i="21"/>
  <c r="J36" i="17"/>
  <c r="M29" i="17"/>
  <c r="E30" i="17"/>
  <c r="K29" i="17"/>
  <c r="L29" i="17"/>
  <c r="V28" i="17" s="1"/>
  <c r="Z27" i="17"/>
  <c r="W27" i="17"/>
  <c r="F36" i="17"/>
  <c r="B36" i="17"/>
  <c r="S35" i="17" s="1"/>
  <c r="C37" i="17"/>
  <c r="D36" i="17"/>
  <c r="G36" i="17"/>
  <c r="I36" i="17"/>
  <c r="J30" i="22" l="1"/>
  <c r="K30" i="22" s="1"/>
  <c r="F31" i="22"/>
  <c r="E31" i="22"/>
  <c r="M30" i="22"/>
  <c r="L29" i="22"/>
  <c r="W28" i="22" s="1"/>
  <c r="AA27" i="22"/>
  <c r="X27" i="22"/>
  <c r="G38" i="22"/>
  <c r="C39" i="22"/>
  <c r="B38" i="22"/>
  <c r="T37" i="22" s="1"/>
  <c r="D38" i="22"/>
  <c r="I38" i="22"/>
  <c r="C35" i="21"/>
  <c r="B34" i="21"/>
  <c r="J37" i="17"/>
  <c r="Z28" i="17"/>
  <c r="W28" i="17"/>
  <c r="M30" i="17"/>
  <c r="E31" i="17"/>
  <c r="K30" i="17"/>
  <c r="L30" i="17"/>
  <c r="V29" i="17" s="1"/>
  <c r="C38" i="17"/>
  <c r="D37" i="17"/>
  <c r="G37" i="17"/>
  <c r="F37" i="17"/>
  <c r="B37" i="17"/>
  <c r="S36" i="17" s="1"/>
  <c r="I37" i="17"/>
  <c r="L30" i="22" l="1"/>
  <c r="W29" i="22" s="1"/>
  <c r="F32" i="22"/>
  <c r="J31" i="22"/>
  <c r="E32" i="22"/>
  <c r="M31" i="22"/>
  <c r="AA28" i="22"/>
  <c r="X28" i="22"/>
  <c r="W35" i="22"/>
  <c r="AA35" i="22" s="1"/>
  <c r="W36" i="22"/>
  <c r="B39" i="22"/>
  <c r="T38" i="22" s="1"/>
  <c r="G39" i="22"/>
  <c r="C40" i="22"/>
  <c r="D39" i="22"/>
  <c r="I39" i="22"/>
  <c r="C36" i="21"/>
  <c r="B35" i="21"/>
  <c r="J38" i="17"/>
  <c r="E32" i="17"/>
  <c r="M31" i="17"/>
  <c r="L31" i="17"/>
  <c r="V30" i="17" s="1"/>
  <c r="K31" i="17"/>
  <c r="W29" i="17"/>
  <c r="Z29" i="17"/>
  <c r="C39" i="17"/>
  <c r="D38" i="17"/>
  <c r="G38" i="17"/>
  <c r="F38" i="17"/>
  <c r="B38" i="17"/>
  <c r="S37" i="17" s="1"/>
  <c r="I38" i="17"/>
  <c r="L31" i="22" l="1"/>
  <c r="W30" i="22" s="1"/>
  <c r="K31" i="22"/>
  <c r="E33" i="22"/>
  <c r="M32" i="22"/>
  <c r="J32" i="22"/>
  <c r="F33" i="22"/>
  <c r="AA29" i="22"/>
  <c r="X29" i="22"/>
  <c r="X35" i="22"/>
  <c r="W37" i="22"/>
  <c r="AA37" i="22" s="1"/>
  <c r="AA36" i="22"/>
  <c r="X36" i="22"/>
  <c r="B36" i="21"/>
  <c r="C37" i="21"/>
  <c r="G40" i="22"/>
  <c r="B40" i="22"/>
  <c r="T39" i="22" s="1"/>
  <c r="C41" i="22"/>
  <c r="D40" i="22"/>
  <c r="I40" i="22"/>
  <c r="J39" i="17"/>
  <c r="Z30" i="17"/>
  <c r="W30" i="17"/>
  <c r="E33" i="17"/>
  <c r="L32" i="17"/>
  <c r="V31" i="17" s="1"/>
  <c r="M32" i="17"/>
  <c r="K32" i="17"/>
  <c r="C40" i="17"/>
  <c r="G39" i="17"/>
  <c r="F39" i="17"/>
  <c r="B39" i="17"/>
  <c r="S38" i="17" s="1"/>
  <c r="D39" i="17"/>
  <c r="I39" i="17"/>
  <c r="M33" i="22" l="1"/>
  <c r="E34" i="22"/>
  <c r="J33" i="22"/>
  <c r="K33" i="22" s="1"/>
  <c r="F34" i="22"/>
  <c r="L32" i="22"/>
  <c r="W31" i="22" s="1"/>
  <c r="K32" i="22"/>
  <c r="X30" i="22"/>
  <c r="AA30" i="22"/>
  <c r="X37" i="22"/>
  <c r="W38" i="22"/>
  <c r="C42" i="22"/>
  <c r="D41" i="22"/>
  <c r="G41" i="22"/>
  <c r="B41" i="22"/>
  <c r="T40" i="22" s="1"/>
  <c r="I41" i="22"/>
  <c r="B37" i="21"/>
  <c r="C38" i="21"/>
  <c r="J40" i="17"/>
  <c r="M33" i="17"/>
  <c r="L33" i="17"/>
  <c r="V32" i="17" s="1"/>
  <c r="E34" i="17"/>
  <c r="K33" i="17"/>
  <c r="W31" i="17"/>
  <c r="Z31" i="17"/>
  <c r="C41" i="17"/>
  <c r="D40" i="17"/>
  <c r="G40" i="17"/>
  <c r="F40" i="17"/>
  <c r="B40" i="17"/>
  <c r="S39" i="17" s="1"/>
  <c r="I40" i="17"/>
  <c r="L33" i="22" l="1"/>
  <c r="W32" i="22" s="1"/>
  <c r="AA31" i="22"/>
  <c r="X31" i="22"/>
  <c r="E35" i="22"/>
  <c r="M34" i="22"/>
  <c r="J34" i="22"/>
  <c r="F35" i="22"/>
  <c r="W39" i="22"/>
  <c r="AA39" i="22" s="1"/>
  <c r="X38" i="22"/>
  <c r="AA38" i="22"/>
  <c r="C39" i="21"/>
  <c r="B38" i="21"/>
  <c r="G42" i="22"/>
  <c r="C43" i="22"/>
  <c r="B42" i="22"/>
  <c r="T41" i="22" s="1"/>
  <c r="D42" i="22"/>
  <c r="I42" i="22"/>
  <c r="J41" i="17"/>
  <c r="L34" i="17"/>
  <c r="V33" i="17" s="1"/>
  <c r="E35" i="17"/>
  <c r="M34" i="17"/>
  <c r="K34" i="17"/>
  <c r="Z32" i="17"/>
  <c r="W32" i="17"/>
  <c r="G41" i="17"/>
  <c r="F41" i="17"/>
  <c r="B41" i="17"/>
  <c r="S40" i="17" s="1"/>
  <c r="D41" i="17"/>
  <c r="C42" i="17"/>
  <c r="I41" i="17"/>
  <c r="F36" i="22" l="1"/>
  <c r="J35" i="22"/>
  <c r="K35" i="22" s="1"/>
  <c r="E36" i="22"/>
  <c r="M35" i="22"/>
  <c r="L34" i="22"/>
  <c r="W33" i="22" s="1"/>
  <c r="K34" i="22"/>
  <c r="AA32" i="22"/>
  <c r="X32" i="22"/>
  <c r="X39" i="22"/>
  <c r="W40" i="22"/>
  <c r="X40" i="22" s="1"/>
  <c r="B43" i="22"/>
  <c r="T42" i="22" s="1"/>
  <c r="C44" i="22"/>
  <c r="D43" i="22"/>
  <c r="G43" i="22"/>
  <c r="I43" i="22"/>
  <c r="C40" i="21"/>
  <c r="B39" i="21"/>
  <c r="J42" i="17"/>
  <c r="K35" i="17"/>
  <c r="E36" i="17"/>
  <c r="M35" i="17"/>
  <c r="L35" i="17"/>
  <c r="V34" i="17" s="1"/>
  <c r="W33" i="17"/>
  <c r="Z33" i="17"/>
  <c r="F42" i="17"/>
  <c r="B42" i="17"/>
  <c r="S41" i="17" s="1"/>
  <c r="G42" i="17"/>
  <c r="D42" i="17"/>
  <c r="C43" i="17"/>
  <c r="I42" i="17"/>
  <c r="M36" i="22" l="1"/>
  <c r="E37" i="22"/>
  <c r="L36" i="22"/>
  <c r="X33" i="22"/>
  <c r="AA33" i="22"/>
  <c r="L35" i="22"/>
  <c r="W34" i="22" s="1"/>
  <c r="F37" i="22"/>
  <c r="J36" i="22"/>
  <c r="K36" i="22" s="1"/>
  <c r="AA40" i="22"/>
  <c r="C45" i="22"/>
  <c r="G44" i="22"/>
  <c r="B44" i="22"/>
  <c r="T43" i="22" s="1"/>
  <c r="D44" i="22"/>
  <c r="I44" i="22"/>
  <c r="C41" i="21"/>
  <c r="B40" i="21"/>
  <c r="J43" i="17"/>
  <c r="W34" i="17"/>
  <c r="Z34" i="17"/>
  <c r="E37" i="17"/>
  <c r="K36" i="17"/>
  <c r="M36" i="17"/>
  <c r="L36" i="17"/>
  <c r="V35" i="17" s="1"/>
  <c r="C44" i="17"/>
  <c r="D43" i="17"/>
  <c r="G43" i="17"/>
  <c r="B43" i="17"/>
  <c r="S42" i="17" s="1"/>
  <c r="F43" i="17"/>
  <c r="I43" i="17"/>
  <c r="J37" i="22" l="1"/>
  <c r="F38" i="22"/>
  <c r="AA34" i="22"/>
  <c r="X34" i="22"/>
  <c r="M37" i="22"/>
  <c r="E38" i="22"/>
  <c r="W42" i="22"/>
  <c r="C42" i="21"/>
  <c r="B41" i="21"/>
  <c r="C46" i="22"/>
  <c r="D45" i="22"/>
  <c r="G45" i="22"/>
  <c r="B45" i="22"/>
  <c r="T44" i="22" s="1"/>
  <c r="I45" i="22"/>
  <c r="W41" i="22"/>
  <c r="J44" i="17"/>
  <c r="Z35" i="17"/>
  <c r="W35" i="17"/>
  <c r="M37" i="17"/>
  <c r="L37" i="17"/>
  <c r="V36" i="17" s="1"/>
  <c r="K37" i="17"/>
  <c r="E38" i="17"/>
  <c r="C45" i="17"/>
  <c r="D44" i="17"/>
  <c r="G44" i="17"/>
  <c r="F44" i="17"/>
  <c r="B44" i="17"/>
  <c r="S43" i="17" s="1"/>
  <c r="I44" i="17"/>
  <c r="M38" i="22" l="1"/>
  <c r="E39" i="22"/>
  <c r="J38" i="22"/>
  <c r="F39" i="22"/>
  <c r="L37" i="22"/>
  <c r="K37" i="22"/>
  <c r="G46" i="22"/>
  <c r="D46" i="22"/>
  <c r="C47" i="22"/>
  <c r="B46" i="22"/>
  <c r="T45" i="22" s="1"/>
  <c r="W45" i="22"/>
  <c r="I46" i="22"/>
  <c r="C43" i="21"/>
  <c r="B42" i="21"/>
  <c r="W43" i="22"/>
  <c r="AA41" i="22"/>
  <c r="X41" i="22"/>
  <c r="X42" i="22"/>
  <c r="AA42" i="22"/>
  <c r="J45" i="17"/>
  <c r="W36" i="17"/>
  <c r="Z36" i="17"/>
  <c r="M38" i="17"/>
  <c r="E39" i="17"/>
  <c r="K38" i="17"/>
  <c r="L38" i="17"/>
  <c r="V37" i="17" s="1"/>
  <c r="G45" i="17"/>
  <c r="F45" i="17"/>
  <c r="B45" i="17"/>
  <c r="S44" i="17" s="1"/>
  <c r="C46" i="17"/>
  <c r="D45" i="17"/>
  <c r="I45" i="17"/>
  <c r="J46" i="17" l="1"/>
  <c r="J39" i="22"/>
  <c r="F40" i="22"/>
  <c r="L38" i="22"/>
  <c r="K38" i="22"/>
  <c r="M39" i="22"/>
  <c r="E40" i="22"/>
  <c r="Z45" i="22"/>
  <c r="X45" i="22"/>
  <c r="AB45" i="22"/>
  <c r="AA45" i="22"/>
  <c r="W44" i="22"/>
  <c r="C44" i="21"/>
  <c r="B43" i="21"/>
  <c r="X43" i="22"/>
  <c r="AA43" i="22"/>
  <c r="B47" i="22"/>
  <c r="T46" i="22" s="1"/>
  <c r="D47" i="22"/>
  <c r="C48" i="22"/>
  <c r="W46" i="22"/>
  <c r="G47" i="22"/>
  <c r="I47" i="22"/>
  <c r="M39" i="17"/>
  <c r="K39" i="17"/>
  <c r="E40" i="17"/>
  <c r="L39" i="17"/>
  <c r="V38" i="17" s="1"/>
  <c r="Z37" i="17"/>
  <c r="W37" i="17"/>
  <c r="F46" i="17"/>
  <c r="B46" i="17"/>
  <c r="S45" i="17" s="1"/>
  <c r="V45" i="17"/>
  <c r="C47" i="17"/>
  <c r="D46" i="17"/>
  <c r="G46" i="17"/>
  <c r="I46" i="17"/>
  <c r="J47" i="17" l="1"/>
  <c r="J40" i="22"/>
  <c r="F41" i="22"/>
  <c r="M40" i="22"/>
  <c r="E41" i="22"/>
  <c r="L39" i="22"/>
  <c r="K39" i="22"/>
  <c r="AA44" i="22"/>
  <c r="X44" i="22"/>
  <c r="W47" i="22"/>
  <c r="D48" i="22"/>
  <c r="C49" i="22"/>
  <c r="B48" i="22"/>
  <c r="T47" i="22" s="1"/>
  <c r="G48" i="22"/>
  <c r="I48" i="22"/>
  <c r="C45" i="21"/>
  <c r="B44" i="21"/>
  <c r="X46" i="22"/>
  <c r="Z46" i="22"/>
  <c r="AB46" i="22"/>
  <c r="AA46" i="22"/>
  <c r="Z38" i="17"/>
  <c r="W38" i="17"/>
  <c r="L40" i="17"/>
  <c r="V39" i="17" s="1"/>
  <c r="E41" i="17"/>
  <c r="M40" i="17"/>
  <c r="K40" i="17"/>
  <c r="W45" i="17"/>
  <c r="AA45" i="17"/>
  <c r="Z45" i="17"/>
  <c r="Y45" i="17"/>
  <c r="V46" i="17"/>
  <c r="C48" i="17"/>
  <c r="J48" i="17" s="1"/>
  <c r="D47" i="17"/>
  <c r="G47" i="17"/>
  <c r="F47" i="17"/>
  <c r="B47" i="17"/>
  <c r="S46" i="17" s="1"/>
  <c r="I47" i="17"/>
  <c r="L40" i="22" l="1"/>
  <c r="K40" i="22"/>
  <c r="E42" i="22"/>
  <c r="M41" i="22"/>
  <c r="F42" i="22"/>
  <c r="J41" i="22"/>
  <c r="AB47" i="22"/>
  <c r="Z47" i="22"/>
  <c r="X47" i="22"/>
  <c r="AA47" i="22"/>
  <c r="C46" i="21"/>
  <c r="B45" i="21"/>
  <c r="C50" i="22"/>
  <c r="D49" i="22"/>
  <c r="B49" i="22"/>
  <c r="T48" i="22" s="1"/>
  <c r="G49" i="22"/>
  <c r="W48" i="22"/>
  <c r="I49" i="22"/>
  <c r="M41" i="17"/>
  <c r="K41" i="17"/>
  <c r="L41" i="17"/>
  <c r="V40" i="17" s="1"/>
  <c r="E42" i="17"/>
  <c r="W39" i="17"/>
  <c r="Z39" i="17"/>
  <c r="AA46" i="17"/>
  <c r="Z46" i="17"/>
  <c r="Y46" i="17"/>
  <c r="W46" i="17"/>
  <c r="C49" i="17"/>
  <c r="J49" i="17" s="1"/>
  <c r="D48" i="17"/>
  <c r="G48" i="17"/>
  <c r="F48" i="17"/>
  <c r="B48" i="17"/>
  <c r="S47" i="17" s="1"/>
  <c r="V47" i="17"/>
  <c r="I48" i="17"/>
  <c r="L41" i="22" l="1"/>
  <c r="K41" i="22"/>
  <c r="M42" i="22"/>
  <c r="E43" i="22"/>
  <c r="L42" i="22"/>
  <c r="F43" i="22"/>
  <c r="J42" i="22"/>
  <c r="K42" i="22" s="1"/>
  <c r="G50" i="22"/>
  <c r="D50" i="22"/>
  <c r="B50" i="22"/>
  <c r="T49" i="22" s="1"/>
  <c r="C51" i="22"/>
  <c r="O51" i="22" s="1"/>
  <c r="W49" i="22"/>
  <c r="I50" i="22"/>
  <c r="AA48" i="22"/>
  <c r="Z48" i="22"/>
  <c r="X48" i="22"/>
  <c r="AB48" i="22"/>
  <c r="C47" i="21"/>
  <c r="B46" i="21"/>
  <c r="M42" i="17"/>
  <c r="E43" i="17"/>
  <c r="L42" i="17"/>
  <c r="V41" i="17" s="1"/>
  <c r="K42" i="17"/>
  <c r="W40" i="17"/>
  <c r="Z40" i="17"/>
  <c r="G49" i="17"/>
  <c r="F49" i="17"/>
  <c r="B49" i="17"/>
  <c r="S48" i="17" s="1"/>
  <c r="V48" i="17"/>
  <c r="C50" i="17"/>
  <c r="J50" i="17" s="1"/>
  <c r="D49" i="17"/>
  <c r="I49" i="17"/>
  <c r="Z47" i="17"/>
  <c r="Y47" i="17"/>
  <c r="W47" i="17"/>
  <c r="AA47" i="17"/>
  <c r="E44" i="22" l="1"/>
  <c r="M43" i="22"/>
  <c r="F44" i="22"/>
  <c r="J43" i="22"/>
  <c r="F51" i="22"/>
  <c r="B51" i="22"/>
  <c r="T50" i="22" s="1"/>
  <c r="M51" i="22"/>
  <c r="G51" i="22"/>
  <c r="L51" i="22"/>
  <c r="E51" i="22"/>
  <c r="K50" i="22"/>
  <c r="J51" i="22"/>
  <c r="D51" i="22"/>
  <c r="W50" i="22"/>
  <c r="C52" i="22"/>
  <c r="O52" i="22" s="1"/>
  <c r="I51" i="22"/>
  <c r="Z49" i="22"/>
  <c r="AA49" i="22"/>
  <c r="X49" i="22"/>
  <c r="AB49" i="22"/>
  <c r="C48" i="21"/>
  <c r="B47" i="21"/>
  <c r="W41" i="17"/>
  <c r="Z41" i="17"/>
  <c r="L43" i="17"/>
  <c r="V42" i="17" s="1"/>
  <c r="M43" i="17"/>
  <c r="K43" i="17"/>
  <c r="E44" i="17"/>
  <c r="F50" i="17"/>
  <c r="B50" i="17"/>
  <c r="S49" i="17" s="1"/>
  <c r="V49" i="17"/>
  <c r="C51" i="17"/>
  <c r="J51" i="17" s="1"/>
  <c r="D50" i="17"/>
  <c r="G50" i="17"/>
  <c r="I50" i="17"/>
  <c r="Y48" i="17"/>
  <c r="W48" i="17"/>
  <c r="AA48" i="17"/>
  <c r="Z48" i="17"/>
  <c r="M44" i="22" l="1"/>
  <c r="E45" i="22"/>
  <c r="L43" i="22"/>
  <c r="K43" i="22"/>
  <c r="F45" i="22"/>
  <c r="J44" i="22"/>
  <c r="J52" i="22"/>
  <c r="E52" i="22"/>
  <c r="W51" i="22"/>
  <c r="K51" i="22"/>
  <c r="M52" i="22"/>
  <c r="G52" i="22"/>
  <c r="B52" i="22"/>
  <c r="T51" i="22" s="1"/>
  <c r="L52" i="22"/>
  <c r="F52" i="22"/>
  <c r="D52" i="22"/>
  <c r="C53" i="22"/>
  <c r="O53" i="22" s="1"/>
  <c r="I52" i="22"/>
  <c r="B48" i="21"/>
  <c r="C49" i="21"/>
  <c r="X50" i="22"/>
  <c r="AB50" i="22"/>
  <c r="AA50" i="22"/>
  <c r="Z50" i="22"/>
  <c r="Z42" i="17"/>
  <c r="W42" i="17"/>
  <c r="L44" i="17"/>
  <c r="V43" i="17" s="1"/>
  <c r="E45" i="17"/>
  <c r="K44" i="17"/>
  <c r="M44" i="17"/>
  <c r="O51" i="17"/>
  <c r="E51" i="17"/>
  <c r="V50" i="17"/>
  <c r="K50" i="17"/>
  <c r="C52" i="17"/>
  <c r="J52" i="17" s="1"/>
  <c r="M51" i="17"/>
  <c r="D51" i="17"/>
  <c r="L51" i="17"/>
  <c r="G51" i="17"/>
  <c r="F51" i="17"/>
  <c r="B51" i="17"/>
  <c r="S50" i="17" s="1"/>
  <c r="I51" i="17"/>
  <c r="W49" i="17"/>
  <c r="AA49" i="17"/>
  <c r="Z49" i="17"/>
  <c r="Y49" i="17"/>
  <c r="L44" i="22" l="1"/>
  <c r="K44" i="22"/>
  <c r="J45" i="22"/>
  <c r="F46" i="22"/>
  <c r="E46" i="22"/>
  <c r="M45" i="22"/>
  <c r="E46" i="17"/>
  <c r="K45" i="17"/>
  <c r="C54" i="22"/>
  <c r="O54" i="22" s="1"/>
  <c r="M53" i="22"/>
  <c r="D53" i="22"/>
  <c r="G53" i="22"/>
  <c r="B53" i="22"/>
  <c r="T52" i="22" s="1"/>
  <c r="W52" i="22"/>
  <c r="L53" i="22"/>
  <c r="F53" i="22"/>
  <c r="E53" i="22"/>
  <c r="K52" i="22"/>
  <c r="J53" i="22"/>
  <c r="I53" i="22"/>
  <c r="B49" i="21"/>
  <c r="C50" i="21"/>
  <c r="AB51" i="22"/>
  <c r="AA51" i="22"/>
  <c r="Z51" i="22"/>
  <c r="X51" i="22"/>
  <c r="L45" i="17"/>
  <c r="V44" i="17" s="1"/>
  <c r="M45" i="17"/>
  <c r="W43" i="17"/>
  <c r="Z43" i="17"/>
  <c r="AA50" i="17"/>
  <c r="Z50" i="17"/>
  <c r="Y50" i="17"/>
  <c r="W50" i="17"/>
  <c r="C53" i="17"/>
  <c r="J53" i="17" s="1"/>
  <c r="M52" i="17"/>
  <c r="D52" i="17"/>
  <c r="L52" i="17"/>
  <c r="G52" i="17"/>
  <c r="F52" i="17"/>
  <c r="B52" i="17"/>
  <c r="S51" i="17" s="1"/>
  <c r="O52" i="17"/>
  <c r="E52" i="17"/>
  <c r="V51" i="17"/>
  <c r="K51" i="17"/>
  <c r="I52" i="17"/>
  <c r="J46" i="22" l="1"/>
  <c r="K46" i="22" s="1"/>
  <c r="F47" i="22"/>
  <c r="E47" i="17"/>
  <c r="K46" i="17"/>
  <c r="L46" i="17"/>
  <c r="M46" i="17"/>
  <c r="L45" i="22"/>
  <c r="K45" i="22"/>
  <c r="L46" i="22"/>
  <c r="E47" i="22"/>
  <c r="M46" i="22"/>
  <c r="C51" i="21"/>
  <c r="B50" i="21"/>
  <c r="AA52" i="22"/>
  <c r="AB52" i="22"/>
  <c r="Z52" i="22"/>
  <c r="X52" i="22"/>
  <c r="J54" i="22"/>
  <c r="M54" i="22"/>
  <c r="G54" i="22"/>
  <c r="B54" i="22"/>
  <c r="T53" i="22" s="1"/>
  <c r="W53" i="22"/>
  <c r="F54" i="22"/>
  <c r="L54" i="22"/>
  <c r="E54" i="22"/>
  <c r="K53" i="22"/>
  <c r="C55" i="22"/>
  <c r="O55" i="22" s="1"/>
  <c r="D54" i="22"/>
  <c r="I54" i="22"/>
  <c r="W44" i="17"/>
  <c r="Z44" i="17"/>
  <c r="Z51" i="17"/>
  <c r="Y51" i="17"/>
  <c r="W51" i="17"/>
  <c r="AA51" i="17"/>
  <c r="L53" i="17"/>
  <c r="G53" i="17"/>
  <c r="F53" i="17"/>
  <c r="B53" i="17"/>
  <c r="S52" i="17" s="1"/>
  <c r="O53" i="17"/>
  <c r="E53" i="17"/>
  <c r="V52" i="17"/>
  <c r="K52" i="17"/>
  <c r="C54" i="17"/>
  <c r="J54" i="17" s="1"/>
  <c r="M53" i="17"/>
  <c r="D53" i="17"/>
  <c r="I53" i="17"/>
  <c r="E48" i="17" l="1"/>
  <c r="M47" i="17"/>
  <c r="L47" i="17"/>
  <c r="K47" i="17"/>
  <c r="M47" i="22"/>
  <c r="E48" i="22"/>
  <c r="L47" i="22"/>
  <c r="J47" i="22"/>
  <c r="K47" i="22" s="1"/>
  <c r="F48" i="22"/>
  <c r="Z53" i="22"/>
  <c r="AB53" i="22"/>
  <c r="AA53" i="22"/>
  <c r="X53" i="22"/>
  <c r="C52" i="21"/>
  <c r="B51" i="21"/>
  <c r="C56" i="22"/>
  <c r="O56" i="22" s="1"/>
  <c r="M55" i="22"/>
  <c r="D55" i="22"/>
  <c r="G55" i="22"/>
  <c r="B55" i="22"/>
  <c r="T54" i="22" s="1"/>
  <c r="W54" i="22"/>
  <c r="J55" i="22"/>
  <c r="F55" i="22"/>
  <c r="L55" i="22"/>
  <c r="E55" i="22"/>
  <c r="K54" i="22"/>
  <c r="I55" i="22"/>
  <c r="F54" i="17"/>
  <c r="B54" i="17"/>
  <c r="S53" i="17" s="1"/>
  <c r="O54" i="17"/>
  <c r="E54" i="17"/>
  <c r="V53" i="17"/>
  <c r="K53" i="17"/>
  <c r="C55" i="17"/>
  <c r="J55" i="17" s="1"/>
  <c r="M54" i="17"/>
  <c r="D54" i="17"/>
  <c r="L54" i="17"/>
  <c r="G54" i="17"/>
  <c r="I54" i="17"/>
  <c r="Y52" i="17"/>
  <c r="W52" i="17"/>
  <c r="AA52" i="17"/>
  <c r="Z52" i="17"/>
  <c r="M48" i="22" l="1"/>
  <c r="L48" i="22"/>
  <c r="E49" i="22"/>
  <c r="F49" i="22"/>
  <c r="J48" i="22"/>
  <c r="K48" i="22" s="1"/>
  <c r="M48" i="17"/>
  <c r="K48" i="17"/>
  <c r="L48" i="17"/>
  <c r="E49" i="17"/>
  <c r="L56" i="22"/>
  <c r="G56" i="22"/>
  <c r="C57" i="22"/>
  <c r="O57" i="22" s="1"/>
  <c r="B56" i="22"/>
  <c r="T55" i="22" s="1"/>
  <c r="W55" i="22"/>
  <c r="J56" i="22"/>
  <c r="F56" i="22"/>
  <c r="M56" i="22"/>
  <c r="E56" i="22"/>
  <c r="D56" i="22"/>
  <c r="K55" i="22"/>
  <c r="I56" i="22"/>
  <c r="AA54" i="22"/>
  <c r="AB54" i="22"/>
  <c r="Z54" i="22"/>
  <c r="X54" i="22"/>
  <c r="C53" i="21"/>
  <c r="B52" i="21"/>
  <c r="O55" i="17"/>
  <c r="E55" i="17"/>
  <c r="V54" i="17"/>
  <c r="K54" i="17"/>
  <c r="C56" i="17"/>
  <c r="J56" i="17" s="1"/>
  <c r="M55" i="17"/>
  <c r="D55" i="17"/>
  <c r="L55" i="17"/>
  <c r="G55" i="17"/>
  <c r="F55" i="17"/>
  <c r="B55" i="17"/>
  <c r="S54" i="17" s="1"/>
  <c r="I55" i="17"/>
  <c r="W53" i="17"/>
  <c r="AA53" i="17"/>
  <c r="Z53" i="17"/>
  <c r="Y53" i="17"/>
  <c r="L49" i="22" l="1"/>
  <c r="M49" i="22"/>
  <c r="E50" i="22"/>
  <c r="K49" i="17"/>
  <c r="M49" i="17"/>
  <c r="E50" i="17"/>
  <c r="L49" i="17"/>
  <c r="F50" i="22"/>
  <c r="J50" i="22" s="1"/>
  <c r="J49" i="22"/>
  <c r="K49" i="22" s="1"/>
  <c r="Z55" i="22"/>
  <c r="AB55" i="22"/>
  <c r="AA55" i="22"/>
  <c r="X55" i="22"/>
  <c r="F57" i="22"/>
  <c r="B57" i="22"/>
  <c r="T56" i="22" s="1"/>
  <c r="W56" i="22"/>
  <c r="J57" i="22"/>
  <c r="C58" i="22"/>
  <c r="O58" i="22" s="1"/>
  <c r="G57" i="22"/>
  <c r="M57" i="22"/>
  <c r="E57" i="22"/>
  <c r="K56" i="22"/>
  <c r="L57" i="22"/>
  <c r="D57" i="22"/>
  <c r="I57" i="22"/>
  <c r="B53" i="21"/>
  <c r="C54" i="21"/>
  <c r="AA54" i="17"/>
  <c r="Z54" i="17"/>
  <c r="Y54" i="17"/>
  <c r="W54" i="17"/>
  <c r="C57" i="17"/>
  <c r="J57" i="17" s="1"/>
  <c r="M56" i="17"/>
  <c r="D56" i="17"/>
  <c r="L56" i="17"/>
  <c r="G56" i="17"/>
  <c r="F56" i="17"/>
  <c r="B56" i="17"/>
  <c r="S55" i="17" s="1"/>
  <c r="O56" i="17"/>
  <c r="E56" i="17"/>
  <c r="V55" i="17"/>
  <c r="K55" i="17"/>
  <c r="I56" i="17"/>
  <c r="M50" i="22" l="1"/>
  <c r="L50" i="22"/>
  <c r="M50" i="17"/>
  <c r="L50" i="17"/>
  <c r="C55" i="21"/>
  <c r="B54" i="21"/>
  <c r="X56" i="22"/>
  <c r="AB56" i="22"/>
  <c r="AA56" i="22"/>
  <c r="Z56" i="22"/>
  <c r="F58" i="22"/>
  <c r="B58" i="22"/>
  <c r="T57" i="22" s="1"/>
  <c r="J58" i="22"/>
  <c r="E58" i="22"/>
  <c r="W57" i="22"/>
  <c r="K57" i="22"/>
  <c r="G58" i="22"/>
  <c r="D58" i="22"/>
  <c r="C59" i="22"/>
  <c r="O59" i="22" s="1"/>
  <c r="M58" i="22"/>
  <c r="L58" i="22"/>
  <c r="I58" i="22"/>
  <c r="Z55" i="17"/>
  <c r="Y55" i="17"/>
  <c r="W55" i="17"/>
  <c r="AA55" i="17"/>
  <c r="L57" i="17"/>
  <c r="G57" i="17"/>
  <c r="F57" i="17"/>
  <c r="B57" i="17"/>
  <c r="S56" i="17" s="1"/>
  <c r="C58" i="17"/>
  <c r="J58" i="17" s="1"/>
  <c r="O57" i="17"/>
  <c r="E57" i="17"/>
  <c r="V56" i="17"/>
  <c r="K56" i="17"/>
  <c r="M57" i="17"/>
  <c r="D57" i="17"/>
  <c r="I57" i="17"/>
  <c r="J59" i="22" l="1"/>
  <c r="E59" i="22"/>
  <c r="W58" i="22"/>
  <c r="K58" i="22"/>
  <c r="C60" i="22"/>
  <c r="O60" i="22" s="1"/>
  <c r="M59" i="22"/>
  <c r="D59" i="22"/>
  <c r="B59" i="22"/>
  <c r="T58" i="22" s="1"/>
  <c r="F59" i="22"/>
  <c r="L59" i="22"/>
  <c r="G59" i="22"/>
  <c r="I59" i="22"/>
  <c r="X57" i="22"/>
  <c r="AB57" i="22"/>
  <c r="Z57" i="22"/>
  <c r="AA57" i="22"/>
  <c r="C56" i="21"/>
  <c r="B55" i="21"/>
  <c r="Y56" i="17"/>
  <c r="W56" i="17"/>
  <c r="AA56" i="17"/>
  <c r="Z56" i="17"/>
  <c r="C59" i="17"/>
  <c r="J59" i="17" s="1"/>
  <c r="M58" i="17"/>
  <c r="D58" i="17"/>
  <c r="F58" i="17"/>
  <c r="B58" i="17"/>
  <c r="S57" i="17" s="1"/>
  <c r="G58" i="17"/>
  <c r="O58" i="17"/>
  <c r="E58" i="17"/>
  <c r="K57" i="17"/>
  <c r="L58" i="17"/>
  <c r="V57" i="17"/>
  <c r="I58" i="17"/>
  <c r="AB58" i="22" l="1"/>
  <c r="AA58" i="22"/>
  <c r="Z58" i="22"/>
  <c r="X58" i="22"/>
  <c r="B56" i="21"/>
  <c r="C57" i="21"/>
  <c r="C61" i="22"/>
  <c r="O61" i="22" s="1"/>
  <c r="M60" i="22"/>
  <c r="D60" i="22"/>
  <c r="L60" i="22"/>
  <c r="G60" i="22"/>
  <c r="E60" i="22"/>
  <c r="W59" i="22"/>
  <c r="K59" i="22"/>
  <c r="F60" i="22"/>
  <c r="B60" i="22"/>
  <c r="T59" i="22" s="1"/>
  <c r="J60" i="22"/>
  <c r="I60" i="22"/>
  <c r="L59" i="17"/>
  <c r="G59" i="17"/>
  <c r="O59" i="17"/>
  <c r="E59" i="17"/>
  <c r="V58" i="17"/>
  <c r="K58" i="17"/>
  <c r="B59" i="17"/>
  <c r="S58" i="17" s="1"/>
  <c r="C60" i="17"/>
  <c r="J60" i="17" s="1"/>
  <c r="F59" i="17"/>
  <c r="M59" i="17"/>
  <c r="D59" i="17"/>
  <c r="I59" i="17"/>
  <c r="Z57" i="17"/>
  <c r="Y57" i="17"/>
  <c r="W57" i="17"/>
  <c r="AA57" i="17"/>
  <c r="AA59" i="22" l="1"/>
  <c r="Z59" i="22"/>
  <c r="AB59" i="22"/>
  <c r="X59" i="22"/>
  <c r="B57" i="21"/>
  <c r="C58" i="21"/>
  <c r="L61" i="22"/>
  <c r="G61" i="22"/>
  <c r="F61" i="22"/>
  <c r="B61" i="22"/>
  <c r="T60" i="22" s="1"/>
  <c r="C62" i="22"/>
  <c r="O62" i="22" s="1"/>
  <c r="E61" i="22"/>
  <c r="D61" i="22"/>
  <c r="M61" i="22"/>
  <c r="K60" i="22"/>
  <c r="J61" i="22"/>
  <c r="W60" i="22"/>
  <c r="I61" i="22"/>
  <c r="Y58" i="17"/>
  <c r="AA58" i="17"/>
  <c r="Z58" i="17"/>
  <c r="W58" i="17"/>
  <c r="F60" i="17"/>
  <c r="B60" i="17"/>
  <c r="S59" i="17" s="1"/>
  <c r="C61" i="17"/>
  <c r="J61" i="17" s="1"/>
  <c r="M60" i="17"/>
  <c r="D60" i="17"/>
  <c r="O60" i="17"/>
  <c r="E60" i="17"/>
  <c r="V59" i="17"/>
  <c r="K59" i="17"/>
  <c r="L60" i="17"/>
  <c r="G60" i="17"/>
  <c r="I60" i="17"/>
  <c r="Z60" i="22" l="1"/>
  <c r="X60" i="22"/>
  <c r="AA60" i="22"/>
  <c r="AB60" i="22"/>
  <c r="C59" i="21"/>
  <c r="B58" i="21"/>
  <c r="F62" i="22"/>
  <c r="B62" i="22"/>
  <c r="T61" i="22" s="1"/>
  <c r="J62" i="22"/>
  <c r="E62" i="22"/>
  <c r="W61" i="22"/>
  <c r="K61" i="22"/>
  <c r="L62" i="22"/>
  <c r="G62" i="22"/>
  <c r="C63" i="22"/>
  <c r="O63" i="22" s="1"/>
  <c r="D62" i="22"/>
  <c r="M62" i="22"/>
  <c r="I62" i="22"/>
  <c r="W59" i="17"/>
  <c r="Z59" i="17"/>
  <c r="AA59" i="17"/>
  <c r="Y59" i="17"/>
  <c r="O61" i="17"/>
  <c r="E61" i="17"/>
  <c r="V60" i="17"/>
  <c r="K60" i="17"/>
  <c r="C62" i="17"/>
  <c r="J62" i="17" s="1"/>
  <c r="M61" i="17"/>
  <c r="D61" i="17"/>
  <c r="L61" i="17"/>
  <c r="G61" i="17"/>
  <c r="F61" i="17"/>
  <c r="B61" i="17"/>
  <c r="S60" i="17" s="1"/>
  <c r="I61" i="17"/>
  <c r="J63" i="22" l="1"/>
  <c r="E63" i="22"/>
  <c r="W62" i="22"/>
  <c r="K62" i="22"/>
  <c r="C64" i="22"/>
  <c r="O64" i="22" s="1"/>
  <c r="M63" i="22"/>
  <c r="D63" i="22"/>
  <c r="F63" i="22"/>
  <c r="G63" i="22"/>
  <c r="L63" i="22"/>
  <c r="B63" i="22"/>
  <c r="T62" i="22" s="1"/>
  <c r="I63" i="22"/>
  <c r="X61" i="22"/>
  <c r="AB61" i="22"/>
  <c r="AA61" i="22"/>
  <c r="Z61" i="22"/>
  <c r="C60" i="21"/>
  <c r="B59" i="21"/>
  <c r="C63" i="17"/>
  <c r="J63" i="17" s="1"/>
  <c r="M62" i="17"/>
  <c r="D62" i="17"/>
  <c r="L62" i="17"/>
  <c r="G62" i="17"/>
  <c r="F62" i="17"/>
  <c r="B62" i="17"/>
  <c r="S61" i="17" s="1"/>
  <c r="O62" i="17"/>
  <c r="E62" i="17"/>
  <c r="V61" i="17"/>
  <c r="K61" i="17"/>
  <c r="I62" i="17"/>
  <c r="AA60" i="17"/>
  <c r="Y60" i="17"/>
  <c r="W60" i="17"/>
  <c r="Z60" i="17"/>
  <c r="AB62" i="22" l="1"/>
  <c r="AA62" i="22"/>
  <c r="X62" i="22"/>
  <c r="Z62" i="22"/>
  <c r="B60" i="21"/>
  <c r="C61" i="21"/>
  <c r="C65" i="22"/>
  <c r="O65" i="22" s="1"/>
  <c r="M64" i="22"/>
  <c r="D64" i="22"/>
  <c r="L64" i="22"/>
  <c r="G64" i="22"/>
  <c r="J64" i="22"/>
  <c r="F64" i="22"/>
  <c r="W63" i="22"/>
  <c r="E64" i="22"/>
  <c r="B64" i="22"/>
  <c r="T63" i="22" s="1"/>
  <c r="K63" i="22"/>
  <c r="I64" i="22"/>
  <c r="Z61" i="17"/>
  <c r="Y61" i="17"/>
  <c r="W61" i="17"/>
  <c r="AA61" i="17"/>
  <c r="L63" i="17"/>
  <c r="G63" i="17"/>
  <c r="F63" i="17"/>
  <c r="B63" i="17"/>
  <c r="S62" i="17" s="1"/>
  <c r="O63" i="17"/>
  <c r="E63" i="17"/>
  <c r="V62" i="17"/>
  <c r="K62" i="17"/>
  <c r="C64" i="17"/>
  <c r="J64" i="17" s="1"/>
  <c r="M63" i="17"/>
  <c r="D63" i="17"/>
  <c r="I63" i="17"/>
  <c r="C62" i="21" l="1"/>
  <c r="B61" i="21"/>
  <c r="AA63" i="22"/>
  <c r="Z63" i="22"/>
  <c r="AB63" i="22"/>
  <c r="X63" i="22"/>
  <c r="L65" i="22"/>
  <c r="G65" i="22"/>
  <c r="F65" i="22"/>
  <c r="B65" i="22"/>
  <c r="T64" i="22" s="1"/>
  <c r="M65" i="22"/>
  <c r="D65" i="22"/>
  <c r="W64" i="22"/>
  <c r="E65" i="22"/>
  <c r="C66" i="22"/>
  <c r="O66" i="22" s="1"/>
  <c r="J65" i="22"/>
  <c r="K64" i="22"/>
  <c r="I65" i="22"/>
  <c r="Y62" i="17"/>
  <c r="W62" i="17"/>
  <c r="AA62" i="17"/>
  <c r="Z62" i="17"/>
  <c r="F64" i="17"/>
  <c r="B64" i="17"/>
  <c r="S63" i="17" s="1"/>
  <c r="O64" i="17"/>
  <c r="E64" i="17"/>
  <c r="V63" i="17"/>
  <c r="K63" i="17"/>
  <c r="C65" i="17"/>
  <c r="J65" i="17" s="1"/>
  <c r="M64" i="17"/>
  <c r="D64" i="17"/>
  <c r="L64" i="17"/>
  <c r="G64" i="17"/>
  <c r="I64" i="17"/>
  <c r="Z64" i="22" l="1"/>
  <c r="X64" i="22"/>
  <c r="AB64" i="22"/>
  <c r="AA64" i="22"/>
  <c r="C63" i="21"/>
  <c r="B62" i="21"/>
  <c r="F66" i="22"/>
  <c r="B66" i="22"/>
  <c r="T65" i="22" s="1"/>
  <c r="J66" i="22"/>
  <c r="E66" i="22"/>
  <c r="W65" i="22"/>
  <c r="K65" i="22"/>
  <c r="G66" i="22"/>
  <c r="D66" i="22"/>
  <c r="C67" i="22"/>
  <c r="O67" i="22" s="1"/>
  <c r="M66" i="22"/>
  <c r="L66" i="22"/>
  <c r="I66" i="22"/>
  <c r="O65" i="17"/>
  <c r="E65" i="17"/>
  <c r="V64" i="17"/>
  <c r="K64" i="17"/>
  <c r="C66" i="17"/>
  <c r="J66" i="17" s="1"/>
  <c r="M65" i="17"/>
  <c r="D65" i="17"/>
  <c r="L65" i="17"/>
  <c r="G65" i="17"/>
  <c r="F65" i="17"/>
  <c r="B65" i="17"/>
  <c r="S64" i="17" s="1"/>
  <c r="I65" i="17"/>
  <c r="W63" i="17"/>
  <c r="AA63" i="17"/>
  <c r="Z63" i="17"/>
  <c r="Y63" i="17"/>
  <c r="J67" i="22" l="1"/>
  <c r="E67" i="22"/>
  <c r="W66" i="22"/>
  <c r="K66" i="22"/>
  <c r="C68" i="22"/>
  <c r="O68" i="22" s="1"/>
  <c r="M67" i="22"/>
  <c r="D67" i="22"/>
  <c r="B67" i="22"/>
  <c r="T66" i="22" s="1"/>
  <c r="G67" i="22"/>
  <c r="F67" i="22"/>
  <c r="L67" i="22"/>
  <c r="I67" i="22"/>
  <c r="X65" i="22"/>
  <c r="AB65" i="22"/>
  <c r="Z65" i="22"/>
  <c r="AA65" i="22"/>
  <c r="C64" i="21"/>
  <c r="B63" i="21"/>
  <c r="C67" i="17"/>
  <c r="J67" i="17" s="1"/>
  <c r="M66" i="17"/>
  <c r="D66" i="17"/>
  <c r="L66" i="17"/>
  <c r="G66" i="17"/>
  <c r="F66" i="17"/>
  <c r="B66" i="17"/>
  <c r="S65" i="17" s="1"/>
  <c r="O66" i="17"/>
  <c r="E66" i="17"/>
  <c r="V65" i="17"/>
  <c r="K65" i="17"/>
  <c r="I66" i="17"/>
  <c r="AA64" i="17"/>
  <c r="Z64" i="17"/>
  <c r="Y64" i="17"/>
  <c r="W64" i="17"/>
  <c r="AB66" i="22" l="1"/>
  <c r="AA66" i="22"/>
  <c r="X66" i="22"/>
  <c r="Z66" i="22"/>
  <c r="C65" i="21"/>
  <c r="B64" i="21"/>
  <c r="C69" i="22"/>
  <c r="O69" i="22" s="1"/>
  <c r="M68" i="22"/>
  <c r="D68" i="22"/>
  <c r="L68" i="22"/>
  <c r="G68" i="22"/>
  <c r="E68" i="22"/>
  <c r="W67" i="22"/>
  <c r="K67" i="22"/>
  <c r="J68" i="22"/>
  <c r="F68" i="22"/>
  <c r="B68" i="22"/>
  <c r="T67" i="22" s="1"/>
  <c r="I68" i="22"/>
  <c r="Z65" i="17"/>
  <c r="Y65" i="17"/>
  <c r="W65" i="17"/>
  <c r="AA65" i="17"/>
  <c r="L67" i="17"/>
  <c r="G67" i="17"/>
  <c r="F67" i="17"/>
  <c r="B67" i="17"/>
  <c r="S66" i="17" s="1"/>
  <c r="O67" i="17"/>
  <c r="E67" i="17"/>
  <c r="V66" i="17"/>
  <c r="K66" i="17"/>
  <c r="C68" i="17"/>
  <c r="J68" i="17" s="1"/>
  <c r="M67" i="17"/>
  <c r="D67" i="17"/>
  <c r="I67" i="17"/>
  <c r="C66" i="21" l="1"/>
  <c r="B65" i="21"/>
  <c r="C70" i="22"/>
  <c r="O70" i="22" s="1"/>
  <c r="L69" i="22"/>
  <c r="G69" i="22"/>
  <c r="F69" i="22"/>
  <c r="B69" i="22"/>
  <c r="T68" i="22" s="1"/>
  <c r="J69" i="22"/>
  <c r="W68" i="22"/>
  <c r="E69" i="22"/>
  <c r="D69" i="22"/>
  <c r="M69" i="22"/>
  <c r="K68" i="22"/>
  <c r="I69" i="22"/>
  <c r="AA67" i="22"/>
  <c r="Z67" i="22"/>
  <c r="X67" i="22"/>
  <c r="AB67" i="22"/>
  <c r="Y66" i="17"/>
  <c r="W66" i="17"/>
  <c r="AA66" i="17"/>
  <c r="Z66" i="17"/>
  <c r="F68" i="17"/>
  <c r="B68" i="17"/>
  <c r="S67" i="17" s="1"/>
  <c r="O68" i="17"/>
  <c r="E68" i="17"/>
  <c r="V67" i="17"/>
  <c r="K67" i="17"/>
  <c r="C69" i="17"/>
  <c r="J69" i="17" s="1"/>
  <c r="M68" i="17"/>
  <c r="D68" i="17"/>
  <c r="L68" i="17"/>
  <c r="G68" i="17"/>
  <c r="I68" i="17"/>
  <c r="L70" i="22" l="1"/>
  <c r="G70" i="22"/>
  <c r="F70" i="22"/>
  <c r="B70" i="22"/>
  <c r="T69" i="22" s="1"/>
  <c r="M70" i="22"/>
  <c r="D70" i="22"/>
  <c r="C71" i="22"/>
  <c r="O71" i="22" s="1"/>
  <c r="J70" i="22"/>
  <c r="K69" i="22"/>
  <c r="W69" i="22"/>
  <c r="E70" i="22"/>
  <c r="I70" i="22"/>
  <c r="Z68" i="22"/>
  <c r="X68" i="22"/>
  <c r="AA68" i="22"/>
  <c r="AB68" i="22"/>
  <c r="C67" i="21"/>
  <c r="B66" i="21"/>
  <c r="W67" i="17"/>
  <c r="AA67" i="17"/>
  <c r="Z67" i="17"/>
  <c r="Y67" i="17"/>
  <c r="C70" i="17"/>
  <c r="J70" i="17" s="1"/>
  <c r="O69" i="17"/>
  <c r="E69" i="17"/>
  <c r="V68" i="17"/>
  <c r="K68" i="17"/>
  <c r="M69" i="17"/>
  <c r="D69" i="17"/>
  <c r="L69" i="17"/>
  <c r="G69" i="17"/>
  <c r="F69" i="17"/>
  <c r="B69" i="17"/>
  <c r="S68" i="17" s="1"/>
  <c r="I69" i="17"/>
  <c r="F71" i="22" l="1"/>
  <c r="B71" i="22"/>
  <c r="T70" i="22" s="1"/>
  <c r="J71" i="22"/>
  <c r="E71" i="22"/>
  <c r="W70" i="22"/>
  <c r="K70" i="22"/>
  <c r="C72" i="22"/>
  <c r="O72" i="22" s="1"/>
  <c r="M71" i="22"/>
  <c r="D71" i="22"/>
  <c r="G71" i="22"/>
  <c r="L71" i="22"/>
  <c r="I71" i="22"/>
  <c r="C68" i="21"/>
  <c r="B67" i="21"/>
  <c r="Z69" i="22"/>
  <c r="X69" i="22"/>
  <c r="AB69" i="22"/>
  <c r="AA69" i="22"/>
  <c r="AA68" i="17"/>
  <c r="Z68" i="17"/>
  <c r="Y68" i="17"/>
  <c r="W68" i="17"/>
  <c r="C71" i="17"/>
  <c r="J71" i="17" s="1"/>
  <c r="M70" i="17"/>
  <c r="D70" i="17"/>
  <c r="L70" i="17"/>
  <c r="G70" i="17"/>
  <c r="F70" i="17"/>
  <c r="E70" i="17"/>
  <c r="V69" i="17"/>
  <c r="B70" i="17"/>
  <c r="S69" i="17" s="1"/>
  <c r="O70" i="17"/>
  <c r="K69" i="17"/>
  <c r="I70" i="17"/>
  <c r="C69" i="21" l="1"/>
  <c r="B68" i="21"/>
  <c r="X70" i="22"/>
  <c r="AB70" i="22"/>
  <c r="AA70" i="22"/>
  <c r="Z70" i="22"/>
  <c r="J72" i="22"/>
  <c r="E72" i="22"/>
  <c r="W71" i="22"/>
  <c r="K71" i="22"/>
  <c r="C73" i="22"/>
  <c r="O73" i="22" s="1"/>
  <c r="M72" i="22"/>
  <c r="D72" i="22"/>
  <c r="L72" i="22"/>
  <c r="G72" i="22"/>
  <c r="B72" i="22"/>
  <c r="T71" i="22" s="1"/>
  <c r="F72" i="22"/>
  <c r="I72" i="22"/>
  <c r="Z69" i="17"/>
  <c r="Y69" i="17"/>
  <c r="W69" i="17"/>
  <c r="AA69" i="17"/>
  <c r="L71" i="17"/>
  <c r="G71" i="17"/>
  <c r="F71" i="17"/>
  <c r="B71" i="17"/>
  <c r="S70" i="17" s="1"/>
  <c r="O71" i="17"/>
  <c r="E71" i="17"/>
  <c r="V70" i="17"/>
  <c r="K70" i="17"/>
  <c r="D71" i="17"/>
  <c r="M71" i="17"/>
  <c r="C72" i="17"/>
  <c r="J72" i="17" s="1"/>
  <c r="I71" i="17"/>
  <c r="C74" i="22" l="1"/>
  <c r="O74" i="22" s="1"/>
  <c r="M73" i="22"/>
  <c r="D73" i="22"/>
  <c r="L73" i="22"/>
  <c r="G73" i="22"/>
  <c r="F73" i="22"/>
  <c r="B73" i="22"/>
  <c r="T72" i="22" s="1"/>
  <c r="W72" i="22"/>
  <c r="J73" i="22"/>
  <c r="E73" i="22"/>
  <c r="K72" i="22"/>
  <c r="I73" i="22"/>
  <c r="AB71" i="22"/>
  <c r="AA71" i="22"/>
  <c r="Z71" i="22"/>
  <c r="X71" i="22"/>
  <c r="B69" i="21"/>
  <c r="C70" i="21"/>
  <c r="Y70" i="17"/>
  <c r="W70" i="17"/>
  <c r="AA70" i="17"/>
  <c r="Z70" i="17"/>
  <c r="F72" i="17"/>
  <c r="B72" i="17"/>
  <c r="S71" i="17" s="1"/>
  <c r="O72" i="17"/>
  <c r="E72" i="17"/>
  <c r="V71" i="17"/>
  <c r="K71" i="17"/>
  <c r="C73" i="17"/>
  <c r="J73" i="17" s="1"/>
  <c r="M72" i="17"/>
  <c r="D72" i="17"/>
  <c r="L72" i="17"/>
  <c r="G72" i="17"/>
  <c r="I72" i="17"/>
  <c r="L74" i="22" l="1"/>
  <c r="G74" i="22"/>
  <c r="F74" i="22"/>
  <c r="B74" i="22"/>
  <c r="T73" i="22" s="1"/>
  <c r="J74" i="22"/>
  <c r="E74" i="22"/>
  <c r="W73" i="22"/>
  <c r="K73" i="22"/>
  <c r="C75" i="22"/>
  <c r="O75" i="22" s="1"/>
  <c r="D74" i="22"/>
  <c r="M74" i="22"/>
  <c r="I74" i="22"/>
  <c r="AA72" i="22"/>
  <c r="Z72" i="22"/>
  <c r="X72" i="22"/>
  <c r="AB72" i="22"/>
  <c r="C71" i="21"/>
  <c r="B70" i="21"/>
  <c r="W71" i="17"/>
  <c r="AA71" i="17"/>
  <c r="Z71" i="17"/>
  <c r="Y71" i="17"/>
  <c r="O73" i="17"/>
  <c r="E73" i="17"/>
  <c r="V72" i="17"/>
  <c r="K72" i="17"/>
  <c r="C74" i="17"/>
  <c r="J74" i="17" s="1"/>
  <c r="M73" i="17"/>
  <c r="D73" i="17"/>
  <c r="L73" i="17"/>
  <c r="G73" i="17"/>
  <c r="F73" i="17"/>
  <c r="B73" i="17"/>
  <c r="S72" i="17" s="1"/>
  <c r="I73" i="17"/>
  <c r="C72" i="21" l="1"/>
  <c r="B71" i="21"/>
  <c r="Z73" i="22"/>
  <c r="X73" i="22"/>
  <c r="AB73" i="22"/>
  <c r="AA73" i="22"/>
  <c r="F75" i="22"/>
  <c r="B75" i="22"/>
  <c r="T74" i="22" s="1"/>
  <c r="J75" i="22"/>
  <c r="E75" i="22"/>
  <c r="W74" i="22"/>
  <c r="K74" i="22"/>
  <c r="C76" i="22"/>
  <c r="O76" i="22" s="1"/>
  <c r="M75" i="22"/>
  <c r="D75" i="22"/>
  <c r="G75" i="22"/>
  <c r="L75" i="22"/>
  <c r="I75" i="22"/>
  <c r="C75" i="17"/>
  <c r="J75" i="17" s="1"/>
  <c r="M74" i="17"/>
  <c r="D74" i="17"/>
  <c r="L74" i="17"/>
  <c r="G74" i="17"/>
  <c r="F74" i="17"/>
  <c r="B74" i="17"/>
  <c r="S73" i="17" s="1"/>
  <c r="E74" i="17"/>
  <c r="K73" i="17"/>
  <c r="O74" i="17"/>
  <c r="V73" i="17"/>
  <c r="I74" i="17"/>
  <c r="AA72" i="17"/>
  <c r="Z72" i="17"/>
  <c r="Y72" i="17"/>
  <c r="W72" i="17"/>
  <c r="C73" i="21" l="1"/>
  <c r="B72" i="21"/>
  <c r="X74" i="22"/>
  <c r="AB74" i="22"/>
  <c r="AA74" i="22"/>
  <c r="Z74" i="22"/>
  <c r="J76" i="22"/>
  <c r="E76" i="22"/>
  <c r="W75" i="22"/>
  <c r="K75" i="22"/>
  <c r="C77" i="22"/>
  <c r="O77" i="22" s="1"/>
  <c r="M76" i="22"/>
  <c r="D76" i="22"/>
  <c r="L76" i="22"/>
  <c r="G76" i="22"/>
  <c r="B76" i="22"/>
  <c r="T75" i="22" s="1"/>
  <c r="F76" i="22"/>
  <c r="I76" i="22"/>
  <c r="Z73" i="17"/>
  <c r="Y73" i="17"/>
  <c r="W73" i="17"/>
  <c r="AA73" i="17"/>
  <c r="L75" i="17"/>
  <c r="G75" i="17"/>
  <c r="F75" i="17"/>
  <c r="B75" i="17"/>
  <c r="S74" i="17" s="1"/>
  <c r="O75" i="17"/>
  <c r="E75" i="17"/>
  <c r="V74" i="17"/>
  <c r="K74" i="17"/>
  <c r="M75" i="17"/>
  <c r="C76" i="17"/>
  <c r="J76" i="17" s="1"/>
  <c r="D75" i="17"/>
  <c r="I75" i="17"/>
  <c r="C78" i="22" l="1"/>
  <c r="O78" i="22" s="1"/>
  <c r="M77" i="22"/>
  <c r="D77" i="22"/>
  <c r="L77" i="22"/>
  <c r="G77" i="22"/>
  <c r="F77" i="22"/>
  <c r="B77" i="22"/>
  <c r="T76" i="22" s="1"/>
  <c r="J77" i="22"/>
  <c r="E77" i="22"/>
  <c r="K76" i="22"/>
  <c r="W76" i="22"/>
  <c r="I77" i="22"/>
  <c r="C74" i="21"/>
  <c r="B73" i="21"/>
  <c r="AB75" i="22"/>
  <c r="AA75" i="22"/>
  <c r="Z75" i="22"/>
  <c r="X75" i="22"/>
  <c r="Y74" i="17"/>
  <c r="W74" i="17"/>
  <c r="AA74" i="17"/>
  <c r="Z74" i="17"/>
  <c r="F76" i="17"/>
  <c r="B76" i="17"/>
  <c r="S75" i="17" s="1"/>
  <c r="O76" i="17"/>
  <c r="E76" i="17"/>
  <c r="V75" i="17"/>
  <c r="K75" i="17"/>
  <c r="C77" i="17"/>
  <c r="J77" i="17" s="1"/>
  <c r="M76" i="17"/>
  <c r="D76" i="17"/>
  <c r="L76" i="17"/>
  <c r="G76" i="17"/>
  <c r="I76" i="17"/>
  <c r="L78" i="22" l="1"/>
  <c r="G78" i="22"/>
  <c r="F78" i="22"/>
  <c r="B78" i="22"/>
  <c r="T77" i="22" s="1"/>
  <c r="J78" i="22"/>
  <c r="E78" i="22"/>
  <c r="W77" i="22"/>
  <c r="K77" i="22"/>
  <c r="D78" i="22"/>
  <c r="C79" i="22"/>
  <c r="O79" i="22" s="1"/>
  <c r="M78" i="22"/>
  <c r="I78" i="22"/>
  <c r="AA76" i="22"/>
  <c r="Z76" i="22"/>
  <c r="X76" i="22"/>
  <c r="AB76" i="22"/>
  <c r="B74" i="21"/>
  <c r="C75" i="21"/>
  <c r="O77" i="17"/>
  <c r="E77" i="17"/>
  <c r="V76" i="17"/>
  <c r="K76" i="17"/>
  <c r="C78" i="17"/>
  <c r="J78" i="17" s="1"/>
  <c r="M77" i="17"/>
  <c r="D77" i="17"/>
  <c r="L77" i="17"/>
  <c r="G77" i="17"/>
  <c r="F77" i="17"/>
  <c r="B77" i="17"/>
  <c r="S76" i="17" s="1"/>
  <c r="I77" i="17"/>
  <c r="W75" i="17"/>
  <c r="AA75" i="17"/>
  <c r="Z75" i="17"/>
  <c r="Y75" i="17"/>
  <c r="F79" i="22" l="1"/>
  <c r="B79" i="22"/>
  <c r="T78" i="22" s="1"/>
  <c r="J79" i="22"/>
  <c r="E79" i="22"/>
  <c r="W78" i="22"/>
  <c r="K78" i="22"/>
  <c r="C80" i="22"/>
  <c r="O80" i="22" s="1"/>
  <c r="M79" i="22"/>
  <c r="D79" i="22"/>
  <c r="L79" i="22"/>
  <c r="G79" i="22"/>
  <c r="I79" i="22"/>
  <c r="Z77" i="22"/>
  <c r="X77" i="22"/>
  <c r="AB77" i="22"/>
  <c r="AA77" i="22"/>
  <c r="C76" i="21"/>
  <c r="B75" i="21"/>
  <c r="C79" i="17"/>
  <c r="J79" i="17" s="1"/>
  <c r="M78" i="17"/>
  <c r="D78" i="17"/>
  <c r="L78" i="17"/>
  <c r="G78" i="17"/>
  <c r="F78" i="17"/>
  <c r="B78" i="17"/>
  <c r="S77" i="17" s="1"/>
  <c r="O78" i="17"/>
  <c r="V77" i="17"/>
  <c r="E78" i="17"/>
  <c r="K77" i="17"/>
  <c r="I78" i="17"/>
  <c r="AA76" i="17"/>
  <c r="Z76" i="17"/>
  <c r="Y76" i="17"/>
  <c r="W76" i="17"/>
  <c r="J80" i="22" l="1"/>
  <c r="E80" i="22"/>
  <c r="W79" i="22"/>
  <c r="K79" i="22"/>
  <c r="C81" i="22"/>
  <c r="O81" i="22" s="1"/>
  <c r="M80" i="22"/>
  <c r="D80" i="22"/>
  <c r="L80" i="22"/>
  <c r="G80" i="22"/>
  <c r="F80" i="22"/>
  <c r="B80" i="22"/>
  <c r="T79" i="22" s="1"/>
  <c r="I80" i="22"/>
  <c r="C77" i="21"/>
  <c r="B76" i="21"/>
  <c r="X78" i="22"/>
  <c r="AB78" i="22"/>
  <c r="AA78" i="22"/>
  <c r="Z78" i="22"/>
  <c r="Z77" i="17"/>
  <c r="Y77" i="17"/>
  <c r="W77" i="17"/>
  <c r="AA77" i="17"/>
  <c r="L79" i="17"/>
  <c r="G79" i="17"/>
  <c r="F79" i="17"/>
  <c r="B79" i="17"/>
  <c r="S78" i="17" s="1"/>
  <c r="O79" i="17"/>
  <c r="E79" i="17"/>
  <c r="V78" i="17"/>
  <c r="K78" i="17"/>
  <c r="M79" i="17"/>
  <c r="C80" i="17"/>
  <c r="J80" i="17" s="1"/>
  <c r="D79" i="17"/>
  <c r="I79" i="17"/>
  <c r="AB79" i="22" l="1"/>
  <c r="AA79" i="22"/>
  <c r="Z79" i="22"/>
  <c r="X79" i="22"/>
  <c r="C82" i="22"/>
  <c r="O82" i="22" s="1"/>
  <c r="M81" i="22"/>
  <c r="D81" i="22"/>
  <c r="L81" i="22"/>
  <c r="G81" i="22"/>
  <c r="F81" i="22"/>
  <c r="B81" i="22"/>
  <c r="T80" i="22" s="1"/>
  <c r="E81" i="22"/>
  <c r="K80" i="22"/>
  <c r="J81" i="22"/>
  <c r="W80" i="22"/>
  <c r="I81" i="22"/>
  <c r="B77" i="21"/>
  <c r="C78" i="21"/>
  <c r="F80" i="17"/>
  <c r="B80" i="17"/>
  <c r="S79" i="17" s="1"/>
  <c r="O80" i="17"/>
  <c r="E80" i="17"/>
  <c r="V79" i="17"/>
  <c r="K79" i="17"/>
  <c r="C81" i="17"/>
  <c r="J81" i="17" s="1"/>
  <c r="M80" i="17"/>
  <c r="D80" i="17"/>
  <c r="G80" i="17"/>
  <c r="L80" i="17"/>
  <c r="I80" i="17"/>
  <c r="Y78" i="17"/>
  <c r="W78" i="17"/>
  <c r="AA78" i="17"/>
  <c r="Z78" i="17"/>
  <c r="AA80" i="22" l="1"/>
  <c r="Z80" i="22"/>
  <c r="X80" i="22"/>
  <c r="AB80" i="22"/>
  <c r="L82" i="22"/>
  <c r="G82" i="22"/>
  <c r="F82" i="22"/>
  <c r="B82" i="22"/>
  <c r="T81" i="22" s="1"/>
  <c r="J82" i="22"/>
  <c r="E82" i="22"/>
  <c r="W81" i="22"/>
  <c r="K81" i="22"/>
  <c r="M82" i="22"/>
  <c r="D82" i="22"/>
  <c r="C83" i="22"/>
  <c r="O83" i="22" s="1"/>
  <c r="I82" i="22"/>
  <c r="B78" i="21"/>
  <c r="C79" i="21"/>
  <c r="W79" i="17"/>
  <c r="AA79" i="17"/>
  <c r="Z79" i="17"/>
  <c r="Y79" i="17"/>
  <c r="O81" i="17"/>
  <c r="E81" i="17"/>
  <c r="V80" i="17"/>
  <c r="K80" i="17"/>
  <c r="C82" i="17"/>
  <c r="J82" i="17" s="1"/>
  <c r="M81" i="17"/>
  <c r="D81" i="17"/>
  <c r="L81" i="17"/>
  <c r="G81" i="17"/>
  <c r="B81" i="17"/>
  <c r="S80" i="17" s="1"/>
  <c r="F81" i="17"/>
  <c r="I81" i="17"/>
  <c r="C80" i="21" l="1"/>
  <c r="B79" i="21"/>
  <c r="F83" i="22"/>
  <c r="B83" i="22"/>
  <c r="T82" i="22" s="1"/>
  <c r="J83" i="22"/>
  <c r="E83" i="22"/>
  <c r="W82" i="22"/>
  <c r="K82" i="22"/>
  <c r="C84" i="22"/>
  <c r="O84" i="22" s="1"/>
  <c r="M83" i="22"/>
  <c r="D83" i="22"/>
  <c r="L83" i="22"/>
  <c r="G83" i="22"/>
  <c r="I83" i="22"/>
  <c r="Z81" i="22"/>
  <c r="X81" i="22"/>
  <c r="AB81" i="22"/>
  <c r="AA81" i="22"/>
  <c r="AA80" i="17"/>
  <c r="Z80" i="17"/>
  <c r="Y80" i="17"/>
  <c r="W80" i="17"/>
  <c r="C83" i="17"/>
  <c r="J83" i="17" s="1"/>
  <c r="M82" i="17"/>
  <c r="D82" i="17"/>
  <c r="L82" i="17"/>
  <c r="G82" i="17"/>
  <c r="F82" i="17"/>
  <c r="B82" i="17"/>
  <c r="S81" i="17" s="1"/>
  <c r="O82" i="17"/>
  <c r="V81" i="17"/>
  <c r="E82" i="17"/>
  <c r="K81" i="17"/>
  <c r="I82" i="17"/>
  <c r="C81" i="21" l="1"/>
  <c r="B80" i="21"/>
  <c r="J84" i="22"/>
  <c r="E84" i="22"/>
  <c r="W83" i="22"/>
  <c r="K83" i="22"/>
  <c r="C85" i="22"/>
  <c r="O85" i="22" s="1"/>
  <c r="M84" i="22"/>
  <c r="D84" i="22"/>
  <c r="L84" i="22"/>
  <c r="G84" i="22"/>
  <c r="F84" i="22"/>
  <c r="B84" i="22"/>
  <c r="T83" i="22" s="1"/>
  <c r="I84" i="22"/>
  <c r="X82" i="22"/>
  <c r="AB82" i="22"/>
  <c r="AA82" i="22"/>
  <c r="Z82" i="22"/>
  <c r="Z81" i="17"/>
  <c r="Y81" i="17"/>
  <c r="W81" i="17"/>
  <c r="AA81" i="17"/>
  <c r="L83" i="17"/>
  <c r="G83" i="17"/>
  <c r="F83" i="17"/>
  <c r="B83" i="17"/>
  <c r="S82" i="17" s="1"/>
  <c r="O83" i="17"/>
  <c r="E83" i="17"/>
  <c r="V82" i="17"/>
  <c r="K82" i="17"/>
  <c r="C84" i="17"/>
  <c r="J84" i="17" s="1"/>
  <c r="D83" i="17"/>
  <c r="M83" i="17"/>
  <c r="I83" i="17"/>
  <c r="B81" i="21" l="1"/>
  <c r="M85" i="22"/>
  <c r="D85" i="22"/>
  <c r="L85" i="22"/>
  <c r="G85" i="22"/>
  <c r="F85" i="22"/>
  <c r="B85" i="22"/>
  <c r="T84" i="22" s="1"/>
  <c r="W84" i="22"/>
  <c r="K84" i="22"/>
  <c r="J85" i="22"/>
  <c r="E85" i="22"/>
  <c r="I85" i="22"/>
  <c r="AB83" i="22"/>
  <c r="AA83" i="22"/>
  <c r="Z83" i="22"/>
  <c r="X83" i="22"/>
  <c r="Y82" i="17"/>
  <c r="W82" i="17"/>
  <c r="AA82" i="17"/>
  <c r="Z82" i="17"/>
  <c r="F84" i="17"/>
  <c r="B84" i="17"/>
  <c r="S83" i="17" s="1"/>
  <c r="O84" i="17"/>
  <c r="E84" i="17"/>
  <c r="V83" i="17"/>
  <c r="K83" i="17"/>
  <c r="C85" i="17"/>
  <c r="J85" i="17" s="1"/>
  <c r="M84" i="17"/>
  <c r="D84" i="17"/>
  <c r="L84" i="17"/>
  <c r="G84" i="17"/>
  <c r="I84" i="17"/>
  <c r="AA84" i="22" l="1"/>
  <c r="Z84" i="22"/>
  <c r="X84" i="22"/>
  <c r="X14" i="22" s="1"/>
  <c r="G8" i="22" s="1"/>
  <c r="AB84" i="22"/>
  <c r="W83" i="17"/>
  <c r="AA83" i="17"/>
  <c r="Z83" i="17"/>
  <c r="Y83" i="17"/>
  <c r="O85" i="17"/>
  <c r="E85" i="17"/>
  <c r="V84" i="17"/>
  <c r="K84" i="17"/>
  <c r="M85" i="17"/>
  <c r="D85" i="17"/>
  <c r="L85" i="17"/>
  <c r="G85" i="17"/>
  <c r="F85" i="17"/>
  <c r="B85" i="17"/>
  <c r="I85" i="17"/>
  <c r="S84" i="17" l="1"/>
  <c r="AA84" i="17"/>
  <c r="Z84" i="17"/>
  <c r="Y84" i="17"/>
  <c r="W84" i="17"/>
  <c r="W14" i="17" s="1"/>
  <c r="G8" i="17" s="1"/>
  <c r="U87" i="2" l="1"/>
  <c r="D7" i="19" l="1"/>
  <c r="D3" i="19"/>
  <c r="K11" i="19" s="1"/>
  <c r="D4" i="19"/>
  <c r="C11" i="19" s="1"/>
  <c r="J11" i="19" s="1"/>
  <c r="D4" i="20"/>
  <c r="C15" i="20" s="1"/>
  <c r="D6" i="19"/>
  <c r="D5" i="19"/>
  <c r="D8" i="19"/>
  <c r="L11" i="19"/>
  <c r="M11" i="19"/>
  <c r="C12" i="19" l="1"/>
  <c r="G3" i="20"/>
  <c r="D3" i="20"/>
  <c r="G4" i="20" s="1"/>
  <c r="D7" i="20"/>
  <c r="E15" i="20" s="1"/>
  <c r="D2" i="20"/>
  <c r="G11" i="19"/>
  <c r="D8" i="20"/>
  <c r="D6" i="20"/>
  <c r="D9" i="20"/>
  <c r="D5" i="20"/>
  <c r="E11" i="19"/>
  <c r="D10" i="20" l="1"/>
  <c r="C16" i="20"/>
  <c r="F15" i="20"/>
  <c r="D15" i="20"/>
  <c r="B12" i="19"/>
  <c r="J12" i="19"/>
  <c r="C13" i="19"/>
  <c r="F11" i="19"/>
  <c r="H11" i="19" s="1"/>
  <c r="D12" i="19" s="1"/>
  <c r="G12" i="19" l="1"/>
  <c r="F12" i="19" s="1"/>
  <c r="M15" i="20"/>
  <c r="P15" i="20" s="1"/>
  <c r="M12" i="19"/>
  <c r="L12" i="19"/>
  <c r="K12" i="19"/>
  <c r="H15" i="20"/>
  <c r="J15" i="20" s="1"/>
  <c r="I15" i="20"/>
  <c r="I16" i="20"/>
  <c r="J13" i="19"/>
  <c r="B13" i="19"/>
  <c r="C14" i="19"/>
  <c r="F16" i="20"/>
  <c r="G16" i="20"/>
  <c r="D16" i="20"/>
  <c r="B16" i="20"/>
  <c r="S15" i="20" s="1"/>
  <c r="E16" i="20"/>
  <c r="G6" i="20" s="1"/>
  <c r="C17" i="20"/>
  <c r="E12" i="19"/>
  <c r="H12" i="19" l="1"/>
  <c r="D13" i="19" s="1"/>
  <c r="M13" i="19" s="1"/>
  <c r="J16" i="20"/>
  <c r="K15" i="20"/>
  <c r="O15" i="20" s="1"/>
  <c r="L15" i="20"/>
  <c r="M16" i="20"/>
  <c r="P16" i="20" s="1"/>
  <c r="F17" i="20"/>
  <c r="G17" i="20"/>
  <c r="E17" i="20"/>
  <c r="D17" i="20"/>
  <c r="B17" i="20"/>
  <c r="S16" i="20" s="1"/>
  <c r="C18" i="20"/>
  <c r="J14" i="19"/>
  <c r="B14" i="19"/>
  <c r="C15" i="19"/>
  <c r="I17" i="20"/>
  <c r="K16" i="20" l="1"/>
  <c r="L13" i="19"/>
  <c r="K13" i="19"/>
  <c r="G13" i="19"/>
  <c r="F13" i="19" s="1"/>
  <c r="J17" i="20"/>
  <c r="L17" i="20" s="1"/>
  <c r="G5" i="20"/>
  <c r="L16" i="20"/>
  <c r="M17" i="20"/>
  <c r="B15" i="19"/>
  <c r="J15" i="19"/>
  <c r="C16" i="19"/>
  <c r="F18" i="20"/>
  <c r="D18" i="20"/>
  <c r="G18" i="20"/>
  <c r="E18" i="20"/>
  <c r="B18" i="20"/>
  <c r="S17" i="20" s="1"/>
  <c r="C19" i="20"/>
  <c r="I18" i="20"/>
  <c r="Q16" i="20" l="1"/>
  <c r="V16" i="20"/>
  <c r="W16" i="20" s="1"/>
  <c r="Q15" i="20"/>
  <c r="O16" i="20" s="1"/>
  <c r="R16" i="20" s="1"/>
  <c r="V15" i="20"/>
  <c r="W15" i="20" s="1"/>
  <c r="J18" i="20"/>
  <c r="L18" i="20" s="1"/>
  <c r="V17" i="20" s="1"/>
  <c r="K17" i="20"/>
  <c r="R15" i="20"/>
  <c r="M18" i="20"/>
  <c r="J16" i="19"/>
  <c r="B16" i="19"/>
  <c r="C17" i="19"/>
  <c r="D19" i="20"/>
  <c r="F19" i="20"/>
  <c r="E19" i="20"/>
  <c r="G19" i="20"/>
  <c r="B19" i="20"/>
  <c r="S18" i="20" s="1"/>
  <c r="C20" i="20"/>
  <c r="I19" i="20"/>
  <c r="E13" i="19"/>
  <c r="P17" i="20" l="1"/>
  <c r="H13" i="19"/>
  <c r="D14" i="19" s="1"/>
  <c r="O17" i="20"/>
  <c r="R17" i="20" s="1"/>
  <c r="K18" i="20"/>
  <c r="J19" i="20"/>
  <c r="L19" i="20" s="1"/>
  <c r="V18" i="20" s="1"/>
  <c r="M19" i="20"/>
  <c r="D20" i="20"/>
  <c r="F20" i="20"/>
  <c r="G20" i="20"/>
  <c r="E20" i="20"/>
  <c r="B20" i="20"/>
  <c r="S19" i="20" s="1"/>
  <c r="C21" i="20"/>
  <c r="I20" i="20"/>
  <c r="Q17" i="20"/>
  <c r="J17" i="19"/>
  <c r="B17" i="19"/>
  <c r="C18" i="19"/>
  <c r="G14" i="19" l="1"/>
  <c r="F14" i="19" s="1"/>
  <c r="K14" i="19"/>
  <c r="M14" i="19"/>
  <c r="L14" i="19"/>
  <c r="O18" i="20"/>
  <c r="R18" i="20" s="1"/>
  <c r="K19" i="20"/>
  <c r="J20" i="20"/>
  <c r="L20" i="20" s="1"/>
  <c r="D21" i="20"/>
  <c r="E21" i="20"/>
  <c r="F21" i="20"/>
  <c r="G21" i="20"/>
  <c r="B21" i="20"/>
  <c r="S20" i="20" s="1"/>
  <c r="C22" i="20"/>
  <c r="I21" i="20"/>
  <c r="J18" i="19"/>
  <c r="B18" i="19"/>
  <c r="C19" i="19"/>
  <c r="W17" i="20"/>
  <c r="M20" i="20"/>
  <c r="Q18" i="20" l="1"/>
  <c r="V19" i="20"/>
  <c r="W19" i="20" s="1"/>
  <c r="K20" i="20"/>
  <c r="J21" i="20"/>
  <c r="L21" i="20" s="1"/>
  <c r="M21" i="20"/>
  <c r="G22" i="20"/>
  <c r="E22" i="20"/>
  <c r="D22" i="20"/>
  <c r="F22" i="20"/>
  <c r="B22" i="20"/>
  <c r="S21" i="20" s="1"/>
  <c r="C23" i="20"/>
  <c r="I22" i="20"/>
  <c r="W18" i="20"/>
  <c r="J19" i="19"/>
  <c r="C20" i="19"/>
  <c r="B19" i="19"/>
  <c r="E14" i="19"/>
  <c r="P18" i="20" l="1"/>
  <c r="H14" i="19"/>
  <c r="D15" i="19" s="1"/>
  <c r="V20" i="20"/>
  <c r="W20" i="20" s="1"/>
  <c r="K21" i="20"/>
  <c r="J22" i="20"/>
  <c r="L22" i="20" s="1"/>
  <c r="M22" i="20"/>
  <c r="D23" i="20"/>
  <c r="G23" i="20"/>
  <c r="F23" i="20"/>
  <c r="E23" i="20"/>
  <c r="B23" i="20"/>
  <c r="S22" i="20" s="1"/>
  <c r="C24" i="20"/>
  <c r="I23" i="20"/>
  <c r="B20" i="19"/>
  <c r="J20" i="19"/>
  <c r="C21" i="19"/>
  <c r="G15" i="19" l="1"/>
  <c r="M15" i="19"/>
  <c r="K15" i="19"/>
  <c r="L15" i="19"/>
  <c r="O19" i="20"/>
  <c r="R19" i="20" s="1"/>
  <c r="V21" i="20"/>
  <c r="K22" i="20"/>
  <c r="J23" i="20"/>
  <c r="L23" i="20" s="1"/>
  <c r="V22" i="20" s="1"/>
  <c r="M23" i="20"/>
  <c r="J21" i="19"/>
  <c r="C22" i="19"/>
  <c r="B21" i="19"/>
  <c r="F24" i="20"/>
  <c r="E24" i="20"/>
  <c r="D24" i="20"/>
  <c r="G24" i="20"/>
  <c r="B24" i="20"/>
  <c r="S23" i="20" s="1"/>
  <c r="C25" i="20"/>
  <c r="I24" i="20"/>
  <c r="E15" i="19"/>
  <c r="P19" i="20" l="1"/>
  <c r="F15" i="19"/>
  <c r="K23" i="20"/>
  <c r="J24" i="20"/>
  <c r="L24" i="20" s="1"/>
  <c r="V23" i="20" s="1"/>
  <c r="W21" i="20"/>
  <c r="M24" i="20"/>
  <c r="F25" i="20"/>
  <c r="E25" i="20"/>
  <c r="G25" i="20"/>
  <c r="D25" i="20"/>
  <c r="B25" i="20"/>
  <c r="S24" i="20" s="1"/>
  <c r="C26" i="20"/>
  <c r="I25" i="20"/>
  <c r="C23" i="19"/>
  <c r="J22" i="19"/>
  <c r="B22" i="19"/>
  <c r="H15" i="19" l="1"/>
  <c r="D16" i="19" s="1"/>
  <c r="Q19" i="20"/>
  <c r="K24" i="20"/>
  <c r="J25" i="20"/>
  <c r="K25" i="20" s="1"/>
  <c r="B23" i="19"/>
  <c r="J23" i="19"/>
  <c r="C24" i="19"/>
  <c r="W22" i="20"/>
  <c r="M25" i="20"/>
  <c r="W23" i="20"/>
  <c r="F26" i="20"/>
  <c r="E26" i="20"/>
  <c r="G26" i="20"/>
  <c r="D26" i="20"/>
  <c r="B26" i="20"/>
  <c r="S25" i="20" s="1"/>
  <c r="C27" i="20"/>
  <c r="I26" i="20"/>
  <c r="G16" i="19" l="1"/>
  <c r="F16" i="19" s="1"/>
  <c r="K16" i="19"/>
  <c r="L16" i="19"/>
  <c r="M16" i="19"/>
  <c r="O20" i="20"/>
  <c r="R20" i="20" s="1"/>
  <c r="L25" i="20"/>
  <c r="J26" i="20"/>
  <c r="L26" i="20" s="1"/>
  <c r="J24" i="19"/>
  <c r="B24" i="19"/>
  <c r="C25" i="19"/>
  <c r="G27" i="20"/>
  <c r="F27" i="20"/>
  <c r="E27" i="20"/>
  <c r="D27" i="20"/>
  <c r="B27" i="20"/>
  <c r="S26" i="20" s="1"/>
  <c r="C28" i="20"/>
  <c r="I27" i="20"/>
  <c r="M26" i="20"/>
  <c r="Q20" i="20" l="1"/>
  <c r="V25" i="20"/>
  <c r="W25" i="20" s="1"/>
  <c r="V24" i="20"/>
  <c r="K26" i="20"/>
  <c r="J27" i="20"/>
  <c r="L27" i="20" s="1"/>
  <c r="V26" i="20" s="1"/>
  <c r="M27" i="20"/>
  <c r="J25" i="19"/>
  <c r="C26" i="19"/>
  <c r="B25" i="19"/>
  <c r="E28" i="20"/>
  <c r="F28" i="20"/>
  <c r="G28" i="20"/>
  <c r="D28" i="20"/>
  <c r="B28" i="20"/>
  <c r="S27" i="20" s="1"/>
  <c r="C29" i="20"/>
  <c r="I28" i="20"/>
  <c r="E16" i="19"/>
  <c r="P20" i="20" l="1"/>
  <c r="H16" i="19"/>
  <c r="D17" i="19" s="1"/>
  <c r="K27" i="20"/>
  <c r="W24" i="20"/>
  <c r="J28" i="20"/>
  <c r="K28" i="20" s="1"/>
  <c r="M28" i="20"/>
  <c r="E29" i="20"/>
  <c r="G29" i="20"/>
  <c r="F29" i="20"/>
  <c r="D29" i="20"/>
  <c r="C30" i="20"/>
  <c r="B29" i="20"/>
  <c r="S28" i="20" s="1"/>
  <c r="I29" i="20"/>
  <c r="B26" i="19"/>
  <c r="C27" i="19"/>
  <c r="G17" i="19" l="1"/>
  <c r="F17" i="19" s="1"/>
  <c r="L17" i="19"/>
  <c r="K17" i="19"/>
  <c r="M17" i="19"/>
  <c r="O21" i="20"/>
  <c r="R21" i="20" s="1"/>
  <c r="L28" i="20"/>
  <c r="J29" i="20"/>
  <c r="K29" i="20" s="1"/>
  <c r="F30" i="20"/>
  <c r="D30" i="20"/>
  <c r="G30" i="20"/>
  <c r="E30" i="20"/>
  <c r="B30" i="20"/>
  <c r="S29" i="20" s="1"/>
  <c r="C31" i="20"/>
  <c r="I30" i="20"/>
  <c r="B27" i="19"/>
  <c r="C28" i="19"/>
  <c r="W26" i="20"/>
  <c r="M29" i="20"/>
  <c r="E17" i="19"/>
  <c r="P21" i="20" l="1"/>
  <c r="H17" i="19"/>
  <c r="D18" i="19" s="1"/>
  <c r="Q21" i="20"/>
  <c r="V27" i="20"/>
  <c r="W27" i="20" s="1"/>
  <c r="L29" i="20"/>
  <c r="J30" i="20"/>
  <c r="L30" i="20" s="1"/>
  <c r="B28" i="19"/>
  <c r="C29" i="19"/>
  <c r="M30" i="20"/>
  <c r="E31" i="20"/>
  <c r="G31" i="20"/>
  <c r="D31" i="20"/>
  <c r="F31" i="20"/>
  <c r="B31" i="20"/>
  <c r="S30" i="20" s="1"/>
  <c r="C32" i="20"/>
  <c r="I31" i="20"/>
  <c r="G18" i="19" l="1"/>
  <c r="F18" i="19" s="1"/>
  <c r="M18" i="19"/>
  <c r="L18" i="19"/>
  <c r="K18" i="19"/>
  <c r="O22" i="20"/>
  <c r="R22" i="20" s="1"/>
  <c r="V29" i="20"/>
  <c r="V28" i="20"/>
  <c r="W28" i="20" s="1"/>
  <c r="K30" i="20"/>
  <c r="J31" i="20"/>
  <c r="K31" i="20" s="1"/>
  <c r="M31" i="20"/>
  <c r="D32" i="20"/>
  <c r="E32" i="20"/>
  <c r="F32" i="20"/>
  <c r="G32" i="20"/>
  <c r="B32" i="20"/>
  <c r="S31" i="20" s="1"/>
  <c r="C33" i="20"/>
  <c r="I32" i="20"/>
  <c r="B29" i="19"/>
  <c r="C30" i="19"/>
  <c r="E18" i="19"/>
  <c r="P22" i="20" l="1"/>
  <c r="H18" i="19"/>
  <c r="D19" i="19" s="1"/>
  <c r="Q22" i="20"/>
  <c r="L31" i="20"/>
  <c r="V30" i="20" s="1"/>
  <c r="J32" i="20"/>
  <c r="L32" i="20" s="1"/>
  <c r="W29" i="20"/>
  <c r="M32" i="20"/>
  <c r="B30" i="19"/>
  <c r="C31" i="19"/>
  <c r="G33" i="20"/>
  <c r="E33" i="20"/>
  <c r="D33" i="20"/>
  <c r="F33" i="20"/>
  <c r="B33" i="20"/>
  <c r="S32" i="20" s="1"/>
  <c r="C34" i="20"/>
  <c r="I33" i="20"/>
  <c r="G19" i="19" l="1"/>
  <c r="M19" i="19"/>
  <c r="K19" i="19"/>
  <c r="L19" i="19"/>
  <c r="O23" i="20"/>
  <c r="R23" i="20" s="1"/>
  <c r="K32" i="20"/>
  <c r="V31" i="20"/>
  <c r="J33" i="20"/>
  <c r="L33" i="20" s="1"/>
  <c r="M33" i="20"/>
  <c r="W30" i="20"/>
  <c r="F34" i="20"/>
  <c r="D34" i="20"/>
  <c r="G34" i="20"/>
  <c r="E34" i="20"/>
  <c r="B34" i="20"/>
  <c r="S33" i="20" s="1"/>
  <c r="C35" i="20"/>
  <c r="I34" i="20"/>
  <c r="C32" i="19"/>
  <c r="B31" i="19"/>
  <c r="E19" i="19"/>
  <c r="P23" i="20" l="1"/>
  <c r="F19" i="19"/>
  <c r="V32" i="20"/>
  <c r="K33" i="20"/>
  <c r="J34" i="20"/>
  <c r="L34" i="20" s="1"/>
  <c r="V33" i="20" s="1"/>
  <c r="M34" i="20"/>
  <c r="W31" i="20"/>
  <c r="B32" i="19"/>
  <c r="C33" i="19"/>
  <c r="E35" i="20"/>
  <c r="G35" i="20"/>
  <c r="D35" i="20"/>
  <c r="F35" i="20"/>
  <c r="B35" i="20"/>
  <c r="S34" i="20" s="1"/>
  <c r="C36" i="20"/>
  <c r="I35" i="20"/>
  <c r="H19" i="19" l="1"/>
  <c r="D20" i="19" s="1"/>
  <c r="Q23" i="20"/>
  <c r="K34" i="20"/>
  <c r="J35" i="20"/>
  <c r="L35" i="20" s="1"/>
  <c r="V34" i="20" s="1"/>
  <c r="W32" i="20"/>
  <c r="M35" i="20"/>
  <c r="B33" i="19"/>
  <c r="C34" i="19"/>
  <c r="D36" i="20"/>
  <c r="G36" i="20"/>
  <c r="F36" i="20"/>
  <c r="E36" i="20"/>
  <c r="B36" i="20"/>
  <c r="S35" i="20" s="1"/>
  <c r="C37" i="20"/>
  <c r="I36" i="20"/>
  <c r="G20" i="19" l="1"/>
  <c r="F20" i="19" s="1"/>
  <c r="L20" i="19"/>
  <c r="M20" i="19"/>
  <c r="K20" i="19"/>
  <c r="O24" i="20"/>
  <c r="R24" i="20" s="1"/>
  <c r="K35" i="20"/>
  <c r="J36" i="20"/>
  <c r="K36" i="20" s="1"/>
  <c r="M36" i="20"/>
  <c r="W34" i="20"/>
  <c r="W33" i="20"/>
  <c r="B34" i="19"/>
  <c r="C35" i="19"/>
  <c r="G37" i="20"/>
  <c r="E37" i="20"/>
  <c r="F37" i="20"/>
  <c r="D37" i="20"/>
  <c r="B37" i="20"/>
  <c r="S36" i="20" s="1"/>
  <c r="C38" i="20"/>
  <c r="I37" i="20"/>
  <c r="E20" i="19"/>
  <c r="L36" i="20" l="1"/>
  <c r="V35" i="20" s="1"/>
  <c r="P24" i="20"/>
  <c r="H20" i="19"/>
  <c r="D21" i="19" s="1"/>
  <c r="Q24" i="20"/>
  <c r="J37" i="20"/>
  <c r="K37" i="20" s="1"/>
  <c r="M37" i="20"/>
  <c r="G38" i="20"/>
  <c r="E38" i="20"/>
  <c r="D38" i="20"/>
  <c r="F38" i="20"/>
  <c r="B38" i="20"/>
  <c r="S37" i="20" s="1"/>
  <c r="C39" i="20"/>
  <c r="I38" i="20"/>
  <c r="B35" i="19"/>
  <c r="C36" i="19"/>
  <c r="L37" i="20" l="1"/>
  <c r="V36" i="20" s="1"/>
  <c r="W36" i="20" s="1"/>
  <c r="G21" i="19"/>
  <c r="M21" i="19"/>
  <c r="K21" i="19"/>
  <c r="L21" i="19"/>
  <c r="O25" i="20"/>
  <c r="R25" i="20" s="1"/>
  <c r="J38" i="20"/>
  <c r="K38" i="20" s="1"/>
  <c r="W35" i="20"/>
  <c r="M38" i="20"/>
  <c r="F39" i="20"/>
  <c r="E39" i="20"/>
  <c r="G39" i="20"/>
  <c r="D39" i="20"/>
  <c r="B39" i="20"/>
  <c r="S38" i="20" s="1"/>
  <c r="C40" i="20"/>
  <c r="I39" i="20"/>
  <c r="B36" i="19"/>
  <c r="C37" i="19"/>
  <c r="E21" i="19"/>
  <c r="L38" i="20" l="1"/>
  <c r="V37" i="20" s="1"/>
  <c r="P25" i="20"/>
  <c r="F21" i="19"/>
  <c r="J39" i="20"/>
  <c r="K39" i="20" s="1"/>
  <c r="M39" i="20"/>
  <c r="E40" i="20"/>
  <c r="F40" i="20"/>
  <c r="D40" i="20"/>
  <c r="G40" i="20"/>
  <c r="B40" i="20"/>
  <c r="S39" i="20" s="1"/>
  <c r="C41" i="20"/>
  <c r="I40" i="20"/>
  <c r="C38" i="19"/>
  <c r="B37" i="19"/>
  <c r="L39" i="20" l="1"/>
  <c r="V38" i="20" s="1"/>
  <c r="H21" i="19"/>
  <c r="D22" i="19" s="1"/>
  <c r="Q25" i="20"/>
  <c r="J40" i="20"/>
  <c r="K40" i="20" s="1"/>
  <c r="M40" i="20"/>
  <c r="W37" i="20"/>
  <c r="B38" i="19"/>
  <c r="C39" i="19"/>
  <c r="E41" i="20"/>
  <c r="F41" i="20"/>
  <c r="D41" i="20"/>
  <c r="G41" i="20"/>
  <c r="B41" i="20"/>
  <c r="S40" i="20" s="1"/>
  <c r="C42" i="20"/>
  <c r="I41" i="20"/>
  <c r="L40" i="20" l="1"/>
  <c r="V39" i="20" s="1"/>
  <c r="G22" i="19"/>
  <c r="F22" i="19" s="1"/>
  <c r="M22" i="19"/>
  <c r="L22" i="19"/>
  <c r="K22" i="19"/>
  <c r="O26" i="20"/>
  <c r="R26" i="20" s="1"/>
  <c r="J41" i="20"/>
  <c r="K41" i="20" s="1"/>
  <c r="W38" i="20"/>
  <c r="M41" i="20"/>
  <c r="E42" i="20"/>
  <c r="F42" i="20"/>
  <c r="D42" i="20"/>
  <c r="G42" i="20"/>
  <c r="B42" i="20"/>
  <c r="S41" i="20" s="1"/>
  <c r="C43" i="20"/>
  <c r="I42" i="20"/>
  <c r="B39" i="19"/>
  <c r="C40" i="19"/>
  <c r="L41" i="20" l="1"/>
  <c r="V40" i="20" s="1"/>
  <c r="Q26" i="20"/>
  <c r="J42" i="20"/>
  <c r="K42" i="20" s="1"/>
  <c r="W39" i="20"/>
  <c r="M42" i="20"/>
  <c r="B40" i="19"/>
  <c r="C41" i="19"/>
  <c r="E43" i="20"/>
  <c r="F43" i="20"/>
  <c r="G43" i="20"/>
  <c r="D43" i="20"/>
  <c r="B43" i="20"/>
  <c r="S42" i="20" s="1"/>
  <c r="C44" i="20"/>
  <c r="I43" i="20"/>
  <c r="E22" i="19"/>
  <c r="L42" i="20" l="1"/>
  <c r="V41" i="20" s="1"/>
  <c r="W41" i="20" s="1"/>
  <c r="P26" i="20"/>
  <c r="H22" i="19"/>
  <c r="D23" i="19" s="1"/>
  <c r="J43" i="20"/>
  <c r="K43" i="20" s="1"/>
  <c r="W40" i="20"/>
  <c r="M43" i="20"/>
  <c r="E44" i="20"/>
  <c r="D44" i="20"/>
  <c r="F44" i="20"/>
  <c r="G44" i="20"/>
  <c r="B44" i="20"/>
  <c r="S43" i="20" s="1"/>
  <c r="C45" i="20"/>
  <c r="I44" i="20"/>
  <c r="B41" i="19"/>
  <c r="C42" i="19"/>
  <c r="L43" i="20" l="1"/>
  <c r="V42" i="20" s="1"/>
  <c r="W42" i="20" s="1"/>
  <c r="G23" i="19"/>
  <c r="F23" i="19" s="1"/>
  <c r="K23" i="19"/>
  <c r="M23" i="19"/>
  <c r="L23" i="19"/>
  <c r="O27" i="20"/>
  <c r="R27" i="20" s="1"/>
  <c r="J44" i="20"/>
  <c r="K44" i="20" s="1"/>
  <c r="M44" i="20"/>
  <c r="B42" i="19"/>
  <c r="C43" i="19"/>
  <c r="D45" i="20"/>
  <c r="G45" i="20"/>
  <c r="F45" i="20"/>
  <c r="E45" i="20"/>
  <c r="B45" i="20"/>
  <c r="S44" i="20" s="1"/>
  <c r="C46" i="20"/>
  <c r="V45" i="20" s="1"/>
  <c r="I45" i="20"/>
  <c r="E23" i="19"/>
  <c r="L44" i="20" l="1"/>
  <c r="V43" i="20" s="1"/>
  <c r="P27" i="20"/>
  <c r="H23" i="19"/>
  <c r="D24" i="19" s="1"/>
  <c r="Q27" i="20"/>
  <c r="J45" i="20"/>
  <c r="K45" i="20" s="1"/>
  <c r="M45" i="20"/>
  <c r="F46" i="20"/>
  <c r="G46" i="20"/>
  <c r="E46" i="20"/>
  <c r="D46" i="20"/>
  <c r="C47" i="20"/>
  <c r="V46" i="20" s="1"/>
  <c r="B46" i="20"/>
  <c r="S45" i="20" s="1"/>
  <c r="I46" i="20"/>
  <c r="B43" i="19"/>
  <c r="C44" i="19"/>
  <c r="L45" i="20" l="1"/>
  <c r="V44" i="20" s="1"/>
  <c r="W44" i="20" s="1"/>
  <c r="G24" i="19"/>
  <c r="F24" i="19" s="1"/>
  <c r="K24" i="19"/>
  <c r="L24" i="19"/>
  <c r="O28" i="20"/>
  <c r="R28" i="20" s="1"/>
  <c r="J46" i="20"/>
  <c r="K46" i="20" s="1"/>
  <c r="L46" i="20"/>
  <c r="M46" i="20"/>
  <c r="W43" i="20"/>
  <c r="G47" i="20"/>
  <c r="E47" i="20"/>
  <c r="D47" i="20"/>
  <c r="F47" i="20"/>
  <c r="C48" i="20"/>
  <c r="V47" i="20" s="1"/>
  <c r="B47" i="20"/>
  <c r="S46" i="20" s="1"/>
  <c r="I47" i="20"/>
  <c r="C45" i="19"/>
  <c r="B44" i="19"/>
  <c r="W45" i="20"/>
  <c r="E24" i="19"/>
  <c r="P28" i="20" l="1"/>
  <c r="H24" i="19"/>
  <c r="D25" i="19" s="1"/>
  <c r="Q28" i="20"/>
  <c r="J47" i="20"/>
  <c r="K47" i="20" s="1"/>
  <c r="L47" i="20"/>
  <c r="M47" i="20"/>
  <c r="B45" i="19"/>
  <c r="C46" i="19"/>
  <c r="W46" i="20"/>
  <c r="E48" i="20"/>
  <c r="G48" i="20"/>
  <c r="D48" i="20"/>
  <c r="F48" i="20"/>
  <c r="B48" i="20"/>
  <c r="S47" i="20" s="1"/>
  <c r="C49" i="20"/>
  <c r="V48" i="20" s="1"/>
  <c r="I48" i="20"/>
  <c r="G25" i="19" l="1"/>
  <c r="K25" i="19"/>
  <c r="K27" i="19" s="1"/>
  <c r="O29" i="20"/>
  <c r="R29" i="20" s="1"/>
  <c r="J48" i="20"/>
  <c r="K48" i="20" s="1"/>
  <c r="L48" i="20"/>
  <c r="M48" i="20"/>
  <c r="B46" i="19"/>
  <c r="C47" i="19"/>
  <c r="G49" i="20"/>
  <c r="D49" i="20"/>
  <c r="F49" i="20"/>
  <c r="E49" i="20"/>
  <c r="B49" i="20"/>
  <c r="S48" i="20" s="1"/>
  <c r="C50" i="20"/>
  <c r="V49" i="20" s="1"/>
  <c r="I49" i="20"/>
  <c r="W47" i="20"/>
  <c r="E25" i="19"/>
  <c r="P29" i="20" l="1"/>
  <c r="F25" i="19"/>
  <c r="J49" i="20"/>
  <c r="K49" i="20" s="1"/>
  <c r="L49" i="20"/>
  <c r="M49" i="20"/>
  <c r="W48" i="20"/>
  <c r="B47" i="19"/>
  <c r="C48" i="19"/>
  <c r="F50" i="20"/>
  <c r="D50" i="20"/>
  <c r="E50" i="20"/>
  <c r="G50" i="20"/>
  <c r="B50" i="20"/>
  <c r="S49" i="20" s="1"/>
  <c r="C51" i="20"/>
  <c r="I50" i="20"/>
  <c r="H25" i="19" l="1"/>
  <c r="D26" i="19" s="1"/>
  <c r="Q29" i="20"/>
  <c r="J51" i="20"/>
  <c r="V50" i="20"/>
  <c r="J50" i="20"/>
  <c r="L50" i="20"/>
  <c r="M50" i="20"/>
  <c r="K50" i="20"/>
  <c r="E51" i="20"/>
  <c r="G51" i="20"/>
  <c r="L51" i="20"/>
  <c r="F51" i="20"/>
  <c r="D51" i="20"/>
  <c r="M51" i="20"/>
  <c r="B51" i="20"/>
  <c r="S50" i="20" s="1"/>
  <c r="C52" i="20"/>
  <c r="O51" i="20"/>
  <c r="I51" i="20"/>
  <c r="W49" i="20"/>
  <c r="C49" i="19"/>
  <c r="B48" i="19"/>
  <c r="G26" i="19" l="1"/>
  <c r="F26" i="19" s="1"/>
  <c r="O30" i="20"/>
  <c r="R30" i="20" s="1"/>
  <c r="J52" i="20"/>
  <c r="V51" i="20"/>
  <c r="B49" i="19"/>
  <c r="C50" i="19"/>
  <c r="W50" i="20"/>
  <c r="E52" i="20"/>
  <c r="G52" i="20"/>
  <c r="L52" i="20"/>
  <c r="D52" i="20"/>
  <c r="F52" i="20"/>
  <c r="O52" i="20"/>
  <c r="M52" i="20"/>
  <c r="K51" i="20"/>
  <c r="C53" i="20"/>
  <c r="B52" i="20"/>
  <c r="S51" i="20" s="1"/>
  <c r="I52" i="20"/>
  <c r="Q30" i="20" l="1"/>
  <c r="J53" i="20"/>
  <c r="V52" i="20"/>
  <c r="W51" i="20"/>
  <c r="B50" i="19"/>
  <c r="C51" i="19"/>
  <c r="D53" i="20"/>
  <c r="E53" i="20"/>
  <c r="L53" i="20"/>
  <c r="K52" i="20"/>
  <c r="G53" i="20"/>
  <c r="F53" i="20"/>
  <c r="M53" i="20"/>
  <c r="B53" i="20"/>
  <c r="S52" i="20" s="1"/>
  <c r="O53" i="20"/>
  <c r="C54" i="20"/>
  <c r="I53" i="20"/>
  <c r="E26" i="19"/>
  <c r="P30" i="20" l="1"/>
  <c r="H26" i="19"/>
  <c r="D27" i="19" s="1"/>
  <c r="J54" i="20"/>
  <c r="V53" i="20"/>
  <c r="B51" i="19"/>
  <c r="C52" i="19"/>
  <c r="K53" i="20"/>
  <c r="G54" i="20"/>
  <c r="D54" i="20"/>
  <c r="E54" i="20"/>
  <c r="F54" i="20"/>
  <c r="L54" i="20"/>
  <c r="M54" i="20"/>
  <c r="B54" i="20"/>
  <c r="S53" i="20" s="1"/>
  <c r="O54" i="20"/>
  <c r="C55" i="20"/>
  <c r="I54" i="20"/>
  <c r="W52" i="20"/>
  <c r="O31" i="20" l="1"/>
  <c r="R31" i="20" s="1"/>
  <c r="G27" i="19"/>
  <c r="J55" i="20"/>
  <c r="V54" i="20"/>
  <c r="W53" i="20"/>
  <c r="D55" i="20"/>
  <c r="K54" i="20"/>
  <c r="L55" i="20"/>
  <c r="F55" i="20"/>
  <c r="E55" i="20"/>
  <c r="G55" i="20"/>
  <c r="O55" i="20"/>
  <c r="M55" i="20"/>
  <c r="B55" i="20"/>
  <c r="S54" i="20" s="1"/>
  <c r="C56" i="20"/>
  <c r="I55" i="20"/>
  <c r="B52" i="19"/>
  <c r="C53" i="19"/>
  <c r="E27" i="19"/>
  <c r="P31" i="20" l="1"/>
  <c r="F27" i="19"/>
  <c r="J56" i="20"/>
  <c r="V55" i="20"/>
  <c r="W54" i="20"/>
  <c r="K55" i="20"/>
  <c r="D56" i="20"/>
  <c r="E56" i="20"/>
  <c r="L56" i="20"/>
  <c r="F56" i="20"/>
  <c r="G56" i="20"/>
  <c r="O56" i="20"/>
  <c r="B56" i="20"/>
  <c r="S55" i="20" s="1"/>
  <c r="M56" i="20"/>
  <c r="C57" i="20"/>
  <c r="I56" i="20"/>
  <c r="C54" i="19"/>
  <c r="B53" i="19"/>
  <c r="H27" i="19" l="1"/>
  <c r="D28" i="19" s="1"/>
  <c r="Q31" i="20"/>
  <c r="J57" i="20"/>
  <c r="V56" i="20"/>
  <c r="W55" i="20"/>
  <c r="B54" i="19"/>
  <c r="C55" i="19"/>
  <c r="D57" i="20"/>
  <c r="G57" i="20"/>
  <c r="E57" i="20"/>
  <c r="F57" i="20"/>
  <c r="L57" i="20"/>
  <c r="M57" i="20"/>
  <c r="K56" i="20"/>
  <c r="B57" i="20"/>
  <c r="S56" i="20" s="1"/>
  <c r="C58" i="20"/>
  <c r="O57" i="20"/>
  <c r="I57" i="20"/>
  <c r="G28" i="19" l="1"/>
  <c r="F28" i="19" s="1"/>
  <c r="O32" i="20"/>
  <c r="R32" i="20" s="1"/>
  <c r="J58" i="20"/>
  <c r="V57" i="20"/>
  <c r="C56" i="19"/>
  <c r="B55" i="19"/>
  <c r="E58" i="20"/>
  <c r="L58" i="20"/>
  <c r="D58" i="20"/>
  <c r="G58" i="20"/>
  <c r="F58" i="20"/>
  <c r="K57" i="20"/>
  <c r="B58" i="20"/>
  <c r="S57" i="20" s="1"/>
  <c r="M58" i="20"/>
  <c r="C59" i="20"/>
  <c r="O58" i="20"/>
  <c r="I58" i="20"/>
  <c r="W56" i="20"/>
  <c r="E28" i="19"/>
  <c r="P32" i="20" l="1"/>
  <c r="H28" i="19"/>
  <c r="D29" i="19" s="1"/>
  <c r="Q32" i="20"/>
  <c r="J59" i="20"/>
  <c r="V58" i="20"/>
  <c r="L59" i="20"/>
  <c r="K58" i="20"/>
  <c r="D59" i="20"/>
  <c r="E59" i="20"/>
  <c r="G59" i="20"/>
  <c r="F59" i="20"/>
  <c r="B59" i="20"/>
  <c r="S58" i="20" s="1"/>
  <c r="C60" i="20"/>
  <c r="O59" i="20"/>
  <c r="M59" i="20"/>
  <c r="I59" i="20"/>
  <c r="B56" i="19"/>
  <c r="C57" i="19"/>
  <c r="W57" i="20"/>
  <c r="G29" i="19" l="1"/>
  <c r="O33" i="20"/>
  <c r="R33" i="20" s="1"/>
  <c r="J60" i="20"/>
  <c r="V59" i="20"/>
  <c r="L60" i="20"/>
  <c r="E60" i="20"/>
  <c r="G60" i="20"/>
  <c r="F60" i="20"/>
  <c r="K59" i="20"/>
  <c r="D60" i="20"/>
  <c r="B60" i="20"/>
  <c r="S59" i="20" s="1"/>
  <c r="O60" i="20"/>
  <c r="M60" i="20"/>
  <c r="C61" i="20"/>
  <c r="I60" i="20"/>
  <c r="W58" i="20"/>
  <c r="B57" i="19"/>
  <c r="C58" i="19"/>
  <c r="E29" i="19"/>
  <c r="P33" i="20" l="1"/>
  <c r="F29" i="19"/>
  <c r="J61" i="20"/>
  <c r="V60" i="20"/>
  <c r="F61" i="20"/>
  <c r="D61" i="20"/>
  <c r="L61" i="20"/>
  <c r="K60" i="20"/>
  <c r="G61" i="20"/>
  <c r="B61" i="20"/>
  <c r="S60" i="20" s="1"/>
  <c r="O61" i="20"/>
  <c r="E61" i="20"/>
  <c r="M61" i="20"/>
  <c r="C62" i="20"/>
  <c r="I61" i="20"/>
  <c r="W59" i="20"/>
  <c r="C59" i="19"/>
  <c r="B58" i="19"/>
  <c r="H29" i="19" l="1"/>
  <c r="D30" i="19" s="1"/>
  <c r="Q33" i="20"/>
  <c r="J62" i="20"/>
  <c r="V61" i="20"/>
  <c r="C60" i="19"/>
  <c r="B59" i="19"/>
  <c r="W60" i="20"/>
  <c r="K61" i="20"/>
  <c r="L62" i="20"/>
  <c r="G62" i="20"/>
  <c r="D62" i="20"/>
  <c r="F62" i="20"/>
  <c r="E62" i="20"/>
  <c r="O62" i="20"/>
  <c r="B62" i="20"/>
  <c r="S61" i="20" s="1"/>
  <c r="C63" i="20"/>
  <c r="M62" i="20"/>
  <c r="I62" i="20"/>
  <c r="G30" i="19" l="1"/>
  <c r="F30" i="19" s="1"/>
  <c r="O34" i="20"/>
  <c r="R34" i="20" s="1"/>
  <c r="J63" i="20"/>
  <c r="V62" i="20"/>
  <c r="G63" i="20"/>
  <c r="D63" i="20"/>
  <c r="K62" i="20"/>
  <c r="E63" i="20"/>
  <c r="F63" i="20"/>
  <c r="L63" i="20"/>
  <c r="M63" i="20"/>
  <c r="O63" i="20"/>
  <c r="C64" i="20"/>
  <c r="B63" i="20"/>
  <c r="S62" i="20" s="1"/>
  <c r="I63" i="20"/>
  <c r="W61" i="20"/>
  <c r="B60" i="19"/>
  <c r="C61" i="19"/>
  <c r="E30" i="19"/>
  <c r="P34" i="20" l="1"/>
  <c r="H30" i="19"/>
  <c r="D31" i="19" s="1"/>
  <c r="Q34" i="20"/>
  <c r="J64" i="20"/>
  <c r="V63" i="20"/>
  <c r="W62" i="20"/>
  <c r="B61" i="19"/>
  <c r="C62" i="19"/>
  <c r="L64" i="20"/>
  <c r="F64" i="20"/>
  <c r="D64" i="20"/>
  <c r="K63" i="20"/>
  <c r="E64" i="20"/>
  <c r="G64" i="20"/>
  <c r="B64" i="20"/>
  <c r="S63" i="20" s="1"/>
  <c r="M64" i="20"/>
  <c r="O64" i="20"/>
  <c r="C65" i="20"/>
  <c r="I64" i="20"/>
  <c r="G31" i="19" l="1"/>
  <c r="F31" i="19" s="1"/>
  <c r="O35" i="20"/>
  <c r="R35" i="20" s="1"/>
  <c r="J65" i="20"/>
  <c r="V64" i="20"/>
  <c r="W63" i="20"/>
  <c r="G65" i="20"/>
  <c r="D65" i="20"/>
  <c r="F65" i="20"/>
  <c r="E65" i="20"/>
  <c r="K64" i="20"/>
  <c r="L65" i="20"/>
  <c r="O65" i="20"/>
  <c r="B65" i="20"/>
  <c r="S64" i="20" s="1"/>
  <c r="M65" i="20"/>
  <c r="C66" i="20"/>
  <c r="I65" i="20"/>
  <c r="B62" i="19"/>
  <c r="C63" i="19"/>
  <c r="E31" i="19"/>
  <c r="P35" i="20" l="1"/>
  <c r="H31" i="19"/>
  <c r="D32" i="19" s="1"/>
  <c r="Q35" i="20"/>
  <c r="J66" i="20"/>
  <c r="V65" i="20"/>
  <c r="D66" i="20"/>
  <c r="E66" i="20"/>
  <c r="G66" i="20"/>
  <c r="K65" i="20"/>
  <c r="L66" i="20"/>
  <c r="M66" i="20"/>
  <c r="F66" i="20"/>
  <c r="B66" i="20"/>
  <c r="S65" i="20" s="1"/>
  <c r="O66" i="20"/>
  <c r="C67" i="20"/>
  <c r="I66" i="20"/>
  <c r="W64" i="20"/>
  <c r="C64" i="19"/>
  <c r="B63" i="19"/>
  <c r="G32" i="19" l="1"/>
  <c r="F32" i="19" s="1"/>
  <c r="O36" i="20"/>
  <c r="R36" i="20" s="1"/>
  <c r="J67" i="20"/>
  <c r="V66" i="20"/>
  <c r="B64" i="19"/>
  <c r="C65" i="19"/>
  <c r="E67" i="20"/>
  <c r="K66" i="20"/>
  <c r="F67" i="20"/>
  <c r="D67" i="20"/>
  <c r="G67" i="20"/>
  <c r="L67" i="20"/>
  <c r="O67" i="20"/>
  <c r="M67" i="20"/>
  <c r="C68" i="20"/>
  <c r="B67" i="20"/>
  <c r="S66" i="20" s="1"/>
  <c r="I67" i="20"/>
  <c r="W65" i="20"/>
  <c r="E32" i="19"/>
  <c r="P36" i="20" l="1"/>
  <c r="H32" i="19"/>
  <c r="D33" i="19" s="1"/>
  <c r="Q36" i="20"/>
  <c r="J68" i="20"/>
  <c r="V67" i="20"/>
  <c r="B65" i="19"/>
  <c r="C66" i="19"/>
  <c r="E68" i="20"/>
  <c r="K67" i="20"/>
  <c r="G68" i="20"/>
  <c r="L68" i="20"/>
  <c r="F68" i="20"/>
  <c r="D68" i="20"/>
  <c r="O68" i="20"/>
  <c r="M68" i="20"/>
  <c r="B68" i="20"/>
  <c r="S67" i="20" s="1"/>
  <c r="C69" i="20"/>
  <c r="I68" i="20"/>
  <c r="W66" i="20"/>
  <c r="G33" i="19" l="1"/>
  <c r="F33" i="19" s="1"/>
  <c r="O37" i="20"/>
  <c r="R37" i="20" s="1"/>
  <c r="J69" i="20"/>
  <c r="V68" i="20"/>
  <c r="K68" i="20"/>
  <c r="E69" i="20"/>
  <c r="F69" i="20"/>
  <c r="L69" i="20"/>
  <c r="D69" i="20"/>
  <c r="O69" i="20"/>
  <c r="G69" i="20"/>
  <c r="M69" i="20"/>
  <c r="B69" i="20"/>
  <c r="S68" i="20" s="1"/>
  <c r="C70" i="20"/>
  <c r="I69" i="20"/>
  <c r="W67" i="20"/>
  <c r="B66" i="19"/>
  <c r="C67" i="19"/>
  <c r="Q37" i="20" l="1"/>
  <c r="J70" i="20"/>
  <c r="V69" i="20"/>
  <c r="B67" i="19"/>
  <c r="C68" i="19"/>
  <c r="W68" i="20"/>
  <c r="L70" i="20"/>
  <c r="K69" i="20"/>
  <c r="G70" i="20"/>
  <c r="E70" i="20"/>
  <c r="F70" i="20"/>
  <c r="B70" i="20"/>
  <c r="S69" i="20" s="1"/>
  <c r="M70" i="20"/>
  <c r="D70" i="20"/>
  <c r="C71" i="20"/>
  <c r="O70" i="20"/>
  <c r="I70" i="20"/>
  <c r="E33" i="19"/>
  <c r="P37" i="20" l="1"/>
  <c r="H33" i="19"/>
  <c r="D34" i="19" s="1"/>
  <c r="J71" i="20"/>
  <c r="V70" i="20"/>
  <c r="B68" i="19"/>
  <c r="C69" i="19"/>
  <c r="L71" i="20"/>
  <c r="E71" i="20"/>
  <c r="D71" i="20"/>
  <c r="F71" i="20"/>
  <c r="G71" i="20"/>
  <c r="B71" i="20"/>
  <c r="S70" i="20" s="1"/>
  <c r="M71" i="20"/>
  <c r="O71" i="20"/>
  <c r="K70" i="20"/>
  <c r="C72" i="20"/>
  <c r="I71" i="20"/>
  <c r="W69" i="20"/>
  <c r="G34" i="19" l="1"/>
  <c r="F34" i="19" s="1"/>
  <c r="O38" i="20"/>
  <c r="R38" i="20" s="1"/>
  <c r="J72" i="20"/>
  <c r="V71" i="20"/>
  <c r="W70" i="20"/>
  <c r="B69" i="19"/>
  <c r="C70" i="19"/>
  <c r="K71" i="20"/>
  <c r="D72" i="20"/>
  <c r="E72" i="20"/>
  <c r="G72" i="20"/>
  <c r="L72" i="20"/>
  <c r="F72" i="20"/>
  <c r="B72" i="20"/>
  <c r="S71" i="20" s="1"/>
  <c r="C73" i="20"/>
  <c r="M72" i="20"/>
  <c r="O72" i="20"/>
  <c r="I72" i="20"/>
  <c r="E34" i="19"/>
  <c r="P38" i="20" l="1"/>
  <c r="H34" i="19"/>
  <c r="D35" i="19" s="1"/>
  <c r="Q38" i="20"/>
  <c r="J73" i="20"/>
  <c r="V72" i="20"/>
  <c r="W71" i="20"/>
  <c r="B70" i="19"/>
  <c r="C71" i="19"/>
  <c r="L73" i="20"/>
  <c r="G73" i="20"/>
  <c r="D73" i="20"/>
  <c r="E73" i="20"/>
  <c r="K72" i="20"/>
  <c r="F73" i="20"/>
  <c r="M73" i="20"/>
  <c r="B73" i="20"/>
  <c r="S72" i="20" s="1"/>
  <c r="C74" i="20"/>
  <c r="O73" i="20"/>
  <c r="I73" i="20"/>
  <c r="G35" i="19" l="1"/>
  <c r="O39" i="20"/>
  <c r="R39" i="20" s="1"/>
  <c r="J74" i="20"/>
  <c r="V73" i="20"/>
  <c r="E74" i="20"/>
  <c r="F74" i="20"/>
  <c r="D74" i="20"/>
  <c r="G74" i="20"/>
  <c r="K73" i="20"/>
  <c r="B74" i="20"/>
  <c r="S73" i="20" s="1"/>
  <c r="L74" i="20"/>
  <c r="M74" i="20"/>
  <c r="O74" i="20"/>
  <c r="C75" i="20"/>
  <c r="I74" i="20"/>
  <c r="W72" i="20"/>
  <c r="C72" i="19"/>
  <c r="B71" i="19"/>
  <c r="E35" i="19"/>
  <c r="P39" i="20" l="1"/>
  <c r="F35" i="19"/>
  <c r="J75" i="20"/>
  <c r="V74" i="20"/>
  <c r="W73" i="20"/>
  <c r="B72" i="19"/>
  <c r="C73" i="19"/>
  <c r="G75" i="20"/>
  <c r="F75" i="20"/>
  <c r="D75" i="20"/>
  <c r="K74" i="20"/>
  <c r="E75" i="20"/>
  <c r="C76" i="20"/>
  <c r="L75" i="20"/>
  <c r="B75" i="20"/>
  <c r="S74" i="20" s="1"/>
  <c r="O75" i="20"/>
  <c r="M75" i="20"/>
  <c r="I75" i="20"/>
  <c r="H35" i="19" l="1"/>
  <c r="D36" i="19" s="1"/>
  <c r="Q39" i="20"/>
  <c r="J76" i="20"/>
  <c r="V75" i="20"/>
  <c r="L76" i="20"/>
  <c r="E76" i="20"/>
  <c r="G76" i="20"/>
  <c r="D76" i="20"/>
  <c r="F76" i="20"/>
  <c r="K75" i="20"/>
  <c r="O76" i="20"/>
  <c r="C77" i="20"/>
  <c r="B76" i="20"/>
  <c r="S75" i="20" s="1"/>
  <c r="M76" i="20"/>
  <c r="I76" i="20"/>
  <c r="B73" i="19"/>
  <c r="C74" i="19"/>
  <c r="W74" i="20"/>
  <c r="O40" i="20" l="1"/>
  <c r="R40" i="20" s="1"/>
  <c r="G36" i="19"/>
  <c r="F36" i="19" s="1"/>
  <c r="J77" i="20"/>
  <c r="V76" i="20"/>
  <c r="W75" i="20"/>
  <c r="G77" i="20"/>
  <c r="F77" i="20"/>
  <c r="L77" i="20"/>
  <c r="K76" i="20"/>
  <c r="D77" i="20"/>
  <c r="E77" i="20"/>
  <c r="M77" i="20"/>
  <c r="O77" i="20"/>
  <c r="B77" i="20"/>
  <c r="S76" i="20" s="1"/>
  <c r="C78" i="20"/>
  <c r="I77" i="20"/>
  <c r="B74" i="19"/>
  <c r="C75" i="19"/>
  <c r="E36" i="19"/>
  <c r="P40" i="20" l="1"/>
  <c r="H36" i="19"/>
  <c r="D37" i="19" s="1"/>
  <c r="Q40" i="20"/>
  <c r="J78" i="20"/>
  <c r="V77" i="20"/>
  <c r="D78" i="20"/>
  <c r="L78" i="20"/>
  <c r="E78" i="20"/>
  <c r="F78" i="20"/>
  <c r="K77" i="20"/>
  <c r="O78" i="20"/>
  <c r="M78" i="20"/>
  <c r="B78" i="20"/>
  <c r="S77" i="20" s="1"/>
  <c r="G78" i="20"/>
  <c r="C79" i="20"/>
  <c r="I78" i="20"/>
  <c r="C76" i="19"/>
  <c r="B75" i="19"/>
  <c r="W76" i="20"/>
  <c r="G37" i="19" l="1"/>
  <c r="F37" i="19" s="1"/>
  <c r="O41" i="20"/>
  <c r="R41" i="20" s="1"/>
  <c r="J79" i="20"/>
  <c r="V78" i="20"/>
  <c r="F79" i="20"/>
  <c r="K78" i="20"/>
  <c r="G79" i="20"/>
  <c r="L79" i="20"/>
  <c r="E79" i="20"/>
  <c r="D79" i="20"/>
  <c r="B79" i="20"/>
  <c r="S78" i="20" s="1"/>
  <c r="M79" i="20"/>
  <c r="O79" i="20"/>
  <c r="C80" i="20"/>
  <c r="I79" i="20"/>
  <c r="C77" i="19"/>
  <c r="B76" i="19"/>
  <c r="W77" i="20"/>
  <c r="E37" i="19"/>
  <c r="P41" i="20" l="1"/>
  <c r="H37" i="19"/>
  <c r="D38" i="19" s="1"/>
  <c r="Q41" i="20"/>
  <c r="J80" i="20"/>
  <c r="V79" i="20"/>
  <c r="W78" i="20"/>
  <c r="C78" i="19"/>
  <c r="B77" i="19"/>
  <c r="G80" i="20"/>
  <c r="K79" i="20"/>
  <c r="D80" i="20"/>
  <c r="E80" i="20"/>
  <c r="F80" i="20"/>
  <c r="C81" i="20"/>
  <c r="M80" i="20"/>
  <c r="B80" i="20"/>
  <c r="S79" i="20" s="1"/>
  <c r="O80" i="20"/>
  <c r="L80" i="20"/>
  <c r="I80" i="20"/>
  <c r="G38" i="19" l="1"/>
  <c r="F38" i="19" s="1"/>
  <c r="O42" i="20"/>
  <c r="R42" i="20" s="1"/>
  <c r="J81" i="20"/>
  <c r="V80" i="20"/>
  <c r="F81" i="20"/>
  <c r="K80" i="20"/>
  <c r="D81" i="20"/>
  <c r="E81" i="20"/>
  <c r="L81" i="20"/>
  <c r="O81" i="20"/>
  <c r="G81" i="20"/>
  <c r="M81" i="20"/>
  <c r="C82" i="20"/>
  <c r="B81" i="20"/>
  <c r="S80" i="20" s="1"/>
  <c r="I81" i="20"/>
  <c r="W79" i="20"/>
  <c r="B78" i="19"/>
  <c r="C79" i="19"/>
  <c r="E38" i="19"/>
  <c r="P42" i="20" l="1"/>
  <c r="H38" i="19"/>
  <c r="D39" i="19" s="1"/>
  <c r="Q42" i="20"/>
  <c r="J82" i="20"/>
  <c r="V81" i="20"/>
  <c r="W80" i="20"/>
  <c r="C80" i="19"/>
  <c r="B79" i="19"/>
  <c r="F82" i="20"/>
  <c r="L82" i="20"/>
  <c r="E82" i="20"/>
  <c r="D82" i="20"/>
  <c r="B82" i="20"/>
  <c r="S81" i="20" s="1"/>
  <c r="K81" i="20"/>
  <c r="G82" i="20"/>
  <c r="O82" i="20"/>
  <c r="M82" i="20"/>
  <c r="C83" i="20"/>
  <c r="I82" i="20"/>
  <c r="O43" i="20" l="1"/>
  <c r="R43" i="20" s="1"/>
  <c r="G39" i="19"/>
  <c r="F39" i="19" s="1"/>
  <c r="J83" i="20"/>
  <c r="V82" i="20"/>
  <c r="W81" i="20"/>
  <c r="F83" i="20"/>
  <c r="K82" i="20"/>
  <c r="E83" i="20"/>
  <c r="L83" i="20"/>
  <c r="G83" i="20"/>
  <c r="B83" i="20"/>
  <c r="S82" i="20" s="1"/>
  <c r="C84" i="20"/>
  <c r="D83" i="20"/>
  <c r="O83" i="20"/>
  <c r="M83" i="20"/>
  <c r="I83" i="20"/>
  <c r="B80" i="19"/>
  <c r="C81" i="19"/>
  <c r="E39" i="19"/>
  <c r="P43" i="20" l="1"/>
  <c r="H39" i="19"/>
  <c r="D40" i="19" s="1"/>
  <c r="Q43" i="20"/>
  <c r="J84" i="20"/>
  <c r="V83" i="20"/>
  <c r="B81" i="19"/>
  <c r="W82" i="20"/>
  <c r="G84" i="20"/>
  <c r="F84" i="20"/>
  <c r="O84" i="20"/>
  <c r="K83" i="20"/>
  <c r="D84" i="20"/>
  <c r="B84" i="20"/>
  <c r="S83" i="20" s="1"/>
  <c r="C85" i="20"/>
  <c r="E84" i="20"/>
  <c r="L84" i="20"/>
  <c r="M84" i="20"/>
  <c r="I84" i="20"/>
  <c r="G40" i="19" l="1"/>
  <c r="O44" i="20"/>
  <c r="R44" i="20" s="1"/>
  <c r="J85" i="20"/>
  <c r="V84" i="20"/>
  <c r="W83" i="20"/>
  <c r="D85" i="20"/>
  <c r="E85" i="20"/>
  <c r="L85" i="20"/>
  <c r="F85" i="20"/>
  <c r="K84" i="20"/>
  <c r="G85" i="20"/>
  <c r="O85" i="20"/>
  <c r="M85" i="20"/>
  <c r="B85" i="20"/>
  <c r="S84" i="20" s="1"/>
  <c r="I85" i="20"/>
  <c r="E40" i="19"/>
  <c r="P44" i="20" l="1"/>
  <c r="F40" i="19"/>
  <c r="W84" i="20"/>
  <c r="W14" i="20" s="1"/>
  <c r="G8" i="20" s="1"/>
  <c r="G3" i="14"/>
  <c r="D4" i="14"/>
  <c r="C16" i="14" s="1"/>
  <c r="H40" i="19" l="1"/>
  <c r="D41" i="19" s="1"/>
  <c r="Q44" i="20"/>
  <c r="D3" i="14"/>
  <c r="G4" i="14" s="1"/>
  <c r="D7" i="14"/>
  <c r="E16" i="14" s="1"/>
  <c r="D3" i="10"/>
  <c r="G4" i="10" s="1"/>
  <c r="D2" i="14"/>
  <c r="D5" i="14"/>
  <c r="D8" i="14"/>
  <c r="D6" i="14"/>
  <c r="G41" i="19" l="1"/>
  <c r="O45" i="20"/>
  <c r="R45" i="20" s="1"/>
  <c r="F16" i="14"/>
  <c r="C17" i="14"/>
  <c r="G3" i="10"/>
  <c r="D4" i="10"/>
  <c r="C18" i="10" s="1"/>
  <c r="D2" i="10"/>
  <c r="D7" i="10"/>
  <c r="E18" i="10" s="1"/>
  <c r="D16" i="14"/>
  <c r="D8" i="10"/>
  <c r="D9" i="10"/>
  <c r="D5" i="10"/>
  <c r="D6" i="10"/>
  <c r="E41" i="19"/>
  <c r="P45" i="20" l="1"/>
  <c r="F41" i="19"/>
  <c r="J16" i="14"/>
  <c r="H16" i="14"/>
  <c r="I16" i="14" s="1"/>
  <c r="D10" i="10"/>
  <c r="F18" i="10"/>
  <c r="D18" i="10"/>
  <c r="G3" i="2"/>
  <c r="D4" i="2"/>
  <c r="C17" i="2" s="1"/>
  <c r="D2" i="2"/>
  <c r="B3" i="8"/>
  <c r="D7" i="2"/>
  <c r="E17" i="2" s="1"/>
  <c r="G4" i="2"/>
  <c r="D17" i="14"/>
  <c r="B17" i="14"/>
  <c r="F17" i="14"/>
  <c r="G17" i="14"/>
  <c r="C18" i="14"/>
  <c r="E17" i="14"/>
  <c r="G6" i="14" s="1"/>
  <c r="C19" i="10"/>
  <c r="D8" i="2"/>
  <c r="D5" i="2"/>
  <c r="D6" i="2"/>
  <c r="K16" i="14" l="1"/>
  <c r="H41" i="19"/>
  <c r="D42" i="19" s="1"/>
  <c r="Q45" i="20"/>
  <c r="H17" i="14"/>
  <c r="I17" i="14" s="1"/>
  <c r="M18" i="10"/>
  <c r="J17" i="14"/>
  <c r="K17" i="14" s="1"/>
  <c r="F17" i="2"/>
  <c r="D17" i="2"/>
  <c r="G5" i="14"/>
  <c r="M16" i="14"/>
  <c r="D2" i="8"/>
  <c r="D7" i="8"/>
  <c r="D4" i="8"/>
  <c r="C11" i="8" s="1"/>
  <c r="D3" i="8"/>
  <c r="K11" i="8" s="1"/>
  <c r="S29" i="17" s="1"/>
  <c r="F18" i="14"/>
  <c r="E18" i="14"/>
  <c r="D18" i="14"/>
  <c r="B18" i="14"/>
  <c r="G18" i="14"/>
  <c r="C19" i="14"/>
  <c r="F19" i="10"/>
  <c r="G19" i="10"/>
  <c r="D19" i="10"/>
  <c r="B19" i="10"/>
  <c r="C20" i="10"/>
  <c r="I20" i="10" s="1"/>
  <c r="E19" i="10"/>
  <c r="G6" i="10" s="1"/>
  <c r="C18" i="2"/>
  <c r="I18" i="10"/>
  <c r="I19" i="10"/>
  <c r="H18" i="10"/>
  <c r="J18" i="10" s="1"/>
  <c r="W11" i="8"/>
  <c r="D5" i="8"/>
  <c r="R11" i="8"/>
  <c r="P11" i="8"/>
  <c r="Q11" i="8"/>
  <c r="D6" i="8"/>
  <c r="D8" i="8"/>
  <c r="L11" i="8"/>
  <c r="X11" i="8"/>
  <c r="Y11" i="8"/>
  <c r="N11" i="8"/>
  <c r="U11" i="8"/>
  <c r="M11" i="8"/>
  <c r="V11" i="8"/>
  <c r="S11" i="8"/>
  <c r="O11" i="8"/>
  <c r="T11" i="8"/>
  <c r="G42" i="19" l="1"/>
  <c r="O46" i="20"/>
  <c r="R46" i="20" s="1"/>
  <c r="Q17" i="14"/>
  <c r="Q16" i="14"/>
  <c r="S18" i="10"/>
  <c r="S28" i="17"/>
  <c r="S25" i="17"/>
  <c r="S24" i="17"/>
  <c r="S19" i="17"/>
  <c r="S26" i="17"/>
  <c r="S16" i="17"/>
  <c r="S23" i="17"/>
  <c r="S17" i="17"/>
  <c r="S20" i="17"/>
  <c r="S27" i="17"/>
  <c r="S18" i="17"/>
  <c r="S22" i="17"/>
  <c r="S21" i="17"/>
  <c r="S15" i="17"/>
  <c r="H17" i="2"/>
  <c r="Z15" i="22" s="1"/>
  <c r="AB15" i="22" s="1"/>
  <c r="P16" i="14"/>
  <c r="M19" i="10"/>
  <c r="J18" i="14"/>
  <c r="K18" i="14" s="1"/>
  <c r="J19" i="10"/>
  <c r="K19" i="10" s="1"/>
  <c r="L18" i="10"/>
  <c r="K18" i="10"/>
  <c r="J11" i="8"/>
  <c r="C12" i="8"/>
  <c r="F18" i="2"/>
  <c r="D18" i="2"/>
  <c r="G18" i="2"/>
  <c r="E18" i="2"/>
  <c r="G6" i="2" s="1"/>
  <c r="C19" i="2"/>
  <c r="B18" i="2"/>
  <c r="Q17" i="2" s="1"/>
  <c r="J17" i="2"/>
  <c r="K17" i="2" s="1"/>
  <c r="E20" i="10"/>
  <c r="F20" i="10"/>
  <c r="G20" i="10"/>
  <c r="D20" i="10"/>
  <c r="C21" i="10"/>
  <c r="B20" i="10"/>
  <c r="S19" i="10" s="1"/>
  <c r="E19" i="14"/>
  <c r="B19" i="14"/>
  <c r="Q18" i="14" s="1"/>
  <c r="G19" i="14"/>
  <c r="F19" i="14"/>
  <c r="D19" i="14"/>
  <c r="C20" i="14"/>
  <c r="H18" i="14"/>
  <c r="I18" i="14" s="1"/>
  <c r="G11" i="8"/>
  <c r="F11" i="8" s="1"/>
  <c r="E42" i="19"/>
  <c r="E11" i="8"/>
  <c r="P46" i="20" l="1"/>
  <c r="F42" i="19"/>
  <c r="I17" i="2"/>
  <c r="G5" i="2" s="1"/>
  <c r="Y15" i="17"/>
  <c r="AA15" i="17" s="1"/>
  <c r="L19" i="10"/>
  <c r="V18" i="10" s="1"/>
  <c r="J18" i="2"/>
  <c r="T17" i="2" s="1"/>
  <c r="H19" i="14"/>
  <c r="I19" i="14" s="1"/>
  <c r="H18" i="2"/>
  <c r="M20" i="10"/>
  <c r="J20" i="10"/>
  <c r="L20" i="10" s="1"/>
  <c r="P15" i="17"/>
  <c r="H11" i="8"/>
  <c r="D12" i="8" s="1"/>
  <c r="N16" i="14"/>
  <c r="P18" i="10"/>
  <c r="Q15" i="17"/>
  <c r="O16" i="14"/>
  <c r="F21" i="10"/>
  <c r="G21" i="10"/>
  <c r="D21" i="10"/>
  <c r="E21" i="10"/>
  <c r="B21" i="10"/>
  <c r="S20" i="10" s="1"/>
  <c r="C22" i="10"/>
  <c r="I21" i="10"/>
  <c r="J19" i="14"/>
  <c r="N17" i="2"/>
  <c r="F19" i="2"/>
  <c r="D19" i="2"/>
  <c r="G19" i="2"/>
  <c r="E19" i="2"/>
  <c r="B19" i="2"/>
  <c r="Q18" i="2" s="1"/>
  <c r="C20" i="2"/>
  <c r="J12" i="8"/>
  <c r="B12" i="8"/>
  <c r="C13" i="8"/>
  <c r="G5" i="10"/>
  <c r="O18" i="10"/>
  <c r="B20" i="14"/>
  <c r="Q19" i="14" s="1"/>
  <c r="D20" i="14"/>
  <c r="G20" i="14"/>
  <c r="F20" i="14"/>
  <c r="E20" i="14"/>
  <c r="C21" i="14"/>
  <c r="G12" i="8" l="1"/>
  <c r="F12" i="8" s="1"/>
  <c r="Y16" i="17"/>
  <c r="AA16" i="17" s="1"/>
  <c r="Z16" i="22"/>
  <c r="AB16" i="22" s="1"/>
  <c r="H42" i="19"/>
  <c r="D43" i="19" s="1"/>
  <c r="Q46" i="20"/>
  <c r="V19" i="10"/>
  <c r="Y19" i="10" s="1"/>
  <c r="R18" i="10"/>
  <c r="Q18" i="10"/>
  <c r="O19" i="10" s="1"/>
  <c r="R19" i="10" s="1"/>
  <c r="M17" i="2"/>
  <c r="P17" i="2" s="1"/>
  <c r="U17" i="2"/>
  <c r="O17" i="2"/>
  <c r="K18" i="2"/>
  <c r="I18" i="2"/>
  <c r="H19" i="2"/>
  <c r="J20" i="14"/>
  <c r="K20" i="14" s="1"/>
  <c r="J21" i="10"/>
  <c r="L21" i="10" s="1"/>
  <c r="V20" i="10" s="1"/>
  <c r="J19" i="2"/>
  <c r="K19" i="2" s="1"/>
  <c r="K20" i="10"/>
  <c r="H20" i="14"/>
  <c r="I20" i="14" s="1"/>
  <c r="J13" i="8"/>
  <c r="B13" i="8"/>
  <c r="C14" i="8"/>
  <c r="G20" i="2"/>
  <c r="D20" i="2"/>
  <c r="E20" i="2"/>
  <c r="F20" i="2"/>
  <c r="C21" i="2"/>
  <c r="B20" i="2"/>
  <c r="Q19" i="2" s="1"/>
  <c r="M21" i="10"/>
  <c r="O16" i="17"/>
  <c r="R16" i="17" s="1"/>
  <c r="P12" i="8"/>
  <c r="U12" i="8"/>
  <c r="X12" i="8"/>
  <c r="Q12" i="8"/>
  <c r="M17" i="14"/>
  <c r="P17" i="14" s="1"/>
  <c r="R12" i="8"/>
  <c r="W12" i="8"/>
  <c r="V12" i="8"/>
  <c r="K12" i="8"/>
  <c r="O12" i="8"/>
  <c r="N12" i="8"/>
  <c r="T12" i="8"/>
  <c r="M12" i="8"/>
  <c r="S12" i="8"/>
  <c r="L12" i="8"/>
  <c r="E21" i="14"/>
  <c r="B21" i="14"/>
  <c r="Q20" i="14" s="1"/>
  <c r="D21" i="14"/>
  <c r="F21" i="14"/>
  <c r="G21" i="14"/>
  <c r="C22" i="14"/>
  <c r="F22" i="10"/>
  <c r="E22" i="10"/>
  <c r="G22" i="10"/>
  <c r="D22" i="10"/>
  <c r="C23" i="10"/>
  <c r="B22" i="10"/>
  <c r="S21" i="10" s="1"/>
  <c r="I22" i="10"/>
  <c r="Y18" i="10"/>
  <c r="Z18" i="10"/>
  <c r="W18" i="10"/>
  <c r="K19" i="14"/>
  <c r="E12" i="8"/>
  <c r="N17" i="14" l="1"/>
  <c r="P19" i="10"/>
  <c r="P16" i="17"/>
  <c r="N18" i="2"/>
  <c r="I19" i="2"/>
  <c r="Z17" i="22"/>
  <c r="AB17" i="22" s="1"/>
  <c r="O47" i="20"/>
  <c r="R47" i="20" s="1"/>
  <c r="G43" i="19"/>
  <c r="F43" i="19" s="1"/>
  <c r="W19" i="10"/>
  <c r="Z19" i="10"/>
  <c r="AA19" i="10" s="1"/>
  <c r="Y17" i="17"/>
  <c r="AA17" i="17" s="1"/>
  <c r="K21" i="10"/>
  <c r="M18" i="2"/>
  <c r="P18" i="2" s="1"/>
  <c r="T18" i="2"/>
  <c r="U18" i="2" s="1"/>
  <c r="H20" i="2"/>
  <c r="Z18" i="22" s="1"/>
  <c r="AB18" i="22" s="1"/>
  <c r="H21" i="14"/>
  <c r="I21" i="14" s="1"/>
  <c r="AA18" i="10"/>
  <c r="M22" i="10"/>
  <c r="J22" i="10"/>
  <c r="L22" i="10" s="1"/>
  <c r="V21" i="10" s="1"/>
  <c r="J20" i="2"/>
  <c r="K20" i="2" s="1"/>
  <c r="Q16" i="17"/>
  <c r="O17" i="14"/>
  <c r="Q19" i="10"/>
  <c r="H12" i="8"/>
  <c r="D13" i="8" s="1"/>
  <c r="F22" i="14"/>
  <c r="E22" i="14"/>
  <c r="G22" i="14"/>
  <c r="D22" i="14"/>
  <c r="B22" i="14"/>
  <c r="Q21" i="14" s="1"/>
  <c r="C23" i="14"/>
  <c r="O18" i="2"/>
  <c r="E23" i="10"/>
  <c r="D23" i="10"/>
  <c r="F23" i="10"/>
  <c r="G23" i="10"/>
  <c r="B23" i="10"/>
  <c r="S22" i="10" s="1"/>
  <c r="C24" i="10"/>
  <c r="I23" i="10"/>
  <c r="J21" i="14"/>
  <c r="E21" i="2"/>
  <c r="F21" i="2"/>
  <c r="D21" i="2"/>
  <c r="G21" i="2"/>
  <c r="C22" i="2"/>
  <c r="B21" i="2"/>
  <c r="Q20" i="2" s="1"/>
  <c r="J14" i="8"/>
  <c r="C15" i="8"/>
  <c r="B14" i="8"/>
  <c r="Y20" i="10"/>
  <c r="W20" i="10"/>
  <c r="Z20" i="10"/>
  <c r="E43" i="19"/>
  <c r="G13" i="8" l="1"/>
  <c r="F13" i="8" s="1"/>
  <c r="P47" i="20"/>
  <c r="H43" i="19"/>
  <c r="D44" i="19" s="1"/>
  <c r="Q47" i="20"/>
  <c r="I20" i="2"/>
  <c r="Y18" i="17"/>
  <c r="AA18" i="17" s="1"/>
  <c r="K22" i="10"/>
  <c r="AA20" i="10"/>
  <c r="M19" i="2"/>
  <c r="P19" i="2" s="1"/>
  <c r="T19" i="2"/>
  <c r="U19" i="2" s="1"/>
  <c r="J21" i="2"/>
  <c r="T20" i="2" s="1"/>
  <c r="H22" i="14"/>
  <c r="I22" i="14" s="1"/>
  <c r="M23" i="10"/>
  <c r="J22" i="14"/>
  <c r="K22" i="14" s="1"/>
  <c r="H21" i="2"/>
  <c r="D24" i="10"/>
  <c r="F24" i="10"/>
  <c r="G24" i="10"/>
  <c r="E24" i="10"/>
  <c r="C25" i="10"/>
  <c r="B24" i="10"/>
  <c r="S23" i="10" s="1"/>
  <c r="I24" i="10"/>
  <c r="E23" i="14"/>
  <c r="D23" i="14"/>
  <c r="F23" i="14"/>
  <c r="G23" i="14"/>
  <c r="B23" i="14"/>
  <c r="Q22" i="14" s="1"/>
  <c r="C24" i="14"/>
  <c r="O17" i="17"/>
  <c r="R17" i="17" s="1"/>
  <c r="P13" i="8"/>
  <c r="V13" i="8"/>
  <c r="N13" i="8"/>
  <c r="W13" i="8"/>
  <c r="T13" i="8"/>
  <c r="K13" i="8"/>
  <c r="O13" i="8"/>
  <c r="U13" i="8"/>
  <c r="M13" i="8"/>
  <c r="R13" i="8"/>
  <c r="S13" i="8"/>
  <c r="L13" i="8"/>
  <c r="Q13" i="8"/>
  <c r="M18" i="14"/>
  <c r="P18" i="14" s="1"/>
  <c r="O20" i="10"/>
  <c r="R20" i="10" s="1"/>
  <c r="Y21" i="10"/>
  <c r="W21" i="10"/>
  <c r="Z21" i="10"/>
  <c r="J15" i="8"/>
  <c r="C16" i="8"/>
  <c r="B15" i="8"/>
  <c r="J23" i="10"/>
  <c r="L23" i="10" s="1"/>
  <c r="G22" i="2"/>
  <c r="D22" i="2"/>
  <c r="F22" i="2"/>
  <c r="E22" i="2"/>
  <c r="B22" i="2"/>
  <c r="Q21" i="2" s="1"/>
  <c r="C23" i="2"/>
  <c r="K21" i="14"/>
  <c r="E13" i="8"/>
  <c r="P20" i="10" l="1"/>
  <c r="N19" i="2"/>
  <c r="P17" i="17"/>
  <c r="N18" i="14"/>
  <c r="I21" i="2"/>
  <c r="Z19" i="22"/>
  <c r="AB19" i="22" s="1"/>
  <c r="G44" i="19"/>
  <c r="O48" i="20"/>
  <c r="R48" i="20" s="1"/>
  <c r="U20" i="2"/>
  <c r="K21" i="2"/>
  <c r="M24" i="10"/>
  <c r="K23" i="10"/>
  <c r="H22" i="2"/>
  <c r="AA21" i="10"/>
  <c r="H23" i="14"/>
  <c r="I23" i="14" s="1"/>
  <c r="J23" i="14"/>
  <c r="K23" i="14" s="1"/>
  <c r="J24" i="10"/>
  <c r="L24" i="10" s="1"/>
  <c r="V22" i="10"/>
  <c r="J22" i="2"/>
  <c r="Y19" i="17"/>
  <c r="AA19" i="17" s="1"/>
  <c r="D25" i="10"/>
  <c r="E25" i="10"/>
  <c r="G25" i="10"/>
  <c r="F25" i="10"/>
  <c r="C26" i="10"/>
  <c r="B25" i="10"/>
  <c r="S24" i="10" s="1"/>
  <c r="I25" i="10"/>
  <c r="J16" i="8"/>
  <c r="B16" i="8"/>
  <c r="C17" i="8"/>
  <c r="G24" i="14"/>
  <c r="E24" i="14"/>
  <c r="F24" i="14"/>
  <c r="D24" i="14"/>
  <c r="C25" i="14"/>
  <c r="B24" i="14"/>
  <c r="Q23" i="14" s="1"/>
  <c r="F23" i="2"/>
  <c r="E23" i="2"/>
  <c r="D23" i="2"/>
  <c r="G23" i="2"/>
  <c r="B23" i="2"/>
  <c r="Q22" i="2" s="1"/>
  <c r="C24" i="2"/>
  <c r="Q17" i="17"/>
  <c r="O18" i="14"/>
  <c r="Q20" i="10"/>
  <c r="O19" i="2"/>
  <c r="H13" i="8"/>
  <c r="D14" i="8" s="1"/>
  <c r="E44" i="19"/>
  <c r="G14" i="8" l="1"/>
  <c r="F14" i="8" s="1"/>
  <c r="Y20" i="17"/>
  <c r="AA20" i="17" s="1"/>
  <c r="Z20" i="22"/>
  <c r="AB20" i="22" s="1"/>
  <c r="P48" i="20"/>
  <c r="F44" i="19"/>
  <c r="I22" i="2"/>
  <c r="K24" i="10"/>
  <c r="M25" i="10"/>
  <c r="J24" i="14"/>
  <c r="K24" i="14" s="1"/>
  <c r="H24" i="14"/>
  <c r="I24" i="14" s="1"/>
  <c r="J25" i="10"/>
  <c r="K25" i="10" s="1"/>
  <c r="J23" i="2"/>
  <c r="K23" i="2" s="1"/>
  <c r="E26" i="10"/>
  <c r="D26" i="10"/>
  <c r="F26" i="10"/>
  <c r="G26" i="10"/>
  <c r="B26" i="10"/>
  <c r="S25" i="10" s="1"/>
  <c r="C27" i="10"/>
  <c r="I26" i="10"/>
  <c r="K22" i="2"/>
  <c r="T21" i="2"/>
  <c r="U21" i="2" s="1"/>
  <c r="F24" i="2"/>
  <c r="D24" i="2"/>
  <c r="G24" i="2"/>
  <c r="E24" i="2"/>
  <c r="B24" i="2"/>
  <c r="Q23" i="2" s="1"/>
  <c r="C25" i="2"/>
  <c r="H23" i="2"/>
  <c r="C18" i="8"/>
  <c r="B17" i="8"/>
  <c r="J17" i="8"/>
  <c r="Z22" i="10"/>
  <c r="W22" i="10"/>
  <c r="Y22" i="10"/>
  <c r="O18" i="17"/>
  <c r="R18" i="17" s="1"/>
  <c r="Q14" i="8"/>
  <c r="T14" i="8"/>
  <c r="K14" i="8"/>
  <c r="P14" i="8"/>
  <c r="U14" i="8"/>
  <c r="N14" i="8"/>
  <c r="M14" i="8"/>
  <c r="V14" i="8"/>
  <c r="L14" i="8"/>
  <c r="S14" i="8"/>
  <c r="O14" i="8"/>
  <c r="R14" i="8"/>
  <c r="M19" i="14"/>
  <c r="P19" i="14" s="1"/>
  <c r="O21" i="10"/>
  <c r="R21" i="10" s="1"/>
  <c r="M20" i="2"/>
  <c r="P20" i="2" s="1"/>
  <c r="V23" i="10"/>
  <c r="E25" i="14"/>
  <c r="G25" i="14"/>
  <c r="C26" i="14"/>
  <c r="F25" i="14"/>
  <c r="D25" i="14"/>
  <c r="B25" i="14"/>
  <c r="Q24" i="14" s="1"/>
  <c r="E14" i="8"/>
  <c r="P18" i="17" l="1"/>
  <c r="P21" i="10"/>
  <c r="N19" i="14"/>
  <c r="N20" i="2"/>
  <c r="Q21" i="10"/>
  <c r="I23" i="2"/>
  <c r="Z21" i="22"/>
  <c r="AB21" i="22" s="1"/>
  <c r="H44" i="19"/>
  <c r="D45" i="19" s="1"/>
  <c r="Q48" i="20"/>
  <c r="L25" i="10"/>
  <c r="V24" i="10" s="1"/>
  <c r="AA22" i="10"/>
  <c r="J24" i="2"/>
  <c r="T23" i="2" s="1"/>
  <c r="T22" i="2"/>
  <c r="U22" i="2" s="1"/>
  <c r="H24" i="2"/>
  <c r="J26" i="10"/>
  <c r="L26" i="10" s="1"/>
  <c r="C19" i="8"/>
  <c r="B18" i="8"/>
  <c r="J18" i="8"/>
  <c r="Y23" i="10"/>
  <c r="Z23" i="10"/>
  <c r="W23" i="10"/>
  <c r="Y21" i="17"/>
  <c r="AA21" i="17" s="1"/>
  <c r="J25" i="14"/>
  <c r="H25" i="14"/>
  <c r="I25" i="14" s="1"/>
  <c r="F26" i="14"/>
  <c r="D26" i="14"/>
  <c r="G26" i="14"/>
  <c r="E26" i="14"/>
  <c r="C27" i="14"/>
  <c r="B26" i="14"/>
  <c r="Q25" i="14" s="1"/>
  <c r="D25" i="2"/>
  <c r="E25" i="2"/>
  <c r="F25" i="2"/>
  <c r="G25" i="2"/>
  <c r="B25" i="2"/>
  <c r="Q24" i="2" s="1"/>
  <c r="C26" i="2"/>
  <c r="F27" i="10"/>
  <c r="G27" i="10"/>
  <c r="D27" i="10"/>
  <c r="E27" i="10"/>
  <c r="B27" i="10"/>
  <c r="S26" i="10" s="1"/>
  <c r="C28" i="10"/>
  <c r="I27" i="10"/>
  <c r="M26" i="10"/>
  <c r="O20" i="2" l="1"/>
  <c r="H14" i="8"/>
  <c r="D15" i="8" s="1"/>
  <c r="O19" i="14"/>
  <c r="Q18" i="17"/>
  <c r="U23" i="2"/>
  <c r="Y22" i="17"/>
  <c r="AA22" i="17" s="1"/>
  <c r="Z22" i="22"/>
  <c r="AB22" i="22" s="1"/>
  <c r="G45" i="19"/>
  <c r="F45" i="19" s="1"/>
  <c r="O49" i="20"/>
  <c r="R49" i="20" s="1"/>
  <c r="V25" i="10"/>
  <c r="W25" i="10" s="1"/>
  <c r="K26" i="10"/>
  <c r="K24" i="2"/>
  <c r="AA23" i="10"/>
  <c r="I24" i="2"/>
  <c r="M27" i="10"/>
  <c r="J26" i="14"/>
  <c r="K26" i="14" s="1"/>
  <c r="H25" i="2"/>
  <c r="Z23" i="22" s="1"/>
  <c r="AB23" i="22" s="1"/>
  <c r="H26" i="14"/>
  <c r="I26" i="14" s="1"/>
  <c r="F28" i="10"/>
  <c r="E28" i="10"/>
  <c r="D28" i="10"/>
  <c r="G28" i="10"/>
  <c r="C29" i="10"/>
  <c r="B28" i="10"/>
  <c r="S27" i="10" s="1"/>
  <c r="I28" i="10"/>
  <c r="G26" i="2"/>
  <c r="F26" i="2"/>
  <c r="E26" i="2"/>
  <c r="D26" i="2"/>
  <c r="C27" i="2"/>
  <c r="B26" i="2"/>
  <c r="Q25" i="2" s="1"/>
  <c r="J25" i="2"/>
  <c r="W24" i="10"/>
  <c r="Z24" i="10"/>
  <c r="Y24" i="10"/>
  <c r="C20" i="8"/>
  <c r="B19" i="8"/>
  <c r="J19" i="8"/>
  <c r="F27" i="14"/>
  <c r="G27" i="14"/>
  <c r="E27" i="14"/>
  <c r="D27" i="14"/>
  <c r="B27" i="14"/>
  <c r="Q26" i="14" s="1"/>
  <c r="C28" i="14"/>
  <c r="K25" i="14"/>
  <c r="J27" i="10"/>
  <c r="L27" i="10" s="1"/>
  <c r="E45" i="19"/>
  <c r="L15" i="8" l="1"/>
  <c r="T15" i="8"/>
  <c r="M15" i="8"/>
  <c r="S15" i="8"/>
  <c r="M21" i="2"/>
  <c r="P21" i="2" s="1"/>
  <c r="Q15" i="8"/>
  <c r="N15" i="8"/>
  <c r="O22" i="10"/>
  <c r="R22" i="10" s="1"/>
  <c r="U15" i="8"/>
  <c r="P15" i="8"/>
  <c r="R15" i="8"/>
  <c r="K15" i="8"/>
  <c r="O15" i="8"/>
  <c r="O19" i="17"/>
  <c r="R19" i="17" s="1"/>
  <c r="M20" i="14"/>
  <c r="P20" i="14" s="1"/>
  <c r="G15" i="8"/>
  <c r="F15" i="8" s="1"/>
  <c r="P49" i="20"/>
  <c r="H45" i="19"/>
  <c r="D46" i="19" s="1"/>
  <c r="Q49" i="20"/>
  <c r="Y25" i="10"/>
  <c r="Z25" i="10"/>
  <c r="H27" i="14"/>
  <c r="I27" i="14" s="1"/>
  <c r="J27" i="14"/>
  <c r="K27" i="14" s="1"/>
  <c r="I25" i="2"/>
  <c r="Y23" i="17"/>
  <c r="AA23" i="17" s="1"/>
  <c r="H26" i="2"/>
  <c r="Z24" i="22" s="1"/>
  <c r="AB24" i="22" s="1"/>
  <c r="J28" i="10"/>
  <c r="L28" i="10" s="1"/>
  <c r="AA24" i="10"/>
  <c r="J26" i="2"/>
  <c r="K26" i="2" s="1"/>
  <c r="V26" i="10"/>
  <c r="J20" i="8"/>
  <c r="B20" i="8"/>
  <c r="C21" i="8"/>
  <c r="M28" i="10"/>
  <c r="K27" i="10"/>
  <c r="G29" i="10"/>
  <c r="E29" i="10"/>
  <c r="D29" i="10"/>
  <c r="F29" i="10"/>
  <c r="C30" i="10"/>
  <c r="B29" i="10"/>
  <c r="S28" i="10" s="1"/>
  <c r="I29" i="10"/>
  <c r="D28" i="14"/>
  <c r="E28" i="14"/>
  <c r="F28" i="14"/>
  <c r="G28" i="14"/>
  <c r="C29" i="14"/>
  <c r="B28" i="14"/>
  <c r="Q27" i="14" s="1"/>
  <c r="K25" i="2"/>
  <c r="T24" i="2"/>
  <c r="U24" i="2" s="1"/>
  <c r="G27" i="2"/>
  <c r="F27" i="2"/>
  <c r="E27" i="2"/>
  <c r="D27" i="2"/>
  <c r="B27" i="2"/>
  <c r="Q26" i="2" s="1"/>
  <c r="C28" i="2"/>
  <c r="E15" i="8"/>
  <c r="P19" i="17" l="1"/>
  <c r="P22" i="10"/>
  <c r="N20" i="14"/>
  <c r="N21" i="2"/>
  <c r="H15" i="8"/>
  <c r="D16" i="8" s="1"/>
  <c r="G46" i="19"/>
  <c r="O50" i="20"/>
  <c r="R50" i="20" s="1"/>
  <c r="AA25" i="10"/>
  <c r="J28" i="14"/>
  <c r="K28" i="14" s="1"/>
  <c r="I26" i="2"/>
  <c r="H28" i="14"/>
  <c r="I28" i="14" s="1"/>
  <c r="J29" i="10"/>
  <c r="L29" i="10" s="1"/>
  <c r="V28" i="10" s="1"/>
  <c r="M29" i="10"/>
  <c r="K28" i="10"/>
  <c r="Y24" i="17"/>
  <c r="AA24" i="17" s="1"/>
  <c r="T25" i="2"/>
  <c r="U25" i="2" s="1"/>
  <c r="H27" i="2"/>
  <c r="Z25" i="22" s="1"/>
  <c r="AB25" i="22" s="1"/>
  <c r="B21" i="8"/>
  <c r="C22" i="8"/>
  <c r="J21" i="8"/>
  <c r="G28" i="2"/>
  <c r="F28" i="2"/>
  <c r="E28" i="2"/>
  <c r="D28" i="2"/>
  <c r="B28" i="2"/>
  <c r="Q27" i="2" s="1"/>
  <c r="C29" i="2"/>
  <c r="Z26" i="10"/>
  <c r="Y26" i="10"/>
  <c r="W26" i="10"/>
  <c r="V27" i="10"/>
  <c r="J27" i="2"/>
  <c r="D29" i="14"/>
  <c r="E29" i="14"/>
  <c r="G29" i="14"/>
  <c r="F29" i="14"/>
  <c r="C30" i="14"/>
  <c r="B29" i="14"/>
  <c r="Q28" i="14" s="1"/>
  <c r="D30" i="10"/>
  <c r="G30" i="10"/>
  <c r="F30" i="10"/>
  <c r="E30" i="10"/>
  <c r="C31" i="10"/>
  <c r="B30" i="10"/>
  <c r="S29" i="10" s="1"/>
  <c r="I30" i="10"/>
  <c r="E46" i="19"/>
  <c r="S16" i="8" l="1"/>
  <c r="L16" i="8"/>
  <c r="Q16" i="8"/>
  <c r="T16" i="8"/>
  <c r="M16" i="8"/>
  <c r="O16" i="8"/>
  <c r="G16" i="8"/>
  <c r="F16" i="8" s="1"/>
  <c r="P16" i="8"/>
  <c r="K16" i="8"/>
  <c r="N16" i="8"/>
  <c r="R16" i="8"/>
  <c r="O20" i="14"/>
  <c r="M21" i="14" s="1"/>
  <c r="P21" i="14" s="1"/>
  <c r="Q22" i="10"/>
  <c r="O23" i="10" s="1"/>
  <c r="R23" i="10" s="1"/>
  <c r="O21" i="2"/>
  <c r="M22" i="2" s="1"/>
  <c r="P22" i="2" s="1"/>
  <c r="Q19" i="17"/>
  <c r="O20" i="17" s="1"/>
  <c r="R20" i="17" s="1"/>
  <c r="P50" i="20"/>
  <c r="F46" i="19"/>
  <c r="K29" i="10"/>
  <c r="J28" i="2"/>
  <c r="T27" i="2" s="1"/>
  <c r="H28" i="2"/>
  <c r="Z26" i="22" s="1"/>
  <c r="AB26" i="22" s="1"/>
  <c r="W28" i="10"/>
  <c r="Z28" i="10"/>
  <c r="Y28" i="10"/>
  <c r="J29" i="14"/>
  <c r="K29" i="14" s="1"/>
  <c r="Y25" i="17"/>
  <c r="AA25" i="17" s="1"/>
  <c r="J30" i="10"/>
  <c r="L30" i="10" s="1"/>
  <c r="V29" i="10" s="1"/>
  <c r="H29" i="14"/>
  <c r="I29" i="14" s="1"/>
  <c r="M30" i="10"/>
  <c r="I27" i="2"/>
  <c r="AA26" i="10"/>
  <c r="E29" i="2"/>
  <c r="G29" i="2"/>
  <c r="D29" i="2"/>
  <c r="F29" i="2"/>
  <c r="C30" i="2"/>
  <c r="B29" i="2"/>
  <c r="Q28" i="2" s="1"/>
  <c r="K27" i="2"/>
  <c r="T26" i="2"/>
  <c r="U26" i="2" s="1"/>
  <c r="W27" i="10"/>
  <c r="Y27" i="10"/>
  <c r="Z27" i="10"/>
  <c r="G31" i="10"/>
  <c r="E31" i="10"/>
  <c r="F31" i="10"/>
  <c r="D31" i="10"/>
  <c r="B31" i="10"/>
  <c r="S30" i="10" s="1"/>
  <c r="C32" i="10"/>
  <c r="I31" i="10"/>
  <c r="C31" i="14"/>
  <c r="D30" i="14"/>
  <c r="F30" i="14"/>
  <c r="E30" i="14"/>
  <c r="G30" i="14"/>
  <c r="B30" i="14"/>
  <c r="Q29" i="14" s="1"/>
  <c r="C23" i="8"/>
  <c r="B22" i="8"/>
  <c r="J22" i="8"/>
  <c r="E16" i="8"/>
  <c r="O21" i="14" l="1"/>
  <c r="Q20" i="17"/>
  <c r="O22" i="2"/>
  <c r="N22" i="2"/>
  <c r="P20" i="17"/>
  <c r="P23" i="10"/>
  <c r="N21" i="14"/>
  <c r="H16" i="8"/>
  <c r="D17" i="8" s="1"/>
  <c r="Q23" i="10"/>
  <c r="H46" i="19"/>
  <c r="D47" i="19" s="1"/>
  <c r="Q50" i="20"/>
  <c r="K28" i="2"/>
  <c r="U27" i="2"/>
  <c r="AA28" i="10"/>
  <c r="I28" i="2"/>
  <c r="M31" i="10"/>
  <c r="H29" i="2"/>
  <c r="Y26" i="17"/>
  <c r="AA26" i="17" s="1"/>
  <c r="J30" i="14"/>
  <c r="K30" i="14" s="1"/>
  <c r="J31" i="10"/>
  <c r="L31" i="10" s="1"/>
  <c r="V30" i="10" s="1"/>
  <c r="W29" i="10"/>
  <c r="Y29" i="10"/>
  <c r="Z29" i="10"/>
  <c r="H30" i="14"/>
  <c r="I30" i="14" s="1"/>
  <c r="K30" i="10"/>
  <c r="J29" i="2"/>
  <c r="T28" i="2" s="1"/>
  <c r="AA27" i="10"/>
  <c r="F30" i="2"/>
  <c r="G30" i="2"/>
  <c r="D30" i="2"/>
  <c r="E30" i="2"/>
  <c r="B30" i="2"/>
  <c r="Q29" i="2" s="1"/>
  <c r="C31" i="2"/>
  <c r="B23" i="8"/>
  <c r="C24" i="8"/>
  <c r="J23" i="8"/>
  <c r="D32" i="10"/>
  <c r="F32" i="10"/>
  <c r="E32" i="10"/>
  <c r="G32" i="10"/>
  <c r="B32" i="10"/>
  <c r="S31" i="10" s="1"/>
  <c r="C33" i="10"/>
  <c r="I32" i="10"/>
  <c r="F31" i="14"/>
  <c r="C32" i="14"/>
  <c r="D31" i="14"/>
  <c r="E31" i="14"/>
  <c r="B31" i="14"/>
  <c r="Q30" i="14" s="1"/>
  <c r="G31" i="14"/>
  <c r="G17" i="8" l="1"/>
  <c r="F17" i="8" s="1"/>
  <c r="R17" i="8"/>
  <c r="O17" i="8"/>
  <c r="L17" i="8"/>
  <c r="P17" i="8"/>
  <c r="S17" i="8"/>
  <c r="N17" i="8"/>
  <c r="M17" i="8"/>
  <c r="Q17" i="8"/>
  <c r="K17" i="8"/>
  <c r="O21" i="17"/>
  <c r="R21" i="17" s="1"/>
  <c r="M23" i="2"/>
  <c r="P23" i="2" s="1"/>
  <c r="O24" i="10"/>
  <c r="R24" i="10" s="1"/>
  <c r="M22" i="14"/>
  <c r="P22" i="14" s="1"/>
  <c r="Y27" i="17"/>
  <c r="AA27" i="17" s="1"/>
  <c r="Z27" i="22"/>
  <c r="AB27" i="22" s="1"/>
  <c r="G47" i="19"/>
  <c r="R51" i="20"/>
  <c r="K31" i="10"/>
  <c r="U28" i="2"/>
  <c r="AA29" i="10"/>
  <c r="W30" i="10"/>
  <c r="Y30" i="10"/>
  <c r="Z30" i="10"/>
  <c r="I29" i="2"/>
  <c r="K29" i="2"/>
  <c r="J31" i="14"/>
  <c r="K31" i="14" s="1"/>
  <c r="H31" i="14"/>
  <c r="I31" i="14" s="1"/>
  <c r="J32" i="10"/>
  <c r="K32" i="10" s="1"/>
  <c r="J30" i="2"/>
  <c r="T29" i="2" s="1"/>
  <c r="H30" i="2"/>
  <c r="Z28" i="22" s="1"/>
  <c r="AB28" i="22" s="1"/>
  <c r="M32" i="10"/>
  <c r="E33" i="10"/>
  <c r="F33" i="10"/>
  <c r="D33" i="10"/>
  <c r="G33" i="10"/>
  <c r="B33" i="10"/>
  <c r="S32" i="10" s="1"/>
  <c r="C34" i="10"/>
  <c r="I33" i="10"/>
  <c r="J24" i="8"/>
  <c r="C25" i="8"/>
  <c r="B24" i="8"/>
  <c r="G32" i="14"/>
  <c r="D32" i="14"/>
  <c r="F32" i="14"/>
  <c r="E32" i="14"/>
  <c r="B32" i="14"/>
  <c r="Q31" i="14" s="1"/>
  <c r="C33" i="14"/>
  <c r="G31" i="2"/>
  <c r="F31" i="2"/>
  <c r="E31" i="2"/>
  <c r="D31" i="2"/>
  <c r="B31" i="2"/>
  <c r="Q30" i="2" s="1"/>
  <c r="C32" i="2"/>
  <c r="E47" i="19"/>
  <c r="E17" i="8"/>
  <c r="P24" i="10" l="1"/>
  <c r="N22" i="14"/>
  <c r="N23" i="2"/>
  <c r="P21" i="17"/>
  <c r="H17" i="8"/>
  <c r="D18" i="8" s="1"/>
  <c r="Q21" i="17"/>
  <c r="O22" i="14"/>
  <c r="O23" i="2"/>
  <c r="Q24" i="10"/>
  <c r="P51" i="20"/>
  <c r="F47" i="19"/>
  <c r="U29" i="2"/>
  <c r="J33" i="10"/>
  <c r="K33" i="10" s="1"/>
  <c r="L32" i="10"/>
  <c r="V31" i="10" s="1"/>
  <c r="Y31" i="10" s="1"/>
  <c r="AA30" i="10"/>
  <c r="K30" i="2"/>
  <c r="H31" i="2"/>
  <c r="J31" i="2"/>
  <c r="T30" i="2" s="1"/>
  <c r="M33" i="10"/>
  <c r="J32" i="14"/>
  <c r="K32" i="14" s="1"/>
  <c r="Y28" i="17"/>
  <c r="AA28" i="17" s="1"/>
  <c r="H32" i="14"/>
  <c r="I32" i="14" s="1"/>
  <c r="I30" i="2"/>
  <c r="C26" i="8"/>
  <c r="B25" i="8"/>
  <c r="J25" i="8"/>
  <c r="B33" i="14"/>
  <c r="Q32" i="14" s="1"/>
  <c r="G33" i="14"/>
  <c r="E33" i="14"/>
  <c r="F33" i="14"/>
  <c r="C34" i="14"/>
  <c r="D33" i="14"/>
  <c r="F32" i="2"/>
  <c r="G32" i="2"/>
  <c r="E32" i="2"/>
  <c r="D32" i="2"/>
  <c r="C33" i="2"/>
  <c r="B32" i="2"/>
  <c r="Q31" i="2" s="1"/>
  <c r="F34" i="10"/>
  <c r="E34" i="10"/>
  <c r="D34" i="10"/>
  <c r="G34" i="10"/>
  <c r="C35" i="10"/>
  <c r="B34" i="10"/>
  <c r="S33" i="10" s="1"/>
  <c r="I34" i="10"/>
  <c r="O25" i="10" l="1"/>
  <c r="R25" i="10" s="1"/>
  <c r="M23" i="14"/>
  <c r="P23" i="14" s="1"/>
  <c r="G18" i="8"/>
  <c r="F18" i="8" s="1"/>
  <c r="R18" i="8"/>
  <c r="P18" i="8"/>
  <c r="N18" i="8"/>
  <c r="K18" i="8"/>
  <c r="Q18" i="8"/>
  <c r="M18" i="8"/>
  <c r="O18" i="8"/>
  <c r="L18" i="8"/>
  <c r="M24" i="2"/>
  <c r="P24" i="2" s="1"/>
  <c r="O22" i="17"/>
  <c r="R22" i="17" s="1"/>
  <c r="I31" i="2"/>
  <c r="Z29" i="22"/>
  <c r="AB29" i="22" s="1"/>
  <c r="H47" i="19"/>
  <c r="D48" i="19" s="1"/>
  <c r="Q51" i="20"/>
  <c r="U30" i="2"/>
  <c r="L33" i="10"/>
  <c r="V32" i="10" s="1"/>
  <c r="Y32" i="10" s="1"/>
  <c r="Z31" i="10"/>
  <c r="AA31" i="10" s="1"/>
  <c r="K31" i="2"/>
  <c r="W31" i="10"/>
  <c r="M34" i="10"/>
  <c r="Y29" i="17"/>
  <c r="AA29" i="17" s="1"/>
  <c r="J34" i="10"/>
  <c r="L34" i="10" s="1"/>
  <c r="H32" i="2"/>
  <c r="J33" i="14"/>
  <c r="K33" i="14" s="1"/>
  <c r="J32" i="2"/>
  <c r="T31" i="2" s="1"/>
  <c r="H33" i="14"/>
  <c r="I33" i="14" s="1"/>
  <c r="E33" i="2"/>
  <c r="G33" i="2"/>
  <c r="D33" i="2"/>
  <c r="F33" i="2"/>
  <c r="C34" i="2"/>
  <c r="B33" i="2"/>
  <c r="Q32" i="2" s="1"/>
  <c r="B26" i="8"/>
  <c r="C27" i="8"/>
  <c r="E34" i="14"/>
  <c r="F34" i="14"/>
  <c r="G34" i="14"/>
  <c r="D34" i="14"/>
  <c r="C35" i="14"/>
  <c r="B34" i="14"/>
  <c r="Q33" i="14" s="1"/>
  <c r="D35" i="10"/>
  <c r="F35" i="10"/>
  <c r="G35" i="10"/>
  <c r="E35" i="10"/>
  <c r="C36" i="10"/>
  <c r="B35" i="10"/>
  <c r="S34" i="10" s="1"/>
  <c r="I35" i="10"/>
  <c r="E18" i="8"/>
  <c r="P25" i="10" l="1"/>
  <c r="N23" i="14"/>
  <c r="N24" i="2"/>
  <c r="P22" i="17"/>
  <c r="H18" i="8"/>
  <c r="D19" i="8" s="1"/>
  <c r="O23" i="14"/>
  <c r="Q25" i="10"/>
  <c r="O24" i="2"/>
  <c r="Q22" i="17"/>
  <c r="U31" i="2"/>
  <c r="Y30" i="17"/>
  <c r="AA30" i="17" s="1"/>
  <c r="Z30" i="22"/>
  <c r="AB30" i="22" s="1"/>
  <c r="G48" i="19"/>
  <c r="R52" i="20"/>
  <c r="V33" i="10"/>
  <c r="Z33" i="10" s="1"/>
  <c r="I32" i="2"/>
  <c r="W32" i="10"/>
  <c r="Z32" i="10"/>
  <c r="AA32" i="10" s="1"/>
  <c r="K34" i="10"/>
  <c r="J33" i="2"/>
  <c r="T32" i="2" s="1"/>
  <c r="J34" i="14"/>
  <c r="K34" i="14" s="1"/>
  <c r="H34" i="14"/>
  <c r="I34" i="14" s="1"/>
  <c r="H33" i="2"/>
  <c r="Z31" i="22" s="1"/>
  <c r="AB31" i="22" s="1"/>
  <c r="J35" i="10"/>
  <c r="L35" i="10" s="1"/>
  <c r="V34" i="10" s="1"/>
  <c r="M35" i="10"/>
  <c r="K32" i="2"/>
  <c r="D35" i="14"/>
  <c r="F35" i="14"/>
  <c r="G35" i="14"/>
  <c r="E35" i="14"/>
  <c r="B35" i="14"/>
  <c r="Q34" i="14" s="1"/>
  <c r="C36" i="14"/>
  <c r="F34" i="2"/>
  <c r="G34" i="2"/>
  <c r="D34" i="2"/>
  <c r="E34" i="2"/>
  <c r="C35" i="2"/>
  <c r="B34" i="2"/>
  <c r="Q33" i="2" s="1"/>
  <c r="B27" i="8"/>
  <c r="C28" i="8"/>
  <c r="G36" i="10"/>
  <c r="F36" i="10"/>
  <c r="D36" i="10"/>
  <c r="E36" i="10"/>
  <c r="C37" i="10"/>
  <c r="B36" i="10"/>
  <c r="S35" i="10" s="1"/>
  <c r="I36" i="10"/>
  <c r="E48" i="19"/>
  <c r="G19" i="8" l="1"/>
  <c r="F19" i="8" s="1"/>
  <c r="Q19" i="8"/>
  <c r="M19" i="8"/>
  <c r="M25" i="2"/>
  <c r="P25" i="2" s="1"/>
  <c r="O23" i="17"/>
  <c r="R23" i="17" s="1"/>
  <c r="L19" i="8"/>
  <c r="N19" i="8"/>
  <c r="O19" i="8"/>
  <c r="M24" i="14"/>
  <c r="P24" i="14" s="1"/>
  <c r="K19" i="8"/>
  <c r="P19" i="8"/>
  <c r="O26" i="10"/>
  <c r="R26" i="10" s="1"/>
  <c r="P52" i="20"/>
  <c r="F48" i="19"/>
  <c r="U32" i="2"/>
  <c r="Y33" i="10"/>
  <c r="AA33" i="10" s="1"/>
  <c r="W33" i="10"/>
  <c r="I33" i="2"/>
  <c r="K33" i="2"/>
  <c r="H34" i="2"/>
  <c r="J36" i="10"/>
  <c r="L36" i="10" s="1"/>
  <c r="V35" i="10" s="1"/>
  <c r="K35" i="10"/>
  <c r="Z34" i="10"/>
  <c r="Y34" i="10"/>
  <c r="M36" i="10"/>
  <c r="Y31" i="17"/>
  <c r="AA31" i="17" s="1"/>
  <c r="J35" i="14"/>
  <c r="K35" i="14" s="1"/>
  <c r="W34" i="10"/>
  <c r="J34" i="2"/>
  <c r="T33" i="2" s="1"/>
  <c r="H35" i="14"/>
  <c r="I35" i="14" s="1"/>
  <c r="F36" i="14"/>
  <c r="D36" i="14"/>
  <c r="G36" i="14"/>
  <c r="E36" i="14"/>
  <c r="C37" i="14"/>
  <c r="B36" i="14"/>
  <c r="Q35" i="14" s="1"/>
  <c r="E37" i="10"/>
  <c r="D37" i="10"/>
  <c r="G37" i="10"/>
  <c r="F37" i="10"/>
  <c r="B37" i="10"/>
  <c r="S36" i="10" s="1"/>
  <c r="C38" i="10"/>
  <c r="I37" i="10"/>
  <c r="E35" i="2"/>
  <c r="G35" i="2"/>
  <c r="F35" i="2"/>
  <c r="D35" i="2"/>
  <c r="C36" i="2"/>
  <c r="B35" i="2"/>
  <c r="Q34" i="2" s="1"/>
  <c r="B28" i="8"/>
  <c r="C29" i="8"/>
  <c r="E19" i="8"/>
  <c r="P26" i="10" l="1"/>
  <c r="N25" i="2"/>
  <c r="P23" i="17"/>
  <c r="N24" i="14"/>
  <c r="H19" i="8"/>
  <c r="D20" i="8" s="1"/>
  <c r="Q26" i="10"/>
  <c r="O24" i="14"/>
  <c r="O25" i="2"/>
  <c r="Q23" i="17"/>
  <c r="Y32" i="17"/>
  <c r="AA32" i="17" s="1"/>
  <c r="Z32" i="22"/>
  <c r="AB32" i="22" s="1"/>
  <c r="U33" i="2"/>
  <c r="H48" i="19"/>
  <c r="D49" i="19" s="1"/>
  <c r="Q52" i="20"/>
  <c r="I34" i="2"/>
  <c r="Y35" i="10"/>
  <c r="K34" i="2"/>
  <c r="K36" i="10"/>
  <c r="AA34" i="10"/>
  <c r="Z35" i="10"/>
  <c r="W35" i="10"/>
  <c r="J37" i="10"/>
  <c r="K37" i="10" s="1"/>
  <c r="J36" i="14"/>
  <c r="K36" i="14" s="1"/>
  <c r="J35" i="2"/>
  <c r="T34" i="2" s="1"/>
  <c r="M37" i="10"/>
  <c r="H36" i="14"/>
  <c r="I36" i="14" s="1"/>
  <c r="H35" i="2"/>
  <c r="D38" i="10"/>
  <c r="G38" i="10"/>
  <c r="E38" i="10"/>
  <c r="F38" i="10"/>
  <c r="C39" i="10"/>
  <c r="B38" i="10"/>
  <c r="S37" i="10" s="1"/>
  <c r="I38" i="10"/>
  <c r="B29" i="8"/>
  <c r="C30" i="8"/>
  <c r="D36" i="2"/>
  <c r="E36" i="2"/>
  <c r="G36" i="2"/>
  <c r="F36" i="2"/>
  <c r="C37" i="2"/>
  <c r="B36" i="2"/>
  <c r="Q35" i="2" s="1"/>
  <c r="F37" i="14"/>
  <c r="D37" i="14"/>
  <c r="E37" i="14"/>
  <c r="G37" i="14"/>
  <c r="B37" i="14"/>
  <c r="Q36" i="14" s="1"/>
  <c r="C38" i="14"/>
  <c r="G20" i="8" l="1"/>
  <c r="F20" i="8" s="1"/>
  <c r="L20" i="8"/>
  <c r="K20" i="8"/>
  <c r="M26" i="2"/>
  <c r="P26" i="2" s="1"/>
  <c r="P20" i="8"/>
  <c r="O24" i="17"/>
  <c r="R24" i="17" s="1"/>
  <c r="N20" i="8"/>
  <c r="M25" i="14"/>
  <c r="P25" i="14" s="1"/>
  <c r="O20" i="8"/>
  <c r="M20" i="8"/>
  <c r="O27" i="10"/>
  <c r="R27" i="10" s="1"/>
  <c r="I35" i="2"/>
  <c r="Z33" i="22"/>
  <c r="AB33" i="22" s="1"/>
  <c r="L37" i="10"/>
  <c r="V36" i="10" s="1"/>
  <c r="Z36" i="10" s="1"/>
  <c r="G49" i="19"/>
  <c r="R53" i="20"/>
  <c r="AA35" i="10"/>
  <c r="U34" i="2"/>
  <c r="J37" i="14"/>
  <c r="K37" i="14" s="1"/>
  <c r="K35" i="2"/>
  <c r="H37" i="14"/>
  <c r="I37" i="14" s="1"/>
  <c r="H36" i="2"/>
  <c r="Z34" i="22" s="1"/>
  <c r="AB34" i="22" s="1"/>
  <c r="J38" i="10"/>
  <c r="L38" i="10" s="1"/>
  <c r="J36" i="2"/>
  <c r="T35" i="2" s="1"/>
  <c r="Y33" i="17"/>
  <c r="AA33" i="17" s="1"/>
  <c r="M38" i="10"/>
  <c r="D37" i="2"/>
  <c r="G37" i="2"/>
  <c r="E37" i="2"/>
  <c r="F37" i="2"/>
  <c r="B37" i="2"/>
  <c r="Q36" i="2" s="1"/>
  <c r="C38" i="2"/>
  <c r="D38" i="14"/>
  <c r="E38" i="14"/>
  <c r="G38" i="14"/>
  <c r="F38" i="14"/>
  <c r="B38" i="14"/>
  <c r="Q37" i="14" s="1"/>
  <c r="C39" i="14"/>
  <c r="B30" i="8"/>
  <c r="C31" i="8"/>
  <c r="F39" i="10"/>
  <c r="E39" i="10"/>
  <c r="G39" i="10"/>
  <c r="D39" i="10"/>
  <c r="C40" i="10"/>
  <c r="B39" i="10"/>
  <c r="S38" i="10" s="1"/>
  <c r="I39" i="10"/>
  <c r="E49" i="19"/>
  <c r="E20" i="8"/>
  <c r="N25" i="14" l="1"/>
  <c r="N26" i="2"/>
  <c r="P24" i="17"/>
  <c r="P27" i="10"/>
  <c r="U35" i="2"/>
  <c r="Y36" i="10"/>
  <c r="AA36" i="10" s="1"/>
  <c r="W36" i="10"/>
  <c r="V37" i="10"/>
  <c r="Y37" i="10" s="1"/>
  <c r="P53" i="20"/>
  <c r="F49" i="19"/>
  <c r="J39" i="10"/>
  <c r="L39" i="10" s="1"/>
  <c r="V38" i="10" s="1"/>
  <c r="Z38" i="10" s="1"/>
  <c r="J38" i="14"/>
  <c r="K38" i="14" s="1"/>
  <c r="M39" i="10"/>
  <c r="K38" i="10"/>
  <c r="H38" i="14"/>
  <c r="I36" i="2"/>
  <c r="Y34" i="17"/>
  <c r="AA34" i="17" s="1"/>
  <c r="J37" i="2"/>
  <c r="T36" i="2" s="1"/>
  <c r="H37" i="2"/>
  <c r="K36" i="2"/>
  <c r="F39" i="14"/>
  <c r="C40" i="14"/>
  <c r="G39" i="14"/>
  <c r="E39" i="14"/>
  <c r="D39" i="14"/>
  <c r="B39" i="14"/>
  <c r="Q38" i="14" s="1"/>
  <c r="G40" i="10"/>
  <c r="F40" i="10"/>
  <c r="E40" i="10"/>
  <c r="D40" i="10"/>
  <c r="C41" i="10"/>
  <c r="B40" i="10"/>
  <c r="S39" i="10" s="1"/>
  <c r="I40" i="10"/>
  <c r="B31" i="8"/>
  <c r="C32" i="8"/>
  <c r="G38" i="2"/>
  <c r="D38" i="2"/>
  <c r="E38" i="2"/>
  <c r="F38" i="2"/>
  <c r="B38" i="2"/>
  <c r="Q37" i="2" s="1"/>
  <c r="C39" i="2"/>
  <c r="O26" i="2" l="1"/>
  <c r="Q24" i="17"/>
  <c r="O25" i="14"/>
  <c r="Q27" i="10"/>
  <c r="H20" i="8"/>
  <c r="D21" i="8" s="1"/>
  <c r="Y35" i="17"/>
  <c r="AA35" i="17" s="1"/>
  <c r="Z35" i="22"/>
  <c r="AB35" i="22" s="1"/>
  <c r="Z37" i="10"/>
  <c r="AA37" i="10" s="1"/>
  <c r="W37" i="10"/>
  <c r="H49" i="19"/>
  <c r="D50" i="19" s="1"/>
  <c r="Q53" i="20"/>
  <c r="K39" i="10"/>
  <c r="K37" i="2"/>
  <c r="W38" i="10"/>
  <c r="J39" i="14"/>
  <c r="K39" i="14" s="1"/>
  <c r="J38" i="2"/>
  <c r="T37" i="2" s="1"/>
  <c r="Y38" i="10"/>
  <c r="AA38" i="10" s="1"/>
  <c r="H38" i="2"/>
  <c r="J40" i="10"/>
  <c r="L40" i="10" s="1"/>
  <c r="V39" i="10" s="1"/>
  <c r="Z39" i="10" s="1"/>
  <c r="H39" i="14"/>
  <c r="I39" i="14" s="1"/>
  <c r="I38" i="14"/>
  <c r="M40" i="10"/>
  <c r="I37" i="2"/>
  <c r="U36" i="2"/>
  <c r="E40" i="14"/>
  <c r="G40" i="14"/>
  <c r="D40" i="14"/>
  <c r="F40" i="14"/>
  <c r="C41" i="14"/>
  <c r="B40" i="14"/>
  <c r="Q39" i="14" s="1"/>
  <c r="F41" i="10"/>
  <c r="G41" i="10"/>
  <c r="E41" i="10"/>
  <c r="D41" i="10"/>
  <c r="B41" i="10"/>
  <c r="S40" i="10" s="1"/>
  <c r="C42" i="10"/>
  <c r="I41" i="10"/>
  <c r="C33" i="8"/>
  <c r="B32" i="8"/>
  <c r="D39" i="2"/>
  <c r="G39" i="2"/>
  <c r="F39" i="2"/>
  <c r="E39" i="2"/>
  <c r="C40" i="2"/>
  <c r="B39" i="2"/>
  <c r="Q38" i="2" s="1"/>
  <c r="G21" i="8" l="1"/>
  <c r="F21" i="8" s="1"/>
  <c r="L21" i="8"/>
  <c r="N21" i="8"/>
  <c r="M26" i="14"/>
  <c r="P26" i="14" s="1"/>
  <c r="O25" i="17"/>
  <c r="R25" i="17" s="1"/>
  <c r="M21" i="8"/>
  <c r="O28" i="10"/>
  <c r="R28" i="10" s="1"/>
  <c r="O21" i="8"/>
  <c r="K21" i="8"/>
  <c r="M27" i="2"/>
  <c r="P27" i="2" s="1"/>
  <c r="Y36" i="17"/>
  <c r="AA36" i="17" s="1"/>
  <c r="Z36" i="22"/>
  <c r="AB36" i="22" s="1"/>
  <c r="G50" i="19"/>
  <c r="F50" i="19" s="1"/>
  <c r="R54" i="20"/>
  <c r="K40" i="10"/>
  <c r="K38" i="2"/>
  <c r="U37" i="2"/>
  <c r="J39" i="2"/>
  <c r="T38" i="2" s="1"/>
  <c r="Y39" i="10"/>
  <c r="AA39" i="10" s="1"/>
  <c r="M41" i="10"/>
  <c r="J40" i="14"/>
  <c r="K40" i="14" s="1"/>
  <c r="W39" i="10"/>
  <c r="H39" i="2"/>
  <c r="J41" i="10"/>
  <c r="K41" i="10" s="1"/>
  <c r="I38" i="2"/>
  <c r="H40" i="14"/>
  <c r="I40" i="14" s="1"/>
  <c r="F40" i="2"/>
  <c r="D40" i="2"/>
  <c r="E40" i="2"/>
  <c r="G40" i="2"/>
  <c r="C41" i="2"/>
  <c r="B40" i="2"/>
  <c r="Q39" i="2" s="1"/>
  <c r="B33" i="8"/>
  <c r="C34" i="8"/>
  <c r="E42" i="10"/>
  <c r="F42" i="10"/>
  <c r="G42" i="10"/>
  <c r="D42" i="10"/>
  <c r="C43" i="10"/>
  <c r="B42" i="10"/>
  <c r="S41" i="10" s="1"/>
  <c r="I42" i="10"/>
  <c r="D41" i="14"/>
  <c r="F41" i="14"/>
  <c r="E41" i="14"/>
  <c r="G41" i="14"/>
  <c r="C42" i="14"/>
  <c r="B41" i="14"/>
  <c r="Q40" i="14" s="1"/>
  <c r="E50" i="19"/>
  <c r="E21" i="8"/>
  <c r="P28" i="10" l="1"/>
  <c r="N27" i="2"/>
  <c r="P25" i="17"/>
  <c r="N26" i="14"/>
  <c r="H21" i="8"/>
  <c r="D22" i="8" s="1"/>
  <c r="O27" i="2"/>
  <c r="Q25" i="17"/>
  <c r="Q28" i="10"/>
  <c r="O26" i="14"/>
  <c r="Y37" i="17"/>
  <c r="AA37" i="17" s="1"/>
  <c r="Z37" i="22"/>
  <c r="AB37" i="22" s="1"/>
  <c r="P54" i="20"/>
  <c r="H50" i="19"/>
  <c r="D51" i="19" s="1"/>
  <c r="Q54" i="20"/>
  <c r="K39" i="2"/>
  <c r="U38" i="2"/>
  <c r="J42" i="10"/>
  <c r="L42" i="10" s="1"/>
  <c r="I39" i="2"/>
  <c r="J40" i="2"/>
  <c r="T39" i="2" s="1"/>
  <c r="L41" i="10"/>
  <c r="V40" i="10" s="1"/>
  <c r="J41" i="14"/>
  <c r="K41" i="14" s="1"/>
  <c r="H40" i="2"/>
  <c r="H41" i="14"/>
  <c r="I41" i="14" s="1"/>
  <c r="M42" i="10"/>
  <c r="B34" i="8"/>
  <c r="C35" i="8"/>
  <c r="F41" i="2"/>
  <c r="G41" i="2"/>
  <c r="D41" i="2"/>
  <c r="E41" i="2"/>
  <c r="B41" i="2"/>
  <c r="Q40" i="2" s="1"/>
  <c r="C42" i="2"/>
  <c r="D43" i="10"/>
  <c r="F43" i="10"/>
  <c r="E43" i="10"/>
  <c r="G43" i="10"/>
  <c r="B43" i="10"/>
  <c r="S42" i="10" s="1"/>
  <c r="C44" i="10"/>
  <c r="I43" i="10"/>
  <c r="D42" i="14"/>
  <c r="G42" i="14"/>
  <c r="F42" i="14"/>
  <c r="E42" i="14"/>
  <c r="C43" i="14"/>
  <c r="B42" i="14"/>
  <c r="Q41" i="14" s="1"/>
  <c r="M28" i="2" l="1"/>
  <c r="P28" i="2" s="1"/>
  <c r="O29" i="10"/>
  <c r="R29" i="10" s="1"/>
  <c r="O26" i="17"/>
  <c r="R26" i="17" s="1"/>
  <c r="M27" i="14"/>
  <c r="P27" i="14" s="1"/>
  <c r="G22" i="8"/>
  <c r="F22" i="8" s="1"/>
  <c r="M22" i="8"/>
  <c r="N22" i="8"/>
  <c r="L22" i="8"/>
  <c r="K22" i="8"/>
  <c r="Y38" i="17"/>
  <c r="AA38" i="17" s="1"/>
  <c r="Z38" i="22"/>
  <c r="AB38" i="22" s="1"/>
  <c r="K42" i="10"/>
  <c r="G51" i="19"/>
  <c r="R55" i="20"/>
  <c r="U39" i="2"/>
  <c r="K40" i="2"/>
  <c r="H41" i="2"/>
  <c r="I40" i="2"/>
  <c r="V41" i="10"/>
  <c r="Z40" i="10"/>
  <c r="Y40" i="10"/>
  <c r="W40" i="10"/>
  <c r="M43" i="10"/>
  <c r="J42" i="14"/>
  <c r="K42" i="14" s="1"/>
  <c r="H42" i="14"/>
  <c r="I42" i="14" s="1"/>
  <c r="J43" i="10"/>
  <c r="L43" i="10" s="1"/>
  <c r="V42" i="10" s="1"/>
  <c r="J41" i="2"/>
  <c r="T40" i="2" s="1"/>
  <c r="D43" i="14"/>
  <c r="E43" i="14"/>
  <c r="G43" i="14"/>
  <c r="F43" i="14"/>
  <c r="B43" i="14"/>
  <c r="Q42" i="14" s="1"/>
  <c r="C44" i="14"/>
  <c r="G44" i="10"/>
  <c r="D44" i="10"/>
  <c r="E44" i="10"/>
  <c r="F44" i="10"/>
  <c r="C45" i="10"/>
  <c r="B44" i="10"/>
  <c r="S43" i="10" s="1"/>
  <c r="I44" i="10"/>
  <c r="D42" i="2"/>
  <c r="E42" i="2"/>
  <c r="F42" i="2"/>
  <c r="G42" i="2"/>
  <c r="B42" i="2"/>
  <c r="Q41" i="2" s="1"/>
  <c r="C43" i="2"/>
  <c r="C36" i="8"/>
  <c r="B35" i="8"/>
  <c r="E22" i="8"/>
  <c r="E51" i="19"/>
  <c r="N27" i="14" l="1"/>
  <c r="P29" i="10"/>
  <c r="N28" i="2"/>
  <c r="P26" i="17"/>
  <c r="H22" i="8"/>
  <c r="D23" i="8" s="1"/>
  <c r="Q29" i="10"/>
  <c r="O28" i="2"/>
  <c r="Q26" i="17"/>
  <c r="O27" i="14"/>
  <c r="Y39" i="17"/>
  <c r="AA39" i="17" s="1"/>
  <c r="Z39" i="22"/>
  <c r="AB39" i="22" s="1"/>
  <c r="P55" i="20"/>
  <c r="F51" i="19"/>
  <c r="I41" i="2"/>
  <c r="K43" i="10"/>
  <c r="U40" i="2"/>
  <c r="K41" i="2"/>
  <c r="AA40" i="10"/>
  <c r="H42" i="2"/>
  <c r="Y41" i="10"/>
  <c r="Z41" i="10"/>
  <c r="W41" i="10"/>
  <c r="Z42" i="10"/>
  <c r="W42" i="10"/>
  <c r="Y42" i="10"/>
  <c r="M44" i="10"/>
  <c r="J42" i="2"/>
  <c r="T41" i="2" s="1"/>
  <c r="J43" i="14"/>
  <c r="K43" i="14" s="1"/>
  <c r="H43" i="14"/>
  <c r="I43" i="14" s="1"/>
  <c r="J44" i="10"/>
  <c r="L44" i="10" s="1"/>
  <c r="V43" i="10" s="1"/>
  <c r="F43" i="2"/>
  <c r="D43" i="2"/>
  <c r="E43" i="2"/>
  <c r="G43" i="2"/>
  <c r="B43" i="2"/>
  <c r="Q42" i="2" s="1"/>
  <c r="C44" i="2"/>
  <c r="G45" i="10"/>
  <c r="F45" i="10"/>
  <c r="D45" i="10"/>
  <c r="E45" i="10"/>
  <c r="B45" i="10"/>
  <c r="S44" i="10" s="1"/>
  <c r="C46" i="10"/>
  <c r="I45" i="10"/>
  <c r="F44" i="14"/>
  <c r="E44" i="14"/>
  <c r="D44" i="14"/>
  <c r="G44" i="14"/>
  <c r="B44" i="14"/>
  <c r="Q43" i="14" s="1"/>
  <c r="C45" i="14"/>
  <c r="B36" i="8"/>
  <c r="C37" i="8"/>
  <c r="M28" i="14" l="1"/>
  <c r="P28" i="14" s="1"/>
  <c r="O30" i="10"/>
  <c r="R30" i="10" s="1"/>
  <c r="O27" i="17"/>
  <c r="R27" i="17" s="1"/>
  <c r="M29" i="2"/>
  <c r="P29" i="2" s="1"/>
  <c r="G23" i="8"/>
  <c r="F23" i="8" s="1"/>
  <c r="M23" i="8"/>
  <c r="K23" i="8"/>
  <c r="L23" i="8"/>
  <c r="Y40" i="17"/>
  <c r="AA40" i="17" s="1"/>
  <c r="Z40" i="22"/>
  <c r="AB40" i="22" s="1"/>
  <c r="I42" i="2"/>
  <c r="H51" i="19"/>
  <c r="D52" i="19" s="1"/>
  <c r="Q55" i="20"/>
  <c r="U41" i="2"/>
  <c r="K44" i="10"/>
  <c r="K42" i="2"/>
  <c r="AA42" i="10"/>
  <c r="AA41" i="10"/>
  <c r="W43" i="10"/>
  <c r="Z43" i="10"/>
  <c r="J44" i="14"/>
  <c r="K44" i="14" s="1"/>
  <c r="J45" i="10"/>
  <c r="K45" i="10" s="1"/>
  <c r="H43" i="2"/>
  <c r="H44" i="14"/>
  <c r="I44" i="14" s="1"/>
  <c r="Y43" i="10"/>
  <c r="M45" i="10"/>
  <c r="J43" i="2"/>
  <c r="T42" i="2" s="1"/>
  <c r="D46" i="10"/>
  <c r="E46" i="10"/>
  <c r="G46" i="10"/>
  <c r="F46" i="10"/>
  <c r="B46" i="10"/>
  <c r="S45" i="10" s="1"/>
  <c r="C47" i="10"/>
  <c r="I46" i="10"/>
  <c r="F44" i="2"/>
  <c r="G44" i="2"/>
  <c r="D44" i="2"/>
  <c r="E44" i="2"/>
  <c r="C45" i="2"/>
  <c r="B44" i="2"/>
  <c r="Q43" i="2" s="1"/>
  <c r="C38" i="8"/>
  <c r="B37" i="8"/>
  <c r="D45" i="14"/>
  <c r="G45" i="14"/>
  <c r="F45" i="14"/>
  <c r="E45" i="14"/>
  <c r="C46" i="14"/>
  <c r="B45" i="14"/>
  <c r="Q44" i="14" s="1"/>
  <c r="E23" i="8"/>
  <c r="N28" i="14" l="1"/>
  <c r="N29" i="2"/>
  <c r="P27" i="17"/>
  <c r="P30" i="10"/>
  <c r="H23" i="8"/>
  <c r="D24" i="8" s="1"/>
  <c r="O28" i="14"/>
  <c r="Q30" i="10"/>
  <c r="O29" i="2"/>
  <c r="Q27" i="17"/>
  <c r="U42" i="2"/>
  <c r="Y41" i="17"/>
  <c r="AA41" i="17" s="1"/>
  <c r="Z41" i="22"/>
  <c r="AB41" i="22" s="1"/>
  <c r="L45" i="10"/>
  <c r="V44" i="10" s="1"/>
  <c r="Z44" i="10" s="1"/>
  <c r="G52" i="19"/>
  <c r="F52" i="19" s="1"/>
  <c r="R56" i="20"/>
  <c r="I43" i="2"/>
  <c r="H44" i="2"/>
  <c r="AA43" i="10"/>
  <c r="J45" i="14"/>
  <c r="K45" i="14" s="1"/>
  <c r="J44" i="2"/>
  <c r="T43" i="2" s="1"/>
  <c r="J46" i="10"/>
  <c r="L46" i="10" s="1"/>
  <c r="M46" i="10"/>
  <c r="H45" i="14"/>
  <c r="I45" i="14" s="1"/>
  <c r="K43" i="2"/>
  <c r="G47" i="10"/>
  <c r="D47" i="10"/>
  <c r="E47" i="10"/>
  <c r="F47" i="10"/>
  <c r="C48" i="10"/>
  <c r="B47" i="10"/>
  <c r="S46" i="10" s="1"/>
  <c r="I47" i="10"/>
  <c r="D46" i="14"/>
  <c r="B46" i="14"/>
  <c r="Q45" i="14" s="1"/>
  <c r="G46" i="14"/>
  <c r="E46" i="14"/>
  <c r="F46" i="14"/>
  <c r="C47" i="14"/>
  <c r="C39" i="8"/>
  <c r="B38" i="8"/>
  <c r="F45" i="2"/>
  <c r="E45" i="2"/>
  <c r="G45" i="2"/>
  <c r="D45" i="2"/>
  <c r="C46" i="2"/>
  <c r="B45" i="2"/>
  <c r="Q44" i="2" s="1"/>
  <c r="E52" i="19"/>
  <c r="G24" i="8" l="1"/>
  <c r="F24" i="8" s="1"/>
  <c r="M29" i="14"/>
  <c r="P29" i="14" s="1"/>
  <c r="L24" i="8"/>
  <c r="O31" i="10"/>
  <c r="R31" i="10" s="1"/>
  <c r="M30" i="2"/>
  <c r="P30" i="2" s="1"/>
  <c r="O28" i="17"/>
  <c r="R28" i="17" s="1"/>
  <c r="K24" i="8"/>
  <c r="V45" i="10"/>
  <c r="W45" i="10" s="1"/>
  <c r="Y42" i="17"/>
  <c r="AA42" i="17" s="1"/>
  <c r="Z42" i="22"/>
  <c r="AB42" i="22" s="1"/>
  <c r="W44" i="10"/>
  <c r="Y44" i="10"/>
  <c r="AA44" i="10" s="1"/>
  <c r="P56" i="20"/>
  <c r="H52" i="19"/>
  <c r="D53" i="19" s="1"/>
  <c r="Q56" i="20"/>
  <c r="I44" i="2"/>
  <c r="U43" i="2"/>
  <c r="K44" i="2"/>
  <c r="J47" i="10"/>
  <c r="K47" i="10" s="1"/>
  <c r="K46" i="10"/>
  <c r="J45" i="2"/>
  <c r="T44" i="2" s="1"/>
  <c r="J46" i="14"/>
  <c r="K46" i="14" s="1"/>
  <c r="H46" i="14"/>
  <c r="I46" i="14" s="1"/>
  <c r="H45" i="2"/>
  <c r="M47" i="10"/>
  <c r="D48" i="10"/>
  <c r="F48" i="10"/>
  <c r="E48" i="10"/>
  <c r="G48" i="10"/>
  <c r="B48" i="10"/>
  <c r="S47" i="10" s="1"/>
  <c r="C49" i="10"/>
  <c r="I48" i="10"/>
  <c r="G46" i="2"/>
  <c r="E46" i="2"/>
  <c r="F46" i="2"/>
  <c r="D46" i="2"/>
  <c r="B46" i="2"/>
  <c r="Q45" i="2" s="1"/>
  <c r="C47" i="2"/>
  <c r="B39" i="8"/>
  <c r="C40" i="8"/>
  <c r="F47" i="14"/>
  <c r="D47" i="14"/>
  <c r="G47" i="14"/>
  <c r="E47" i="14"/>
  <c r="C48" i="14"/>
  <c r="B47" i="14"/>
  <c r="Q46" i="14" s="1"/>
  <c r="E24" i="8"/>
  <c r="J47" i="14" l="1"/>
  <c r="K47" i="14" s="1"/>
  <c r="H47" i="14"/>
  <c r="I47" i="14" s="1"/>
  <c r="N29" i="14"/>
  <c r="P31" i="10"/>
  <c r="N30" i="2"/>
  <c r="P28" i="17"/>
  <c r="H24" i="8"/>
  <c r="D25" i="8" s="1"/>
  <c r="Q28" i="17"/>
  <c r="O29" i="14"/>
  <c r="Q31" i="10"/>
  <c r="O30" i="2"/>
  <c r="Z45" i="10"/>
  <c r="Y45" i="10"/>
  <c r="L47" i="10"/>
  <c r="V46" i="10" s="1"/>
  <c r="Z46" i="10" s="1"/>
  <c r="Y43" i="17"/>
  <c r="AA43" i="17" s="1"/>
  <c r="Z43" i="22"/>
  <c r="AB43" i="22" s="1"/>
  <c r="U44" i="2"/>
  <c r="G53" i="19"/>
  <c r="R57" i="20"/>
  <c r="I45" i="2"/>
  <c r="K45" i="2"/>
  <c r="J48" i="10"/>
  <c r="L48" i="10" s="1"/>
  <c r="J46" i="2"/>
  <c r="T45" i="2" s="1"/>
  <c r="H46" i="2"/>
  <c r="M48" i="10"/>
  <c r="F48" i="14"/>
  <c r="G48" i="14"/>
  <c r="D48" i="14"/>
  <c r="E48" i="14"/>
  <c r="C49" i="14"/>
  <c r="B48" i="14"/>
  <c r="Q47" i="14" s="1"/>
  <c r="B40" i="8"/>
  <c r="C41" i="8"/>
  <c r="G47" i="2"/>
  <c r="B47" i="2"/>
  <c r="Q46" i="2" s="1"/>
  <c r="D47" i="2"/>
  <c r="E47" i="2"/>
  <c r="F47" i="2"/>
  <c r="C48" i="2"/>
  <c r="D49" i="10"/>
  <c r="F49" i="10"/>
  <c r="G49" i="10"/>
  <c r="E49" i="10"/>
  <c r="C50" i="10"/>
  <c r="B49" i="10"/>
  <c r="S48" i="10" s="1"/>
  <c r="V48" i="10"/>
  <c r="I49" i="10"/>
  <c r="E53" i="19"/>
  <c r="H48" i="14" l="1"/>
  <c r="K48" i="10"/>
  <c r="J49" i="10"/>
  <c r="K49" i="10" s="1"/>
  <c r="J48" i="14"/>
  <c r="K48" i="14" s="1"/>
  <c r="L49" i="10"/>
  <c r="M49" i="10"/>
  <c r="G25" i="8"/>
  <c r="F25" i="8" s="1"/>
  <c r="O29" i="17"/>
  <c r="R29" i="17" s="1"/>
  <c r="M30" i="14"/>
  <c r="P30" i="14" s="1"/>
  <c r="K25" i="8"/>
  <c r="K27" i="8" s="1"/>
  <c r="O32" i="10"/>
  <c r="R32" i="10" s="1"/>
  <c r="M31" i="2"/>
  <c r="P31" i="2" s="1"/>
  <c r="AA45" i="10"/>
  <c r="Y46" i="10"/>
  <c r="AA46" i="10" s="1"/>
  <c r="V47" i="10"/>
  <c r="W47" i="10" s="1"/>
  <c r="W46" i="10"/>
  <c r="Y44" i="17"/>
  <c r="AA44" i="17" s="1"/>
  <c r="AA14" i="17" s="1"/>
  <c r="Z44" i="22"/>
  <c r="AB44" i="22" s="1"/>
  <c r="AB14" i="22" s="1"/>
  <c r="P57" i="20"/>
  <c r="F53" i="19"/>
  <c r="U45" i="2"/>
  <c r="K46" i="2"/>
  <c r="H47" i="2"/>
  <c r="I47" i="2" s="1"/>
  <c r="J47" i="2"/>
  <c r="T46" i="2" s="1"/>
  <c r="I46" i="2"/>
  <c r="C42" i="8"/>
  <c r="B41" i="8"/>
  <c r="D50" i="10"/>
  <c r="G50" i="10"/>
  <c r="F50" i="10"/>
  <c r="E50" i="10"/>
  <c r="V49" i="10"/>
  <c r="B50" i="10"/>
  <c r="S49" i="10" s="1"/>
  <c r="C51" i="10"/>
  <c r="I50" i="10"/>
  <c r="W48" i="10"/>
  <c r="Y48" i="10"/>
  <c r="AA48" i="10"/>
  <c r="Z48" i="10"/>
  <c r="G49" i="14"/>
  <c r="I48" i="14"/>
  <c r="E49" i="14"/>
  <c r="D49" i="14"/>
  <c r="F49" i="14"/>
  <c r="B49" i="14"/>
  <c r="Q48" i="14" s="1"/>
  <c r="C50" i="14"/>
  <c r="F48" i="2"/>
  <c r="G48" i="2"/>
  <c r="D48" i="2"/>
  <c r="E48" i="2"/>
  <c r="B48" i="2"/>
  <c r="Q47" i="2" s="1"/>
  <c r="C49" i="2"/>
  <c r="E25" i="8"/>
  <c r="J50" i="10" l="1"/>
  <c r="K50" i="10" s="1"/>
  <c r="J49" i="14"/>
  <c r="K49" i="14" s="1"/>
  <c r="L50" i="10"/>
  <c r="H49" i="14"/>
  <c r="I49" i="14" s="1"/>
  <c r="H48" i="2"/>
  <c r="I48" i="2" s="1"/>
  <c r="J48" i="2"/>
  <c r="T47" i="2" s="1"/>
  <c r="U47" i="2" s="1"/>
  <c r="M50" i="10"/>
  <c r="P29" i="17"/>
  <c r="N30" i="14"/>
  <c r="N31" i="2"/>
  <c r="P32" i="10"/>
  <c r="H25" i="8"/>
  <c r="D26" i="8" s="1"/>
  <c r="O30" i="14"/>
  <c r="O31" i="2"/>
  <c r="Q32" i="10"/>
  <c r="Q29" i="17"/>
  <c r="K47" i="2"/>
  <c r="Y47" i="10"/>
  <c r="Z47" i="10"/>
  <c r="H53" i="19"/>
  <c r="D54" i="19" s="1"/>
  <c r="Q57" i="20"/>
  <c r="U46" i="2"/>
  <c r="Y49" i="10"/>
  <c r="AA49" i="10"/>
  <c r="W49" i="10"/>
  <c r="Z49" i="10"/>
  <c r="C43" i="8"/>
  <c r="B42" i="8"/>
  <c r="F50" i="14"/>
  <c r="E50" i="14"/>
  <c r="D50" i="14"/>
  <c r="G50" i="14"/>
  <c r="B50" i="14"/>
  <c r="Q49" i="14" s="1"/>
  <c r="C51" i="14"/>
  <c r="F49" i="2"/>
  <c r="D49" i="2"/>
  <c r="G49" i="2"/>
  <c r="E49" i="2"/>
  <c r="C50" i="2"/>
  <c r="B49" i="2"/>
  <c r="Q48" i="2" s="1"/>
  <c r="G51" i="10"/>
  <c r="D51" i="10"/>
  <c r="F51" i="10"/>
  <c r="E51" i="10"/>
  <c r="V50" i="10"/>
  <c r="B51" i="10"/>
  <c r="S50" i="10" s="1"/>
  <c r="C52" i="10"/>
  <c r="I51" i="10"/>
  <c r="K48" i="2" l="1"/>
  <c r="J51" i="10"/>
  <c r="K51" i="10" s="1"/>
  <c r="J50" i="14"/>
  <c r="K50" i="14" s="1"/>
  <c r="J49" i="2"/>
  <c r="T48" i="2" s="1"/>
  <c r="U48" i="2" s="1"/>
  <c r="M51" i="10"/>
  <c r="L51" i="10"/>
  <c r="H49" i="2"/>
  <c r="I49" i="2" s="1"/>
  <c r="H50" i="14"/>
  <c r="I50" i="14" s="1"/>
  <c r="G26" i="8"/>
  <c r="F26" i="8" s="1"/>
  <c r="M32" i="2"/>
  <c r="P32" i="2" s="1"/>
  <c r="O30" i="17"/>
  <c r="R30" i="17" s="1"/>
  <c r="M31" i="14"/>
  <c r="P31" i="14" s="1"/>
  <c r="O33" i="10"/>
  <c r="R33" i="10" s="1"/>
  <c r="AA47" i="10"/>
  <c r="G54" i="19"/>
  <c r="F54" i="19" s="1"/>
  <c r="R58" i="20"/>
  <c r="D50" i="2"/>
  <c r="G50" i="2"/>
  <c r="E50" i="2"/>
  <c r="F50" i="2"/>
  <c r="B50" i="2"/>
  <c r="Q49" i="2" s="1"/>
  <c r="C51" i="2"/>
  <c r="AA50" i="10"/>
  <c r="Z50" i="10"/>
  <c r="W50" i="10"/>
  <c r="Y50" i="10"/>
  <c r="F51" i="14"/>
  <c r="G51" i="14"/>
  <c r="D51" i="14"/>
  <c r="E51" i="14"/>
  <c r="B51" i="14"/>
  <c r="Q50" i="14" s="1"/>
  <c r="C52" i="14"/>
  <c r="B43" i="8"/>
  <c r="C44" i="8"/>
  <c r="D52" i="10"/>
  <c r="F52" i="10"/>
  <c r="E52" i="10"/>
  <c r="G52" i="10"/>
  <c r="V51" i="10"/>
  <c r="B52" i="10"/>
  <c r="S51" i="10" s="1"/>
  <c r="C53" i="10"/>
  <c r="I52" i="10"/>
  <c r="E54" i="19"/>
  <c r="E26" i="8"/>
  <c r="C52" i="2" l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K49" i="2"/>
  <c r="J51" i="14"/>
  <c r="K51" i="14" s="1"/>
  <c r="L52" i="10"/>
  <c r="J50" i="2"/>
  <c r="T49" i="2" s="1"/>
  <c r="U49" i="2" s="1"/>
  <c r="M52" i="10"/>
  <c r="H51" i="14"/>
  <c r="H50" i="2"/>
  <c r="I50" i="2" s="1"/>
  <c r="J52" i="10"/>
  <c r="K52" i="10" s="1"/>
  <c r="N32" i="2"/>
  <c r="P30" i="17"/>
  <c r="P33" i="10"/>
  <c r="N31" i="14"/>
  <c r="H26" i="8"/>
  <c r="D27" i="8" s="1"/>
  <c r="O31" i="14"/>
  <c r="Q33" i="10"/>
  <c r="O32" i="2"/>
  <c r="Q30" i="17"/>
  <c r="P58" i="20"/>
  <c r="H54" i="19"/>
  <c r="D55" i="19" s="1"/>
  <c r="Q58" i="20"/>
  <c r="F53" i="10"/>
  <c r="D53" i="10"/>
  <c r="E53" i="10"/>
  <c r="G53" i="10"/>
  <c r="V52" i="10"/>
  <c r="C54" i="10"/>
  <c r="B53" i="10"/>
  <c r="S52" i="10" s="1"/>
  <c r="I53" i="10"/>
  <c r="B44" i="8"/>
  <c r="C45" i="8"/>
  <c r="F51" i="2"/>
  <c r="G51" i="2"/>
  <c r="D51" i="2"/>
  <c r="E51" i="2"/>
  <c r="B51" i="2"/>
  <c r="Q50" i="2" s="1"/>
  <c r="W51" i="10"/>
  <c r="Z51" i="10"/>
  <c r="AA51" i="10"/>
  <c r="Y51" i="10"/>
  <c r="D52" i="14"/>
  <c r="J52" i="14"/>
  <c r="E52" i="14"/>
  <c r="I51" i="14"/>
  <c r="H52" i="14"/>
  <c r="F52" i="14"/>
  <c r="M52" i="14"/>
  <c r="G52" i="14"/>
  <c r="B52" i="14"/>
  <c r="Q51" i="14" s="1"/>
  <c r="C53" i="14"/>
  <c r="K50" i="2" l="1"/>
  <c r="J51" i="2"/>
  <c r="T50" i="2" s="1"/>
  <c r="U50" i="2" s="1"/>
  <c r="M53" i="10"/>
  <c r="J53" i="10"/>
  <c r="L53" i="10"/>
  <c r="M33" i="2"/>
  <c r="P33" i="2" s="1"/>
  <c r="O31" i="17"/>
  <c r="R31" i="17" s="1"/>
  <c r="O34" i="10"/>
  <c r="R34" i="10" s="1"/>
  <c r="M32" i="14"/>
  <c r="P32" i="14" s="1"/>
  <c r="H51" i="2"/>
  <c r="I51" i="2" s="1"/>
  <c r="G27" i="8"/>
  <c r="F27" i="8" s="1"/>
  <c r="G55" i="19"/>
  <c r="F55" i="19" s="1"/>
  <c r="R59" i="20"/>
  <c r="G52" i="2"/>
  <c r="E52" i="2"/>
  <c r="F52" i="2"/>
  <c r="D52" i="2"/>
  <c r="B52" i="2"/>
  <c r="Q51" i="2" s="1"/>
  <c r="J54" i="10"/>
  <c r="F54" i="10"/>
  <c r="D54" i="10"/>
  <c r="E54" i="10"/>
  <c r="G54" i="10"/>
  <c r="K53" i="10"/>
  <c r="M54" i="10"/>
  <c r="L54" i="10"/>
  <c r="O54" i="10"/>
  <c r="V53" i="10"/>
  <c r="B54" i="10"/>
  <c r="S53" i="10" s="1"/>
  <c r="C55" i="10"/>
  <c r="I54" i="10"/>
  <c r="Y52" i="10"/>
  <c r="Z52" i="10"/>
  <c r="AA52" i="10"/>
  <c r="W52" i="10"/>
  <c r="G53" i="14"/>
  <c r="D53" i="14"/>
  <c r="H53" i="14"/>
  <c r="F53" i="14"/>
  <c r="M53" i="14"/>
  <c r="J53" i="14"/>
  <c r="I52" i="14"/>
  <c r="E53" i="14"/>
  <c r="C54" i="14"/>
  <c r="B53" i="14"/>
  <c r="Q52" i="14" s="1"/>
  <c r="K52" i="14"/>
  <c r="B45" i="8"/>
  <c r="C46" i="8"/>
  <c r="E55" i="19"/>
  <c r="E27" i="8"/>
  <c r="K51" i="2" l="1"/>
  <c r="J52" i="2"/>
  <c r="T51" i="2" s="1"/>
  <c r="U51" i="2" s="1"/>
  <c r="H52" i="2"/>
  <c r="I52" i="2" s="1"/>
  <c r="P34" i="10"/>
  <c r="N33" i="2"/>
  <c r="P31" i="17"/>
  <c r="N32" i="14"/>
  <c r="H27" i="8"/>
  <c r="D28" i="8" s="1"/>
  <c r="Q34" i="10"/>
  <c r="O33" i="2"/>
  <c r="Q31" i="17"/>
  <c r="O32" i="14"/>
  <c r="P59" i="20"/>
  <c r="H55" i="19"/>
  <c r="D56" i="19" s="1"/>
  <c r="Q59" i="20"/>
  <c r="F53" i="2"/>
  <c r="G53" i="2"/>
  <c r="E53" i="2"/>
  <c r="D53" i="2"/>
  <c r="B53" i="2"/>
  <c r="Q52" i="2" s="1"/>
  <c r="AA53" i="10"/>
  <c r="Y53" i="10"/>
  <c r="W53" i="10"/>
  <c r="Z53" i="10"/>
  <c r="B46" i="8"/>
  <c r="C47" i="8"/>
  <c r="K53" i="14"/>
  <c r="G54" i="14"/>
  <c r="E54" i="14"/>
  <c r="H54" i="14"/>
  <c r="J54" i="14"/>
  <c r="F54" i="14"/>
  <c r="D54" i="14"/>
  <c r="I53" i="14"/>
  <c r="M54" i="14"/>
  <c r="C55" i="14"/>
  <c r="B54" i="14"/>
  <c r="Q53" i="14" s="1"/>
  <c r="J55" i="10"/>
  <c r="K54" i="10"/>
  <c r="F55" i="10"/>
  <c r="G55" i="10"/>
  <c r="D55" i="10"/>
  <c r="E55" i="10"/>
  <c r="M55" i="10"/>
  <c r="L55" i="10"/>
  <c r="O55" i="10"/>
  <c r="V54" i="10"/>
  <c r="B55" i="10"/>
  <c r="S54" i="10" s="1"/>
  <c r="C56" i="10"/>
  <c r="I55" i="10"/>
  <c r="H53" i="2" l="1"/>
  <c r="J53" i="2"/>
  <c r="T52" i="2" s="1"/>
  <c r="U52" i="2" s="1"/>
  <c r="K52" i="2"/>
  <c r="M33" i="14"/>
  <c r="P33" i="14" s="1"/>
  <c r="O35" i="10"/>
  <c r="R35" i="10" s="1"/>
  <c r="O32" i="17"/>
  <c r="R32" i="17" s="1"/>
  <c r="M34" i="2"/>
  <c r="P34" i="2" s="1"/>
  <c r="G28" i="8"/>
  <c r="F28" i="8" s="1"/>
  <c r="G56" i="19"/>
  <c r="F56" i="19" s="1"/>
  <c r="R60" i="20"/>
  <c r="W54" i="10"/>
  <c r="AA54" i="10"/>
  <c r="Z54" i="10"/>
  <c r="Y54" i="10"/>
  <c r="D55" i="14"/>
  <c r="F55" i="14"/>
  <c r="I54" i="14"/>
  <c r="E55" i="14"/>
  <c r="J55" i="14"/>
  <c r="G55" i="14"/>
  <c r="H55" i="14"/>
  <c r="M55" i="14"/>
  <c r="B55" i="14"/>
  <c r="Q54" i="14" s="1"/>
  <c r="C56" i="14"/>
  <c r="E54" i="2"/>
  <c r="G54" i="2"/>
  <c r="I53" i="2"/>
  <c r="F54" i="2"/>
  <c r="D54" i="2"/>
  <c r="B54" i="2"/>
  <c r="Q53" i="2" s="1"/>
  <c r="D56" i="10"/>
  <c r="F56" i="10"/>
  <c r="E56" i="10"/>
  <c r="J56" i="10"/>
  <c r="K55" i="10"/>
  <c r="G56" i="10"/>
  <c r="M56" i="10"/>
  <c r="L56" i="10"/>
  <c r="O56" i="10"/>
  <c r="V55" i="10"/>
  <c r="C57" i="10"/>
  <c r="B56" i="10"/>
  <c r="S55" i="10" s="1"/>
  <c r="I56" i="10"/>
  <c r="K54" i="14"/>
  <c r="B47" i="8"/>
  <c r="C48" i="8"/>
  <c r="E28" i="8"/>
  <c r="E56" i="19"/>
  <c r="K53" i="2" l="1"/>
  <c r="H54" i="2"/>
  <c r="I54" i="2" s="1"/>
  <c r="J54" i="2"/>
  <c r="T53" i="2" s="1"/>
  <c r="U53" i="2" s="1"/>
  <c r="P35" i="10"/>
  <c r="N34" i="2"/>
  <c r="P32" i="17"/>
  <c r="N33" i="14"/>
  <c r="H28" i="8"/>
  <c r="D29" i="8" s="1"/>
  <c r="O33" i="14"/>
  <c r="Q35" i="10"/>
  <c r="Q32" i="17"/>
  <c r="O34" i="2"/>
  <c r="P60" i="20"/>
  <c r="H56" i="19"/>
  <c r="D57" i="19" s="1"/>
  <c r="Q60" i="20"/>
  <c r="Z55" i="10"/>
  <c r="Y55" i="10"/>
  <c r="AA55" i="10"/>
  <c r="W55" i="10"/>
  <c r="F56" i="14"/>
  <c r="H56" i="14"/>
  <c r="J56" i="14"/>
  <c r="G56" i="14"/>
  <c r="E56" i="14"/>
  <c r="D56" i="14"/>
  <c r="I55" i="14"/>
  <c r="M56" i="14"/>
  <c r="B56" i="14"/>
  <c r="Q55" i="14" s="1"/>
  <c r="C57" i="14"/>
  <c r="F55" i="2"/>
  <c r="G55" i="2"/>
  <c r="D55" i="2"/>
  <c r="E55" i="2"/>
  <c r="B55" i="2"/>
  <c r="Q54" i="2" s="1"/>
  <c r="K55" i="14"/>
  <c r="F57" i="10"/>
  <c r="E57" i="10"/>
  <c r="D57" i="10"/>
  <c r="K56" i="10"/>
  <c r="M57" i="10"/>
  <c r="G57" i="10"/>
  <c r="J57" i="10"/>
  <c r="O57" i="10"/>
  <c r="L57" i="10"/>
  <c r="V56" i="10"/>
  <c r="C58" i="10"/>
  <c r="B57" i="10"/>
  <c r="S56" i="10" s="1"/>
  <c r="I57" i="10"/>
  <c r="B48" i="8"/>
  <c r="C49" i="8"/>
  <c r="K54" i="2" l="1"/>
  <c r="H55" i="2"/>
  <c r="I55" i="2" s="1"/>
  <c r="J55" i="2"/>
  <c r="T54" i="2" s="1"/>
  <c r="U54" i="2" s="1"/>
  <c r="M35" i="2"/>
  <c r="P35" i="2" s="1"/>
  <c r="O33" i="17"/>
  <c r="R33" i="17" s="1"/>
  <c r="M34" i="14"/>
  <c r="P34" i="14" s="1"/>
  <c r="O36" i="10"/>
  <c r="R36" i="10" s="1"/>
  <c r="G29" i="8"/>
  <c r="F29" i="8" s="1"/>
  <c r="G57" i="19"/>
  <c r="F57" i="19" s="1"/>
  <c r="R61" i="20"/>
  <c r="K56" i="14"/>
  <c r="AA56" i="10"/>
  <c r="Y56" i="10"/>
  <c r="Z56" i="10"/>
  <c r="W56" i="10"/>
  <c r="E56" i="2"/>
  <c r="G56" i="2"/>
  <c r="F56" i="2"/>
  <c r="D56" i="2"/>
  <c r="B56" i="2"/>
  <c r="Q55" i="2" s="1"/>
  <c r="I56" i="14"/>
  <c r="H57" i="14"/>
  <c r="F57" i="14"/>
  <c r="J57" i="14"/>
  <c r="M57" i="14"/>
  <c r="G57" i="14"/>
  <c r="D57" i="14"/>
  <c r="E57" i="14"/>
  <c r="C58" i="14"/>
  <c r="B57" i="14"/>
  <c r="Q56" i="14" s="1"/>
  <c r="E58" i="10"/>
  <c r="J58" i="10"/>
  <c r="D58" i="10"/>
  <c r="G58" i="10"/>
  <c r="K57" i="10"/>
  <c r="F58" i="10"/>
  <c r="M58" i="10"/>
  <c r="L58" i="10"/>
  <c r="O58" i="10"/>
  <c r="V57" i="10"/>
  <c r="B58" i="10"/>
  <c r="S57" i="10" s="1"/>
  <c r="C59" i="10"/>
  <c r="I58" i="10"/>
  <c r="C50" i="8"/>
  <c r="B49" i="8"/>
  <c r="E57" i="19"/>
  <c r="E29" i="8"/>
  <c r="K55" i="2" l="1"/>
  <c r="H56" i="2"/>
  <c r="I56" i="2" s="1"/>
  <c r="J56" i="2"/>
  <c r="T55" i="2" s="1"/>
  <c r="U55" i="2" s="1"/>
  <c r="N34" i="14"/>
  <c r="P36" i="10"/>
  <c r="N35" i="2"/>
  <c r="P33" i="17"/>
  <c r="H29" i="8"/>
  <c r="D30" i="8" s="1"/>
  <c r="O34" i="14"/>
  <c r="Q36" i="10"/>
  <c r="O35" i="2"/>
  <c r="Q33" i="17"/>
  <c r="P61" i="20"/>
  <c r="H57" i="19"/>
  <c r="D58" i="19" s="1"/>
  <c r="Q61" i="20"/>
  <c r="B50" i="8"/>
  <c r="C51" i="8"/>
  <c r="H58" i="14"/>
  <c r="J58" i="14"/>
  <c r="G58" i="14"/>
  <c r="M58" i="14"/>
  <c r="E58" i="14"/>
  <c r="F58" i="14"/>
  <c r="D58" i="14"/>
  <c r="I57" i="14"/>
  <c r="B58" i="14"/>
  <c r="Q57" i="14" s="1"/>
  <c r="C59" i="14"/>
  <c r="Y57" i="10"/>
  <c r="W57" i="10"/>
  <c r="Z57" i="10"/>
  <c r="AA57" i="10"/>
  <c r="K57" i="14"/>
  <c r="G59" i="10"/>
  <c r="E59" i="10"/>
  <c r="F59" i="10"/>
  <c r="D59" i="10"/>
  <c r="J59" i="10"/>
  <c r="K58" i="10"/>
  <c r="M59" i="10"/>
  <c r="O59" i="10"/>
  <c r="L59" i="10"/>
  <c r="V58" i="10"/>
  <c r="B59" i="10"/>
  <c r="S58" i="10" s="1"/>
  <c r="C60" i="10"/>
  <c r="I59" i="10"/>
  <c r="E57" i="2"/>
  <c r="F57" i="2"/>
  <c r="G57" i="2"/>
  <c r="D57" i="2"/>
  <c r="B57" i="2"/>
  <c r="Q56" i="2" s="1"/>
  <c r="K56" i="2" l="1"/>
  <c r="J57" i="2"/>
  <c r="T56" i="2" s="1"/>
  <c r="U56" i="2" s="1"/>
  <c r="H57" i="2"/>
  <c r="I57" i="2" s="1"/>
  <c r="M35" i="14"/>
  <c r="P35" i="14" s="1"/>
  <c r="M36" i="2"/>
  <c r="P36" i="2" s="1"/>
  <c r="O37" i="10"/>
  <c r="R37" i="10" s="1"/>
  <c r="O34" i="17"/>
  <c r="R34" i="17" s="1"/>
  <c r="G30" i="8"/>
  <c r="F30" i="8" s="1"/>
  <c r="G58" i="19"/>
  <c r="F58" i="19" s="1"/>
  <c r="R62" i="20"/>
  <c r="K58" i="14"/>
  <c r="G60" i="10"/>
  <c r="M60" i="10"/>
  <c r="F60" i="10"/>
  <c r="D60" i="10"/>
  <c r="K59" i="10"/>
  <c r="E60" i="10"/>
  <c r="J60" i="10"/>
  <c r="O60" i="10"/>
  <c r="L60" i="10"/>
  <c r="V59" i="10"/>
  <c r="B60" i="10"/>
  <c r="S59" i="10" s="1"/>
  <c r="C61" i="10"/>
  <c r="I60" i="10"/>
  <c r="J59" i="14"/>
  <c r="G59" i="14"/>
  <c r="E59" i="14"/>
  <c r="F59" i="14"/>
  <c r="I58" i="14"/>
  <c r="H59" i="14"/>
  <c r="D59" i="14"/>
  <c r="M59" i="14"/>
  <c r="B59" i="14"/>
  <c r="Q58" i="14" s="1"/>
  <c r="C60" i="14"/>
  <c r="G58" i="2"/>
  <c r="E58" i="2"/>
  <c r="D58" i="2"/>
  <c r="F58" i="2"/>
  <c r="B58" i="2"/>
  <c r="Q57" i="2" s="1"/>
  <c r="B51" i="8"/>
  <c r="C52" i="8"/>
  <c r="W58" i="10"/>
  <c r="Z58" i="10"/>
  <c r="Y58" i="10"/>
  <c r="AA58" i="10"/>
  <c r="E58" i="19"/>
  <c r="E30" i="8"/>
  <c r="K57" i="2" l="1"/>
  <c r="J58" i="2"/>
  <c r="T57" i="2" s="1"/>
  <c r="U57" i="2" s="1"/>
  <c r="H58" i="2"/>
  <c r="I58" i="2" s="1"/>
  <c r="N35" i="14"/>
  <c r="N36" i="2"/>
  <c r="P34" i="17"/>
  <c r="P37" i="10"/>
  <c r="H30" i="8"/>
  <c r="D31" i="8" s="1"/>
  <c r="Q37" i="10"/>
  <c r="O36" i="2"/>
  <c r="Q34" i="17"/>
  <c r="O35" i="14"/>
  <c r="P62" i="20"/>
  <c r="H58" i="19"/>
  <c r="D59" i="19" s="1"/>
  <c r="Q62" i="20"/>
  <c r="B52" i="8"/>
  <c r="C53" i="8"/>
  <c r="G60" i="14"/>
  <c r="J60" i="14"/>
  <c r="I59" i="14"/>
  <c r="M60" i="14"/>
  <c r="F60" i="14"/>
  <c r="D60" i="14"/>
  <c r="H60" i="14"/>
  <c r="E60" i="14"/>
  <c r="B60" i="14"/>
  <c r="Q59" i="14" s="1"/>
  <c r="C61" i="14"/>
  <c r="D61" i="10"/>
  <c r="F61" i="10"/>
  <c r="E61" i="10"/>
  <c r="K60" i="10"/>
  <c r="J61" i="10"/>
  <c r="M61" i="10"/>
  <c r="G61" i="10"/>
  <c r="O61" i="10"/>
  <c r="L61" i="10"/>
  <c r="V60" i="10"/>
  <c r="B61" i="10"/>
  <c r="S60" i="10" s="1"/>
  <c r="C62" i="10"/>
  <c r="I61" i="10"/>
  <c r="K59" i="14"/>
  <c r="F59" i="2"/>
  <c r="D59" i="2"/>
  <c r="G59" i="2"/>
  <c r="E59" i="2"/>
  <c r="B59" i="2"/>
  <c r="Q58" i="2" s="1"/>
  <c r="AA59" i="10"/>
  <c r="W59" i="10"/>
  <c r="Z59" i="10"/>
  <c r="Y59" i="10"/>
  <c r="H59" i="2" l="1"/>
  <c r="I59" i="2" s="1"/>
  <c r="K58" i="2"/>
  <c r="J59" i="2"/>
  <c r="T58" i="2" s="1"/>
  <c r="U58" i="2" s="1"/>
  <c r="M36" i="14"/>
  <c r="P36" i="14" s="1"/>
  <c r="O35" i="17"/>
  <c r="R35" i="17" s="1"/>
  <c r="M37" i="2"/>
  <c r="P37" i="2" s="1"/>
  <c r="O38" i="10"/>
  <c r="R38" i="10" s="1"/>
  <c r="G31" i="8"/>
  <c r="F31" i="8" s="1"/>
  <c r="G59" i="19"/>
  <c r="F59" i="19" s="1"/>
  <c r="R63" i="20"/>
  <c r="G60" i="2"/>
  <c r="E60" i="2"/>
  <c r="F60" i="2"/>
  <c r="D60" i="2"/>
  <c r="B60" i="2"/>
  <c r="Q59" i="2" s="1"/>
  <c r="J62" i="10"/>
  <c r="D62" i="10"/>
  <c r="F62" i="10"/>
  <c r="K61" i="10"/>
  <c r="M62" i="10"/>
  <c r="E62" i="10"/>
  <c r="G62" i="10"/>
  <c r="O62" i="10"/>
  <c r="L62" i="10"/>
  <c r="V61" i="10"/>
  <c r="B62" i="10"/>
  <c r="S61" i="10" s="1"/>
  <c r="C63" i="10"/>
  <c r="I62" i="10"/>
  <c r="F61" i="14"/>
  <c r="G61" i="14"/>
  <c r="E61" i="14"/>
  <c r="H61" i="14"/>
  <c r="D61" i="14"/>
  <c r="M61" i="14"/>
  <c r="I60" i="14"/>
  <c r="J61" i="14"/>
  <c r="B61" i="14"/>
  <c r="Q60" i="14" s="1"/>
  <c r="C62" i="14"/>
  <c r="K60" i="14"/>
  <c r="C54" i="8"/>
  <c r="B53" i="8"/>
  <c r="Z60" i="10"/>
  <c r="Y60" i="10"/>
  <c r="W60" i="10"/>
  <c r="AA60" i="10"/>
  <c r="E59" i="19"/>
  <c r="E31" i="8"/>
  <c r="H60" i="2" l="1"/>
  <c r="I60" i="2" s="1"/>
  <c r="K59" i="2"/>
  <c r="J60" i="2"/>
  <c r="T59" i="2" s="1"/>
  <c r="U59" i="2" s="1"/>
  <c r="N37" i="2"/>
  <c r="P35" i="17"/>
  <c r="P38" i="10"/>
  <c r="N36" i="14"/>
  <c r="H31" i="8"/>
  <c r="D32" i="8" s="1"/>
  <c r="O37" i="2"/>
  <c r="Q35" i="17"/>
  <c r="O36" i="14"/>
  <c r="Q38" i="10"/>
  <c r="P63" i="20"/>
  <c r="H59" i="19"/>
  <c r="D60" i="19" s="1"/>
  <c r="Q63" i="20"/>
  <c r="K61" i="14"/>
  <c r="W61" i="10"/>
  <c r="Z61" i="10"/>
  <c r="Y61" i="10"/>
  <c r="AA61" i="10"/>
  <c r="G61" i="2"/>
  <c r="D61" i="2"/>
  <c r="E61" i="2"/>
  <c r="F61" i="2"/>
  <c r="B61" i="2"/>
  <c r="Q60" i="2" s="1"/>
  <c r="C55" i="8"/>
  <c r="B54" i="8"/>
  <c r="F62" i="14"/>
  <c r="M62" i="14"/>
  <c r="D62" i="14"/>
  <c r="G62" i="14"/>
  <c r="I61" i="14"/>
  <c r="H62" i="14"/>
  <c r="J62" i="14"/>
  <c r="E62" i="14"/>
  <c r="B62" i="14"/>
  <c r="Q61" i="14" s="1"/>
  <c r="C63" i="14"/>
  <c r="E63" i="10"/>
  <c r="F63" i="10"/>
  <c r="D63" i="10"/>
  <c r="K62" i="10"/>
  <c r="G63" i="10"/>
  <c r="O63" i="10"/>
  <c r="J63" i="10"/>
  <c r="M63" i="10"/>
  <c r="L63" i="10"/>
  <c r="V62" i="10"/>
  <c r="B63" i="10"/>
  <c r="S62" i="10" s="1"/>
  <c r="C64" i="10"/>
  <c r="I63" i="10"/>
  <c r="K60" i="2" l="1"/>
  <c r="H61" i="2"/>
  <c r="J61" i="2"/>
  <c r="T60" i="2" s="1"/>
  <c r="U60" i="2" s="1"/>
  <c r="M37" i="14"/>
  <c r="P37" i="14" s="1"/>
  <c r="O36" i="17"/>
  <c r="R36" i="17" s="1"/>
  <c r="O39" i="10"/>
  <c r="R39" i="10" s="1"/>
  <c r="M38" i="2"/>
  <c r="P38" i="2" s="1"/>
  <c r="G32" i="8"/>
  <c r="F32" i="8" s="1"/>
  <c r="G60" i="19"/>
  <c r="F60" i="19" s="1"/>
  <c r="R64" i="20"/>
  <c r="I62" i="14"/>
  <c r="D63" i="14"/>
  <c r="J63" i="14"/>
  <c r="H63" i="14"/>
  <c r="G63" i="14"/>
  <c r="M63" i="14"/>
  <c r="F63" i="14"/>
  <c r="E63" i="14"/>
  <c r="B63" i="14"/>
  <c r="Q62" i="14" s="1"/>
  <c r="C64" i="14"/>
  <c r="Y62" i="10"/>
  <c r="AA62" i="10"/>
  <c r="Z62" i="10"/>
  <c r="W62" i="10"/>
  <c r="K63" i="10"/>
  <c r="E64" i="10"/>
  <c r="J64" i="10"/>
  <c r="G64" i="10"/>
  <c r="D64" i="10"/>
  <c r="F64" i="10"/>
  <c r="M64" i="10"/>
  <c r="L64" i="10"/>
  <c r="O64" i="10"/>
  <c r="V63" i="10"/>
  <c r="C65" i="10"/>
  <c r="B64" i="10"/>
  <c r="S63" i="10" s="1"/>
  <c r="I64" i="10"/>
  <c r="K62" i="14"/>
  <c r="B55" i="8"/>
  <c r="C56" i="8"/>
  <c r="F62" i="2"/>
  <c r="I61" i="2"/>
  <c r="E62" i="2"/>
  <c r="G62" i="2"/>
  <c r="D62" i="2"/>
  <c r="B62" i="2"/>
  <c r="Q61" i="2" s="1"/>
  <c r="E32" i="8"/>
  <c r="E60" i="19"/>
  <c r="K61" i="2" l="1"/>
  <c r="J62" i="2"/>
  <c r="T61" i="2" s="1"/>
  <c r="U61" i="2" s="1"/>
  <c r="H62" i="2"/>
  <c r="N38" i="2"/>
  <c r="P36" i="17"/>
  <c r="P39" i="10"/>
  <c r="N37" i="14"/>
  <c r="H32" i="8"/>
  <c r="D33" i="8" s="1"/>
  <c r="Q36" i="17"/>
  <c r="O37" i="14"/>
  <c r="Q39" i="10"/>
  <c r="O38" i="2"/>
  <c r="P64" i="20"/>
  <c r="H60" i="19"/>
  <c r="D61" i="19" s="1"/>
  <c r="Q64" i="20"/>
  <c r="G64" i="14"/>
  <c r="F64" i="14"/>
  <c r="J64" i="14"/>
  <c r="E64" i="14"/>
  <c r="D64" i="14"/>
  <c r="I63" i="14"/>
  <c r="H64" i="14"/>
  <c r="M64" i="14"/>
  <c r="C65" i="14"/>
  <c r="B64" i="14"/>
  <c r="Q63" i="14" s="1"/>
  <c r="K64" i="10"/>
  <c r="O65" i="10"/>
  <c r="E65" i="10"/>
  <c r="M65" i="10"/>
  <c r="F65" i="10"/>
  <c r="D65" i="10"/>
  <c r="J65" i="10"/>
  <c r="G65" i="10"/>
  <c r="L65" i="10"/>
  <c r="V64" i="10"/>
  <c r="C66" i="10"/>
  <c r="B65" i="10"/>
  <c r="S64" i="10" s="1"/>
  <c r="I65" i="10"/>
  <c r="E63" i="2"/>
  <c r="D63" i="2"/>
  <c r="M63" i="2"/>
  <c r="H63" i="2"/>
  <c r="F63" i="2"/>
  <c r="I62" i="2"/>
  <c r="J63" i="2"/>
  <c r="G63" i="2"/>
  <c r="T62" i="2"/>
  <c r="B63" i="2"/>
  <c r="Q62" i="2" s="1"/>
  <c r="B56" i="8"/>
  <c r="C57" i="8"/>
  <c r="Y63" i="10"/>
  <c r="Z63" i="10"/>
  <c r="AA63" i="10"/>
  <c r="W63" i="10"/>
  <c r="K63" i="14"/>
  <c r="K62" i="2" l="1"/>
  <c r="M39" i="2"/>
  <c r="P39" i="2" s="1"/>
  <c r="O37" i="17"/>
  <c r="R37" i="17" s="1"/>
  <c r="O40" i="10"/>
  <c r="R40" i="10" s="1"/>
  <c r="M38" i="14"/>
  <c r="P38" i="14" s="1"/>
  <c r="G33" i="8"/>
  <c r="F33" i="8" s="1"/>
  <c r="G61" i="19"/>
  <c r="F61" i="19" s="1"/>
  <c r="R65" i="20"/>
  <c r="K64" i="14"/>
  <c r="U62" i="2"/>
  <c r="Y64" i="10"/>
  <c r="W64" i="10"/>
  <c r="Z64" i="10"/>
  <c r="AA64" i="10"/>
  <c r="I63" i="2"/>
  <c r="J64" i="2"/>
  <c r="F64" i="2"/>
  <c r="H64" i="2"/>
  <c r="M64" i="2"/>
  <c r="D64" i="2"/>
  <c r="G64" i="2"/>
  <c r="E64" i="2"/>
  <c r="B64" i="2"/>
  <c r="Q63" i="2" s="1"/>
  <c r="T63" i="2"/>
  <c r="H65" i="14"/>
  <c r="I64" i="14"/>
  <c r="G65" i="14"/>
  <c r="D65" i="14"/>
  <c r="E65" i="14"/>
  <c r="J65" i="14"/>
  <c r="F65" i="14"/>
  <c r="M65" i="14"/>
  <c r="C66" i="14"/>
  <c r="B65" i="14"/>
  <c r="Q64" i="14" s="1"/>
  <c r="K65" i="10"/>
  <c r="D66" i="10"/>
  <c r="E66" i="10"/>
  <c r="J66" i="10"/>
  <c r="M66" i="10"/>
  <c r="F66" i="10"/>
  <c r="G66" i="10"/>
  <c r="L66" i="10"/>
  <c r="O66" i="10"/>
  <c r="V65" i="10"/>
  <c r="B66" i="10"/>
  <c r="S65" i="10" s="1"/>
  <c r="C67" i="10"/>
  <c r="I66" i="10"/>
  <c r="B57" i="8"/>
  <c r="C58" i="8"/>
  <c r="K63" i="2"/>
  <c r="E61" i="19"/>
  <c r="E33" i="8"/>
  <c r="N39" i="2" l="1"/>
  <c r="P37" i="17"/>
  <c r="P40" i="10"/>
  <c r="N38" i="14"/>
  <c r="H33" i="8"/>
  <c r="D34" i="8" s="1"/>
  <c r="Q40" i="10"/>
  <c r="O39" i="2"/>
  <c r="Q37" i="17"/>
  <c r="O38" i="14"/>
  <c r="P65" i="20"/>
  <c r="H61" i="19"/>
  <c r="D62" i="19" s="1"/>
  <c r="Q65" i="20"/>
  <c r="U63" i="2"/>
  <c r="E65" i="2"/>
  <c r="I64" i="2"/>
  <c r="F65" i="2"/>
  <c r="J65" i="2"/>
  <c r="H65" i="2"/>
  <c r="G65" i="2"/>
  <c r="D65" i="2"/>
  <c r="M65" i="2"/>
  <c r="T64" i="2"/>
  <c r="B65" i="2"/>
  <c r="Q64" i="2" s="1"/>
  <c r="D66" i="14"/>
  <c r="E66" i="14"/>
  <c r="G66" i="14"/>
  <c r="I65" i="14"/>
  <c r="J66" i="14"/>
  <c r="H66" i="14"/>
  <c r="M66" i="14"/>
  <c r="F66" i="14"/>
  <c r="B66" i="14"/>
  <c r="Q65" i="14" s="1"/>
  <c r="C67" i="14"/>
  <c r="K64" i="2"/>
  <c r="G67" i="10"/>
  <c r="J67" i="10"/>
  <c r="D67" i="10"/>
  <c r="E67" i="10"/>
  <c r="K66" i="10"/>
  <c r="F67" i="10"/>
  <c r="M67" i="10"/>
  <c r="O67" i="10"/>
  <c r="L67" i="10"/>
  <c r="V66" i="10"/>
  <c r="B67" i="10"/>
  <c r="S66" i="10" s="1"/>
  <c r="C68" i="10"/>
  <c r="I67" i="10"/>
  <c r="Y65" i="10"/>
  <c r="Z65" i="10"/>
  <c r="W65" i="10"/>
  <c r="AA65" i="10"/>
  <c r="K65" i="14"/>
  <c r="B58" i="8"/>
  <c r="C59" i="8"/>
  <c r="M40" i="2" l="1"/>
  <c r="P40" i="2" s="1"/>
  <c r="O38" i="17"/>
  <c r="R38" i="17" s="1"/>
  <c r="M39" i="14"/>
  <c r="P39" i="14" s="1"/>
  <c r="O41" i="10"/>
  <c r="R41" i="10" s="1"/>
  <c r="G34" i="8"/>
  <c r="F34" i="8" s="1"/>
  <c r="G62" i="19"/>
  <c r="F62" i="19" s="1"/>
  <c r="R66" i="20"/>
  <c r="J66" i="2"/>
  <c r="H66" i="2"/>
  <c r="E66" i="2"/>
  <c r="I65" i="2"/>
  <c r="F66" i="2"/>
  <c r="G66" i="2"/>
  <c r="D66" i="2"/>
  <c r="M66" i="2"/>
  <c r="B66" i="2"/>
  <c r="Q65" i="2" s="1"/>
  <c r="T65" i="2"/>
  <c r="AA66" i="10"/>
  <c r="Y66" i="10"/>
  <c r="W66" i="10"/>
  <c r="Z66" i="10"/>
  <c r="G67" i="14"/>
  <c r="J67" i="14"/>
  <c r="I66" i="14"/>
  <c r="D67" i="14"/>
  <c r="E67" i="14"/>
  <c r="F67" i="14"/>
  <c r="H67" i="14"/>
  <c r="M67" i="14"/>
  <c r="B67" i="14"/>
  <c r="Q66" i="14" s="1"/>
  <c r="C68" i="14"/>
  <c r="U64" i="2"/>
  <c r="E68" i="10"/>
  <c r="O68" i="10"/>
  <c r="D68" i="10"/>
  <c r="G68" i="10"/>
  <c r="M68" i="10"/>
  <c r="L68" i="10"/>
  <c r="F68" i="10"/>
  <c r="K67" i="10"/>
  <c r="J68" i="10"/>
  <c r="V67" i="10"/>
  <c r="C69" i="10"/>
  <c r="B68" i="10"/>
  <c r="S67" i="10" s="1"/>
  <c r="I68" i="10"/>
  <c r="B59" i="8"/>
  <c r="C60" i="8"/>
  <c r="K66" i="14"/>
  <c r="K65" i="2"/>
  <c r="E34" i="8"/>
  <c r="E62" i="19"/>
  <c r="N40" i="2" l="1"/>
  <c r="P38" i="17"/>
  <c r="P41" i="10"/>
  <c r="N39" i="14"/>
  <c r="H34" i="8"/>
  <c r="D35" i="8" s="1"/>
  <c r="O39" i="14"/>
  <c r="Q41" i="10"/>
  <c r="O40" i="2"/>
  <c r="Q38" i="17"/>
  <c r="P66" i="20"/>
  <c r="H62" i="19"/>
  <c r="D63" i="19" s="1"/>
  <c r="Q66" i="20"/>
  <c r="B60" i="8"/>
  <c r="C61" i="8"/>
  <c r="F69" i="10"/>
  <c r="K68" i="10"/>
  <c r="D69" i="10"/>
  <c r="J69" i="10"/>
  <c r="M69" i="10"/>
  <c r="G69" i="10"/>
  <c r="E69" i="10"/>
  <c r="L69" i="10"/>
  <c r="O69" i="10"/>
  <c r="V68" i="10"/>
  <c r="C70" i="10"/>
  <c r="B69" i="10"/>
  <c r="S68" i="10" s="1"/>
  <c r="I69" i="10"/>
  <c r="I67" i="14"/>
  <c r="D68" i="14"/>
  <c r="G68" i="14"/>
  <c r="E68" i="14"/>
  <c r="H68" i="14"/>
  <c r="J68" i="14"/>
  <c r="F68" i="14"/>
  <c r="M68" i="14"/>
  <c r="B68" i="14"/>
  <c r="Q67" i="14" s="1"/>
  <c r="C69" i="14"/>
  <c r="K67" i="14"/>
  <c r="U65" i="2"/>
  <c r="Y67" i="10"/>
  <c r="W67" i="10"/>
  <c r="AA67" i="10"/>
  <c r="Z67" i="10"/>
  <c r="F67" i="2"/>
  <c r="M67" i="2"/>
  <c r="G67" i="2"/>
  <c r="E67" i="2"/>
  <c r="D67" i="2"/>
  <c r="I66" i="2"/>
  <c r="H67" i="2"/>
  <c r="J67" i="2"/>
  <c r="B67" i="2"/>
  <c r="Q66" i="2" s="1"/>
  <c r="T66" i="2"/>
  <c r="K66" i="2"/>
  <c r="O39" i="17" l="1"/>
  <c r="R39" i="17" s="1"/>
  <c r="M40" i="14"/>
  <c r="P40" i="14" s="1"/>
  <c r="M41" i="2"/>
  <c r="P41" i="2" s="1"/>
  <c r="O42" i="10"/>
  <c r="R42" i="10" s="1"/>
  <c r="G35" i="8"/>
  <c r="F35" i="8" s="1"/>
  <c r="G63" i="19"/>
  <c r="F63" i="19" s="1"/>
  <c r="R67" i="20"/>
  <c r="U66" i="2"/>
  <c r="B61" i="8"/>
  <c r="C62" i="8"/>
  <c r="D68" i="2"/>
  <c r="H68" i="2"/>
  <c r="E68" i="2"/>
  <c r="M68" i="2"/>
  <c r="I67" i="2"/>
  <c r="J68" i="2"/>
  <c r="F68" i="2"/>
  <c r="G68" i="2"/>
  <c r="T67" i="2"/>
  <c r="B68" i="2"/>
  <c r="Q67" i="2" s="1"/>
  <c r="F69" i="14"/>
  <c r="G69" i="14"/>
  <c r="E69" i="14"/>
  <c r="J69" i="14"/>
  <c r="H69" i="14"/>
  <c r="I68" i="14"/>
  <c r="D69" i="14"/>
  <c r="M69" i="14"/>
  <c r="C70" i="14"/>
  <c r="B69" i="14"/>
  <c r="Q68" i="14" s="1"/>
  <c r="K68" i="14"/>
  <c r="J70" i="10"/>
  <c r="M70" i="10"/>
  <c r="O70" i="10"/>
  <c r="F70" i="10"/>
  <c r="K69" i="10"/>
  <c r="D70" i="10"/>
  <c r="E70" i="10"/>
  <c r="L70" i="10"/>
  <c r="G70" i="10"/>
  <c r="V69" i="10"/>
  <c r="B70" i="10"/>
  <c r="S69" i="10" s="1"/>
  <c r="C71" i="10"/>
  <c r="I70" i="10"/>
  <c r="K67" i="2"/>
  <c r="Z68" i="10"/>
  <c r="Y68" i="10"/>
  <c r="AA68" i="10"/>
  <c r="W68" i="10"/>
  <c r="E35" i="8"/>
  <c r="E63" i="19"/>
  <c r="N41" i="2" l="1"/>
  <c r="P39" i="17"/>
  <c r="N40" i="14"/>
  <c r="P42" i="10"/>
  <c r="H35" i="8"/>
  <c r="D36" i="8" s="1"/>
  <c r="O41" i="2"/>
  <c r="O40" i="14"/>
  <c r="Q42" i="10"/>
  <c r="Q39" i="17"/>
  <c r="U67" i="2"/>
  <c r="P67" i="20"/>
  <c r="H63" i="19"/>
  <c r="D64" i="19" s="1"/>
  <c r="Q67" i="20"/>
  <c r="K69" i="14"/>
  <c r="I69" i="14"/>
  <c r="G70" i="14"/>
  <c r="F70" i="14"/>
  <c r="H70" i="14"/>
  <c r="J70" i="14"/>
  <c r="E70" i="14"/>
  <c r="D70" i="14"/>
  <c r="M70" i="14"/>
  <c r="C71" i="14"/>
  <c r="B70" i="14"/>
  <c r="Q69" i="14" s="1"/>
  <c r="B62" i="8"/>
  <c r="C63" i="8"/>
  <c r="K68" i="2"/>
  <c r="K70" i="10"/>
  <c r="E71" i="10"/>
  <c r="J71" i="10"/>
  <c r="G71" i="10"/>
  <c r="F71" i="10"/>
  <c r="D71" i="10"/>
  <c r="M71" i="10"/>
  <c r="L71" i="10"/>
  <c r="O71" i="10"/>
  <c r="B71" i="10"/>
  <c r="S70" i="10" s="1"/>
  <c r="V70" i="10"/>
  <c r="C72" i="10"/>
  <c r="I71" i="10"/>
  <c r="Z69" i="10"/>
  <c r="AA69" i="10"/>
  <c r="Y69" i="10"/>
  <c r="W69" i="10"/>
  <c r="D69" i="2"/>
  <c r="F69" i="2"/>
  <c r="M69" i="2"/>
  <c r="I68" i="2"/>
  <c r="G69" i="2"/>
  <c r="E69" i="2"/>
  <c r="J69" i="2"/>
  <c r="H69" i="2"/>
  <c r="B69" i="2"/>
  <c r="Q68" i="2" s="1"/>
  <c r="T68" i="2"/>
  <c r="M42" i="2" l="1"/>
  <c r="P42" i="2" s="1"/>
  <c r="O43" i="10"/>
  <c r="R43" i="10" s="1"/>
  <c r="M41" i="14"/>
  <c r="P41" i="14" s="1"/>
  <c r="O40" i="17"/>
  <c r="R40" i="17" s="1"/>
  <c r="G36" i="8"/>
  <c r="F36" i="8" s="1"/>
  <c r="G64" i="19"/>
  <c r="F64" i="19" s="1"/>
  <c r="R68" i="20"/>
  <c r="U68" i="2"/>
  <c r="F70" i="2"/>
  <c r="H70" i="2"/>
  <c r="I69" i="2"/>
  <c r="G70" i="2"/>
  <c r="M70" i="2"/>
  <c r="J70" i="2"/>
  <c r="E70" i="2"/>
  <c r="D70" i="2"/>
  <c r="B70" i="2"/>
  <c r="Q69" i="2" s="1"/>
  <c r="T69" i="2"/>
  <c r="J72" i="10"/>
  <c r="G72" i="10"/>
  <c r="K71" i="10"/>
  <c r="M72" i="10"/>
  <c r="D72" i="10"/>
  <c r="F72" i="10"/>
  <c r="E72" i="10"/>
  <c r="L72" i="10"/>
  <c r="O72" i="10"/>
  <c r="V71" i="10"/>
  <c r="B72" i="10"/>
  <c r="S71" i="10" s="1"/>
  <c r="C73" i="10"/>
  <c r="I72" i="10"/>
  <c r="K69" i="2"/>
  <c r="Z70" i="10"/>
  <c r="W70" i="10"/>
  <c r="Y70" i="10"/>
  <c r="AA70" i="10"/>
  <c r="H71" i="14"/>
  <c r="I70" i="14"/>
  <c r="E71" i="14"/>
  <c r="F71" i="14"/>
  <c r="M71" i="14"/>
  <c r="J71" i="14"/>
  <c r="D71" i="14"/>
  <c r="G71" i="14"/>
  <c r="B71" i="14"/>
  <c r="Q70" i="14" s="1"/>
  <c r="C72" i="14"/>
  <c r="K70" i="14"/>
  <c r="B63" i="8"/>
  <c r="C64" i="8"/>
  <c r="E36" i="8"/>
  <c r="E64" i="19"/>
  <c r="N41" i="14" l="1"/>
  <c r="N42" i="2"/>
  <c r="P40" i="17"/>
  <c r="P43" i="10"/>
  <c r="H36" i="8"/>
  <c r="D37" i="8" s="1"/>
  <c r="O42" i="2"/>
  <c r="Q40" i="17"/>
  <c r="O41" i="14"/>
  <c r="Q43" i="10"/>
  <c r="P68" i="20"/>
  <c r="H64" i="19"/>
  <c r="D65" i="19" s="1"/>
  <c r="Q68" i="20"/>
  <c r="AA71" i="10"/>
  <c r="W71" i="10"/>
  <c r="Y71" i="10"/>
  <c r="Z71" i="10"/>
  <c r="D71" i="2"/>
  <c r="M71" i="2"/>
  <c r="H71" i="2"/>
  <c r="G71" i="2"/>
  <c r="J71" i="2"/>
  <c r="I70" i="2"/>
  <c r="E71" i="2"/>
  <c r="F71" i="2"/>
  <c r="B71" i="2"/>
  <c r="Q70" i="2" s="1"/>
  <c r="T70" i="2"/>
  <c r="B64" i="8"/>
  <c r="C65" i="8"/>
  <c r="U69" i="2"/>
  <c r="K70" i="2"/>
  <c r="D72" i="14"/>
  <c r="I71" i="14"/>
  <c r="H72" i="14"/>
  <c r="F72" i="14"/>
  <c r="J72" i="14"/>
  <c r="E72" i="14"/>
  <c r="G72" i="14"/>
  <c r="M72" i="14"/>
  <c r="B72" i="14"/>
  <c r="Q71" i="14" s="1"/>
  <c r="C73" i="14"/>
  <c r="K71" i="14"/>
  <c r="G73" i="10"/>
  <c r="M73" i="10"/>
  <c r="J73" i="10"/>
  <c r="D73" i="10"/>
  <c r="F73" i="10"/>
  <c r="K72" i="10"/>
  <c r="E73" i="10"/>
  <c r="O73" i="10"/>
  <c r="L73" i="10"/>
  <c r="V72" i="10"/>
  <c r="B73" i="10"/>
  <c r="S72" i="10" s="1"/>
  <c r="C74" i="10"/>
  <c r="I73" i="10"/>
  <c r="O41" i="17" l="1"/>
  <c r="R41" i="17" s="1"/>
  <c r="M42" i="14"/>
  <c r="P42" i="14" s="1"/>
  <c r="M43" i="2"/>
  <c r="P43" i="2" s="1"/>
  <c r="O44" i="10"/>
  <c r="R44" i="10" s="1"/>
  <c r="G37" i="8"/>
  <c r="F37" i="8" s="1"/>
  <c r="G65" i="19"/>
  <c r="R69" i="20"/>
  <c r="U70" i="2"/>
  <c r="K72" i="14"/>
  <c r="F74" i="10"/>
  <c r="E74" i="10"/>
  <c r="D74" i="10"/>
  <c r="K73" i="10"/>
  <c r="G74" i="10"/>
  <c r="J74" i="10"/>
  <c r="O74" i="10"/>
  <c r="M74" i="10"/>
  <c r="L74" i="10"/>
  <c r="V73" i="10"/>
  <c r="B74" i="10"/>
  <c r="S73" i="10" s="1"/>
  <c r="C75" i="10"/>
  <c r="I74" i="10"/>
  <c r="G72" i="2"/>
  <c r="E72" i="2"/>
  <c r="D72" i="2"/>
  <c r="M72" i="2"/>
  <c r="J72" i="2"/>
  <c r="I71" i="2"/>
  <c r="H72" i="2"/>
  <c r="F72" i="2"/>
  <c r="B72" i="2"/>
  <c r="Q71" i="2" s="1"/>
  <c r="T71" i="2"/>
  <c r="W72" i="10"/>
  <c r="Z72" i="10"/>
  <c r="AA72" i="10"/>
  <c r="Y72" i="10"/>
  <c r="I72" i="14"/>
  <c r="M73" i="14"/>
  <c r="H73" i="14"/>
  <c r="E73" i="14"/>
  <c r="J73" i="14"/>
  <c r="F73" i="14"/>
  <c r="G73" i="14"/>
  <c r="D73" i="14"/>
  <c r="B73" i="14"/>
  <c r="Q72" i="14" s="1"/>
  <c r="C74" i="14"/>
  <c r="B65" i="8"/>
  <c r="C66" i="8"/>
  <c r="K71" i="2"/>
  <c r="E37" i="8"/>
  <c r="E65" i="19"/>
  <c r="P44" i="10" l="1"/>
  <c r="N43" i="2"/>
  <c r="P41" i="17"/>
  <c r="N42" i="14"/>
  <c r="H37" i="8"/>
  <c r="D38" i="8" s="1"/>
  <c r="O43" i="2"/>
  <c r="Q41" i="17"/>
  <c r="O42" i="14"/>
  <c r="Q44" i="10"/>
  <c r="P69" i="20"/>
  <c r="F65" i="19"/>
  <c r="U71" i="2"/>
  <c r="C67" i="8"/>
  <c r="B66" i="8"/>
  <c r="K73" i="14"/>
  <c r="I72" i="2"/>
  <c r="J73" i="2"/>
  <c r="H73" i="2"/>
  <c r="M73" i="2"/>
  <c r="G73" i="2"/>
  <c r="F73" i="2"/>
  <c r="D73" i="2"/>
  <c r="E73" i="2"/>
  <c r="T72" i="2"/>
  <c r="B73" i="2"/>
  <c r="Q72" i="2" s="1"/>
  <c r="D75" i="10"/>
  <c r="F75" i="10"/>
  <c r="J75" i="10"/>
  <c r="E75" i="10"/>
  <c r="K74" i="10"/>
  <c r="G75" i="10"/>
  <c r="L75" i="10"/>
  <c r="O75" i="10"/>
  <c r="M75" i="10"/>
  <c r="V74" i="10"/>
  <c r="B75" i="10"/>
  <c r="S74" i="10" s="1"/>
  <c r="C76" i="10"/>
  <c r="I75" i="10"/>
  <c r="D74" i="14"/>
  <c r="M74" i="14"/>
  <c r="E74" i="14"/>
  <c r="H74" i="14"/>
  <c r="G74" i="14"/>
  <c r="F74" i="14"/>
  <c r="I73" i="14"/>
  <c r="J74" i="14"/>
  <c r="C75" i="14"/>
  <c r="B74" i="14"/>
  <c r="Q73" i="14" s="1"/>
  <c r="K72" i="2"/>
  <c r="Z73" i="10"/>
  <c r="Y73" i="10"/>
  <c r="W73" i="10"/>
  <c r="AA73" i="10"/>
  <c r="O45" i="10" l="1"/>
  <c r="R45" i="10" s="1"/>
  <c r="M43" i="14"/>
  <c r="P43" i="14" s="1"/>
  <c r="O42" i="17"/>
  <c r="R42" i="17" s="1"/>
  <c r="M44" i="2"/>
  <c r="P44" i="2" s="1"/>
  <c r="G38" i="8"/>
  <c r="F38" i="8" s="1"/>
  <c r="U72" i="2"/>
  <c r="H65" i="19"/>
  <c r="D66" i="19" s="1"/>
  <c r="Q69" i="20"/>
  <c r="D74" i="2"/>
  <c r="J74" i="2"/>
  <c r="E74" i="2"/>
  <c r="M74" i="2"/>
  <c r="F74" i="2"/>
  <c r="H74" i="2"/>
  <c r="G74" i="2"/>
  <c r="I73" i="2"/>
  <c r="B74" i="2"/>
  <c r="Q73" i="2" s="1"/>
  <c r="T73" i="2"/>
  <c r="Z74" i="10"/>
  <c r="W74" i="10"/>
  <c r="Y74" i="10"/>
  <c r="AA74" i="10"/>
  <c r="K73" i="2"/>
  <c r="G75" i="14"/>
  <c r="M75" i="14"/>
  <c r="E75" i="14"/>
  <c r="F75" i="14"/>
  <c r="D75" i="14"/>
  <c r="H75" i="14"/>
  <c r="I74" i="14"/>
  <c r="J75" i="14"/>
  <c r="B75" i="14"/>
  <c r="Q74" i="14" s="1"/>
  <c r="C76" i="14"/>
  <c r="K74" i="14"/>
  <c r="F76" i="10"/>
  <c r="G76" i="10"/>
  <c r="E76" i="10"/>
  <c r="J76" i="10"/>
  <c r="D76" i="10"/>
  <c r="K75" i="10"/>
  <c r="O76" i="10"/>
  <c r="M76" i="10"/>
  <c r="L76" i="10"/>
  <c r="V75" i="10"/>
  <c r="C77" i="10"/>
  <c r="B76" i="10"/>
  <c r="S75" i="10" s="1"/>
  <c r="I76" i="10"/>
  <c r="B67" i="8"/>
  <c r="C68" i="8"/>
  <c r="E38" i="8"/>
  <c r="P42" i="17" l="1"/>
  <c r="P45" i="10"/>
  <c r="N43" i="14"/>
  <c r="N44" i="2"/>
  <c r="H38" i="8"/>
  <c r="D39" i="8" s="1"/>
  <c r="Q45" i="10"/>
  <c r="O44" i="2"/>
  <c r="Q42" i="17"/>
  <c r="O43" i="14"/>
  <c r="G66" i="19"/>
  <c r="R70" i="20"/>
  <c r="J77" i="10"/>
  <c r="G77" i="10"/>
  <c r="M77" i="10"/>
  <c r="D77" i="10"/>
  <c r="E77" i="10"/>
  <c r="K76" i="10"/>
  <c r="O77" i="10"/>
  <c r="F77" i="10"/>
  <c r="L77" i="10"/>
  <c r="V76" i="10"/>
  <c r="C78" i="10"/>
  <c r="B77" i="10"/>
  <c r="S76" i="10" s="1"/>
  <c r="I77" i="10"/>
  <c r="B68" i="8"/>
  <c r="C69" i="8"/>
  <c r="Z75" i="10"/>
  <c r="Y75" i="10"/>
  <c r="AA75" i="10"/>
  <c r="W75" i="10"/>
  <c r="K75" i="14"/>
  <c r="U73" i="2"/>
  <c r="F76" i="14"/>
  <c r="E76" i="14"/>
  <c r="I75" i="14"/>
  <c r="D76" i="14"/>
  <c r="G76" i="14"/>
  <c r="J76" i="14"/>
  <c r="M76" i="14"/>
  <c r="H76" i="14"/>
  <c r="B76" i="14"/>
  <c r="Q75" i="14" s="1"/>
  <c r="C77" i="14"/>
  <c r="E75" i="2"/>
  <c r="F75" i="2"/>
  <c r="I74" i="2"/>
  <c r="M75" i="2"/>
  <c r="D75" i="2"/>
  <c r="G75" i="2"/>
  <c r="J75" i="2"/>
  <c r="H75" i="2"/>
  <c r="T74" i="2"/>
  <c r="B75" i="2"/>
  <c r="Q74" i="2" s="1"/>
  <c r="K74" i="2"/>
  <c r="E66" i="19"/>
  <c r="O43" i="17" l="1"/>
  <c r="R43" i="17" s="1"/>
  <c r="M44" i="14"/>
  <c r="P44" i="14" s="1"/>
  <c r="M45" i="2"/>
  <c r="P45" i="2" s="1"/>
  <c r="O46" i="10"/>
  <c r="R46" i="10" s="1"/>
  <c r="G39" i="8"/>
  <c r="F39" i="8" s="1"/>
  <c r="P70" i="20"/>
  <c r="F66" i="19"/>
  <c r="K75" i="2"/>
  <c r="F77" i="14"/>
  <c r="D77" i="14"/>
  <c r="H77" i="14"/>
  <c r="G77" i="14"/>
  <c r="E77" i="14"/>
  <c r="J77" i="14"/>
  <c r="M77" i="14"/>
  <c r="I76" i="14"/>
  <c r="C78" i="14"/>
  <c r="B77" i="14"/>
  <c r="Q76" i="14" s="1"/>
  <c r="K76" i="14"/>
  <c r="B69" i="8"/>
  <c r="C70" i="8"/>
  <c r="F78" i="10"/>
  <c r="D78" i="10"/>
  <c r="E78" i="10"/>
  <c r="G78" i="10"/>
  <c r="K77" i="10"/>
  <c r="J78" i="10"/>
  <c r="O78" i="10"/>
  <c r="M78" i="10"/>
  <c r="L78" i="10"/>
  <c r="V77" i="10"/>
  <c r="B78" i="10"/>
  <c r="S77" i="10" s="1"/>
  <c r="C79" i="10"/>
  <c r="I78" i="10"/>
  <c r="U74" i="2"/>
  <c r="Z76" i="10"/>
  <c r="Y76" i="10"/>
  <c r="W76" i="10"/>
  <c r="AA76" i="10"/>
  <c r="D76" i="2"/>
  <c r="J76" i="2"/>
  <c r="E76" i="2"/>
  <c r="H76" i="2"/>
  <c r="M76" i="2"/>
  <c r="F76" i="2"/>
  <c r="G76" i="2"/>
  <c r="I75" i="2"/>
  <c r="T75" i="2"/>
  <c r="B76" i="2"/>
  <c r="Q75" i="2" s="1"/>
  <c r="E39" i="8"/>
  <c r="N45" i="2" l="1"/>
  <c r="P43" i="17"/>
  <c r="P46" i="10"/>
  <c r="N44" i="14"/>
  <c r="H39" i="8"/>
  <c r="D40" i="8" s="1"/>
  <c r="O45" i="2"/>
  <c r="Q43" i="17"/>
  <c r="O44" i="14"/>
  <c r="Q46" i="10"/>
  <c r="H66" i="19"/>
  <c r="D67" i="19" s="1"/>
  <c r="Q70" i="20"/>
  <c r="U75" i="2"/>
  <c r="E78" i="14"/>
  <c r="I77" i="14"/>
  <c r="H78" i="14"/>
  <c r="M78" i="14"/>
  <c r="F78" i="14"/>
  <c r="G78" i="14"/>
  <c r="D78" i="14"/>
  <c r="J78" i="14"/>
  <c r="C79" i="14"/>
  <c r="B78" i="14"/>
  <c r="Q77" i="14" s="1"/>
  <c r="K76" i="2"/>
  <c r="Z77" i="10"/>
  <c r="AA77" i="10"/>
  <c r="W77" i="10"/>
  <c r="Y77" i="10"/>
  <c r="G77" i="2"/>
  <c r="M77" i="2"/>
  <c r="E77" i="2"/>
  <c r="F77" i="2"/>
  <c r="H77" i="2"/>
  <c r="D77" i="2"/>
  <c r="J77" i="2"/>
  <c r="I76" i="2"/>
  <c r="T76" i="2"/>
  <c r="B77" i="2"/>
  <c r="Q76" i="2" s="1"/>
  <c r="F79" i="10"/>
  <c r="G79" i="10"/>
  <c r="E79" i="10"/>
  <c r="D79" i="10"/>
  <c r="K78" i="10"/>
  <c r="J79" i="10"/>
  <c r="M79" i="10"/>
  <c r="O79" i="10"/>
  <c r="L79" i="10"/>
  <c r="V78" i="10"/>
  <c r="B79" i="10"/>
  <c r="S78" i="10" s="1"/>
  <c r="C80" i="10"/>
  <c r="I79" i="10"/>
  <c r="B70" i="8"/>
  <c r="C71" i="8"/>
  <c r="K77" i="14"/>
  <c r="M45" i="14" l="1"/>
  <c r="P45" i="14" s="1"/>
  <c r="O44" i="17"/>
  <c r="R44" i="17" s="1"/>
  <c r="O47" i="10"/>
  <c r="R47" i="10" s="1"/>
  <c r="M46" i="2"/>
  <c r="P46" i="2" s="1"/>
  <c r="G40" i="8"/>
  <c r="F40" i="8" s="1"/>
  <c r="G67" i="19"/>
  <c r="R71" i="20"/>
  <c r="B71" i="8"/>
  <c r="C72" i="8"/>
  <c r="F78" i="2"/>
  <c r="I77" i="2"/>
  <c r="G78" i="2"/>
  <c r="M78" i="2"/>
  <c r="E78" i="2"/>
  <c r="J78" i="2"/>
  <c r="H78" i="2"/>
  <c r="D78" i="2"/>
  <c r="B78" i="2"/>
  <c r="Q77" i="2" s="1"/>
  <c r="T77" i="2"/>
  <c r="K77" i="2"/>
  <c r="E79" i="14"/>
  <c r="M79" i="14"/>
  <c r="F79" i="14"/>
  <c r="I78" i="14"/>
  <c r="H79" i="14"/>
  <c r="D79" i="14"/>
  <c r="G79" i="14"/>
  <c r="J79" i="14"/>
  <c r="B79" i="14"/>
  <c r="Q78" i="14" s="1"/>
  <c r="C80" i="14"/>
  <c r="Z78" i="10"/>
  <c r="W78" i="10"/>
  <c r="Y78" i="10"/>
  <c r="AA78" i="10"/>
  <c r="K78" i="14"/>
  <c r="D80" i="10"/>
  <c r="E80" i="10"/>
  <c r="M80" i="10"/>
  <c r="G80" i="10"/>
  <c r="K79" i="10"/>
  <c r="O80" i="10"/>
  <c r="F80" i="10"/>
  <c r="J80" i="10"/>
  <c r="L80" i="10"/>
  <c r="V79" i="10"/>
  <c r="C81" i="10"/>
  <c r="B80" i="10"/>
  <c r="S79" i="10" s="1"/>
  <c r="I80" i="10"/>
  <c r="U76" i="2"/>
  <c r="E40" i="8"/>
  <c r="E67" i="19"/>
  <c r="P44" i="17" l="1"/>
  <c r="N45" i="14"/>
  <c r="P47" i="10"/>
  <c r="N46" i="2"/>
  <c r="H40" i="8"/>
  <c r="D41" i="8" s="1"/>
  <c r="O46" i="2"/>
  <c r="Q44" i="17"/>
  <c r="O45" i="14"/>
  <c r="Q47" i="10"/>
  <c r="P71" i="20"/>
  <c r="F67" i="19"/>
  <c r="D81" i="10"/>
  <c r="K80" i="10"/>
  <c r="F81" i="10"/>
  <c r="E81" i="10"/>
  <c r="G81" i="10"/>
  <c r="J81" i="10"/>
  <c r="L81" i="10"/>
  <c r="M81" i="10"/>
  <c r="O81" i="10"/>
  <c r="V80" i="10"/>
  <c r="B81" i="10"/>
  <c r="S80" i="10" s="1"/>
  <c r="C82" i="10"/>
  <c r="I81" i="10"/>
  <c r="K79" i="14"/>
  <c r="G79" i="2"/>
  <c r="I78" i="2"/>
  <c r="E79" i="2"/>
  <c r="D79" i="2"/>
  <c r="F79" i="2"/>
  <c r="H79" i="2"/>
  <c r="J79" i="2"/>
  <c r="M79" i="2"/>
  <c r="T78" i="2"/>
  <c r="B79" i="2"/>
  <c r="Q78" i="2" s="1"/>
  <c r="B72" i="8"/>
  <c r="C73" i="8"/>
  <c r="W79" i="10"/>
  <c r="Z79" i="10"/>
  <c r="AA79" i="10"/>
  <c r="Y79" i="10"/>
  <c r="K78" i="2"/>
  <c r="G80" i="14"/>
  <c r="E80" i="14"/>
  <c r="D80" i="14"/>
  <c r="I79" i="14"/>
  <c r="J80" i="14"/>
  <c r="H80" i="14"/>
  <c r="F80" i="14"/>
  <c r="M80" i="14"/>
  <c r="B80" i="14"/>
  <c r="Q79" i="14" s="1"/>
  <c r="C81" i="14"/>
  <c r="U77" i="2"/>
  <c r="M47" i="2" l="1"/>
  <c r="P47" i="2" s="1"/>
  <c r="M46" i="14"/>
  <c r="P46" i="14" s="1"/>
  <c r="O45" i="17"/>
  <c r="R45" i="17" s="1"/>
  <c r="O48" i="10"/>
  <c r="R48" i="10" s="1"/>
  <c r="G41" i="8"/>
  <c r="F41" i="8" s="1"/>
  <c r="H67" i="19"/>
  <c r="D68" i="19" s="1"/>
  <c r="Q71" i="20"/>
  <c r="U78" i="2"/>
  <c r="J82" i="10"/>
  <c r="E82" i="10"/>
  <c r="F82" i="10"/>
  <c r="M82" i="10"/>
  <c r="O82" i="10"/>
  <c r="K81" i="10"/>
  <c r="D82" i="10"/>
  <c r="G82" i="10"/>
  <c r="L82" i="10"/>
  <c r="V81" i="10"/>
  <c r="B82" i="10"/>
  <c r="S81" i="10" s="1"/>
  <c r="C83" i="10"/>
  <c r="I82" i="10"/>
  <c r="K79" i="2"/>
  <c r="K80" i="14"/>
  <c r="B73" i="8"/>
  <c r="C74" i="8"/>
  <c r="D81" i="14"/>
  <c r="H81" i="14"/>
  <c r="F81" i="14"/>
  <c r="I80" i="14"/>
  <c r="E81" i="14"/>
  <c r="J81" i="14"/>
  <c r="G81" i="14"/>
  <c r="M81" i="14"/>
  <c r="B81" i="14"/>
  <c r="Q80" i="14" s="1"/>
  <c r="C82" i="14"/>
  <c r="E80" i="2"/>
  <c r="M80" i="2"/>
  <c r="D80" i="2"/>
  <c r="I79" i="2"/>
  <c r="H80" i="2"/>
  <c r="F80" i="2"/>
  <c r="G80" i="2"/>
  <c r="J80" i="2"/>
  <c r="B80" i="2"/>
  <c r="Q79" i="2" s="1"/>
  <c r="T79" i="2"/>
  <c r="Z80" i="10"/>
  <c r="Y80" i="10"/>
  <c r="W80" i="10"/>
  <c r="AA80" i="10"/>
  <c r="E41" i="8"/>
  <c r="N47" i="2" l="1"/>
  <c r="P45" i="17"/>
  <c r="N46" i="14"/>
  <c r="P48" i="10"/>
  <c r="H41" i="8"/>
  <c r="D42" i="8" s="1"/>
  <c r="Q48" i="10"/>
  <c r="O47" i="2"/>
  <c r="Q45" i="17"/>
  <c r="O46" i="14"/>
  <c r="G68" i="19"/>
  <c r="R72" i="20"/>
  <c r="F82" i="14"/>
  <c r="I81" i="14"/>
  <c r="J82" i="14"/>
  <c r="H82" i="14"/>
  <c r="E82" i="14"/>
  <c r="M82" i="14"/>
  <c r="D82" i="14"/>
  <c r="G82" i="14"/>
  <c r="B82" i="14"/>
  <c r="Q81" i="14" s="1"/>
  <c r="C83" i="14"/>
  <c r="U79" i="2"/>
  <c r="G83" i="10"/>
  <c r="J83" i="10"/>
  <c r="E83" i="10"/>
  <c r="M83" i="10"/>
  <c r="D83" i="10"/>
  <c r="K82" i="10"/>
  <c r="F83" i="10"/>
  <c r="O83" i="10"/>
  <c r="L83" i="10"/>
  <c r="B83" i="10"/>
  <c r="S82" i="10" s="1"/>
  <c r="V82" i="10"/>
  <c r="C84" i="10"/>
  <c r="I83" i="10"/>
  <c r="B74" i="8"/>
  <c r="C75" i="8"/>
  <c r="Z81" i="10"/>
  <c r="AA81" i="10"/>
  <c r="W81" i="10"/>
  <c r="Y81" i="10"/>
  <c r="K80" i="2"/>
  <c r="K81" i="14"/>
  <c r="E81" i="2"/>
  <c r="H81" i="2"/>
  <c r="G81" i="2"/>
  <c r="F81" i="2"/>
  <c r="I80" i="2"/>
  <c r="D81" i="2"/>
  <c r="J81" i="2"/>
  <c r="M81" i="2"/>
  <c r="B81" i="2"/>
  <c r="Q80" i="2" s="1"/>
  <c r="T80" i="2"/>
  <c r="E68" i="19"/>
  <c r="O46" i="17" l="1"/>
  <c r="R46" i="17" s="1"/>
  <c r="M47" i="14"/>
  <c r="P47" i="14" s="1"/>
  <c r="O49" i="10"/>
  <c r="R49" i="10" s="1"/>
  <c r="M48" i="2"/>
  <c r="P48" i="2" s="1"/>
  <c r="G42" i="8"/>
  <c r="F42" i="8" s="1"/>
  <c r="P72" i="20"/>
  <c r="F68" i="19"/>
  <c r="U80" i="2"/>
  <c r="K83" i="10"/>
  <c r="G84" i="10"/>
  <c r="F84" i="10"/>
  <c r="D84" i="10"/>
  <c r="E84" i="10"/>
  <c r="J84" i="10"/>
  <c r="M84" i="10"/>
  <c r="O84" i="10"/>
  <c r="L84" i="10"/>
  <c r="V83" i="10"/>
  <c r="C85" i="10"/>
  <c r="B84" i="10"/>
  <c r="S83" i="10" s="1"/>
  <c r="I84" i="10"/>
  <c r="J82" i="2"/>
  <c r="I81" i="2"/>
  <c r="H82" i="2"/>
  <c r="E82" i="2"/>
  <c r="F82" i="2"/>
  <c r="G82" i="2"/>
  <c r="D82" i="2"/>
  <c r="M82" i="2"/>
  <c r="T81" i="2"/>
  <c r="B82" i="2"/>
  <c r="Q81" i="2" s="1"/>
  <c r="AA82" i="10"/>
  <c r="Y82" i="10"/>
  <c r="W82" i="10"/>
  <c r="Z82" i="10"/>
  <c r="K82" i="14"/>
  <c r="K81" i="2"/>
  <c r="E83" i="14"/>
  <c r="M83" i="14"/>
  <c r="G83" i="14"/>
  <c r="I82" i="14"/>
  <c r="F83" i="14"/>
  <c r="D83" i="14"/>
  <c r="H83" i="14"/>
  <c r="J83" i="14"/>
  <c r="B83" i="14"/>
  <c r="Q82" i="14" s="1"/>
  <c r="C84" i="14"/>
  <c r="B75" i="8"/>
  <c r="C76" i="8"/>
  <c r="E42" i="8"/>
  <c r="P46" i="17" l="1"/>
  <c r="P49" i="10"/>
  <c r="N47" i="14"/>
  <c r="N48" i="2"/>
  <c r="H42" i="8"/>
  <c r="D43" i="8" s="1"/>
  <c r="Q49" i="10"/>
  <c r="O48" i="2"/>
  <c r="Q46" i="17"/>
  <c r="O47" i="14"/>
  <c r="H68" i="19"/>
  <c r="D69" i="19" s="1"/>
  <c r="Q72" i="20"/>
  <c r="F84" i="14"/>
  <c r="E84" i="14"/>
  <c r="H84" i="14"/>
  <c r="I83" i="14"/>
  <c r="J84" i="14"/>
  <c r="D84" i="14"/>
  <c r="G84" i="14"/>
  <c r="M84" i="14"/>
  <c r="C85" i="14"/>
  <c r="B84" i="14"/>
  <c r="Q83" i="14" s="1"/>
  <c r="U81" i="2"/>
  <c r="K82" i="2"/>
  <c r="AA83" i="10"/>
  <c r="W83" i="10"/>
  <c r="Y83" i="10"/>
  <c r="Z83" i="10"/>
  <c r="E85" i="10"/>
  <c r="J85" i="10"/>
  <c r="K84" i="10"/>
  <c r="M85" i="10"/>
  <c r="D85" i="10"/>
  <c r="G85" i="10"/>
  <c r="F85" i="10"/>
  <c r="O85" i="10"/>
  <c r="L85" i="10"/>
  <c r="V84" i="10"/>
  <c r="B85" i="10"/>
  <c r="S84" i="10" s="1"/>
  <c r="C86" i="10"/>
  <c r="I85" i="10"/>
  <c r="B76" i="8"/>
  <c r="C77" i="8"/>
  <c r="K83" i="14"/>
  <c r="F83" i="2"/>
  <c r="J83" i="2"/>
  <c r="G83" i="2"/>
  <c r="H83" i="2"/>
  <c r="I82" i="2"/>
  <c r="M83" i="2"/>
  <c r="D83" i="2"/>
  <c r="E83" i="2"/>
  <c r="B83" i="2"/>
  <c r="Q82" i="2" s="1"/>
  <c r="T82" i="2"/>
  <c r="O47" i="17" l="1"/>
  <c r="R47" i="17" s="1"/>
  <c r="M48" i="14"/>
  <c r="P48" i="14" s="1"/>
  <c r="O50" i="10"/>
  <c r="R50" i="10" s="1"/>
  <c r="M49" i="2"/>
  <c r="P49" i="2" s="1"/>
  <c r="G43" i="8"/>
  <c r="F43" i="8" s="1"/>
  <c r="G69" i="19"/>
  <c r="R73" i="20"/>
  <c r="U82" i="2"/>
  <c r="AA84" i="10"/>
  <c r="Y84" i="10"/>
  <c r="Z84" i="10"/>
  <c r="W84" i="10"/>
  <c r="K85" i="10"/>
  <c r="E86" i="10"/>
  <c r="G86" i="10"/>
  <c r="D86" i="10"/>
  <c r="J86" i="10"/>
  <c r="F86" i="10"/>
  <c r="L86" i="10"/>
  <c r="M86" i="10"/>
  <c r="O86" i="10"/>
  <c r="V85" i="10"/>
  <c r="C87" i="10"/>
  <c r="B86" i="10"/>
  <c r="S85" i="10" s="1"/>
  <c r="I86" i="10"/>
  <c r="K83" i="2"/>
  <c r="E84" i="2"/>
  <c r="D84" i="2"/>
  <c r="G84" i="2"/>
  <c r="I83" i="2"/>
  <c r="M84" i="2"/>
  <c r="J84" i="2"/>
  <c r="H84" i="2"/>
  <c r="F84" i="2"/>
  <c r="T83" i="2"/>
  <c r="B84" i="2"/>
  <c r="Q83" i="2" s="1"/>
  <c r="B77" i="8"/>
  <c r="C78" i="8"/>
  <c r="H85" i="14"/>
  <c r="D85" i="14"/>
  <c r="E85" i="14"/>
  <c r="G85" i="14"/>
  <c r="I84" i="14"/>
  <c r="M85" i="14"/>
  <c r="F85" i="14"/>
  <c r="J85" i="14"/>
  <c r="C86" i="14"/>
  <c r="B85" i="14"/>
  <c r="Q84" i="14" s="1"/>
  <c r="K84" i="14"/>
  <c r="E43" i="8"/>
  <c r="E69" i="19"/>
  <c r="P47" i="17" l="1"/>
  <c r="N48" i="14"/>
  <c r="P50" i="10"/>
  <c r="N49" i="2"/>
  <c r="H43" i="8"/>
  <c r="D44" i="8" s="1"/>
  <c r="Q50" i="10"/>
  <c r="O49" i="2"/>
  <c r="Q47" i="17"/>
  <c r="O48" i="14"/>
  <c r="P73" i="20"/>
  <c r="F69" i="19"/>
  <c r="U83" i="2"/>
  <c r="K85" i="14"/>
  <c r="B78" i="8"/>
  <c r="C79" i="8"/>
  <c r="K84" i="2"/>
  <c r="Y85" i="10"/>
  <c r="W85" i="10"/>
  <c r="Z85" i="10"/>
  <c r="AA85" i="10"/>
  <c r="H85" i="2"/>
  <c r="G85" i="2"/>
  <c r="E85" i="2"/>
  <c r="M85" i="2"/>
  <c r="D85" i="2"/>
  <c r="J85" i="2"/>
  <c r="F85" i="2"/>
  <c r="I84" i="2"/>
  <c r="B85" i="2"/>
  <c r="Q84" i="2" s="1"/>
  <c r="T84" i="2"/>
  <c r="F86" i="14"/>
  <c r="E86" i="14"/>
  <c r="M86" i="14"/>
  <c r="G86" i="14"/>
  <c r="I85" i="14"/>
  <c r="J86" i="14"/>
  <c r="D86" i="14"/>
  <c r="H86" i="14"/>
  <c r="B86" i="14"/>
  <c r="D87" i="10"/>
  <c r="J87" i="10"/>
  <c r="K86" i="10"/>
  <c r="M87" i="10"/>
  <c r="G87" i="10"/>
  <c r="F87" i="10"/>
  <c r="E87" i="10"/>
  <c r="L87" i="10"/>
  <c r="O87" i="10"/>
  <c r="B87" i="10"/>
  <c r="S86" i="10" s="1"/>
  <c r="V86" i="10"/>
  <c r="C88" i="10"/>
  <c r="I87" i="10"/>
  <c r="O48" i="17" l="1"/>
  <c r="R48" i="17" s="1"/>
  <c r="M49" i="14"/>
  <c r="P49" i="14" s="1"/>
  <c r="O51" i="10"/>
  <c r="R51" i="10" s="1"/>
  <c r="M50" i="2"/>
  <c r="P50" i="2" s="1"/>
  <c r="G44" i="8"/>
  <c r="F44" i="8" s="1"/>
  <c r="H69" i="19"/>
  <c r="D70" i="19" s="1"/>
  <c r="Q73" i="20"/>
  <c r="Q85" i="14"/>
  <c r="B79" i="8"/>
  <c r="C80" i="8"/>
  <c r="K87" i="10"/>
  <c r="E88" i="10"/>
  <c r="F88" i="10"/>
  <c r="O88" i="10"/>
  <c r="J88" i="10"/>
  <c r="D88" i="10"/>
  <c r="G88" i="10"/>
  <c r="L88" i="10"/>
  <c r="M88" i="10"/>
  <c r="V87" i="10"/>
  <c r="B88" i="10"/>
  <c r="I88" i="10"/>
  <c r="K86" i="14"/>
  <c r="J86" i="2"/>
  <c r="E86" i="2"/>
  <c r="H86" i="2"/>
  <c r="I85" i="2"/>
  <c r="M86" i="2"/>
  <c r="G86" i="2"/>
  <c r="D86" i="2"/>
  <c r="F86" i="2"/>
  <c r="T85" i="2"/>
  <c r="B86" i="2"/>
  <c r="Q85" i="2" s="1"/>
  <c r="Y86" i="10"/>
  <c r="Z86" i="10"/>
  <c r="W86" i="10"/>
  <c r="AA86" i="10"/>
  <c r="U84" i="2"/>
  <c r="K85" i="2"/>
  <c r="E44" i="8"/>
  <c r="P51" i="10" l="1"/>
  <c r="N50" i="2"/>
  <c r="P48" i="17"/>
  <c r="N49" i="14"/>
  <c r="H44" i="8"/>
  <c r="D45" i="8" s="1"/>
  <c r="O49" i="14"/>
  <c r="Q51" i="10"/>
  <c r="O50" i="2"/>
  <c r="Q48" i="17"/>
  <c r="G70" i="19"/>
  <c r="F70" i="19" s="1"/>
  <c r="R74" i="20"/>
  <c r="S87" i="10"/>
  <c r="U85" i="2"/>
  <c r="B80" i="8"/>
  <c r="C81" i="8"/>
  <c r="G87" i="2"/>
  <c r="H87" i="2"/>
  <c r="E87" i="2"/>
  <c r="J87" i="2"/>
  <c r="I86" i="2"/>
  <c r="M87" i="2"/>
  <c r="D87" i="2"/>
  <c r="F87" i="2"/>
  <c r="T86" i="2"/>
  <c r="B87" i="2"/>
  <c r="W87" i="10"/>
  <c r="W17" i="10" s="1"/>
  <c r="G8" i="10" s="1"/>
  <c r="Z87" i="10"/>
  <c r="AA87" i="10"/>
  <c r="AA17" i="10" s="1"/>
  <c r="Y87" i="10"/>
  <c r="K86" i="2"/>
  <c r="E70" i="19"/>
  <c r="O49" i="17" l="1"/>
  <c r="R49" i="17" s="1"/>
  <c r="M50" i="14"/>
  <c r="P50" i="14" s="1"/>
  <c r="O52" i="10"/>
  <c r="R52" i="10" s="1"/>
  <c r="M51" i="2"/>
  <c r="P51" i="2" s="1"/>
  <c r="G45" i="8"/>
  <c r="F45" i="8" s="1"/>
  <c r="U86" i="2"/>
  <c r="U16" i="2" s="1"/>
  <c r="G8" i="2" s="1"/>
  <c r="P74" i="20"/>
  <c r="H70" i="19"/>
  <c r="D71" i="19" s="1"/>
  <c r="Q74" i="20"/>
  <c r="Q86" i="2"/>
  <c r="B81" i="8"/>
  <c r="K87" i="2"/>
  <c r="E45" i="8"/>
  <c r="N50" i="14" l="1"/>
  <c r="P49" i="17"/>
  <c r="P52" i="10"/>
  <c r="N51" i="2"/>
  <c r="H45" i="8"/>
  <c r="D46" i="8" s="1"/>
  <c r="O51" i="2"/>
  <c r="O50" i="14"/>
  <c r="Q49" i="17"/>
  <c r="Q52" i="10"/>
  <c r="G71" i="19"/>
  <c r="R75" i="20"/>
  <c r="E71" i="19"/>
  <c r="O50" i="17" l="1"/>
  <c r="R50" i="17" s="1"/>
  <c r="M51" i="14"/>
  <c r="P51" i="14" s="1"/>
  <c r="O53" i="10"/>
  <c r="R53" i="10" s="1"/>
  <c r="M52" i="2"/>
  <c r="P52" i="2" s="1"/>
  <c r="G46" i="8"/>
  <c r="F46" i="8" s="1"/>
  <c r="P75" i="20"/>
  <c r="F71" i="19"/>
  <c r="E46" i="8"/>
  <c r="P53" i="10" l="1"/>
  <c r="P50" i="17"/>
  <c r="N52" i="2"/>
  <c r="N51" i="14"/>
  <c r="H46" i="8"/>
  <c r="D47" i="8" s="1"/>
  <c r="O51" i="14"/>
  <c r="Q53" i="10"/>
  <c r="O52" i="2"/>
  <c r="Q50" i="17"/>
  <c r="H71" i="19"/>
  <c r="D72" i="19" s="1"/>
  <c r="Q75" i="20"/>
  <c r="M53" i="2" l="1"/>
  <c r="P53" i="2" s="1"/>
  <c r="G47" i="8"/>
  <c r="F47" i="8" s="1"/>
  <c r="R54" i="10"/>
  <c r="P52" i="14"/>
  <c r="R51" i="17"/>
  <c r="G72" i="19"/>
  <c r="R76" i="20"/>
  <c r="E72" i="19"/>
  <c r="E47" i="8"/>
  <c r="N53" i="2" l="1"/>
  <c r="P51" i="17"/>
  <c r="N52" i="14"/>
  <c r="P54" i="10"/>
  <c r="H47" i="8"/>
  <c r="D48" i="8" s="1"/>
  <c r="O53" i="2"/>
  <c r="O52" i="14"/>
  <c r="Q54" i="10"/>
  <c r="Q51" i="17"/>
  <c r="P76" i="20"/>
  <c r="F72" i="19"/>
  <c r="M54" i="2" l="1"/>
  <c r="P54" i="2" s="1"/>
  <c r="G48" i="8"/>
  <c r="F48" i="8" s="1"/>
  <c r="R55" i="10"/>
  <c r="R52" i="17"/>
  <c r="P53" i="14"/>
  <c r="H72" i="19"/>
  <c r="D73" i="19" s="1"/>
  <c r="Q76" i="20"/>
  <c r="E48" i="8"/>
  <c r="N54" i="2" l="1"/>
  <c r="P55" i="10"/>
  <c r="P52" i="17"/>
  <c r="N53" i="14"/>
  <c r="H48" i="8"/>
  <c r="D49" i="8" s="1"/>
  <c r="Q55" i="10"/>
  <c r="O53" i="14"/>
  <c r="O54" i="2"/>
  <c r="Q52" i="17"/>
  <c r="G73" i="19"/>
  <c r="R77" i="20"/>
  <c r="E73" i="19"/>
  <c r="M55" i="2" l="1"/>
  <c r="P55" i="2" s="1"/>
  <c r="G49" i="8"/>
  <c r="F49" i="8" s="1"/>
  <c r="R53" i="17"/>
  <c r="P54" i="14"/>
  <c r="R56" i="10"/>
  <c r="P77" i="20"/>
  <c r="F73" i="19"/>
  <c r="E49" i="8"/>
  <c r="P53" i="17" l="1"/>
  <c r="N54" i="14"/>
  <c r="N55" i="2"/>
  <c r="P56" i="10"/>
  <c r="H49" i="8"/>
  <c r="D50" i="8" s="1"/>
  <c r="O54" i="14"/>
  <c r="Q56" i="10"/>
  <c r="O55" i="2"/>
  <c r="Q53" i="17"/>
  <c r="H73" i="19"/>
  <c r="D74" i="19" s="1"/>
  <c r="Q77" i="20"/>
  <c r="M56" i="2" l="1"/>
  <c r="P56" i="2" s="1"/>
  <c r="G50" i="8"/>
  <c r="F50" i="8" s="1"/>
  <c r="R54" i="17"/>
  <c r="P55" i="14"/>
  <c r="R57" i="10"/>
  <c r="G74" i="19"/>
  <c r="F74" i="19" s="1"/>
  <c r="R78" i="20"/>
  <c r="E74" i="19"/>
  <c r="E50" i="8"/>
  <c r="P54" i="17" l="1"/>
  <c r="N56" i="2"/>
  <c r="N55" i="14"/>
  <c r="P57" i="10"/>
  <c r="H50" i="8"/>
  <c r="D51" i="8" s="1"/>
  <c r="Q54" i="17"/>
  <c r="O55" i="14"/>
  <c r="Q57" i="10"/>
  <c r="O56" i="2"/>
  <c r="P78" i="20"/>
  <c r="H74" i="19"/>
  <c r="D75" i="19" s="1"/>
  <c r="Q78" i="20"/>
  <c r="M57" i="2" l="1"/>
  <c r="P57" i="2" s="1"/>
  <c r="G51" i="8"/>
  <c r="F51" i="8" s="1"/>
  <c r="P56" i="14"/>
  <c r="R58" i="10"/>
  <c r="R55" i="17"/>
  <c r="G75" i="19"/>
  <c r="R79" i="20"/>
  <c r="E75" i="19"/>
  <c r="E51" i="8"/>
  <c r="N56" i="14" l="1"/>
  <c r="P58" i="10"/>
  <c r="N57" i="2"/>
  <c r="P55" i="17"/>
  <c r="H51" i="8"/>
  <c r="D52" i="8" s="1"/>
  <c r="O57" i="2"/>
  <c r="Q55" i="17"/>
  <c r="O56" i="14"/>
  <c r="Q58" i="10"/>
  <c r="P79" i="20"/>
  <c r="F75" i="19"/>
  <c r="M58" i="2" l="1"/>
  <c r="P58" i="2" s="1"/>
  <c r="G52" i="8"/>
  <c r="F52" i="8" s="1"/>
  <c r="P57" i="14"/>
  <c r="R59" i="10"/>
  <c r="R56" i="17"/>
  <c r="H75" i="19"/>
  <c r="D76" i="19" s="1"/>
  <c r="Q79" i="20"/>
  <c r="E52" i="8"/>
  <c r="P56" i="17" l="1"/>
  <c r="P59" i="10"/>
  <c r="N57" i="14"/>
  <c r="N58" i="2"/>
  <c r="H52" i="8"/>
  <c r="D53" i="8" s="1"/>
  <c r="O58" i="2"/>
  <c r="Q56" i="17"/>
  <c r="Q59" i="10"/>
  <c r="O57" i="14"/>
  <c r="G76" i="19"/>
  <c r="R80" i="20"/>
  <c r="E76" i="19"/>
  <c r="M59" i="2" l="1"/>
  <c r="P59" i="2" s="1"/>
  <c r="G53" i="8"/>
  <c r="F53" i="8" s="1"/>
  <c r="P58" i="14"/>
  <c r="R60" i="10"/>
  <c r="R57" i="17"/>
  <c r="P80" i="20"/>
  <c r="F76" i="19"/>
  <c r="E53" i="8"/>
  <c r="N59" i="2" l="1"/>
  <c r="P57" i="17"/>
  <c r="N58" i="14"/>
  <c r="P60" i="10"/>
  <c r="H53" i="8"/>
  <c r="D54" i="8" s="1"/>
  <c r="Q60" i="10"/>
  <c r="O59" i="2"/>
  <c r="Q57" i="17"/>
  <c r="O58" i="14"/>
  <c r="H76" i="19"/>
  <c r="D77" i="19" s="1"/>
  <c r="Q80" i="20"/>
  <c r="M60" i="2" l="1"/>
  <c r="P60" i="2" s="1"/>
  <c r="G54" i="8"/>
  <c r="F54" i="8" s="1"/>
  <c r="R58" i="17"/>
  <c r="P59" i="14"/>
  <c r="R61" i="10"/>
  <c r="G77" i="19"/>
  <c r="F77" i="19" s="1"/>
  <c r="R81" i="20"/>
  <c r="E77" i="19"/>
  <c r="E54" i="8"/>
  <c r="P58" i="17" l="1"/>
  <c r="N59" i="14"/>
  <c r="P61" i="10"/>
  <c r="N60" i="2"/>
  <c r="H54" i="8"/>
  <c r="D55" i="8" s="1"/>
  <c r="Q58" i="17"/>
  <c r="O59" i="14"/>
  <c r="Q61" i="10"/>
  <c r="O60" i="2"/>
  <c r="P81" i="20"/>
  <c r="H77" i="19"/>
  <c r="D78" i="19" s="1"/>
  <c r="Q81" i="20"/>
  <c r="M61" i="2" l="1"/>
  <c r="P61" i="2" s="1"/>
  <c r="G55" i="8"/>
  <c r="F55" i="8" s="1"/>
  <c r="R62" i="10"/>
  <c r="R59" i="17"/>
  <c r="P60" i="14"/>
  <c r="G78" i="19"/>
  <c r="R82" i="20"/>
  <c r="E78" i="19"/>
  <c r="E55" i="8"/>
  <c r="N60" i="14" l="1"/>
  <c r="P62" i="10"/>
  <c r="N61" i="2"/>
  <c r="P59" i="17"/>
  <c r="H55" i="8"/>
  <c r="D56" i="8" s="1"/>
  <c r="Q59" i="17"/>
  <c r="O60" i="14"/>
  <c r="Q62" i="10"/>
  <c r="O61" i="2"/>
  <c r="P82" i="20"/>
  <c r="F78" i="19"/>
  <c r="M62" i="2" l="1"/>
  <c r="P62" i="2" s="1"/>
  <c r="G56" i="8"/>
  <c r="F56" i="8" s="1"/>
  <c r="R63" i="10"/>
  <c r="R60" i="17"/>
  <c r="P61" i="14"/>
  <c r="H78" i="19"/>
  <c r="D79" i="19" s="1"/>
  <c r="Q82" i="20"/>
  <c r="E56" i="8"/>
  <c r="N62" i="2" l="1"/>
  <c r="P63" i="10"/>
  <c r="P60" i="17"/>
  <c r="N61" i="14"/>
  <c r="H56" i="8"/>
  <c r="D57" i="8" s="1"/>
  <c r="Q60" i="17"/>
  <c r="O61" i="14"/>
  <c r="O62" i="2"/>
  <c r="Q63" i="10"/>
  <c r="G79" i="19"/>
  <c r="R83" i="20"/>
  <c r="E79" i="19"/>
  <c r="G57" i="8" l="1"/>
  <c r="F57" i="8" s="1"/>
  <c r="P63" i="2"/>
  <c r="P62" i="14"/>
  <c r="R61" i="17"/>
  <c r="R64" i="10"/>
  <c r="P83" i="20"/>
  <c r="F79" i="19"/>
  <c r="E57" i="8"/>
  <c r="N63" i="2" l="1"/>
  <c r="P64" i="10"/>
  <c r="P61" i="17"/>
  <c r="N62" i="14"/>
  <c r="H57" i="8"/>
  <c r="D58" i="8" s="1"/>
  <c r="Q61" i="17"/>
  <c r="Q64" i="10"/>
  <c r="O63" i="2"/>
  <c r="O62" i="14"/>
  <c r="H79" i="19"/>
  <c r="D80" i="19" s="1"/>
  <c r="Q83" i="20"/>
  <c r="G58" i="8" l="1"/>
  <c r="F58" i="8" s="1"/>
  <c r="P64" i="2"/>
  <c r="R65" i="10"/>
  <c r="P63" i="14"/>
  <c r="R62" i="17"/>
  <c r="G80" i="19"/>
  <c r="R84" i="20"/>
  <c r="E80" i="19"/>
  <c r="E58" i="8"/>
  <c r="N63" i="14" l="1"/>
  <c r="P65" i="10"/>
  <c r="N64" i="2"/>
  <c r="P62" i="17"/>
  <c r="H58" i="8"/>
  <c r="D59" i="8" s="1"/>
  <c r="O64" i="2"/>
  <c r="Q62" i="17"/>
  <c r="Q65" i="10"/>
  <c r="O63" i="14"/>
  <c r="P84" i="20"/>
  <c r="F80" i="19"/>
  <c r="G59" i="8" l="1"/>
  <c r="F59" i="8" s="1"/>
  <c r="R66" i="10"/>
  <c r="P64" i="14"/>
  <c r="R63" i="17"/>
  <c r="P65" i="2"/>
  <c r="H80" i="19"/>
  <c r="D81" i="19" s="1"/>
  <c r="Q84" i="20"/>
  <c r="E59" i="8"/>
  <c r="P66" i="10" l="1"/>
  <c r="N64" i="14"/>
  <c r="P63" i="17"/>
  <c r="N65" i="2"/>
  <c r="H59" i="8"/>
  <c r="D60" i="8" s="1"/>
  <c r="O65" i="2"/>
  <c r="O64" i="14"/>
  <c r="Q66" i="10"/>
  <c r="Q63" i="17"/>
  <c r="G81" i="19"/>
  <c r="R85" i="20"/>
  <c r="T15" i="20" s="1"/>
  <c r="G7" i="20" s="1"/>
  <c r="E81" i="19"/>
  <c r="G60" i="8" l="1"/>
  <c r="F60" i="8" s="1"/>
  <c r="R64" i="17"/>
  <c r="P66" i="2"/>
  <c r="P65" i="14"/>
  <c r="R67" i="10"/>
  <c r="P85" i="20"/>
  <c r="F81" i="19"/>
  <c r="Q85" i="20" s="1"/>
  <c r="E60" i="8"/>
  <c r="P64" i="17" l="1"/>
  <c r="P67" i="10"/>
  <c r="N66" i="2"/>
  <c r="N65" i="14"/>
  <c r="H60" i="8"/>
  <c r="D61" i="8" s="1"/>
  <c r="Q64" i="17"/>
  <c r="O65" i="14"/>
  <c r="Q67" i="10"/>
  <c r="O66" i="2"/>
  <c r="H81" i="19"/>
  <c r="G61" i="8" l="1"/>
  <c r="F61" i="8" s="1"/>
  <c r="R68" i="10"/>
  <c r="R65" i="17"/>
  <c r="P67" i="2"/>
  <c r="P66" i="14"/>
  <c r="E61" i="8"/>
  <c r="N67" i="2" l="1"/>
  <c r="P65" i="17"/>
  <c r="P68" i="10"/>
  <c r="N66" i="14"/>
  <c r="H61" i="8"/>
  <c r="D62" i="8" s="1"/>
  <c r="O66" i="14"/>
  <c r="Q68" i="10"/>
  <c r="O67" i="2"/>
  <c r="Q65" i="17"/>
  <c r="G62" i="8" l="1"/>
  <c r="F62" i="8" s="1"/>
  <c r="R69" i="10"/>
  <c r="R66" i="17"/>
  <c r="P68" i="2"/>
  <c r="P67" i="14"/>
  <c r="E62" i="8"/>
  <c r="N68" i="2" l="1"/>
  <c r="N67" i="14"/>
  <c r="P66" i="17"/>
  <c r="P69" i="10"/>
  <c r="H62" i="8"/>
  <c r="D63" i="8" s="1"/>
  <c r="O67" i="14"/>
  <c r="Q66" i="17"/>
  <c r="Q69" i="10"/>
  <c r="O68" i="2"/>
  <c r="G63" i="8" l="1"/>
  <c r="F63" i="8" s="1"/>
  <c r="R67" i="17"/>
  <c r="P69" i="2"/>
  <c r="R70" i="10"/>
  <c r="P68" i="14"/>
  <c r="E63" i="8"/>
  <c r="P67" i="17" l="1"/>
  <c r="N68" i="14"/>
  <c r="P70" i="10"/>
  <c r="N69" i="2"/>
  <c r="H63" i="8"/>
  <c r="D64" i="8" s="1"/>
  <c r="O68" i="14"/>
  <c r="Q70" i="10"/>
  <c r="O69" i="2"/>
  <c r="Q67" i="17"/>
  <c r="G64" i="8" l="1"/>
  <c r="F64" i="8" s="1"/>
  <c r="R68" i="17"/>
  <c r="P70" i="2"/>
  <c r="R71" i="10"/>
  <c r="P69" i="14"/>
  <c r="E64" i="8"/>
  <c r="P68" i="17" l="1"/>
  <c r="N69" i="14"/>
  <c r="P71" i="10"/>
  <c r="N70" i="2"/>
  <c r="H64" i="8"/>
  <c r="D65" i="8" s="1"/>
  <c r="Q68" i="17"/>
  <c r="O69" i="14"/>
  <c r="Q71" i="10"/>
  <c r="O70" i="2"/>
  <c r="G65" i="8" l="1"/>
  <c r="F65" i="8" s="1"/>
  <c r="P71" i="2"/>
  <c r="R69" i="17"/>
  <c r="R72" i="10"/>
  <c r="P70" i="14"/>
  <c r="E65" i="8"/>
  <c r="N71" i="2" l="1"/>
  <c r="P69" i="17"/>
  <c r="N70" i="14"/>
  <c r="P72" i="10"/>
  <c r="H65" i="8"/>
  <c r="D66" i="8" s="1"/>
  <c r="O70" i="14"/>
  <c r="Q72" i="10"/>
  <c r="O71" i="2"/>
  <c r="Q69" i="17"/>
  <c r="G66" i="8" l="1"/>
  <c r="F66" i="8" s="1"/>
  <c r="R73" i="10"/>
  <c r="R70" i="17"/>
  <c r="P72" i="2"/>
  <c r="P71" i="14"/>
  <c r="E66" i="8"/>
  <c r="N72" i="2" l="1"/>
  <c r="P70" i="17"/>
  <c r="N71" i="14"/>
  <c r="P73" i="10"/>
  <c r="H66" i="8"/>
  <c r="D67" i="8" s="1"/>
  <c r="O72" i="2"/>
  <c r="Q73" i="10"/>
  <c r="Q70" i="17"/>
  <c r="O71" i="14"/>
  <c r="G67" i="8" l="1"/>
  <c r="F67" i="8" s="1"/>
  <c r="R74" i="10"/>
  <c r="R71" i="17"/>
  <c r="P73" i="2"/>
  <c r="P72" i="14"/>
  <c r="E67" i="8"/>
  <c r="N73" i="2" l="1"/>
  <c r="P74" i="10"/>
  <c r="P71" i="17"/>
  <c r="N72" i="14"/>
  <c r="H67" i="8"/>
  <c r="D68" i="8" s="1"/>
  <c r="O72" i="14"/>
  <c r="Q74" i="10"/>
  <c r="O73" i="2"/>
  <c r="Q71" i="17"/>
  <c r="G68" i="8" l="1"/>
  <c r="F68" i="8" s="1"/>
  <c r="R72" i="17"/>
  <c r="P74" i="2"/>
  <c r="P73" i="14"/>
  <c r="R75" i="10"/>
  <c r="E68" i="8"/>
  <c r="N74" i="2" l="1"/>
  <c r="P72" i="17"/>
  <c r="N73" i="14"/>
  <c r="P75" i="10"/>
  <c r="H68" i="8"/>
  <c r="D69" i="8" s="1"/>
  <c r="O73" i="14"/>
  <c r="Q75" i="10"/>
  <c r="O74" i="2"/>
  <c r="Q72" i="17"/>
  <c r="G69" i="8" l="1"/>
  <c r="F69" i="8" s="1"/>
  <c r="R73" i="17"/>
  <c r="P75" i="2"/>
  <c r="R76" i="10"/>
  <c r="P74" i="14"/>
  <c r="E69" i="8"/>
  <c r="P73" i="17" l="1"/>
  <c r="P76" i="10"/>
  <c r="N75" i="2"/>
  <c r="N74" i="14"/>
  <c r="H69" i="8"/>
  <c r="D70" i="8" s="1"/>
  <c r="Q73" i="17"/>
  <c r="O74" i="14"/>
  <c r="Q76" i="10"/>
  <c r="O75" i="2"/>
  <c r="G70" i="8" l="1"/>
  <c r="F70" i="8" s="1"/>
  <c r="R77" i="10"/>
  <c r="R74" i="17"/>
  <c r="P75" i="14"/>
  <c r="P76" i="2"/>
  <c r="E70" i="8"/>
  <c r="N76" i="2" l="1"/>
  <c r="P74" i="17"/>
  <c r="N75" i="14"/>
  <c r="P77" i="10"/>
  <c r="H70" i="8"/>
  <c r="D71" i="8" s="1"/>
  <c r="Q77" i="10"/>
  <c r="O76" i="2"/>
  <c r="O75" i="14"/>
  <c r="Q74" i="17"/>
  <c r="M12" i="21"/>
  <c r="L12" i="21"/>
  <c r="S12" i="21"/>
  <c r="U12" i="21"/>
  <c r="X12" i="21"/>
  <c r="W12" i="21"/>
  <c r="V12" i="21"/>
  <c r="O12" i="21"/>
  <c r="R12" i="21"/>
  <c r="Y12" i="21"/>
  <c r="N12" i="21"/>
  <c r="Q12" i="21"/>
  <c r="P12" i="21"/>
  <c r="G12" i="21"/>
  <c r="G71" i="8" l="1"/>
  <c r="F71" i="8" s="1"/>
  <c r="R75" i="17"/>
  <c r="P76" i="14"/>
  <c r="R78" i="10"/>
  <c r="P77" i="2"/>
  <c r="Q16" i="22"/>
  <c r="I12" i="21"/>
  <c r="F13" i="21" s="1"/>
  <c r="E71" i="8"/>
  <c r="N76" i="14" l="1"/>
  <c r="P78" i="10"/>
  <c r="N77" i="2"/>
  <c r="P75" i="17"/>
  <c r="H71" i="8"/>
  <c r="D72" i="8" s="1"/>
  <c r="O76" i="14"/>
  <c r="O77" i="2"/>
  <c r="Q78" i="10"/>
  <c r="Q75" i="17"/>
  <c r="R16" i="22"/>
  <c r="O16" i="22" s="1"/>
  <c r="S16" i="22" s="1"/>
  <c r="G72" i="8" l="1"/>
  <c r="F72" i="8" s="1"/>
  <c r="P77" i="14"/>
  <c r="R79" i="10"/>
  <c r="R76" i="17"/>
  <c r="P78" i="2"/>
  <c r="P16" i="22"/>
  <c r="D13" i="21"/>
  <c r="E72" i="8"/>
  <c r="S13" i="21" l="1"/>
  <c r="H13" i="21"/>
  <c r="P79" i="10"/>
  <c r="N78" i="2"/>
  <c r="P76" i="17"/>
  <c r="N77" i="14"/>
  <c r="H72" i="8"/>
  <c r="D73" i="8" s="1"/>
  <c r="O77" i="14"/>
  <c r="O78" i="2"/>
  <c r="Q79" i="10"/>
  <c r="Q76" i="17"/>
  <c r="R17" i="22"/>
  <c r="O17" i="22" s="1"/>
  <c r="S17" i="22" s="1"/>
  <c r="E13" i="21"/>
  <c r="G73" i="8" l="1"/>
  <c r="F73" i="8" s="1"/>
  <c r="P78" i="14"/>
  <c r="P79" i="2"/>
  <c r="R80" i="10"/>
  <c r="R77" i="17"/>
  <c r="L13" i="21"/>
  <c r="R13" i="21"/>
  <c r="V13" i="21"/>
  <c r="O13" i="21"/>
  <c r="Q13" i="21"/>
  <c r="M13" i="21"/>
  <c r="X13" i="21"/>
  <c r="W13" i="21"/>
  <c r="T13" i="21"/>
  <c r="G13" i="21"/>
  <c r="Q17" i="22" s="1"/>
  <c r="U13" i="21"/>
  <c r="N13" i="21"/>
  <c r="P13" i="21"/>
  <c r="P17" i="22"/>
  <c r="E73" i="8"/>
  <c r="P80" i="10" l="1"/>
  <c r="N78" i="14"/>
  <c r="N79" i="2"/>
  <c r="P77" i="17"/>
  <c r="H73" i="8"/>
  <c r="D74" i="8" s="1"/>
  <c r="O78" i="14"/>
  <c r="O79" i="2"/>
  <c r="Q80" i="10"/>
  <c r="Q77" i="17"/>
  <c r="I13" i="21"/>
  <c r="F14" i="21" s="1"/>
  <c r="G74" i="8" l="1"/>
  <c r="F74" i="8" s="1"/>
  <c r="P79" i="14"/>
  <c r="R78" i="17"/>
  <c r="R81" i="10"/>
  <c r="P80" i="2"/>
  <c r="D14" i="21"/>
  <c r="R18" i="22"/>
  <c r="E74" i="8"/>
  <c r="R14" i="21" l="1"/>
  <c r="H14" i="21"/>
  <c r="G14" i="21" s="1"/>
  <c r="Q18" i="22" s="1"/>
  <c r="N79" i="14"/>
  <c r="P81" i="10"/>
  <c r="N80" i="2"/>
  <c r="P78" i="17"/>
  <c r="H74" i="8"/>
  <c r="D75" i="8" s="1"/>
  <c r="O80" i="2"/>
  <c r="Q78" i="17"/>
  <c r="Q81" i="10"/>
  <c r="O79" i="14"/>
  <c r="O18" i="22"/>
  <c r="S18" i="22" s="1"/>
  <c r="V14" i="21"/>
  <c r="O14" i="21"/>
  <c r="U14" i="21"/>
  <c r="T14" i="21"/>
  <c r="N14" i="21"/>
  <c r="W14" i="21"/>
  <c r="M14" i="21"/>
  <c r="L14" i="21"/>
  <c r="P14" i="21"/>
  <c r="S14" i="21"/>
  <c r="Q14" i="21"/>
  <c r="E14" i="21"/>
  <c r="P18" i="22" l="1"/>
  <c r="G75" i="8"/>
  <c r="F75" i="8" s="1"/>
  <c r="R79" i="17"/>
  <c r="P80" i="14"/>
  <c r="R82" i="10"/>
  <c r="P81" i="2"/>
  <c r="I14" i="21"/>
  <c r="F15" i="21" s="1"/>
  <c r="E75" i="8"/>
  <c r="P82" i="10" l="1"/>
  <c r="N81" i="2"/>
  <c r="N80" i="14"/>
  <c r="P79" i="17"/>
  <c r="H75" i="8"/>
  <c r="D76" i="8" s="1"/>
  <c r="O81" i="2"/>
  <c r="Q79" i="17"/>
  <c r="O80" i="14"/>
  <c r="Q82" i="10"/>
  <c r="D15" i="21"/>
  <c r="R19" i="22"/>
  <c r="R15" i="21" l="1"/>
  <c r="H15" i="21"/>
  <c r="G15" i="21" s="1"/>
  <c r="Q19" i="22" s="1"/>
  <c r="G76" i="8"/>
  <c r="F76" i="8" s="1"/>
  <c r="R83" i="10"/>
  <c r="R80" i="17"/>
  <c r="P82" i="2"/>
  <c r="P81" i="14"/>
  <c r="P15" i="21"/>
  <c r="O15" i="21"/>
  <c r="N15" i="21"/>
  <c r="M15" i="21"/>
  <c r="Q15" i="21"/>
  <c r="U15" i="21"/>
  <c r="O19" i="22"/>
  <c r="S19" i="22" s="1"/>
  <c r="S15" i="21"/>
  <c r="T15" i="21"/>
  <c r="V15" i="21"/>
  <c r="L15" i="21"/>
  <c r="E15" i="21"/>
  <c r="E76" i="8"/>
  <c r="P19" i="22" l="1"/>
  <c r="N82" i="2"/>
  <c r="N81" i="14"/>
  <c r="P80" i="17"/>
  <c r="P83" i="10"/>
  <c r="H76" i="8"/>
  <c r="D77" i="8" s="1"/>
  <c r="Q83" i="10"/>
  <c r="O82" i="2"/>
  <c r="O81" i="14"/>
  <c r="Q80" i="17"/>
  <c r="I15" i="21"/>
  <c r="F16" i="21" s="1"/>
  <c r="G77" i="8" l="1"/>
  <c r="F77" i="8" s="1"/>
  <c r="R84" i="10"/>
  <c r="R81" i="17"/>
  <c r="P83" i="2"/>
  <c r="P82" i="14"/>
  <c r="R20" i="22"/>
  <c r="D16" i="21"/>
  <c r="H16" i="21" s="1"/>
  <c r="E77" i="8"/>
  <c r="N83" i="2" l="1"/>
  <c r="P81" i="17"/>
  <c r="P84" i="10"/>
  <c r="N82" i="14"/>
  <c r="H77" i="8"/>
  <c r="D78" i="8" s="1"/>
  <c r="O82" i="14"/>
  <c r="O83" i="2"/>
  <c r="Q84" i="10"/>
  <c r="Q81" i="17"/>
  <c r="P16" i="21"/>
  <c r="O16" i="21"/>
  <c r="N16" i="21"/>
  <c r="Q16" i="21"/>
  <c r="M16" i="21"/>
  <c r="O20" i="22"/>
  <c r="S20" i="22" s="1"/>
  <c r="S16" i="21"/>
  <c r="G16" i="21"/>
  <c r="Q20" i="22" s="1"/>
  <c r="T16" i="21"/>
  <c r="R16" i="21"/>
  <c r="U16" i="21"/>
  <c r="L16" i="21"/>
  <c r="E16" i="21"/>
  <c r="P20" i="22" l="1"/>
  <c r="G78" i="8"/>
  <c r="F78" i="8" s="1"/>
  <c r="R85" i="10"/>
  <c r="R82" i="17"/>
  <c r="P83" i="14"/>
  <c r="P84" i="2"/>
  <c r="I16" i="21"/>
  <c r="F17" i="21" s="1"/>
  <c r="E78" i="8"/>
  <c r="N84" i="2" l="1"/>
  <c r="P82" i="17"/>
  <c r="N83" i="14"/>
  <c r="P85" i="10"/>
  <c r="H78" i="8"/>
  <c r="D79" i="8" s="1"/>
  <c r="Q85" i="10"/>
  <c r="O84" i="2"/>
  <c r="O83" i="14"/>
  <c r="Q82" i="17"/>
  <c r="R21" i="22"/>
  <c r="D17" i="21"/>
  <c r="H17" i="21" s="1"/>
  <c r="E17" i="21"/>
  <c r="G79" i="8" l="1"/>
  <c r="F79" i="8" s="1"/>
  <c r="R86" i="10"/>
  <c r="P85" i="2"/>
  <c r="R83" i="17"/>
  <c r="P84" i="14"/>
  <c r="P17" i="21"/>
  <c r="O17" i="21"/>
  <c r="N17" i="21"/>
  <c r="Q17" i="21"/>
  <c r="M17" i="21"/>
  <c r="O21" i="22"/>
  <c r="S21" i="22" s="1"/>
  <c r="G17" i="21"/>
  <c r="Q21" i="22" s="1"/>
  <c r="S17" i="21"/>
  <c r="T17" i="21"/>
  <c r="R17" i="21"/>
  <c r="L17" i="21"/>
  <c r="P21" i="22"/>
  <c r="E79" i="8"/>
  <c r="N85" i="2" l="1"/>
  <c r="P83" i="17"/>
  <c r="P86" i="10"/>
  <c r="N84" i="14"/>
  <c r="I17" i="21"/>
  <c r="F18" i="21" s="1"/>
  <c r="O84" i="14" l="1"/>
  <c r="O85" i="2"/>
  <c r="Q86" i="10"/>
  <c r="Q83" i="17"/>
  <c r="H79" i="8"/>
  <c r="D80" i="8" s="1"/>
  <c r="D18" i="21"/>
  <c r="R22" i="22"/>
  <c r="L18" i="21" l="1"/>
  <c r="H18" i="21"/>
  <c r="G18" i="21" s="1"/>
  <c r="Q22" i="22" s="1"/>
  <c r="G80" i="8"/>
  <c r="F80" i="8" s="1"/>
  <c r="P86" i="2"/>
  <c r="P85" i="14"/>
  <c r="R87" i="10"/>
  <c r="R84" i="17"/>
  <c r="R18" i="21"/>
  <c r="S18" i="21"/>
  <c r="M18" i="21"/>
  <c r="Q18" i="21"/>
  <c r="O18" i="21"/>
  <c r="N18" i="21"/>
  <c r="P18" i="21"/>
  <c r="O22" i="22"/>
  <c r="S22" i="22" s="1"/>
  <c r="E80" i="8"/>
  <c r="E18" i="21"/>
  <c r="P22" i="22" l="1"/>
  <c r="N85" i="14"/>
  <c r="N86" i="2"/>
  <c r="P84" i="17"/>
  <c r="P87" i="10"/>
  <c r="H80" i="8"/>
  <c r="D81" i="8" s="1"/>
  <c r="Q87" i="10"/>
  <c r="Q84" i="17"/>
  <c r="O86" i="2"/>
  <c r="O85" i="14"/>
  <c r="I18" i="21"/>
  <c r="G81" i="8" l="1"/>
  <c r="F81" i="8" s="1"/>
  <c r="R88" i="10"/>
  <c r="T18" i="10" s="1"/>
  <c r="G7" i="10" s="1"/>
  <c r="R85" i="17"/>
  <c r="T15" i="17" s="1"/>
  <c r="G7" i="17" s="1"/>
  <c r="P87" i="2"/>
  <c r="R17" i="2" s="1"/>
  <c r="G7" i="2" s="1"/>
  <c r="P86" i="14"/>
  <c r="R16" i="14" s="1"/>
  <c r="G7" i="14" s="1"/>
  <c r="F19" i="21"/>
  <c r="R23" i="22" s="1"/>
  <c r="D19" i="21"/>
  <c r="H19" i="21" s="1"/>
  <c r="E81" i="8"/>
  <c r="E19" i="21"/>
  <c r="N86" i="14" l="1"/>
  <c r="N87" i="2"/>
  <c r="P88" i="10"/>
  <c r="P85" i="17"/>
  <c r="H81" i="8"/>
  <c r="O86" i="14"/>
  <c r="Q85" i="17"/>
  <c r="Q88" i="10"/>
  <c r="O87" i="2"/>
  <c r="Q19" i="21"/>
  <c r="G19" i="21"/>
  <c r="Q23" i="22" s="1"/>
  <c r="R19" i="21"/>
  <c r="L19" i="21"/>
  <c r="P19" i="21"/>
  <c r="M19" i="21"/>
  <c r="N19" i="21"/>
  <c r="O23" i="22"/>
  <c r="S23" i="22" s="1"/>
  <c r="O19" i="21"/>
  <c r="P23" i="22"/>
  <c r="I19" i="21" l="1"/>
  <c r="F20" i="21" l="1"/>
  <c r="R24" i="22" s="1"/>
  <c r="D20" i="21"/>
  <c r="H20" i="21" s="1"/>
  <c r="E20" i="21"/>
  <c r="O24" i="22" l="1"/>
  <c r="S24" i="22" s="1"/>
  <c r="G20" i="21"/>
  <c r="Q24" i="22" s="1"/>
  <c r="P20" i="21"/>
  <c r="N20" i="21"/>
  <c r="O20" i="21"/>
  <c r="M20" i="21"/>
  <c r="Q20" i="21"/>
  <c r="L20" i="21"/>
  <c r="P24" i="22"/>
  <c r="I20" i="21" l="1"/>
  <c r="F21" i="21" s="1"/>
  <c r="R25" i="22" s="1"/>
  <c r="D21" i="21" l="1"/>
  <c r="O21" i="21" l="1"/>
  <c r="H21" i="21"/>
  <c r="L21" i="21"/>
  <c r="P21" i="21"/>
  <c r="N21" i="21"/>
  <c r="O25" i="22"/>
  <c r="S25" i="22" s="1"/>
  <c r="M21" i="21"/>
  <c r="E21" i="21"/>
  <c r="P25" i="22" l="1"/>
  <c r="G21" i="21"/>
  <c r="Q25" i="22" s="1"/>
  <c r="I21" i="21" l="1"/>
  <c r="F22" i="21" s="1"/>
  <c r="R26" i="22" s="1"/>
  <c r="D22" i="21" l="1"/>
  <c r="O26" i="22" s="1"/>
  <c r="S26" i="22" s="1"/>
  <c r="L22" i="21" l="1"/>
  <c r="N22" i="21"/>
  <c r="O22" i="21"/>
  <c r="H22" i="21"/>
  <c r="M22" i="21"/>
  <c r="E22" i="21"/>
  <c r="P26" i="22" l="1"/>
  <c r="G22" i="21"/>
  <c r="Q26" i="22" s="1"/>
  <c r="I22" i="21" l="1"/>
  <c r="F23" i="21" l="1"/>
  <c r="R27" i="22" s="1"/>
  <c r="D23" i="21"/>
  <c r="H23" i="21" l="1"/>
  <c r="G23" i="21" s="1"/>
  <c r="Q27" i="22" s="1"/>
  <c r="L23" i="21"/>
  <c r="O27" i="22"/>
  <c r="S27" i="22" s="1"/>
  <c r="M23" i="21"/>
  <c r="N23" i="21"/>
  <c r="E23" i="21"/>
  <c r="P27" i="22" l="1"/>
  <c r="I23" i="21"/>
  <c r="F24" i="21" s="1"/>
  <c r="R28" i="22" s="1"/>
  <c r="D24" i="21" l="1"/>
  <c r="O28" i="22" s="1"/>
  <c r="S28" i="22" s="1"/>
  <c r="H24" i="21" l="1"/>
  <c r="L24" i="21"/>
  <c r="M24" i="21"/>
  <c r="E24" i="21"/>
  <c r="P28" i="22" l="1"/>
  <c r="G24" i="21"/>
  <c r="Q28" i="22" s="1"/>
  <c r="I24" i="21" l="1"/>
  <c r="F25" i="21" l="1"/>
  <c r="R29" i="22" s="1"/>
  <c r="D25" i="21"/>
  <c r="L25" i="21" l="1"/>
  <c r="L27" i="21" s="1"/>
  <c r="O29" i="22"/>
  <c r="S29" i="22" s="1"/>
  <c r="H25" i="21"/>
  <c r="E25" i="21"/>
  <c r="P29" i="22" l="1"/>
  <c r="G25" i="21"/>
  <c r="Q29" i="22" s="1"/>
  <c r="I25" i="21" l="1"/>
  <c r="D26" i="21" l="1"/>
  <c r="F26" i="21"/>
  <c r="R30" i="22" s="1"/>
  <c r="H26" i="21" l="1"/>
  <c r="O30" i="22"/>
  <c r="S30" i="22" s="1"/>
  <c r="E26" i="21"/>
  <c r="P30" i="22" l="1"/>
  <c r="G26" i="21"/>
  <c r="Q30" i="22" s="1"/>
  <c r="I26" i="21" l="1"/>
  <c r="D27" i="21" l="1"/>
  <c r="F27" i="21"/>
  <c r="R31" i="22" s="1"/>
  <c r="O31" i="22" l="1"/>
  <c r="S31" i="22" s="1"/>
  <c r="H27" i="21"/>
  <c r="E27" i="21"/>
  <c r="P31" i="22" l="1"/>
  <c r="G27" i="21"/>
  <c r="Q31" i="22" s="1"/>
  <c r="I27" i="21" l="1"/>
  <c r="D28" i="21" l="1"/>
  <c r="F28" i="21"/>
  <c r="R32" i="22" s="1"/>
  <c r="H28" i="21" l="1"/>
  <c r="G28" i="21" s="1"/>
  <c r="Q32" i="22" s="1"/>
  <c r="O32" i="22"/>
  <c r="S32" i="22" s="1"/>
  <c r="E28" i="21"/>
  <c r="P32" i="22" l="1"/>
  <c r="I28" i="21"/>
  <c r="F29" i="21" l="1"/>
  <c r="R33" i="22" s="1"/>
  <c r="D29" i="21"/>
  <c r="O33" i="22" l="1"/>
  <c r="S33" i="22" s="1"/>
  <c r="H29" i="21"/>
  <c r="E29" i="21"/>
  <c r="P33" i="22" l="1"/>
  <c r="G29" i="21"/>
  <c r="Q33" i="22" s="1"/>
  <c r="I29" i="21" l="1"/>
  <c r="D30" i="21" l="1"/>
  <c r="F30" i="21"/>
  <c r="R34" i="22" s="1"/>
  <c r="O34" i="22" l="1"/>
  <c r="S34" i="22" s="1"/>
  <c r="H30" i="21"/>
  <c r="E30" i="21"/>
  <c r="P34" i="22" l="1"/>
  <c r="G30" i="21"/>
  <c r="Q34" i="22" s="1"/>
  <c r="I30" i="21" l="1"/>
  <c r="D31" i="21" l="1"/>
  <c r="F31" i="21"/>
  <c r="R35" i="22" s="1"/>
  <c r="H31" i="21" l="1"/>
  <c r="O35" i="22"/>
  <c r="S35" i="22" s="1"/>
  <c r="E31" i="21"/>
  <c r="P35" i="22" l="1"/>
  <c r="G31" i="21"/>
  <c r="Q35" i="22" s="1"/>
  <c r="I31" i="21" l="1"/>
  <c r="F32" i="21" s="1"/>
  <c r="R36" i="22" s="1"/>
  <c r="D32" i="21" l="1"/>
  <c r="O36" i="22" s="1"/>
  <c r="S36" i="22" s="1"/>
  <c r="H32" i="21" l="1"/>
  <c r="E32" i="21"/>
  <c r="P36" i="22" l="1"/>
  <c r="G32" i="21"/>
  <c r="Q36" i="22" s="1"/>
  <c r="I32" i="21" l="1"/>
  <c r="F33" i="21" l="1"/>
  <c r="R37" i="22" s="1"/>
  <c r="D33" i="21"/>
  <c r="O37" i="22" l="1"/>
  <c r="S37" i="22" s="1"/>
  <c r="H33" i="21"/>
  <c r="E33" i="21"/>
  <c r="P37" i="22" l="1"/>
  <c r="G33" i="21"/>
  <c r="Q37" i="22" s="1"/>
  <c r="I33" i="21" l="1"/>
  <c r="D34" i="21" l="1"/>
  <c r="F34" i="21"/>
  <c r="R38" i="22" s="1"/>
  <c r="H34" i="21" l="1"/>
  <c r="O38" i="22"/>
  <c r="S38" i="22" s="1"/>
  <c r="E34" i="21"/>
  <c r="P38" i="22" l="1"/>
  <c r="G34" i="21"/>
  <c r="Q38" i="22" s="1"/>
  <c r="I34" i="21" l="1"/>
  <c r="D35" i="21" l="1"/>
  <c r="F35" i="21"/>
  <c r="R39" i="22" s="1"/>
  <c r="O39" i="22" l="1"/>
  <c r="S39" i="22" s="1"/>
  <c r="H35" i="21"/>
  <c r="E35" i="21"/>
  <c r="P39" i="22" l="1"/>
  <c r="G35" i="21"/>
  <c r="Q39" i="22" s="1"/>
  <c r="I35" i="21" l="1"/>
  <c r="D36" i="21" l="1"/>
  <c r="F36" i="21"/>
  <c r="R40" i="22" s="1"/>
  <c r="H36" i="21" l="1"/>
  <c r="O40" i="22"/>
  <c r="S40" i="22" s="1"/>
  <c r="E36" i="21"/>
  <c r="P40" i="22" l="1"/>
  <c r="G36" i="21"/>
  <c r="Q40" i="22" s="1"/>
  <c r="I36" i="21" l="1"/>
  <c r="F37" i="21" l="1"/>
  <c r="R41" i="22" s="1"/>
  <c r="D37" i="21"/>
  <c r="O41" i="22" l="1"/>
  <c r="S41" i="22" s="1"/>
  <c r="H37" i="21"/>
  <c r="E37" i="21"/>
  <c r="P41" i="22" l="1"/>
  <c r="G37" i="21"/>
  <c r="Q41" i="22" s="1"/>
  <c r="I37" i="21" l="1"/>
  <c r="F38" i="21" l="1"/>
  <c r="R42" i="22" s="1"/>
  <c r="D38" i="21"/>
  <c r="O42" i="22" l="1"/>
  <c r="S42" i="22" s="1"/>
  <c r="H38" i="21"/>
  <c r="G38" i="21" s="1"/>
  <c r="Q42" i="22" s="1"/>
  <c r="E38" i="21"/>
  <c r="P42" i="22" l="1"/>
  <c r="I38" i="21"/>
  <c r="F39" i="21" l="1"/>
  <c r="R43" i="22" s="1"/>
  <c r="D39" i="21"/>
  <c r="O43" i="22" l="1"/>
  <c r="S43" i="22" s="1"/>
  <c r="H39" i="21"/>
  <c r="E39" i="21"/>
  <c r="P43" i="22" l="1"/>
  <c r="G39" i="21"/>
  <c r="Q43" i="22" s="1"/>
  <c r="I39" i="21" l="1"/>
  <c r="F40" i="21" l="1"/>
  <c r="R44" i="22" s="1"/>
  <c r="D40" i="21"/>
  <c r="O44" i="22" l="1"/>
  <c r="S44" i="22" s="1"/>
  <c r="H40" i="21"/>
  <c r="E40" i="21"/>
  <c r="P44" i="22" l="1"/>
  <c r="G40" i="21"/>
  <c r="Q44" i="22" s="1"/>
  <c r="I40" i="21" l="1"/>
  <c r="F41" i="21" l="1"/>
  <c r="R45" i="22" s="1"/>
  <c r="D41" i="21"/>
  <c r="O45" i="22" l="1"/>
  <c r="S45" i="22" s="1"/>
  <c r="H41" i="21"/>
  <c r="G41" i="21" s="1"/>
  <c r="Q45" i="22" s="1"/>
  <c r="E41" i="21"/>
  <c r="P45" i="22" l="1"/>
  <c r="I41" i="21"/>
  <c r="D42" i="21" l="1"/>
  <c r="F42" i="21"/>
  <c r="R46" i="22" s="1"/>
  <c r="H42" i="21" l="1"/>
  <c r="O46" i="22"/>
  <c r="S46" i="22" s="1"/>
  <c r="E42" i="21"/>
  <c r="P46" i="22" l="1"/>
  <c r="G42" i="21"/>
  <c r="Q46" i="22" s="1"/>
  <c r="I42" i="21" l="1"/>
  <c r="D43" i="21" l="1"/>
  <c r="F43" i="21"/>
  <c r="R47" i="22" s="1"/>
  <c r="O47" i="22" l="1"/>
  <c r="S47" i="22" s="1"/>
  <c r="H43" i="21"/>
  <c r="E43" i="21"/>
  <c r="P47" i="22" l="1"/>
  <c r="G43" i="21"/>
  <c r="Q47" i="22" s="1"/>
  <c r="I43" i="21" l="1"/>
  <c r="D44" i="21" l="1"/>
  <c r="F44" i="21"/>
  <c r="R48" i="22" s="1"/>
  <c r="H44" i="21" l="1"/>
  <c r="O48" i="22"/>
  <c r="S48" i="22" s="1"/>
  <c r="E44" i="21"/>
  <c r="P48" i="22" l="1"/>
  <c r="G44" i="21"/>
  <c r="Q48" i="22" s="1"/>
  <c r="I44" i="21" l="1"/>
  <c r="F45" i="21" l="1"/>
  <c r="R49" i="22" s="1"/>
  <c r="D45" i="21"/>
  <c r="H45" i="21" l="1"/>
  <c r="G45" i="21" s="1"/>
  <c r="Q49" i="22" s="1"/>
  <c r="O49" i="22"/>
  <c r="S49" i="22" s="1"/>
  <c r="E45" i="21"/>
  <c r="P49" i="22" l="1"/>
  <c r="I45" i="21"/>
  <c r="F46" i="21" s="1"/>
  <c r="R50" i="22" s="1"/>
  <c r="D46" i="21" l="1"/>
  <c r="O50" i="22" s="1"/>
  <c r="S50" i="22" s="1"/>
  <c r="H46" i="21" l="1"/>
  <c r="E46" i="21"/>
  <c r="P50" i="22" l="1"/>
  <c r="G46" i="21"/>
  <c r="Q50" i="22" s="1"/>
  <c r="I46" i="21" l="1"/>
  <c r="D47" i="21" l="1"/>
  <c r="F47" i="21"/>
  <c r="R51" i="22" s="1"/>
  <c r="S51" i="22" l="1"/>
  <c r="H47" i="21"/>
  <c r="E47" i="21"/>
  <c r="P51" i="22" l="1"/>
  <c r="G47" i="21"/>
  <c r="Q51" i="22" s="1"/>
  <c r="I47" i="21" l="1"/>
  <c r="D48" i="21" l="1"/>
  <c r="F48" i="21"/>
  <c r="R52" i="22" s="1"/>
  <c r="S52" i="22" l="1"/>
  <c r="H48" i="21"/>
  <c r="E48" i="21"/>
  <c r="P52" i="22" l="1"/>
  <c r="G48" i="21"/>
  <c r="Q52" i="22" s="1"/>
  <c r="I48" i="21" l="1"/>
  <c r="D49" i="21" l="1"/>
  <c r="F49" i="21"/>
  <c r="R53" i="22" s="1"/>
  <c r="S53" i="22" l="1"/>
  <c r="H49" i="21"/>
  <c r="E49" i="21"/>
  <c r="P53" i="22" l="1"/>
  <c r="G49" i="21"/>
  <c r="Q53" i="22" s="1"/>
  <c r="I49" i="21" l="1"/>
  <c r="D50" i="21" l="1"/>
  <c r="F50" i="21"/>
  <c r="R54" i="22" s="1"/>
  <c r="S54" i="22" l="1"/>
  <c r="H50" i="21"/>
  <c r="E50" i="21"/>
  <c r="P54" i="22" l="1"/>
  <c r="G50" i="21"/>
  <c r="Q54" i="22" s="1"/>
  <c r="I50" i="21" l="1"/>
  <c r="D51" i="21" l="1"/>
  <c r="F51" i="21"/>
  <c r="R55" i="22" s="1"/>
  <c r="H51" i="21" l="1"/>
  <c r="S55" i="22"/>
  <c r="E51" i="21"/>
  <c r="P55" i="22" l="1"/>
  <c r="G51" i="21"/>
  <c r="Q55" i="22" s="1"/>
  <c r="I51" i="21" l="1"/>
  <c r="D52" i="21" l="1"/>
  <c r="F52" i="21"/>
  <c r="R56" i="22" s="1"/>
  <c r="S56" i="22" l="1"/>
  <c r="H52" i="21"/>
  <c r="E52" i="21"/>
  <c r="P56" i="22" l="1"/>
  <c r="G52" i="21"/>
  <c r="Q56" i="22" s="1"/>
  <c r="I52" i="21" l="1"/>
  <c r="D53" i="21" l="1"/>
  <c r="F53" i="21"/>
  <c r="R57" i="22" s="1"/>
  <c r="H53" i="21" l="1"/>
  <c r="S57" i="22"/>
  <c r="E53" i="21"/>
  <c r="P57" i="22" l="1"/>
  <c r="G53" i="21"/>
  <c r="Q57" i="22" s="1"/>
  <c r="I53" i="21" l="1"/>
  <c r="F54" i="21" l="1"/>
  <c r="R58" i="22" s="1"/>
  <c r="D54" i="21"/>
  <c r="H54" i="21" l="1"/>
  <c r="S58" i="22"/>
  <c r="E54" i="21"/>
  <c r="P58" i="22" l="1"/>
  <c r="G54" i="21"/>
  <c r="Q58" i="22" s="1"/>
  <c r="I54" i="21" l="1"/>
  <c r="F55" i="21" l="1"/>
  <c r="R59" i="22" s="1"/>
  <c r="D55" i="21"/>
  <c r="S59" i="22" l="1"/>
  <c r="H55" i="21"/>
  <c r="G55" i="21" s="1"/>
  <c r="Q59" i="22" s="1"/>
  <c r="E55" i="21"/>
  <c r="P59" i="22" l="1"/>
  <c r="I55" i="21"/>
  <c r="D56" i="21" l="1"/>
  <c r="F56" i="21"/>
  <c r="R60" i="22" s="1"/>
  <c r="S60" i="22" l="1"/>
  <c r="H56" i="21"/>
  <c r="E56" i="21"/>
  <c r="P60" i="22" l="1"/>
  <c r="G56" i="21"/>
  <c r="Q60" i="22" s="1"/>
  <c r="I56" i="21" l="1"/>
  <c r="D57" i="21" l="1"/>
  <c r="F57" i="21"/>
  <c r="R61" i="22" s="1"/>
  <c r="H57" i="21" l="1"/>
  <c r="S61" i="22"/>
  <c r="E57" i="21"/>
  <c r="P61" i="22" l="1"/>
  <c r="G57" i="21"/>
  <c r="Q61" i="22" s="1"/>
  <c r="I57" i="21" l="1"/>
  <c r="F58" i="21" l="1"/>
  <c r="R62" i="22" s="1"/>
  <c r="D58" i="21"/>
  <c r="H58" i="21" l="1"/>
  <c r="S62" i="22"/>
  <c r="E58" i="21"/>
  <c r="P62" i="22" l="1"/>
  <c r="G58" i="21"/>
  <c r="Q62" i="22" s="1"/>
  <c r="I58" i="21" l="1"/>
  <c r="D59" i="21" l="1"/>
  <c r="F59" i="21"/>
  <c r="R63" i="22" s="1"/>
  <c r="H59" i="21" l="1"/>
  <c r="S63" i="22"/>
  <c r="E59" i="21"/>
  <c r="P63" i="22" l="1"/>
  <c r="G59" i="21"/>
  <c r="Q63" i="22" s="1"/>
  <c r="I59" i="21" l="1"/>
  <c r="D60" i="21" l="1"/>
  <c r="F60" i="21"/>
  <c r="R64" i="22" s="1"/>
  <c r="S64" i="22" l="1"/>
  <c r="H60" i="21"/>
  <c r="E60" i="21"/>
  <c r="P64" i="22" l="1"/>
  <c r="G60" i="21"/>
  <c r="Q64" i="22" s="1"/>
  <c r="I60" i="21" l="1"/>
  <c r="D61" i="21" l="1"/>
  <c r="F61" i="21"/>
  <c r="R65" i="22" s="1"/>
  <c r="S65" i="22" l="1"/>
  <c r="H61" i="21"/>
  <c r="E61" i="21"/>
  <c r="P65" i="22" l="1"/>
  <c r="G61" i="21"/>
  <c r="Q65" i="22" s="1"/>
  <c r="I61" i="21" l="1"/>
  <c r="F62" i="21" l="1"/>
  <c r="R66" i="22" s="1"/>
  <c r="D62" i="21"/>
  <c r="S66" i="22" l="1"/>
  <c r="H62" i="21"/>
  <c r="G62" i="21" s="1"/>
  <c r="Q66" i="22" s="1"/>
  <c r="E62" i="21"/>
  <c r="P66" i="22" l="1"/>
  <c r="I62" i="21"/>
  <c r="F63" i="21" l="1"/>
  <c r="R67" i="22" s="1"/>
  <c r="D63" i="21"/>
  <c r="H63" i="21" l="1"/>
  <c r="S67" i="22"/>
  <c r="E63" i="21"/>
  <c r="P67" i="22" l="1"/>
  <c r="G63" i="21"/>
  <c r="Q67" i="22" s="1"/>
  <c r="I63" i="21" l="1"/>
  <c r="D64" i="21" l="1"/>
  <c r="F64" i="21"/>
  <c r="R68" i="22" s="1"/>
  <c r="S68" i="22" l="1"/>
  <c r="H64" i="21"/>
  <c r="G64" i="21" s="1"/>
  <c r="Q68" i="22" s="1"/>
  <c r="E64" i="21"/>
  <c r="P68" i="22" l="1"/>
  <c r="I64" i="21"/>
  <c r="D65" i="21" l="1"/>
  <c r="F65" i="21"/>
  <c r="R69" i="22" s="1"/>
  <c r="H65" i="21" l="1"/>
  <c r="S69" i="22"/>
  <c r="E65" i="21"/>
  <c r="P69" i="22" l="1"/>
  <c r="G65" i="21"/>
  <c r="Q69" i="22" s="1"/>
  <c r="I65" i="21" l="1"/>
  <c r="D66" i="21" l="1"/>
  <c r="F66" i="21"/>
  <c r="R70" i="22" s="1"/>
  <c r="H66" i="21" l="1"/>
  <c r="S70" i="22"/>
  <c r="E66" i="21"/>
  <c r="P70" i="22" l="1"/>
  <c r="G66" i="21"/>
  <c r="Q70" i="22" s="1"/>
  <c r="I66" i="21" l="1"/>
  <c r="D67" i="21" l="1"/>
  <c r="F67" i="21"/>
  <c r="R71" i="22" s="1"/>
  <c r="H67" i="21" l="1"/>
  <c r="G67" i="21" s="1"/>
  <c r="Q71" i="22" s="1"/>
  <c r="S71" i="22"/>
  <c r="E67" i="21"/>
  <c r="P71" i="22" l="1"/>
  <c r="I67" i="21"/>
  <c r="D68" i="21" l="1"/>
  <c r="F68" i="21"/>
  <c r="R72" i="22" s="1"/>
  <c r="S72" i="22" l="1"/>
  <c r="H68" i="21"/>
  <c r="E68" i="21"/>
  <c r="P72" i="22" l="1"/>
  <c r="G68" i="21"/>
  <c r="Q72" i="22" s="1"/>
  <c r="I68" i="21" l="1"/>
  <c r="F69" i="21" l="1"/>
  <c r="R73" i="22" s="1"/>
  <c r="D69" i="21"/>
  <c r="S73" i="22" l="1"/>
  <c r="H69" i="21"/>
  <c r="E69" i="21"/>
  <c r="P73" i="22" l="1"/>
  <c r="G69" i="21"/>
  <c r="Q73" i="22" s="1"/>
  <c r="I69" i="21" l="1"/>
  <c r="F70" i="21" l="1"/>
  <c r="R74" i="22" s="1"/>
  <c r="D70" i="21"/>
  <c r="S74" i="22" l="1"/>
  <c r="H70" i="21"/>
  <c r="E70" i="21"/>
  <c r="P74" i="22" l="1"/>
  <c r="G70" i="21"/>
  <c r="Q74" i="22" s="1"/>
  <c r="I70" i="21" l="1"/>
  <c r="F71" i="21" l="1"/>
  <c r="R75" i="22" s="1"/>
  <c r="D71" i="21"/>
  <c r="S75" i="22" l="1"/>
  <c r="H71" i="21"/>
  <c r="E71" i="21"/>
  <c r="P75" i="22" l="1"/>
  <c r="G71" i="21"/>
  <c r="Q75" i="22" s="1"/>
  <c r="I71" i="21" l="1"/>
  <c r="F72" i="21" l="1"/>
  <c r="R76" i="22" s="1"/>
  <c r="D72" i="21"/>
  <c r="H72" i="21" l="1"/>
  <c r="G72" i="21" s="1"/>
  <c r="Q76" i="22" s="1"/>
  <c r="S76" i="22"/>
  <c r="E72" i="21"/>
  <c r="P76" i="22" l="1"/>
  <c r="I72" i="21"/>
  <c r="F73" i="21" l="1"/>
  <c r="R77" i="22" s="1"/>
  <c r="D73" i="21"/>
  <c r="H73" i="21" l="1"/>
  <c r="S77" i="22"/>
  <c r="E73" i="21"/>
  <c r="P77" i="22" l="1"/>
  <c r="G73" i="21"/>
  <c r="Q77" i="22" s="1"/>
  <c r="I73" i="21" l="1"/>
  <c r="F74" i="21" l="1"/>
  <c r="R78" i="22" s="1"/>
  <c r="D74" i="21"/>
  <c r="H74" i="21" l="1"/>
  <c r="G74" i="21" s="1"/>
  <c r="Q78" i="22" s="1"/>
  <c r="S78" i="22"/>
  <c r="E74" i="21"/>
  <c r="P78" i="22" l="1"/>
  <c r="I74" i="21"/>
  <c r="F75" i="21" l="1"/>
  <c r="R79" i="22" s="1"/>
  <c r="D75" i="21"/>
  <c r="S79" i="22" l="1"/>
  <c r="H75" i="21"/>
  <c r="E75" i="21"/>
  <c r="P79" i="22" l="1"/>
  <c r="G75" i="21"/>
  <c r="Q79" i="22" s="1"/>
  <c r="I75" i="21" l="1"/>
  <c r="D76" i="21" l="1"/>
  <c r="F76" i="21"/>
  <c r="R80" i="22" s="1"/>
  <c r="S80" i="22" l="1"/>
  <c r="H76" i="21"/>
  <c r="G76" i="21" s="1"/>
  <c r="Q80" i="22" s="1"/>
  <c r="E76" i="21"/>
  <c r="P80" i="22" l="1"/>
  <c r="I76" i="21"/>
  <c r="F77" i="21" l="1"/>
  <c r="R81" i="22" s="1"/>
  <c r="D77" i="21"/>
  <c r="S81" i="22" l="1"/>
  <c r="H77" i="21"/>
  <c r="E77" i="21"/>
  <c r="P81" i="22" l="1"/>
  <c r="G77" i="21"/>
  <c r="Q81" i="22" s="1"/>
  <c r="I77" i="21" l="1"/>
  <c r="D78" i="21" l="1"/>
  <c r="F78" i="21"/>
  <c r="R82" i="22" s="1"/>
  <c r="H78" i="21" l="1"/>
  <c r="G78" i="21" s="1"/>
  <c r="Q82" i="22" s="1"/>
  <c r="S82" i="22"/>
  <c r="E78" i="21"/>
  <c r="P82" i="22" l="1"/>
  <c r="I78" i="21"/>
  <c r="D79" i="21" l="1"/>
  <c r="F79" i="21"/>
  <c r="R83" i="22" s="1"/>
  <c r="S83" i="22" l="1"/>
  <c r="H79" i="21"/>
  <c r="G79" i="21" s="1"/>
  <c r="Q83" i="22" s="1"/>
  <c r="E79" i="21"/>
  <c r="P83" i="22" l="1"/>
  <c r="I79" i="21"/>
  <c r="F80" i="21" l="1"/>
  <c r="R84" i="22" s="1"/>
  <c r="D80" i="21"/>
  <c r="H80" i="21" l="1"/>
  <c r="S84" i="22"/>
  <c r="E80" i="21"/>
  <c r="P84" i="22" l="1"/>
  <c r="G80" i="21"/>
  <c r="Q84" i="22" s="1"/>
  <c r="I80" i="21" l="1"/>
  <c r="D81" i="21" l="1"/>
  <c r="F81" i="21"/>
  <c r="R85" i="22" s="1"/>
  <c r="S85" i="22" l="1"/>
  <c r="U15" i="22" s="1"/>
  <c r="G7" i="22" s="1"/>
  <c r="H81" i="21"/>
  <c r="E81" i="21"/>
  <c r="P85" i="22" l="1"/>
  <c r="G81" i="21"/>
  <c r="Q85" i="22" s="1"/>
  <c r="I81" i="21" l="1"/>
</calcChain>
</file>

<file path=xl/comments1.xml><?xml version="1.0" encoding="utf-8"?>
<comments xmlns="http://schemas.openxmlformats.org/spreadsheetml/2006/main">
  <authors>
    <author>Zhu, Vincent</author>
  </authors>
  <commentList>
    <comment ref="H16" authorId="0" shapeId="0">
      <text>
        <r>
          <rPr>
            <b/>
            <sz val="10"/>
            <color indexed="81"/>
            <rFont val="Tahoma"/>
            <family val="2"/>
          </rPr>
          <t>For grade A, SCR =</t>
        </r>
        <r>
          <rPr>
            <sz val="10"/>
            <color indexed="81"/>
            <rFont val="Tahoma"/>
            <family val="2"/>
          </rPr>
          <t xml:space="preserve">
before NRA: k*[(1+e)/(1+i)]^(NRA-x-1)
post NRA: k*[P(e-i)+(1+e)]/(1+e)</t>
        </r>
      </text>
    </comment>
    <comment ref="J16" authorId="0" shapeId="0">
      <text>
        <r>
          <rPr>
            <b/>
            <sz val="10"/>
            <color indexed="81"/>
            <rFont val="Tahoma"/>
            <family val="2"/>
          </rPr>
          <t>For grade A, AL =</t>
        </r>
        <r>
          <rPr>
            <sz val="10"/>
            <color indexed="81"/>
            <rFont val="Tahoma"/>
            <family val="2"/>
          </rPr>
          <t xml:space="preserve">
before NRA: k*P*S*[(1+e)/(1+i)]^(NRA-x)
post NRA: k*P*S</t>
        </r>
      </text>
    </comment>
    <comment ref="K16" authorId="0" shapeId="0">
      <text>
        <r>
          <rPr>
            <sz val="10"/>
            <color indexed="81"/>
            <rFont val="Tahoma"/>
            <family val="2"/>
          </rPr>
          <t>AR = VPS</t>
        </r>
      </text>
    </comment>
    <comment ref="T16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</commentList>
</comments>
</file>

<file path=xl/comments2.xml><?xml version="1.0" encoding="utf-8"?>
<comments xmlns="http://schemas.openxmlformats.org/spreadsheetml/2006/main">
  <authors>
    <author>Zhu, Vincent</author>
  </authors>
  <commentList>
    <comment ref="H17" authorId="0" shapeId="0">
      <text>
        <r>
          <rPr>
            <sz val="10"/>
            <color indexed="81"/>
            <rFont val="Tahoma"/>
            <family val="2"/>
          </rPr>
          <t>Assume that there are no withdrawals or deaths prior to the retirement age when determining AL at each valuation date.</t>
        </r>
      </text>
    </comment>
    <comment ref="L17" authorId="0" shapeId="0">
      <text>
        <r>
          <rPr>
            <b/>
            <sz val="10"/>
            <color indexed="81"/>
            <rFont val="Tahoma"/>
            <family val="2"/>
          </rPr>
          <t>For grade A, AL=</t>
        </r>
        <r>
          <rPr>
            <sz val="10"/>
            <color indexed="81"/>
            <rFont val="Tahoma"/>
            <family val="2"/>
          </rPr>
          <t xml:space="preserve">
before NRA: 
k*(P+F)*S*[(1+e)/(1+i)]^(NRA-x) - SCR*(S*a</t>
        </r>
        <r>
          <rPr>
            <vertAlign val="subscript"/>
            <sz val="10"/>
            <color indexed="81"/>
            <rFont val="Tahoma"/>
            <family val="2"/>
          </rPr>
          <t>NRA-x</t>
        </r>
        <r>
          <rPr>
            <sz val="10"/>
            <color indexed="81"/>
            <rFont val="Tahoma"/>
            <family val="2"/>
          </rPr>
          <t>)
post NRA: k*P*S</t>
        </r>
      </text>
    </comment>
    <comment ref="M17" authorId="0" shapeId="0">
      <text>
        <r>
          <rPr>
            <sz val="10"/>
            <color indexed="81"/>
            <rFont val="Tahoma"/>
            <family val="2"/>
          </rPr>
          <t>AR = VPS</t>
        </r>
      </text>
    </comment>
    <comment ref="V17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  <comment ref="Y17" authorId="0" shapeId="0">
      <text>
        <r>
          <rPr>
            <sz val="10"/>
            <color indexed="81"/>
            <rFont val="Tahoma"/>
            <family val="2"/>
          </rPr>
          <t>The relationship (F/a</t>
        </r>
        <r>
          <rPr>
            <vertAlign val="subscript"/>
            <sz val="10"/>
            <color indexed="81"/>
            <rFont val="Tahoma"/>
            <family val="2"/>
          </rPr>
          <t>F</t>
        </r>
        <r>
          <rPr>
            <sz val="10"/>
            <color indexed="81"/>
            <rFont val="Tahoma"/>
            <family val="2"/>
          </rPr>
          <t>*v'</t>
        </r>
        <r>
          <rPr>
            <vertAlign val="superscript"/>
            <sz val="10"/>
            <color indexed="81"/>
            <rFont val="Tahoma"/>
            <family val="2"/>
          </rPr>
          <t xml:space="preserve">x-EA </t>
        </r>
        <r>
          <rPr>
            <sz val="10"/>
            <color indexed="81"/>
            <rFont val="Tahoma"/>
            <family val="2"/>
          </rPr>
          <t>) between SCR</t>
        </r>
        <r>
          <rPr>
            <vertAlign val="subscript"/>
            <sz val="10"/>
            <color indexed="81"/>
            <rFont val="Tahoma"/>
            <family val="2"/>
          </rPr>
          <t xml:space="preserve">EAN </t>
        </r>
        <r>
          <rPr>
            <sz val="10"/>
            <color indexed="81"/>
            <rFont val="Tahoma"/>
            <family val="2"/>
          </rPr>
          <t>and SCR</t>
        </r>
        <r>
          <rPr>
            <vertAlign val="subscript"/>
            <sz val="10"/>
            <color indexed="81"/>
            <rFont val="Tahoma"/>
            <family val="2"/>
          </rPr>
          <t>PUC</t>
        </r>
        <r>
          <rPr>
            <sz val="10"/>
            <color indexed="81"/>
            <rFont val="Tahoma"/>
            <family val="2"/>
          </rPr>
          <t xml:space="preserve"> should always holds.</t>
        </r>
      </text>
    </comment>
    <comment ref="O18" authorId="0" shapeId="0">
      <text>
        <r>
          <rPr>
            <sz val="10"/>
            <color indexed="81"/>
            <rFont val="Tahoma"/>
            <family val="2"/>
          </rPr>
          <t>Assume: do not fund the initial deficit if there is any.</t>
        </r>
      </text>
    </comment>
  </commentList>
</comments>
</file>

<file path=xl/comments3.xml><?xml version="1.0" encoding="utf-8"?>
<comments xmlns="http://schemas.openxmlformats.org/spreadsheetml/2006/main">
  <authors>
    <author>Zhu, Vincent</author>
  </authors>
  <commentList>
    <comment ref="V14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  <comment ref="Y14" authorId="0" shapeId="0">
      <text>
        <r>
          <rPr>
            <sz val="10"/>
            <color indexed="81"/>
            <rFont val="Tahoma"/>
            <family val="2"/>
          </rPr>
          <t>The relationship (F/a</t>
        </r>
        <r>
          <rPr>
            <vertAlign val="subscript"/>
            <sz val="10"/>
            <color indexed="81"/>
            <rFont val="Tahoma"/>
            <family val="2"/>
          </rPr>
          <t>F</t>
        </r>
        <r>
          <rPr>
            <sz val="10"/>
            <color indexed="81"/>
            <rFont val="Tahoma"/>
            <family val="2"/>
          </rPr>
          <t>*v'</t>
        </r>
        <r>
          <rPr>
            <vertAlign val="superscript"/>
            <sz val="10"/>
            <color indexed="81"/>
            <rFont val="Tahoma"/>
            <family val="2"/>
          </rPr>
          <t xml:space="preserve">x-EA </t>
        </r>
        <r>
          <rPr>
            <sz val="10"/>
            <color indexed="81"/>
            <rFont val="Tahoma"/>
            <family val="2"/>
          </rPr>
          <t>) between SCR</t>
        </r>
        <r>
          <rPr>
            <vertAlign val="subscript"/>
            <sz val="10"/>
            <color indexed="81"/>
            <rFont val="Tahoma"/>
            <family val="2"/>
          </rPr>
          <t xml:space="preserve">EAN </t>
        </r>
        <r>
          <rPr>
            <sz val="10"/>
            <color indexed="81"/>
            <rFont val="Tahoma"/>
            <family val="2"/>
          </rPr>
          <t>and SCR</t>
        </r>
        <r>
          <rPr>
            <vertAlign val="subscript"/>
            <sz val="10"/>
            <color indexed="81"/>
            <rFont val="Tahoma"/>
            <family val="2"/>
          </rPr>
          <t>PUC</t>
        </r>
        <r>
          <rPr>
            <sz val="10"/>
            <color indexed="81"/>
            <rFont val="Tahoma"/>
            <family val="2"/>
          </rPr>
          <t xml:space="preserve"> should always holds.</t>
        </r>
      </text>
    </comment>
  </commentList>
</comments>
</file>

<file path=xl/comments4.xml><?xml version="1.0" encoding="utf-8"?>
<comments xmlns="http://schemas.openxmlformats.org/spreadsheetml/2006/main">
  <authors>
    <author>Zhu, Vincent</author>
  </authors>
  <commentList>
    <comment ref="E10" authorId="0" shapeId="0">
      <text>
        <r>
          <rPr>
            <sz val="10"/>
            <color indexed="81"/>
            <rFont val="Tahoma"/>
            <family val="2"/>
          </rPr>
          <t>The withdrawal rate increases by 2% for both Grades.</t>
        </r>
      </text>
    </comment>
  </commentList>
</comments>
</file>

<file path=xl/comments5.xml><?xml version="1.0" encoding="utf-8"?>
<comments xmlns="http://schemas.openxmlformats.org/spreadsheetml/2006/main">
  <authors>
    <author>Zhu, Vincent</author>
  </authors>
  <commentList>
    <comment ref="D9" authorId="0" shapeId="0">
      <text>
        <r>
          <rPr>
            <sz val="10"/>
            <color indexed="81"/>
            <rFont val="Tahoma"/>
            <family val="2"/>
          </rPr>
          <t>Increase by 3 years to reflect the reduced value of expected future services and future contributions.</t>
        </r>
      </text>
    </comment>
    <comment ref="G14" authorId="0" shapeId="0">
      <text>
        <r>
          <rPr>
            <sz val="10"/>
            <color indexed="81"/>
            <rFont val="Tahoma"/>
            <family val="2"/>
          </rPr>
          <t>Investment rate decreases by 1%.</t>
        </r>
      </text>
    </comment>
    <comment ref="V14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</commentList>
</comments>
</file>

<file path=xl/comments6.xml><?xml version="1.0" encoding="utf-8"?>
<comments xmlns="http://schemas.openxmlformats.org/spreadsheetml/2006/main">
  <authors>
    <author>Zhu, Vincent</author>
  </authors>
  <commentList>
    <comment ref="W14" authorId="0" shapeId="0">
      <text>
        <r>
          <rPr>
            <sz val="10"/>
            <color indexed="81"/>
            <rFont val="Tahoma"/>
            <family val="2"/>
          </rPr>
          <t>AL</t>
        </r>
        <r>
          <rPr>
            <vertAlign val="subscript"/>
            <sz val="10"/>
            <color indexed="81"/>
            <rFont val="Tahoma"/>
            <family val="2"/>
          </rPr>
          <t>x</t>
        </r>
        <r>
          <rPr>
            <sz val="10"/>
            <color indexed="81"/>
            <rFont val="Tahoma"/>
            <family val="2"/>
          </rPr>
          <t xml:space="preserve"> with one year interest plus contribution should equal to AL</t>
        </r>
        <r>
          <rPr>
            <vertAlign val="subscript"/>
            <sz val="10"/>
            <color indexed="81"/>
            <rFont val="Tahoma"/>
            <family val="2"/>
          </rPr>
          <t>x+1</t>
        </r>
      </text>
    </comment>
    <comment ref="Z14" authorId="0" shapeId="0">
      <text>
        <r>
          <rPr>
            <sz val="10"/>
            <color indexed="81"/>
            <rFont val="Tahoma"/>
            <family val="2"/>
          </rPr>
          <t>The relationship (F/a</t>
        </r>
        <r>
          <rPr>
            <vertAlign val="subscript"/>
            <sz val="10"/>
            <color indexed="81"/>
            <rFont val="Tahoma"/>
            <family val="2"/>
          </rPr>
          <t>F</t>
        </r>
        <r>
          <rPr>
            <sz val="10"/>
            <color indexed="81"/>
            <rFont val="Tahoma"/>
            <family val="2"/>
          </rPr>
          <t>*v'</t>
        </r>
        <r>
          <rPr>
            <vertAlign val="superscript"/>
            <sz val="10"/>
            <color indexed="81"/>
            <rFont val="Tahoma"/>
            <family val="2"/>
          </rPr>
          <t xml:space="preserve">x-EA </t>
        </r>
        <r>
          <rPr>
            <sz val="10"/>
            <color indexed="81"/>
            <rFont val="Tahoma"/>
            <family val="2"/>
          </rPr>
          <t>) between SCR</t>
        </r>
        <r>
          <rPr>
            <vertAlign val="subscript"/>
            <sz val="10"/>
            <color indexed="81"/>
            <rFont val="Tahoma"/>
            <family val="2"/>
          </rPr>
          <t xml:space="preserve">EAN </t>
        </r>
        <r>
          <rPr>
            <sz val="10"/>
            <color indexed="81"/>
            <rFont val="Tahoma"/>
            <family val="2"/>
          </rPr>
          <t>and SCR</t>
        </r>
        <r>
          <rPr>
            <vertAlign val="subscript"/>
            <sz val="10"/>
            <color indexed="81"/>
            <rFont val="Tahoma"/>
            <family val="2"/>
          </rPr>
          <t>PUC</t>
        </r>
        <r>
          <rPr>
            <sz val="10"/>
            <color indexed="81"/>
            <rFont val="Tahoma"/>
            <family val="2"/>
          </rPr>
          <t xml:space="preserve"> should always holds.</t>
        </r>
      </text>
    </comment>
  </commentList>
</comments>
</file>

<file path=xl/sharedStrings.xml><?xml version="1.0" encoding="utf-8"?>
<sst xmlns="http://schemas.openxmlformats.org/spreadsheetml/2006/main" count="1136" uniqueCount="511">
  <si>
    <t>Withdraw</t>
  </si>
  <si>
    <t>Age at start of year</t>
  </si>
  <si>
    <t>Number of employees</t>
  </si>
  <si>
    <t>Average Salary $</t>
  </si>
  <si>
    <t xml:space="preserve">Grade </t>
  </si>
  <si>
    <t>B</t>
  </si>
  <si>
    <t>A</t>
  </si>
  <si>
    <t>Accrual rate</t>
  </si>
  <si>
    <t>Grade A</t>
  </si>
  <si>
    <t>Grade B</t>
  </si>
  <si>
    <t>Investment return</t>
  </si>
  <si>
    <t>Normal Retirement Age</t>
  </si>
  <si>
    <t>Group</t>
  </si>
  <si>
    <t>30A</t>
  </si>
  <si>
    <t>Accrual rate
(k)</t>
  </si>
  <si>
    <t>Investment return
(i)</t>
  </si>
  <si>
    <t>Current age
BOY
(X)</t>
  </si>
  <si>
    <t>Pensionable salary
BOY
(S)</t>
  </si>
  <si>
    <t>Check</t>
  </si>
  <si>
    <t>Grade:</t>
  </si>
  <si>
    <t>Age at start of year:</t>
  </si>
  <si>
    <t>NRA:</t>
  </si>
  <si>
    <t>Accrual rate:</t>
  </si>
  <si>
    <t>Average Salary:</t>
  </si>
  <si>
    <t>Salary increase:</t>
  </si>
  <si>
    <t>Entry Age:</t>
  </si>
  <si>
    <t>Inforce
BOY</t>
  </si>
  <si>
    <t>Inforce
EOY</t>
  </si>
  <si>
    <t>Mortality after retirement</t>
  </si>
  <si>
    <t>Decrement table</t>
  </si>
  <si>
    <t>Assumptions</t>
  </si>
  <si>
    <t>Contribution
EOY</t>
  </si>
  <si>
    <t>PUC Projection</t>
  </si>
  <si>
    <t>EAN Projection</t>
  </si>
  <si>
    <t>30B</t>
  </si>
  <si>
    <t>40B</t>
  </si>
  <si>
    <t>40A</t>
  </si>
  <si>
    <t>45B</t>
  </si>
  <si>
    <t>45A</t>
  </si>
  <si>
    <t>50B</t>
  </si>
  <si>
    <t>50A</t>
  </si>
  <si>
    <t>55B</t>
  </si>
  <si>
    <t>55A</t>
  </si>
  <si>
    <t>Total Contribution</t>
  </si>
  <si>
    <t>Total Salary</t>
  </si>
  <si>
    <t>Initial SCR</t>
  </si>
  <si>
    <t>Current Group</t>
  </si>
  <si>
    <t>No. of Employees</t>
  </si>
  <si>
    <t>No. of years of past service
(P)</t>
  </si>
  <si>
    <t>No. of employees:</t>
  </si>
  <si>
    <t>Reasonability check on contribution</t>
  </si>
  <si>
    <t>Grade</t>
  </si>
  <si>
    <t>i'=(1+i)/(1+e)-1</t>
  </si>
  <si>
    <t>Actuarial Reserve
BOY
(AR)</t>
  </si>
  <si>
    <t>VEA
EOY</t>
  </si>
  <si>
    <t>Salary inflation
(e)</t>
  </si>
  <si>
    <t>Actuarial Liability
BOY
(AL)</t>
  </si>
  <si>
    <t>CF Projection
==&gt;</t>
  </si>
  <si>
    <t>Withdraw Benefit
EOY</t>
  </si>
  <si>
    <t>Retirement Benefit
EOY</t>
  </si>
  <si>
    <r>
      <t>Check btw EAN and PUC
SCR</t>
    </r>
    <r>
      <rPr>
        <vertAlign val="subscript"/>
        <sz val="10"/>
        <color theme="0"/>
        <rFont val="Century Gothic"/>
        <family val="2"/>
      </rPr>
      <t>EAN</t>
    </r>
    <r>
      <rPr>
        <sz val="10"/>
        <color theme="0"/>
        <rFont val="Century Gothic"/>
        <family val="2"/>
      </rPr>
      <t>/SCR</t>
    </r>
    <r>
      <rPr>
        <vertAlign val="subscript"/>
        <sz val="10"/>
        <color theme="0"/>
        <rFont val="Century Gothic"/>
        <family val="2"/>
      </rPr>
      <t>PUC</t>
    </r>
  </si>
  <si>
    <r>
      <t>F/a</t>
    </r>
    <r>
      <rPr>
        <vertAlign val="subscript"/>
        <sz val="10"/>
        <color theme="0"/>
        <rFont val="Century Gothic"/>
        <family val="2"/>
      </rPr>
      <t>F</t>
    </r>
    <r>
      <rPr>
        <sz val="10"/>
        <color theme="0"/>
        <rFont val="Century Gothic"/>
        <family val="2"/>
      </rPr>
      <t>*v'</t>
    </r>
    <r>
      <rPr>
        <vertAlign val="superscript"/>
        <sz val="10"/>
        <color theme="0"/>
        <rFont val="Century Gothic"/>
        <family val="2"/>
      </rPr>
      <t>x-EA</t>
    </r>
  </si>
  <si>
    <r>
      <rPr>
        <sz val="11"/>
        <color theme="0"/>
        <rFont val="Century Gothic"/>
        <family val="2"/>
      </rPr>
      <t>a</t>
    </r>
    <r>
      <rPr>
        <vertAlign val="subscript"/>
        <sz val="10"/>
        <color theme="0"/>
        <rFont val="Century Gothic"/>
        <family val="2"/>
      </rPr>
      <t xml:space="preserve">NRA-EA </t>
    </r>
    <r>
      <rPr>
        <sz val="10"/>
        <color theme="0"/>
        <rFont val="Century Gothic"/>
        <family val="2"/>
      </rPr>
      <t>@ i'</t>
    </r>
  </si>
  <si>
    <r>
      <rPr>
        <sz val="11"/>
        <color theme="0"/>
        <rFont val="Century Gothic"/>
        <family val="2"/>
      </rPr>
      <t>a</t>
    </r>
    <r>
      <rPr>
        <vertAlign val="subscript"/>
        <sz val="10"/>
        <color theme="0"/>
        <rFont val="Century Gothic"/>
        <family val="2"/>
      </rPr>
      <t xml:space="preserve">NRA-x </t>
    </r>
    <r>
      <rPr>
        <sz val="10"/>
        <color theme="0"/>
        <rFont val="Century Gothic"/>
        <family val="2"/>
      </rPr>
      <t>@ i'</t>
    </r>
  </si>
  <si>
    <r>
      <t>SCR = k*(NRA-EA)*[(1+e)/(1+i)]^(NRA-EA)/a</t>
    </r>
    <r>
      <rPr>
        <vertAlign val="subscript"/>
        <sz val="10"/>
        <color theme="0"/>
        <rFont val="Century Gothic"/>
        <family val="2"/>
      </rPr>
      <t>NRA-EA</t>
    </r>
  </si>
  <si>
    <t xml:space="preserve">Mortality Rate </t>
  </si>
  <si>
    <t>SCR</t>
  </si>
  <si>
    <t>Retirement and mortality post-NRA for Grade A</t>
  </si>
  <si>
    <t>Age</t>
  </si>
  <si>
    <t>Retirement Rate</t>
  </si>
  <si>
    <t>Retirement</t>
  </si>
  <si>
    <t>Flowchart</t>
  </si>
  <si>
    <t>Legend</t>
  </si>
  <si>
    <t>The following flowchart shows the calculation logic for the determination of the initial contribution rate using PUC method under each grade.</t>
  </si>
  <si>
    <t>Surplus/Deficit
EOY</t>
  </si>
  <si>
    <t>Average Entry Age</t>
  </si>
  <si>
    <t>Salary inflation</t>
  </si>
  <si>
    <t>Time T</t>
  </si>
  <si>
    <t>Employee turnover rate</t>
  </si>
  <si>
    <t>Initial contribution</t>
  </si>
  <si>
    <t>Time (diagonal)</t>
  </si>
  <si>
    <t>for age 30, 40, 45, 50, 55</t>
  </si>
  <si>
    <t>for all ages</t>
  </si>
  <si>
    <t>p.a.</t>
  </si>
  <si>
    <t>of AR</t>
  </si>
  <si>
    <t>Withdrawal benefit</t>
  </si>
  <si>
    <t>for EAN method only</t>
  </si>
  <si>
    <t>Table Name:</t>
  </si>
  <si>
    <t>RP-2014 Rates-White Collar</t>
  </si>
  <si>
    <t>Table Identity:</t>
  </si>
  <si>
    <t>3127</t>
  </si>
  <si>
    <t>Provider Domain:</t>
  </si>
  <si>
    <t>soa.org</t>
  </si>
  <si>
    <t>Provider Name:</t>
  </si>
  <si>
    <t>Retirement Plans Experience Committee</t>
  </si>
  <si>
    <t>Table Reference:</t>
  </si>
  <si>
    <t>Society of Actuaries, research-2014-rp-mort-tab-rates-exposure.xlsx, Sheet "White Collar", https://www.soa.org/files/research/exp-study/research-2014-rp-mort-tab-rates-exposure.xlsx</t>
  </si>
  <si>
    <t>Content Type:</t>
  </si>
  <si>
    <t>Annuitant Mortality</t>
  </si>
  <si>
    <t>Table Description:</t>
  </si>
  <si>
    <t>RP-2014 Rates-White Collar Male</t>
  </si>
  <si>
    <t>EffDate:</t>
  </si>
  <si>
    <t/>
  </si>
  <si>
    <t>Comments:</t>
  </si>
  <si>
    <t>Data Certified: 07/2018.</t>
  </si>
  <si>
    <t>Keywords:</t>
  </si>
  <si>
    <t>Aggregate,Annuitant Mortality,United States of America</t>
  </si>
  <si>
    <t xml:space="preserve">Table # </t>
  </si>
  <si>
    <t>1</t>
  </si>
  <si>
    <t>RP-2014 Rates-White Collar-Employee-Male</t>
  </si>
  <si>
    <t>Nation:</t>
  </si>
  <si>
    <t>United States of America</t>
  </si>
  <si>
    <t>Scaling Factor:</t>
  </si>
  <si>
    <t>0</t>
  </si>
  <si>
    <t>Data Type:</t>
  </si>
  <si>
    <t>Floating Point</t>
  </si>
  <si>
    <t>Row, Column (if applicable)-&gt;id:</t>
  </si>
  <si>
    <t>Row, Column (if applicable)-&gt;ScaleType:</t>
  </si>
  <si>
    <t>Row, Column (if applicable)-&gt;AxisName:</t>
  </si>
  <si>
    <t>Row, Column (if applicable)-&gt;MinScaleValue:</t>
  </si>
  <si>
    <t>18</t>
  </si>
  <si>
    <t>Row, Column (if applicable)-&gt;MaxScaleValue:</t>
  </si>
  <si>
    <t>80</t>
  </si>
  <si>
    <t>Row, Column (if applicable)-&gt;Increment:</t>
  </si>
  <si>
    <t>Row\Column</t>
  </si>
  <si>
    <t>0.00023</t>
  </si>
  <si>
    <t>19</t>
  </si>
  <si>
    <t>0.000259</t>
  </si>
  <si>
    <t>20</t>
  </si>
  <si>
    <t>0.000285</t>
  </si>
  <si>
    <t>21</t>
  </si>
  <si>
    <t>0.000315</t>
  </si>
  <si>
    <t>22</t>
  </si>
  <si>
    <t>0.000342</t>
  </si>
  <si>
    <t>23</t>
  </si>
  <si>
    <t>0.000357</t>
  </si>
  <si>
    <t>24</t>
  </si>
  <si>
    <t>0.000362</t>
  </si>
  <si>
    <t>25</t>
  </si>
  <si>
    <t>0.000339</t>
  </si>
  <si>
    <t>26</t>
  </si>
  <si>
    <t>0.000324</t>
  </si>
  <si>
    <t>27</t>
  </si>
  <si>
    <t>28</t>
  </si>
  <si>
    <t>0.000311</t>
  </si>
  <si>
    <t>29</t>
  </si>
  <si>
    <t>0.000313</t>
  </si>
  <si>
    <t>30</t>
  </si>
  <si>
    <t>0.000317</t>
  </si>
  <si>
    <t>31</t>
  </si>
  <si>
    <t>0.000325</t>
  </si>
  <si>
    <t>32</t>
  </si>
  <si>
    <t>0.000335</t>
  </si>
  <si>
    <t>33</t>
  </si>
  <si>
    <t>0.000345</t>
  </si>
  <si>
    <t>34</t>
  </si>
  <si>
    <t>0.000356</t>
  </si>
  <si>
    <t>35</t>
  </si>
  <si>
    <t>0.000367</t>
  </si>
  <si>
    <t>36</t>
  </si>
  <si>
    <t>0.000376</t>
  </si>
  <si>
    <t>37</t>
  </si>
  <si>
    <t>0.000386</t>
  </si>
  <si>
    <t>38</t>
  </si>
  <si>
    <t>0.0004</t>
  </si>
  <si>
    <t>39</t>
  </si>
  <si>
    <t>0.000417</t>
  </si>
  <si>
    <t>40</t>
  </si>
  <si>
    <t>0.00044</t>
  </si>
  <si>
    <t>41</t>
  </si>
  <si>
    <t>0.000471</t>
  </si>
  <si>
    <t>42</t>
  </si>
  <si>
    <t>0.000508</t>
  </si>
  <si>
    <t>43</t>
  </si>
  <si>
    <t>0.000556</t>
  </si>
  <si>
    <t>44</t>
  </si>
  <si>
    <t>0.000614</t>
  </si>
  <si>
    <t>45</t>
  </si>
  <si>
    <t>0.000682</t>
  </si>
  <si>
    <t>46</t>
  </si>
  <si>
    <t>0.000762</t>
  </si>
  <si>
    <t>47</t>
  </si>
  <si>
    <t>0.000852</t>
  </si>
  <si>
    <t>48</t>
  </si>
  <si>
    <t>0.000952</t>
  </si>
  <si>
    <t>49</t>
  </si>
  <si>
    <t>0.001062</t>
  </si>
  <si>
    <t>50</t>
  </si>
  <si>
    <t>0.001182</t>
  </si>
  <si>
    <t>51</t>
  </si>
  <si>
    <t>0.001312</t>
  </si>
  <si>
    <t>52</t>
  </si>
  <si>
    <t>0.001453</t>
  </si>
  <si>
    <t>53</t>
  </si>
  <si>
    <t>0.001605</t>
  </si>
  <si>
    <t>54</t>
  </si>
  <si>
    <t>0.001772</t>
  </si>
  <si>
    <t>55</t>
  </si>
  <si>
    <t>0.001955</t>
  </si>
  <si>
    <t>56</t>
  </si>
  <si>
    <t>0.002159</t>
  </si>
  <si>
    <t>57</t>
  </si>
  <si>
    <t>0.002389</t>
  </si>
  <si>
    <t>58</t>
  </si>
  <si>
    <t>0.00265</t>
  </si>
  <si>
    <t>59</t>
  </si>
  <si>
    <t>0.002948</t>
  </si>
  <si>
    <t>60</t>
  </si>
  <si>
    <t>0.003288</t>
  </si>
  <si>
    <t>61</t>
  </si>
  <si>
    <t>0.003675</t>
  </si>
  <si>
    <t>62</t>
  </si>
  <si>
    <t>0.004114</t>
  </si>
  <si>
    <t>63</t>
  </si>
  <si>
    <t>0.004612</t>
  </si>
  <si>
    <t>64</t>
  </si>
  <si>
    <t>0.005173</t>
  </si>
  <si>
    <t>65</t>
  </si>
  <si>
    <t>0.005805</t>
  </si>
  <si>
    <t>66</t>
  </si>
  <si>
    <t>0.006508</t>
  </si>
  <si>
    <t>67</t>
  </si>
  <si>
    <t>0.007296</t>
  </si>
  <si>
    <t>68</t>
  </si>
  <si>
    <t>0.008179</t>
  </si>
  <si>
    <t>69</t>
  </si>
  <si>
    <t>0.009169</t>
  </si>
  <si>
    <t>70</t>
  </si>
  <si>
    <t>0.010279</t>
  </si>
  <si>
    <t>71</t>
  </si>
  <si>
    <t>0.011523</t>
  </si>
  <si>
    <t>72</t>
  </si>
  <si>
    <t>0.012917</t>
  </si>
  <si>
    <t>73</t>
  </si>
  <si>
    <t>0.01448</t>
  </si>
  <si>
    <t>74</t>
  </si>
  <si>
    <t>0.016232</t>
  </si>
  <si>
    <t>75</t>
  </si>
  <si>
    <t>0.018196</t>
  </si>
  <si>
    <t>76</t>
  </si>
  <si>
    <t>0.020398</t>
  </si>
  <si>
    <t>77</t>
  </si>
  <si>
    <t>0.022867</t>
  </si>
  <si>
    <t>78</t>
  </si>
  <si>
    <t>0.025634</t>
  </si>
  <si>
    <t>79</t>
  </si>
  <si>
    <t>0.028736</t>
  </si>
  <si>
    <t>0.032214</t>
  </si>
  <si>
    <t>2</t>
  </si>
  <si>
    <t>RP-2014 Rates-White Collar-Healthy Annuitant-Male</t>
  </si>
  <si>
    <t>120</t>
  </si>
  <si>
    <t>0.002764</t>
  </si>
  <si>
    <t>0.002981</t>
  </si>
  <si>
    <t>0.003202</t>
  </si>
  <si>
    <t>0.003429</t>
  </si>
  <si>
    <t>0.003661</t>
  </si>
  <si>
    <t>0.003908</t>
  </si>
  <si>
    <t>0.004121</t>
  </si>
  <si>
    <t>0.004356</t>
  </si>
  <si>
    <t>0.004616</t>
  </si>
  <si>
    <t>0.004905</t>
  </si>
  <si>
    <t>0.005225</t>
  </si>
  <si>
    <t>0.005582</t>
  </si>
  <si>
    <t>0.005984</t>
  </si>
  <si>
    <t>0.006442</t>
  </si>
  <si>
    <t>0.006969</t>
  </si>
  <si>
    <t>0.00758</t>
  </si>
  <si>
    <t>0.00829</t>
  </si>
  <si>
    <t>0.009114</t>
  </si>
  <si>
    <t>0.010066</t>
  </si>
  <si>
    <t>0.011159</t>
  </si>
  <si>
    <t>0.012402</t>
  </si>
  <si>
    <t>0.013803</t>
  </si>
  <si>
    <t>0.015375</t>
  </si>
  <si>
    <t>0.01713</t>
  </si>
  <si>
    <t>0.019088</t>
  </si>
  <si>
    <t>0.021279</t>
  </si>
  <si>
    <t>0.023738</t>
  </si>
  <si>
    <t>0.02651</t>
  </si>
  <si>
    <t>0.029651</t>
  </si>
  <si>
    <t>0.033225</t>
  </si>
  <si>
    <t>0.037307</t>
  </si>
  <si>
    <t>81</t>
  </si>
  <si>
    <t>0.04198</t>
  </si>
  <si>
    <t>82</t>
  </si>
  <si>
    <t>0.047333</t>
  </si>
  <si>
    <t>83</t>
  </si>
  <si>
    <t>0.053459</t>
  </si>
  <si>
    <t>84</t>
  </si>
  <si>
    <t>0.060449</t>
  </si>
  <si>
    <t>85</t>
  </si>
  <si>
    <t>0.068396</t>
  </si>
  <si>
    <t>86</t>
  </si>
  <si>
    <t>0.077396</t>
  </si>
  <si>
    <t>87</t>
  </si>
  <si>
    <t>0.087552</t>
  </si>
  <si>
    <t>88</t>
  </si>
  <si>
    <t>0.098978</t>
  </si>
  <si>
    <t>89</t>
  </si>
  <si>
    <t>0.111806</t>
  </si>
  <si>
    <t>90</t>
  </si>
  <si>
    <t>0.12619</t>
  </si>
  <si>
    <t>91</t>
  </si>
  <si>
    <t>0.141713</t>
  </si>
  <si>
    <t>92</t>
  </si>
  <si>
    <t>0.15813</t>
  </si>
  <si>
    <t>93</t>
  </si>
  <si>
    <t>0.175288</t>
  </si>
  <si>
    <t>94</t>
  </si>
  <si>
    <t>0.193131</t>
  </si>
  <si>
    <t>95</t>
  </si>
  <si>
    <t>0.211674</t>
  </si>
  <si>
    <t>96</t>
  </si>
  <si>
    <t>0.230976</t>
  </si>
  <si>
    <t>97</t>
  </si>
  <si>
    <t>0.251106</t>
  </si>
  <si>
    <t>98</t>
  </si>
  <si>
    <t>0.272113</t>
  </si>
  <si>
    <t>99</t>
  </si>
  <si>
    <t>0.293848</t>
  </si>
  <si>
    <t>100</t>
  </si>
  <si>
    <t>0.313988</t>
  </si>
  <si>
    <t>101</t>
  </si>
  <si>
    <t>0.334365</t>
  </si>
  <si>
    <t>102</t>
  </si>
  <si>
    <t>0.354599</t>
  </si>
  <si>
    <t>103</t>
  </si>
  <si>
    <t>0.374524</t>
  </si>
  <si>
    <t>104</t>
  </si>
  <si>
    <t>0.393982</t>
  </si>
  <si>
    <t>105</t>
  </si>
  <si>
    <t>0.412831</t>
  </si>
  <si>
    <t>106</t>
  </si>
  <si>
    <t>0.430946</t>
  </si>
  <si>
    <t>107</t>
  </si>
  <si>
    <t>0.448227</t>
  </si>
  <si>
    <t>108</t>
  </si>
  <si>
    <t>0.464592</t>
  </si>
  <si>
    <t>109</t>
  </si>
  <si>
    <t>0.479987</t>
  </si>
  <si>
    <t>110</t>
  </si>
  <si>
    <t>0.494376</t>
  </si>
  <si>
    <t>111</t>
  </si>
  <si>
    <t>0.5</t>
  </si>
  <si>
    <t>112</t>
  </si>
  <si>
    <t>113</t>
  </si>
  <si>
    <t>114</t>
  </si>
  <si>
    <t>115</t>
  </si>
  <si>
    <t>116</t>
  </si>
  <si>
    <t>117</t>
  </si>
  <si>
    <t>118</t>
  </si>
  <si>
    <t>119</t>
  </si>
  <si>
    <t>3128</t>
  </si>
  <si>
    <t>RP-2014 Rates-White Collar Female</t>
  </si>
  <si>
    <t>RP-2014 Rates-White Collar-Employee-Female</t>
  </si>
  <si>
    <t>0.000132</t>
  </si>
  <si>
    <t>0.000137</t>
  </si>
  <si>
    <t>0.00014</t>
  </si>
  <si>
    <t>0.000143</t>
  </si>
  <si>
    <t>0.000146</t>
  </si>
  <si>
    <t>0.000151</t>
  </si>
  <si>
    <t>0.000158</t>
  </si>
  <si>
    <t>0.000165</t>
  </si>
  <si>
    <t>0.000174</t>
  </si>
  <si>
    <t>0.000184</t>
  </si>
  <si>
    <t>0.000195</t>
  </si>
  <si>
    <t>0.000206</t>
  </si>
  <si>
    <t>0.000218</t>
  </si>
  <si>
    <t>0.000241</t>
  </si>
  <si>
    <t>0.000253</t>
  </si>
  <si>
    <t>0.000268</t>
  </si>
  <si>
    <t>0.000286</t>
  </si>
  <si>
    <t>0.000308</t>
  </si>
  <si>
    <t>0.000334</t>
  </si>
  <si>
    <t>0.000365</t>
  </si>
  <si>
    <t>0.000402</t>
  </si>
  <si>
    <t>0.000446</t>
  </si>
  <si>
    <t>0.000497</t>
  </si>
  <si>
    <t>0.000554</t>
  </si>
  <si>
    <t>0.000618</t>
  </si>
  <si>
    <t>0.000689</t>
  </si>
  <si>
    <t>0.000764</t>
  </si>
  <si>
    <t>0.000845</t>
  </si>
  <si>
    <t>0.00093</t>
  </si>
  <si>
    <t>0.001018</t>
  </si>
  <si>
    <t>0.00111</t>
  </si>
  <si>
    <t>0.001206</t>
  </si>
  <si>
    <t>0.001306</t>
  </si>
  <si>
    <t>0.001412</t>
  </si>
  <si>
    <t>0.001523</t>
  </si>
  <si>
    <t>0.001642</t>
  </si>
  <si>
    <t>0.001769</t>
  </si>
  <si>
    <t>0.001908</t>
  </si>
  <si>
    <t>0.00206</t>
  </si>
  <si>
    <t>0.002229</t>
  </si>
  <si>
    <t>0.002417</t>
  </si>
  <si>
    <t>0.002627</t>
  </si>
  <si>
    <t>0.002859</t>
  </si>
  <si>
    <t>0.003119</t>
  </si>
  <si>
    <t>0.003485</t>
  </si>
  <si>
    <t>0.003894</t>
  </si>
  <si>
    <t>0.004351</t>
  </si>
  <si>
    <t>0.004862</t>
  </si>
  <si>
    <t>0.005433</t>
  </si>
  <si>
    <t>0.006071</t>
  </si>
  <si>
    <t>0.006784</t>
  </si>
  <si>
    <t>0.007581</t>
  </si>
  <si>
    <t>0.008472</t>
  </si>
  <si>
    <t>0.009467</t>
  </si>
  <si>
    <t>0.010579</t>
  </si>
  <si>
    <t>0.011822</t>
  </si>
  <si>
    <t>0.013211</t>
  </si>
  <si>
    <t>0.014763</t>
  </si>
  <si>
    <t>0.016497</t>
  </si>
  <si>
    <t>RP-2014 Rates-White Collar-Healthy Annuitant-Female</t>
  </si>
  <si>
    <t>0.002076</t>
  </si>
  <si>
    <t>0.002179</t>
  </si>
  <si>
    <t>0.002292</t>
  </si>
  <si>
    <t>0.002419</t>
  </si>
  <si>
    <t>0.002559</t>
  </si>
  <si>
    <t>0.002716</t>
  </si>
  <si>
    <t>0.002894</t>
  </si>
  <si>
    <t>0.003096</t>
  </si>
  <si>
    <t>0.003327</t>
  </si>
  <si>
    <t>0.003591</t>
  </si>
  <si>
    <t>0.003891</t>
  </si>
  <si>
    <t>0.004367</t>
  </si>
  <si>
    <t>0.004867</t>
  </si>
  <si>
    <t>0.005394</t>
  </si>
  <si>
    <t>0.005952</t>
  </si>
  <si>
    <t>0.006549</t>
  </si>
  <si>
    <t>0.007197</t>
  </si>
  <si>
    <t>0.007907</t>
  </si>
  <si>
    <t>0.008694</t>
  </si>
  <si>
    <t>0.009572</t>
  </si>
  <si>
    <t>0.010554</t>
  </si>
  <si>
    <t>0.011653</t>
  </si>
  <si>
    <t>0.012886</t>
  </si>
  <si>
    <t>0.01427</t>
  </si>
  <si>
    <t>0.015825</t>
  </si>
  <si>
    <t>0.017577</t>
  </si>
  <si>
    <t>0.019555</t>
  </si>
  <si>
    <t>0.021789</t>
  </si>
  <si>
    <t>0.024315</t>
  </si>
  <si>
    <t>0.027176</t>
  </si>
  <si>
    <t>0.030419</t>
  </si>
  <si>
    <t>0.034101</t>
  </si>
  <si>
    <t>0.038286</t>
  </si>
  <si>
    <t>0.043044</t>
  </si>
  <si>
    <t>0.048457</t>
  </si>
  <si>
    <t>0.054613</t>
  </si>
  <si>
    <t>0.061611</t>
  </si>
  <si>
    <t>0.069553</t>
  </si>
  <si>
    <t>0.07855</t>
  </si>
  <si>
    <t>0.088723</t>
  </si>
  <si>
    <t>0.100207</t>
  </si>
  <si>
    <t>0.112848</t>
  </si>
  <si>
    <t>0.126555</t>
  </si>
  <si>
    <t>0.141281</t>
  </si>
  <si>
    <t>0.157007</t>
  </si>
  <si>
    <t>0.173736</t>
  </si>
  <si>
    <t>0.191477</t>
  </si>
  <si>
    <t>0.210235</t>
  </si>
  <si>
    <t>0.229998</t>
  </si>
  <si>
    <t>0.250723</t>
  </si>
  <si>
    <t>0.270858</t>
  </si>
  <si>
    <t>0.29104</t>
  </si>
  <si>
    <t>0.311444</t>
  </si>
  <si>
    <t>0.3319</t>
  </si>
  <si>
    <t>0.352232</t>
  </si>
  <si>
    <t>0.372273</t>
  </si>
  <si>
    <t>0.39186</t>
  </si>
  <si>
    <t>0.410849</t>
  </si>
  <si>
    <t>0.429112</t>
  </si>
  <si>
    <t>0.446544</t>
  </si>
  <si>
    <t>0.463061</t>
  </si>
  <si>
    <t>0.478604</t>
  </si>
  <si>
    <t>0.493137</t>
  </si>
  <si>
    <t>A indicator</t>
  </si>
  <si>
    <t>B indicator</t>
  </si>
  <si>
    <t>No. of existing members</t>
  </si>
  <si>
    <t>SCR
recalculated every 3 years</t>
  </si>
  <si>
    <t>N/A</t>
  </si>
  <si>
    <t>Total surplus / deficit at EOY 15</t>
  </si>
  <si>
    <t>Total</t>
  </si>
  <si>
    <t>Data table - Summary for all the groups</t>
  </si>
  <si>
    <t>Salary EOY 1</t>
  </si>
  <si>
    <t>Closed to new entrants three years later.</t>
  </si>
  <si>
    <t>Data table switch</t>
  </si>
  <si>
    <t>Redundancy</t>
  </si>
  <si>
    <t>Redundancy at the start of year 10</t>
  </si>
  <si>
    <t>Redundancy benefit</t>
  </si>
  <si>
    <t>of actuarial liability</t>
  </si>
  <si>
    <t>Redundancy benefit
BOY</t>
  </si>
  <si>
    <t>Q2 a.</t>
  </si>
  <si>
    <t>Q2 b.</t>
  </si>
  <si>
    <t>Q2 c.</t>
  </si>
  <si>
    <t>Q2 d.</t>
  </si>
  <si>
    <t>Summary</t>
  </si>
  <si>
    <t>Q1 c. PUC</t>
  </si>
  <si>
    <t>Q1 c. EAN</t>
  </si>
  <si>
    <t>Q1 a. Assumptions</t>
  </si>
  <si>
    <t>Q1 b. Flowchart</t>
  </si>
  <si>
    <t>Sense checking</t>
  </si>
  <si>
    <t>1. If set withdraw assumptions to be 0% for Grade B (and entry age to be the same as the Group entry age under EAN method), there is no surplus nor deficit when the group B members reach normal retirement age.</t>
  </si>
  <si>
    <r>
      <t>2. AL</t>
    </r>
    <r>
      <rPr>
        <vertAlign val="subscript"/>
        <sz val="11"/>
        <color theme="1"/>
        <rFont val="Century Gothic"/>
        <family val="2"/>
      </rPr>
      <t>x</t>
    </r>
    <r>
      <rPr>
        <sz val="11"/>
        <color theme="1"/>
        <rFont val="Century Gothic"/>
        <family val="2"/>
      </rPr>
      <t xml:space="preserve"> with one year interest plus contribution should equal to AL</t>
    </r>
    <r>
      <rPr>
        <vertAlign val="subscript"/>
        <sz val="11"/>
        <color theme="1"/>
        <rFont val="Century Gothic"/>
        <family val="2"/>
      </rPr>
      <t>x+1</t>
    </r>
  </si>
  <si>
    <r>
      <t>3. The relationship (F/a</t>
    </r>
    <r>
      <rPr>
        <vertAlign val="subscript"/>
        <sz val="11"/>
        <color theme="1"/>
        <rFont val="Century Gothic"/>
        <family val="2"/>
      </rPr>
      <t>F</t>
    </r>
    <r>
      <rPr>
        <sz val="11"/>
        <color theme="1"/>
        <rFont val="Century Gothic"/>
        <family val="2"/>
      </rPr>
      <t>*v'</t>
    </r>
    <r>
      <rPr>
        <vertAlign val="superscript"/>
        <sz val="11"/>
        <color theme="1"/>
        <rFont val="Century Gothic"/>
        <family val="2"/>
      </rPr>
      <t>x-EA</t>
    </r>
    <r>
      <rPr>
        <sz val="11"/>
        <color theme="1"/>
        <rFont val="Century Gothic"/>
        <family val="2"/>
      </rPr>
      <t xml:space="preserve"> ) between SCR</t>
    </r>
    <r>
      <rPr>
        <vertAlign val="subscript"/>
        <sz val="11"/>
        <color theme="1"/>
        <rFont val="Century Gothic"/>
        <family val="2"/>
      </rPr>
      <t>EAN</t>
    </r>
    <r>
      <rPr>
        <sz val="11"/>
        <color theme="1"/>
        <rFont val="Century Gothic"/>
        <family val="2"/>
      </rPr>
      <t xml:space="preserve"> and SCR</t>
    </r>
    <r>
      <rPr>
        <vertAlign val="subscript"/>
        <sz val="11"/>
        <color theme="1"/>
        <rFont val="Century Gothic"/>
        <family val="2"/>
      </rPr>
      <t>PUC</t>
    </r>
    <r>
      <rPr>
        <sz val="11"/>
        <color theme="1"/>
        <rFont val="Century Gothic"/>
        <family val="2"/>
      </rPr>
      <t xml:space="preserve"> should always holds.</t>
    </r>
  </si>
  <si>
    <t>Please note explanations for assumptions are in the accompanying PDF file.</t>
  </si>
  <si>
    <t>&lt;-- select here</t>
  </si>
  <si>
    <t>Funding postion in 15 years' time</t>
  </si>
  <si>
    <t>Initial Contribution Rate (i.e. SCR%)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</si>
</sst>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* #,##0.0000_);_(* \(#,##0.0000\);_(* &quot;-&quot;??_);_(@_)"/>
    <numFmt numFmtId="168" formatCode="_-* #,##0.00_-;\-* #,##0.00_-;_-* &quot;-&quot;??_-;_-@_-"/>
    <numFmt numFmtId="169" formatCode="_(* #,##0.00_);_(* \(#,##0.00\);_(* &quot;-&quot;????_);_(@_)"/>
    <numFmt numFmtId="170" formatCode="0.0000%"/>
    <numFmt numFmtId="171" formatCode="0.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FFFF"/>
      <name val="Century Gothic"/>
      <family val="2"/>
    </font>
    <font>
      <sz val="10"/>
      <color rgb="FF000000"/>
      <name val="Century Gothic"/>
      <family val="2"/>
    </font>
    <font>
      <sz val="10"/>
      <color theme="1"/>
      <name val="Century Gothic"/>
      <family val="2"/>
    </font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sz val="10"/>
      <color indexed="81"/>
      <name val="Tahoma"/>
      <family val="2"/>
    </font>
    <font>
      <vertAlign val="subscript"/>
      <sz val="10"/>
      <color indexed="81"/>
      <name val="Tahoma"/>
      <family val="2"/>
    </font>
    <font>
      <sz val="11"/>
      <color theme="1"/>
      <name val="Century Gothic"/>
      <family val="2"/>
    </font>
    <font>
      <b/>
      <i/>
      <sz val="10"/>
      <color theme="1"/>
      <name val="Century Gothic"/>
      <family val="2"/>
    </font>
    <font>
      <b/>
      <sz val="10"/>
      <color theme="1"/>
      <name val="Century Gothic"/>
      <family val="2"/>
    </font>
    <font>
      <i/>
      <sz val="10"/>
      <color theme="1"/>
      <name val="Century Gothic"/>
      <family val="2"/>
    </font>
    <font>
      <b/>
      <i/>
      <sz val="10"/>
      <name val="Century Gothic"/>
      <family val="2"/>
    </font>
    <font>
      <b/>
      <u/>
      <sz val="10"/>
      <color rgb="FFC00000"/>
      <name val="Century Gothic"/>
      <family val="2"/>
    </font>
    <font>
      <i/>
      <sz val="10"/>
      <color theme="0" tint="-0.499984740745262"/>
      <name val="Century Gothic"/>
      <family val="2"/>
    </font>
    <font>
      <b/>
      <i/>
      <u/>
      <sz val="10"/>
      <color rgb="FFC00000"/>
      <name val="Century Gothic"/>
      <family val="2"/>
    </font>
    <font>
      <u/>
      <sz val="10"/>
      <color theme="1"/>
      <name val="Century Gothic"/>
      <family val="2"/>
    </font>
    <font>
      <sz val="10"/>
      <color theme="0" tint="-0.499984740745262"/>
      <name val="Century Gothic"/>
      <family val="2"/>
    </font>
    <font>
      <sz val="10"/>
      <color theme="0"/>
      <name val="Century Gothic"/>
      <family val="2"/>
    </font>
    <font>
      <vertAlign val="subscript"/>
      <sz val="10"/>
      <color theme="0"/>
      <name val="Century Gothic"/>
      <family val="2"/>
    </font>
    <font>
      <vertAlign val="superscript"/>
      <sz val="10"/>
      <color theme="0"/>
      <name val="Century Gothic"/>
      <family val="2"/>
    </font>
    <font>
      <sz val="11"/>
      <color theme="0"/>
      <name val="Century Gothic"/>
      <family val="2"/>
    </font>
    <font>
      <i/>
      <sz val="10"/>
      <color rgb="FF0070C0"/>
      <name val="Century Gothic"/>
      <family val="2"/>
    </font>
    <font>
      <sz val="10"/>
      <color rgb="FFFF0000"/>
      <name val="Century Gothic"/>
      <family val="2"/>
    </font>
    <font>
      <b/>
      <sz val="10"/>
      <color rgb="FFC00000"/>
      <name val="Century Gothic"/>
      <family val="2"/>
    </font>
    <font>
      <b/>
      <sz val="10"/>
      <color indexed="81"/>
      <name val="Tahoma"/>
      <family val="2"/>
    </font>
    <font>
      <b/>
      <i/>
      <sz val="11"/>
      <color theme="1"/>
      <name val="Century Gothic"/>
      <family val="2"/>
    </font>
    <font>
      <b/>
      <sz val="11"/>
      <color theme="1"/>
      <name val="Century Gothic"/>
      <family val="2"/>
    </font>
    <font>
      <i/>
      <sz val="11"/>
      <color theme="1"/>
      <name val="Century Gothic"/>
      <family val="2"/>
    </font>
    <font>
      <vertAlign val="superscript"/>
      <sz val="10"/>
      <color indexed="81"/>
      <name val="Tahoma"/>
      <family val="2"/>
    </font>
    <font>
      <sz val="11"/>
      <color rgb="FFC00000"/>
      <name val="Century Gothic"/>
      <family val="2"/>
    </font>
    <font>
      <i/>
      <sz val="10"/>
      <name val="Century Gothic"/>
      <family val="2"/>
    </font>
    <font>
      <sz val="10"/>
      <name val="Arial"/>
      <family val="2"/>
    </font>
    <font>
      <u val="singleAccounting"/>
      <sz val="10"/>
      <color rgb="FFC00000"/>
      <name val="Century Gothic"/>
      <family val="2"/>
    </font>
    <font>
      <u/>
      <sz val="11"/>
      <color theme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1"/>
      <color rgb="FF0070C0"/>
      <name val="Century Gothic"/>
      <family val="2"/>
    </font>
    <font>
      <b/>
      <sz val="11"/>
      <color rgb="FF0070C0"/>
      <name val="Century Gothic"/>
      <family val="2"/>
    </font>
    <font>
      <sz val="11"/>
      <color rgb="FF0070C0"/>
      <name val="Century Gothic"/>
      <family val="2"/>
    </font>
    <font>
      <b/>
      <i/>
      <sz val="10"/>
      <color rgb="FFC00000"/>
      <name val="Century Gothic"/>
      <family val="2"/>
    </font>
    <font>
      <b/>
      <i/>
      <sz val="11"/>
      <color rgb="FFC00000"/>
      <name val="Century Gothic"/>
      <family val="2"/>
    </font>
    <font>
      <vertAlign val="subscript"/>
      <sz val="11"/>
      <color theme="1"/>
      <name val="Century Gothic"/>
      <family val="2"/>
    </font>
    <font>
      <vertAlign val="superscript"/>
      <sz val="11"/>
      <color theme="1"/>
      <name val="Century Gothic"/>
      <family val="2"/>
    </font>
    <font>
      <i/>
      <u/>
      <sz val="11"/>
      <color theme="1"/>
      <name val="Century Gothic"/>
      <family val="2"/>
    </font>
    <font>
      <b/>
      <sz val="12"/>
      <color theme="1"/>
      <name val="Century Gothic"/>
      <family val="2"/>
    </font>
  </fonts>
  <fills count="1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8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4" fillId="0" borderId="0">
      <alignment vertical="center"/>
    </xf>
    <xf numFmtId="0" fontId="36" fillId="0" borderId="0" applyNumberFormat="0" applyFill="0" applyBorder="0" applyAlignment="0" applyProtection="0"/>
  </cellStyleXfs>
  <cellXfs count="202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3" fontId="3" fillId="0" borderId="4" xfId="0" applyNumberFormat="1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4" fillId="0" borderId="0" xfId="0" applyFont="1"/>
    <xf numFmtId="0" fontId="10" fillId="0" borderId="0" xfId="0" applyFont="1"/>
    <xf numFmtId="0" fontId="12" fillId="6" borderId="31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right" vertical="center"/>
    </xf>
    <xf numFmtId="0" fontId="13" fillId="7" borderId="0" xfId="0" applyFont="1" applyFill="1" applyAlignment="1">
      <alignment horizontal="right"/>
    </xf>
    <xf numFmtId="0" fontId="14" fillId="11" borderId="0" xfId="0" applyFont="1" applyFill="1" applyAlignment="1">
      <alignment horizontal="centerContinuous"/>
    </xf>
    <xf numFmtId="0" fontId="6" fillId="11" borderId="0" xfId="0" applyFont="1" applyFill="1" applyAlignment="1">
      <alignment horizontal="centerContinuous"/>
    </xf>
    <xf numFmtId="0" fontId="12" fillId="6" borderId="3" xfId="0" applyFont="1" applyFill="1" applyBorder="1" applyAlignment="1">
      <alignment horizontal="center" vertical="center"/>
    </xf>
    <xf numFmtId="0" fontId="11" fillId="10" borderId="16" xfId="0" applyFont="1" applyFill="1" applyBorder="1" applyAlignment="1">
      <alignment horizontal="right" vertical="center"/>
    </xf>
    <xf numFmtId="0" fontId="13" fillId="10" borderId="19" xfId="0" applyFont="1" applyFill="1" applyBorder="1" applyAlignment="1">
      <alignment horizontal="right" vertical="center"/>
    </xf>
    <xf numFmtId="0" fontId="12" fillId="0" borderId="1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1" fillId="10" borderId="17" xfId="0" applyFont="1" applyFill="1" applyBorder="1" applyAlignment="1">
      <alignment horizontal="right" vertical="center"/>
    </xf>
    <xf numFmtId="0" fontId="13" fillId="10" borderId="21" xfId="0" applyFont="1" applyFill="1" applyBorder="1" applyAlignment="1">
      <alignment vertical="center"/>
    </xf>
    <xf numFmtId="164" fontId="4" fillId="0" borderId="1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164" fontId="4" fillId="0" borderId="20" xfId="1" applyNumberFormat="1" applyFont="1" applyBorder="1" applyAlignment="1">
      <alignment horizontal="center" vertical="center"/>
    </xf>
    <xf numFmtId="164" fontId="4" fillId="0" borderId="6" xfId="1" applyNumberFormat="1" applyFont="1" applyBorder="1" applyAlignment="1">
      <alignment horizontal="center" vertical="center"/>
    </xf>
    <xf numFmtId="164" fontId="4" fillId="0" borderId="21" xfId="1" applyNumberFormat="1" applyFont="1" applyBorder="1" applyAlignment="1">
      <alignment horizontal="center" vertical="center"/>
    </xf>
    <xf numFmtId="164" fontId="13" fillId="10" borderId="21" xfId="1" applyNumberFormat="1" applyFont="1" applyFill="1" applyBorder="1" applyAlignment="1">
      <alignment vertical="center"/>
    </xf>
    <xf numFmtId="9" fontId="13" fillId="7" borderId="0" xfId="3" applyFont="1" applyFill="1" applyAlignment="1">
      <alignment horizontal="right"/>
    </xf>
    <xf numFmtId="165" fontId="13" fillId="7" borderId="0" xfId="2" applyNumberFormat="1" applyFont="1" applyFill="1" applyAlignment="1">
      <alignment horizontal="right"/>
    </xf>
    <xf numFmtId="0" fontId="11" fillId="10" borderId="30" xfId="0" applyFont="1" applyFill="1" applyBorder="1" applyAlignment="1">
      <alignment horizontal="right" vertical="center"/>
    </xf>
    <xf numFmtId="164" fontId="13" fillId="10" borderId="4" xfId="1" applyNumberFormat="1" applyFont="1" applyFill="1" applyBorder="1" applyAlignment="1">
      <alignment horizontal="right" vertical="center"/>
    </xf>
    <xf numFmtId="0" fontId="11" fillId="9" borderId="22" xfId="0" applyFont="1" applyFill="1" applyBorder="1" applyAlignment="1">
      <alignment horizontal="right" vertical="center" wrapText="1"/>
    </xf>
    <xf numFmtId="0" fontId="11" fillId="9" borderId="5" xfId="0" applyFont="1" applyFill="1" applyBorder="1" applyAlignment="1">
      <alignment horizontal="right" vertical="center" wrapText="1"/>
    </xf>
    <xf numFmtId="0" fontId="11" fillId="9" borderId="10" xfId="0" applyFont="1" applyFill="1" applyBorder="1" applyAlignment="1">
      <alignment horizontal="right" vertical="center" wrapText="1"/>
    </xf>
    <xf numFmtId="0" fontId="11" fillId="9" borderId="23" xfId="0" applyFont="1" applyFill="1" applyBorder="1" applyAlignment="1">
      <alignment horizontal="right" vertical="center" wrapText="1"/>
    </xf>
    <xf numFmtId="10" fontId="13" fillId="7" borderId="0" xfId="3" applyNumberFormat="1" applyFont="1" applyFill="1" applyAlignment="1">
      <alignment horizontal="right"/>
    </xf>
    <xf numFmtId="0" fontId="11" fillId="4" borderId="34" xfId="1" applyNumberFormat="1" applyFont="1" applyFill="1" applyBorder="1" applyAlignment="1">
      <alignment horizontal="right"/>
    </xf>
    <xf numFmtId="0" fontId="11" fillId="4" borderId="15" xfId="0" applyFont="1" applyFill="1" applyBorder="1" applyAlignment="1">
      <alignment horizontal="center"/>
    </xf>
    <xf numFmtId="0" fontId="4" fillId="0" borderId="0" xfId="0" applyFont="1" applyBorder="1"/>
    <xf numFmtId="0" fontId="4" fillId="0" borderId="21" xfId="0" applyFont="1" applyBorder="1"/>
    <xf numFmtId="0" fontId="11" fillId="4" borderId="28" xfId="1" applyNumberFormat="1" applyFont="1" applyFill="1" applyBorder="1" applyAlignment="1">
      <alignment horizontal="right"/>
    </xf>
    <xf numFmtId="164" fontId="4" fillId="4" borderId="26" xfId="1" applyNumberFormat="1" applyFont="1" applyFill="1" applyBorder="1"/>
    <xf numFmtId="0" fontId="11" fillId="4" borderId="29" xfId="3" applyNumberFormat="1" applyFont="1" applyFill="1" applyBorder="1" applyAlignment="1">
      <alignment horizontal="right"/>
    </xf>
    <xf numFmtId="10" fontId="15" fillId="4" borderId="24" xfId="3" applyNumberFormat="1" applyFont="1" applyFill="1" applyBorder="1"/>
    <xf numFmtId="0" fontId="4" fillId="0" borderId="12" xfId="0" applyFont="1" applyBorder="1"/>
    <xf numFmtId="0" fontId="4" fillId="0" borderId="4" xfId="0" applyFont="1" applyBorder="1"/>
    <xf numFmtId="0" fontId="4" fillId="0" borderId="0" xfId="0" applyFont="1" applyAlignment="1"/>
    <xf numFmtId="0" fontId="11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7" borderId="0" xfId="0" applyFont="1" applyFill="1" applyAlignment="1">
      <alignment horizontal="center" vertical="center"/>
    </xf>
    <xf numFmtId="9" fontId="4" fillId="7" borderId="0" xfId="3" applyFont="1" applyFill="1" applyAlignment="1">
      <alignment horizontal="center" vertical="center"/>
    </xf>
    <xf numFmtId="3" fontId="4" fillId="7" borderId="0" xfId="0" applyNumberFormat="1" applyFont="1" applyFill="1" applyAlignment="1">
      <alignment horizontal="center" vertical="center"/>
    </xf>
    <xf numFmtId="166" fontId="4" fillId="7" borderId="0" xfId="3" applyNumberFormat="1" applyFont="1" applyFill="1" applyAlignment="1">
      <alignment horizontal="center" vertical="center"/>
    </xf>
    <xf numFmtId="166" fontId="4" fillId="0" borderId="0" xfId="3" applyNumberFormat="1" applyFont="1" applyAlignment="1">
      <alignment horizontal="center" vertical="center"/>
    </xf>
    <xf numFmtId="10" fontId="4" fillId="0" borderId="0" xfId="3" applyNumberFormat="1" applyFont="1" applyAlignment="1">
      <alignment horizontal="center" vertical="center"/>
    </xf>
    <xf numFmtId="43" fontId="4" fillId="0" borderId="0" xfId="1" applyNumberFormat="1" applyFont="1" applyAlignment="1">
      <alignment horizontal="center" vertical="center"/>
    </xf>
    <xf numFmtId="43" fontId="4" fillId="0" borderId="0" xfId="1" applyFont="1" applyAlignment="1">
      <alignment horizontal="center" vertical="center"/>
    </xf>
    <xf numFmtId="43" fontId="4" fillId="0" borderId="0" xfId="0" applyNumberFormat="1" applyFont="1" applyAlignment="1">
      <alignment horizontal="center" vertical="center"/>
    </xf>
    <xf numFmtId="43" fontId="4" fillId="0" borderId="0" xfId="3" applyNumberFormat="1" applyFont="1"/>
    <xf numFmtId="43" fontId="4" fillId="0" borderId="0" xfId="0" applyNumberFormat="1" applyFont="1"/>
    <xf numFmtId="164" fontId="16" fillId="0" borderId="0" xfId="0" applyNumberFormat="1" applyFont="1" applyAlignment="1">
      <alignment horizontal="center" vertical="center"/>
    </xf>
    <xf numFmtId="43" fontId="16" fillId="0" borderId="0" xfId="0" applyNumberFormat="1" applyFont="1"/>
    <xf numFmtId="0" fontId="4" fillId="0" borderId="0" xfId="0" applyFont="1" applyAlignment="1">
      <alignment horizontal="center" vertical="center"/>
    </xf>
    <xf numFmtId="9" fontId="4" fillId="0" borderId="0" xfId="3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164" fontId="4" fillId="0" borderId="0" xfId="1" applyNumberFormat="1" applyFont="1"/>
    <xf numFmtId="9" fontId="4" fillId="0" borderId="0" xfId="3" applyFont="1"/>
    <xf numFmtId="166" fontId="4" fillId="0" borderId="6" xfId="0" applyNumberFormat="1" applyFont="1" applyBorder="1"/>
    <xf numFmtId="166" fontId="4" fillId="0" borderId="14" xfId="3" applyNumberFormat="1" applyFont="1" applyBorder="1"/>
    <xf numFmtId="166" fontId="4" fillId="0" borderId="6" xfId="3" applyNumberFormat="1" applyFont="1" applyBorder="1"/>
    <xf numFmtId="166" fontId="4" fillId="0" borderId="14" xfId="0" applyNumberFormat="1" applyFont="1" applyBorder="1"/>
    <xf numFmtId="166" fontId="4" fillId="0" borderId="7" xfId="3" applyNumberFormat="1" applyFont="1" applyBorder="1"/>
    <xf numFmtId="166" fontId="4" fillId="0" borderId="15" xfId="0" applyNumberFormat="1" applyFont="1" applyBorder="1"/>
    <xf numFmtId="0" fontId="4" fillId="0" borderId="10" xfId="0" applyFont="1" applyBorder="1"/>
    <xf numFmtId="0" fontId="13" fillId="10" borderId="27" xfId="0" applyFont="1" applyFill="1" applyBorder="1" applyAlignment="1">
      <alignment horizontal="right" vertical="center"/>
    </xf>
    <xf numFmtId="0" fontId="13" fillId="10" borderId="0" xfId="0" applyFont="1" applyFill="1" applyBorder="1" applyAlignment="1">
      <alignment vertical="center"/>
    </xf>
    <xf numFmtId="164" fontId="13" fillId="10" borderId="0" xfId="1" applyNumberFormat="1" applyFont="1" applyFill="1" applyBorder="1" applyAlignment="1">
      <alignment vertical="center"/>
    </xf>
    <xf numFmtId="164" fontId="13" fillId="10" borderId="12" xfId="1" applyNumberFormat="1" applyFont="1" applyFill="1" applyBorder="1" applyAlignment="1">
      <alignment horizontal="right" vertical="center"/>
    </xf>
    <xf numFmtId="0" fontId="11" fillId="4" borderId="32" xfId="3" applyNumberFormat="1" applyFont="1" applyFill="1" applyBorder="1" applyAlignment="1">
      <alignment horizontal="right"/>
    </xf>
    <xf numFmtId="10" fontId="17" fillId="4" borderId="30" xfId="3" applyNumberFormat="1" applyFont="1" applyFill="1" applyBorder="1" applyAlignment="1">
      <alignment horizontal="right"/>
    </xf>
    <xf numFmtId="10" fontId="11" fillId="4" borderId="12" xfId="3" applyNumberFormat="1" applyFont="1" applyFill="1" applyBorder="1" applyAlignment="1">
      <alignment horizontal="right"/>
    </xf>
    <xf numFmtId="10" fontId="11" fillId="4" borderId="33" xfId="3" applyNumberFormat="1" applyFont="1" applyFill="1" applyBorder="1" applyAlignment="1">
      <alignment horizontal="right"/>
    </xf>
    <xf numFmtId="10" fontId="17" fillId="4" borderId="12" xfId="3" applyNumberFormat="1" applyFont="1" applyFill="1" applyBorder="1" applyAlignment="1">
      <alignment horizontal="right"/>
    </xf>
    <xf numFmtId="10" fontId="11" fillId="4" borderId="4" xfId="3" applyNumberFormat="1" applyFont="1" applyFill="1" applyBorder="1" applyAlignment="1">
      <alignment horizontal="right"/>
    </xf>
    <xf numFmtId="0" fontId="18" fillId="0" borderId="0" xfId="0" applyFont="1"/>
    <xf numFmtId="43" fontId="4" fillId="0" borderId="0" xfId="1" applyFont="1"/>
    <xf numFmtId="0" fontId="19" fillId="0" borderId="0" xfId="0" applyFont="1"/>
    <xf numFmtId="10" fontId="16" fillId="0" borderId="0" xfId="3" applyNumberFormat="1" applyFont="1"/>
    <xf numFmtId="10" fontId="16" fillId="0" borderId="0" xfId="0" applyNumberFormat="1" applyFont="1"/>
    <xf numFmtId="0" fontId="20" fillId="12" borderId="0" xfId="0" applyFont="1" applyFill="1" applyAlignment="1">
      <alignment horizontal="center" vertical="center" wrapText="1"/>
    </xf>
    <xf numFmtId="0" fontId="20" fillId="8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7" fontId="4" fillId="7" borderId="0" xfId="1" applyNumberFormat="1" applyFont="1" applyFill="1" applyAlignment="1">
      <alignment horizontal="center" vertical="center"/>
    </xf>
    <xf numFmtId="167" fontId="4" fillId="0" borderId="0" xfId="1" applyNumberFormat="1" applyFont="1" applyAlignment="1">
      <alignment horizontal="center" vertical="center"/>
    </xf>
    <xf numFmtId="0" fontId="28" fillId="0" borderId="0" xfId="0" applyFont="1"/>
    <xf numFmtId="0" fontId="30" fillId="0" borderId="0" xfId="0" applyFont="1"/>
    <xf numFmtId="0" fontId="7" fillId="13" borderId="0" xfId="0" applyFont="1" applyFill="1" applyAlignment="1">
      <alignment horizontal="center" vertical="center" wrapText="1"/>
    </xf>
    <xf numFmtId="169" fontId="10" fillId="0" borderId="0" xfId="0" applyNumberFormat="1" applyFont="1"/>
    <xf numFmtId="43" fontId="10" fillId="0" borderId="0" xfId="0" applyNumberFormat="1" applyFont="1"/>
    <xf numFmtId="43" fontId="29" fillId="0" borderId="0" xfId="0" applyNumberFormat="1" applyFont="1"/>
    <xf numFmtId="0" fontId="10" fillId="0" borderId="0" xfId="0" quotePrefix="1" applyFont="1" applyAlignment="1">
      <alignment horizontal="center"/>
    </xf>
    <xf numFmtId="43" fontId="12" fillId="0" borderId="0" xfId="0" applyNumberFormat="1" applyFont="1"/>
    <xf numFmtId="0" fontId="26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0" borderId="17" xfId="0" applyFont="1" applyFill="1" applyBorder="1" applyAlignment="1">
      <alignment horizontal="right" vertical="center" wrapText="1"/>
    </xf>
    <xf numFmtId="0" fontId="13" fillId="7" borderId="0" xfId="0" applyFont="1" applyFill="1" applyAlignment="1">
      <alignment horizontal="right" vertical="center"/>
    </xf>
    <xf numFmtId="9" fontId="13" fillId="7" borderId="0" xfId="3" applyFont="1" applyFill="1" applyAlignment="1">
      <alignment horizontal="right" vertical="center"/>
    </xf>
    <xf numFmtId="165" fontId="13" fillId="7" borderId="0" xfId="2" applyNumberFormat="1" applyFont="1" applyFill="1" applyAlignment="1">
      <alignment horizontal="right" vertical="center"/>
    </xf>
    <xf numFmtId="10" fontId="13" fillId="7" borderId="0" xfId="3" applyNumberFormat="1" applyFont="1" applyFill="1" applyAlignment="1">
      <alignment horizontal="right" vertical="center"/>
    </xf>
    <xf numFmtId="0" fontId="30" fillId="0" borderId="0" xfId="0" applyFont="1" applyAlignment="1">
      <alignment horizontal="center"/>
    </xf>
    <xf numFmtId="43" fontId="28" fillId="4" borderId="0" xfId="0" applyNumberFormat="1" applyFont="1" applyFill="1"/>
    <xf numFmtId="43" fontId="0" fillId="0" borderId="0" xfId="0" applyNumberForma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0" fontId="11" fillId="0" borderId="26" xfId="0" applyNumberFormat="1" applyFont="1" applyBorder="1" applyAlignment="1">
      <alignment horizontal="center" vertical="center"/>
    </xf>
    <xf numFmtId="0" fontId="34" fillId="0" borderId="0" xfId="7">
      <alignment vertical="center"/>
    </xf>
    <xf numFmtId="0" fontId="4" fillId="0" borderId="20" xfId="0" applyFont="1" applyBorder="1"/>
    <xf numFmtId="0" fontId="2" fillId="5" borderId="9" xfId="0" applyFont="1" applyFill="1" applyBorder="1" applyAlignment="1">
      <alignment horizontal="center" vertical="center" wrapText="1"/>
    </xf>
    <xf numFmtId="0" fontId="4" fillId="0" borderId="14" xfId="0" applyFont="1" applyBorder="1"/>
    <xf numFmtId="0" fontId="4" fillId="0" borderId="15" xfId="0" applyFont="1" applyBorder="1"/>
    <xf numFmtId="43" fontId="13" fillId="7" borderId="0" xfId="1" applyNumberFormat="1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169" fontId="32" fillId="0" borderId="8" xfId="0" applyNumberFormat="1" applyFont="1" applyFill="1" applyBorder="1"/>
    <xf numFmtId="169" fontId="32" fillId="0" borderId="35" xfId="0" applyNumberFormat="1" applyFont="1" applyFill="1" applyBorder="1"/>
    <xf numFmtId="169" fontId="10" fillId="0" borderId="6" xfId="0" applyNumberFormat="1" applyFont="1" applyFill="1" applyBorder="1"/>
    <xf numFmtId="169" fontId="10" fillId="0" borderId="0" xfId="0" applyNumberFormat="1" applyFont="1" applyFill="1" applyBorder="1"/>
    <xf numFmtId="169" fontId="10" fillId="13" borderId="6" xfId="0" applyNumberFormat="1" applyFont="1" applyFill="1" applyBorder="1"/>
    <xf numFmtId="169" fontId="10" fillId="13" borderId="0" xfId="0" applyNumberFormat="1" applyFont="1" applyFill="1" applyBorder="1"/>
    <xf numFmtId="169" fontId="32" fillId="13" borderId="35" xfId="0" applyNumberFormat="1" applyFont="1" applyFill="1" applyBorder="1"/>
    <xf numFmtId="0" fontId="10" fillId="13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4" fillId="4" borderId="0" xfId="0" applyFont="1" applyFill="1" applyBorder="1" applyAlignment="1">
      <alignment horizontal="center" vertical="center"/>
    </xf>
    <xf numFmtId="164" fontId="4" fillId="4" borderId="17" xfId="0" applyNumberFormat="1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29" fillId="4" borderId="17" xfId="0" applyFont="1" applyFill="1" applyBorder="1" applyAlignment="1">
      <alignment horizontal="left" vertical="center"/>
    </xf>
    <xf numFmtId="170" fontId="4" fillId="0" borderId="0" xfId="0" applyNumberFormat="1" applyFont="1"/>
    <xf numFmtId="10" fontId="4" fillId="4" borderId="0" xfId="3" applyNumberFormat="1" applyFont="1" applyFill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169" fontId="10" fillId="15" borderId="0" xfId="0" applyNumberFormat="1" applyFont="1" applyFill="1" applyBorder="1"/>
    <xf numFmtId="169" fontId="32" fillId="15" borderId="0" xfId="0" applyNumberFormat="1" applyFont="1" applyFill="1" applyBorder="1"/>
    <xf numFmtId="0" fontId="10" fillId="15" borderId="5" xfId="0" applyFont="1" applyFill="1" applyBorder="1" applyAlignment="1">
      <alignment horizontal="center" vertical="center"/>
    </xf>
    <xf numFmtId="0" fontId="29" fillId="4" borderId="0" xfId="0" applyFont="1" applyFill="1" applyAlignment="1">
      <alignment horizontal="left" vertical="center"/>
    </xf>
    <xf numFmtId="166" fontId="4" fillId="4" borderId="0" xfId="3" applyNumberFormat="1" applyFont="1" applyFill="1" applyAlignment="1">
      <alignment horizontal="center" vertical="center"/>
    </xf>
    <xf numFmtId="43" fontId="13" fillId="4" borderId="0" xfId="1" applyNumberFormat="1" applyFont="1" applyFill="1" applyAlignment="1">
      <alignment horizontal="right" vertical="center"/>
    </xf>
    <xf numFmtId="164" fontId="4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164" fontId="35" fillId="4" borderId="12" xfId="0" applyNumberFormat="1" applyFont="1" applyFill="1" applyBorder="1" applyAlignment="1">
      <alignment horizontal="center" vertical="center"/>
    </xf>
    <xf numFmtId="167" fontId="4" fillId="4" borderId="0" xfId="1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9" fontId="13" fillId="4" borderId="0" xfId="3" applyFont="1" applyFill="1" applyAlignment="1">
      <alignment horizontal="right"/>
    </xf>
    <xf numFmtId="169" fontId="32" fillId="4" borderId="35" xfId="0" applyNumberFormat="1" applyFont="1" applyFill="1" applyBorder="1"/>
    <xf numFmtId="0" fontId="12" fillId="4" borderId="0" xfId="0" applyFont="1" applyFill="1"/>
    <xf numFmtId="166" fontId="4" fillId="4" borderId="0" xfId="0" applyNumberFormat="1" applyFont="1" applyFill="1"/>
    <xf numFmtId="0" fontId="4" fillId="4" borderId="0" xfId="0" applyFont="1" applyFill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10" fontId="4" fillId="3" borderId="0" xfId="3" applyNumberFormat="1" applyFont="1" applyFill="1" applyAlignment="1">
      <alignment vertical="center"/>
    </xf>
    <xf numFmtId="170" fontId="4" fillId="3" borderId="0" xfId="3" applyNumberFormat="1" applyFont="1" applyFill="1" applyAlignment="1">
      <alignment vertical="center"/>
    </xf>
    <xf numFmtId="9" fontId="4" fillId="3" borderId="0" xfId="3" applyFont="1" applyFill="1" applyAlignment="1">
      <alignment vertical="center"/>
    </xf>
    <xf numFmtId="0" fontId="2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9" fontId="4" fillId="14" borderId="0" xfId="0" applyNumberFormat="1" applyFont="1" applyFill="1" applyAlignment="1">
      <alignment vertical="center"/>
    </xf>
    <xf numFmtId="0" fontId="4" fillId="14" borderId="0" xfId="0" applyFont="1" applyFill="1" applyAlignment="1">
      <alignment vertical="center"/>
    </xf>
    <xf numFmtId="166" fontId="4" fillId="14" borderId="0" xfId="0" applyNumberFormat="1" applyFont="1" applyFill="1" applyAlignment="1">
      <alignment vertical="center"/>
    </xf>
    <xf numFmtId="9" fontId="4" fillId="3" borderId="0" xfId="0" applyNumberFormat="1" applyFont="1" applyFill="1" applyAlignment="1">
      <alignment vertical="center"/>
    </xf>
    <xf numFmtId="10" fontId="4" fillId="3" borderId="0" xfId="0" applyNumberFormat="1" applyFont="1" applyFill="1" applyAlignment="1">
      <alignment vertical="center"/>
    </xf>
    <xf numFmtId="0" fontId="25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43" fontId="4" fillId="3" borderId="0" xfId="1" applyNumberFormat="1" applyFont="1" applyFill="1" applyAlignment="1">
      <alignment vertical="center"/>
    </xf>
    <xf numFmtId="171" fontId="13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10" fontId="10" fillId="0" borderId="0" xfId="0" applyNumberFormat="1" applyFont="1" applyAlignment="1">
      <alignment horizontal="center" vertical="center"/>
    </xf>
    <xf numFmtId="164" fontId="10" fillId="0" borderId="0" xfId="1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38" fillId="0" borderId="0" xfId="8" applyFont="1" applyAlignment="1">
      <alignment horizontal="left"/>
    </xf>
    <xf numFmtId="0" fontId="37" fillId="0" borderId="0" xfId="0" applyFont="1" applyAlignment="1">
      <alignment horizontal="left"/>
    </xf>
    <xf numFmtId="0" fontId="39" fillId="0" borderId="0" xfId="0" applyFont="1" applyAlignment="1">
      <alignment horizontal="left" vertical="center"/>
    </xf>
    <xf numFmtId="0" fontId="38" fillId="0" borderId="0" xfId="8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2" fillId="0" borderId="0" xfId="0" applyFont="1"/>
    <xf numFmtId="0" fontId="29" fillId="0" borderId="0" xfId="0" applyFont="1" applyAlignment="1">
      <alignment horizontal="center" vertical="center"/>
    </xf>
    <xf numFmtId="0" fontId="13" fillId="0" borderId="0" xfId="0" quotePrefix="1" applyFont="1" applyAlignment="1">
      <alignment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</cellXfs>
  <cellStyles count="9">
    <cellStyle name="Comma" xfId="1" builtinId="3"/>
    <cellStyle name="Comma 2" xfId="5"/>
    <cellStyle name="Currency" xfId="2" builtinId="4"/>
    <cellStyle name="Hyperlink" xfId="8" builtinId="8"/>
    <cellStyle name="Normal" xfId="0" builtinId="0"/>
    <cellStyle name="Normal 2" xfId="4"/>
    <cellStyle name="Normal 3" xfId="7"/>
    <cellStyle name="Percent" xfId="3" builtinId="5"/>
    <cellStyle name="Percent 2" xfId="6"/>
  </cellStyles>
  <dxfs count="4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ECA402"/>
      <color rgb="FF43C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13</xdr:row>
      <xdr:rowOff>0</xdr:rowOff>
    </xdr:from>
    <xdr:to>
      <xdr:col>16</xdr:col>
      <xdr:colOff>457200</xdr:colOff>
      <xdr:row>31</xdr:row>
      <xdr:rowOff>171450</xdr:rowOff>
    </xdr:to>
    <xdr:grpSp>
      <xdr:nvGrpSpPr>
        <xdr:cNvPr id="2" name="Group 1"/>
        <xdr:cNvGrpSpPr/>
      </xdr:nvGrpSpPr>
      <xdr:grpSpPr>
        <a:xfrm>
          <a:off x="209549" y="2190750"/>
          <a:ext cx="9553576" cy="3600450"/>
          <a:chOff x="141698" y="3857922"/>
          <a:chExt cx="9027428" cy="2889019"/>
        </a:xfrm>
      </xdr:grpSpPr>
      <xdr:sp macro="" textlink="">
        <xdr:nvSpPr>
          <xdr:cNvPr id="3" name="Rectangle 2"/>
          <xdr:cNvSpPr/>
        </xdr:nvSpPr>
        <xdr:spPr bwMode="auto">
          <a:xfrm>
            <a:off x="735439" y="4370663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k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" name="Rectangle 3"/>
          <xdr:cNvSpPr/>
        </xdr:nvSpPr>
        <xdr:spPr bwMode="auto">
          <a:xfrm>
            <a:off x="735439" y="4784187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e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5" name="Rectangle 4"/>
          <xdr:cNvSpPr/>
        </xdr:nvSpPr>
        <xdr:spPr bwMode="auto">
          <a:xfrm>
            <a:off x="735439" y="5204497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i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6" name="Straight Arrow Connector 5"/>
          <xdr:cNvCxnSpPr/>
        </xdr:nvCxnSpPr>
        <xdr:spPr>
          <a:xfrm>
            <a:off x="1347888" y="4937869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Rectangle 6"/>
          <xdr:cNvSpPr/>
        </xdr:nvSpPr>
        <xdr:spPr bwMode="auto">
          <a:xfrm>
            <a:off x="1797523" y="4784187"/>
            <a:ext cx="372126" cy="312731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SCR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8" name="Rectangle 7"/>
          <xdr:cNvSpPr/>
        </xdr:nvSpPr>
        <xdr:spPr bwMode="auto">
          <a:xfrm>
            <a:off x="1797523" y="5204497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" name="Rectangle 8"/>
          <xdr:cNvSpPr/>
        </xdr:nvSpPr>
        <xdr:spPr bwMode="auto">
          <a:xfrm>
            <a:off x="229464" y="4599945"/>
            <a:ext cx="372126" cy="312731"/>
          </a:xfrm>
          <a:prstGeom prst="rect">
            <a:avLst/>
          </a:prstGeom>
          <a:solidFill>
            <a:srgbClr val="ECA402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0" name="Rectangle 9"/>
          <xdr:cNvSpPr/>
        </xdr:nvSpPr>
        <xdr:spPr bwMode="auto">
          <a:xfrm>
            <a:off x="229464" y="5013469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NRA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1" name="Rectangle 10"/>
          <xdr:cNvSpPr/>
        </xdr:nvSpPr>
        <xdr:spPr bwMode="auto">
          <a:xfrm>
            <a:off x="1797523" y="4363877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e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12" name="Straight Arrow Connector 11"/>
          <xdr:cNvCxnSpPr/>
        </xdr:nvCxnSpPr>
        <xdr:spPr>
          <a:xfrm>
            <a:off x="2453593" y="4981827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Right Brace 12"/>
          <xdr:cNvSpPr/>
        </xdr:nvSpPr>
        <xdr:spPr>
          <a:xfrm>
            <a:off x="2246732" y="4596179"/>
            <a:ext cx="197709" cy="771296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4" name="Rectangle 13"/>
          <xdr:cNvSpPr/>
        </xdr:nvSpPr>
        <xdr:spPr bwMode="auto">
          <a:xfrm>
            <a:off x="2921822" y="4771672"/>
            <a:ext cx="791983" cy="42031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Contribution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 for each member</a:t>
            </a:r>
          </a:p>
        </xdr:txBody>
      </xdr:sp>
      <xdr:sp macro="" textlink="">
        <xdr:nvSpPr>
          <xdr:cNvPr id="15" name="Right Brace 14"/>
          <xdr:cNvSpPr/>
        </xdr:nvSpPr>
        <xdr:spPr>
          <a:xfrm>
            <a:off x="1150179" y="4552221"/>
            <a:ext cx="197709" cy="771296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cxnSp macro="">
        <xdr:nvCxnSpPr>
          <xdr:cNvPr id="16" name="Straight Arrow Connector 15"/>
          <xdr:cNvCxnSpPr/>
        </xdr:nvCxnSpPr>
        <xdr:spPr>
          <a:xfrm>
            <a:off x="3977010" y="5199084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" name="Right Brace 16"/>
          <xdr:cNvSpPr/>
        </xdr:nvSpPr>
        <xdr:spPr>
          <a:xfrm>
            <a:off x="3779301" y="4953252"/>
            <a:ext cx="197709" cy="491665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8" name="Rectangle 17"/>
          <xdr:cNvSpPr/>
        </xdr:nvSpPr>
        <xdr:spPr bwMode="auto">
          <a:xfrm>
            <a:off x="4454391" y="4988929"/>
            <a:ext cx="791983" cy="42031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Contribution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 for each group</a:t>
            </a:r>
          </a:p>
        </xdr:txBody>
      </xdr:sp>
      <xdr:sp macro="" textlink="">
        <xdr:nvSpPr>
          <xdr:cNvPr id="19" name="Rectangle 18"/>
          <xdr:cNvSpPr/>
        </xdr:nvSpPr>
        <xdr:spPr bwMode="auto">
          <a:xfrm>
            <a:off x="3330589" y="5803509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20" name="Rectangle 19"/>
          <xdr:cNvSpPr/>
        </xdr:nvSpPr>
        <xdr:spPr bwMode="auto">
          <a:xfrm>
            <a:off x="3330589" y="6255718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e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21" name="Straight Arrow Connector 20"/>
          <xdr:cNvCxnSpPr/>
        </xdr:nvCxnSpPr>
        <xdr:spPr>
          <a:xfrm>
            <a:off x="7875586" y="5571209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" name="Right Brace 21"/>
          <xdr:cNvSpPr/>
        </xdr:nvSpPr>
        <xdr:spPr>
          <a:xfrm>
            <a:off x="7677877" y="5185676"/>
            <a:ext cx="197709" cy="771066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23" name="Rectangle 22"/>
          <xdr:cNvSpPr/>
        </xdr:nvSpPr>
        <xdr:spPr bwMode="auto">
          <a:xfrm>
            <a:off x="4454391" y="5749719"/>
            <a:ext cx="791983" cy="42031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Total Salary </a:t>
            </a:r>
            <a:r>
              <a:rPr lang="en-US" sz="900" b="0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0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x+1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 for each group</a:t>
            </a:r>
          </a:p>
        </xdr:txBody>
      </xdr:sp>
      <xdr:sp macro="" textlink="">
        <xdr:nvSpPr>
          <xdr:cNvPr id="24" name="Rectangle 23"/>
          <xdr:cNvSpPr/>
        </xdr:nvSpPr>
        <xdr:spPr bwMode="auto">
          <a:xfrm>
            <a:off x="3330589" y="5351300"/>
            <a:ext cx="372126" cy="312731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N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25" name="Straight Arrow Connector 24"/>
          <xdr:cNvCxnSpPr/>
        </xdr:nvCxnSpPr>
        <xdr:spPr>
          <a:xfrm>
            <a:off x="5442500" y="5191982"/>
            <a:ext cx="1266772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TextBox 11"/>
          <xdr:cNvSpPr txBox="1"/>
        </xdr:nvSpPr>
        <xdr:spPr>
          <a:xfrm>
            <a:off x="5377185" y="4937380"/>
            <a:ext cx="1400667" cy="18764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i="1">
                <a:latin typeface="Century Gothic" panose="020B0502020202020204" pitchFamily="34" charset="0"/>
              </a:rPr>
              <a:t>Sum across all groups</a:t>
            </a:r>
          </a:p>
        </xdr:txBody>
      </xdr:sp>
      <xdr:cxnSp macro="">
        <xdr:nvCxnSpPr>
          <xdr:cNvPr id="27" name="Straight Arrow Connector 26"/>
          <xdr:cNvCxnSpPr/>
        </xdr:nvCxnSpPr>
        <xdr:spPr>
          <a:xfrm>
            <a:off x="5442500" y="5959874"/>
            <a:ext cx="1266772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88"/>
          <xdr:cNvSpPr txBox="1"/>
        </xdr:nvSpPr>
        <xdr:spPr>
          <a:xfrm>
            <a:off x="5377185" y="5705272"/>
            <a:ext cx="1400667" cy="18764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i="1">
                <a:latin typeface="Century Gothic" panose="020B0502020202020204" pitchFamily="34" charset="0"/>
              </a:rPr>
              <a:t>Sum across all groups</a:t>
            </a:r>
          </a:p>
        </xdr:txBody>
      </xdr:sp>
      <xdr:sp macro="" textlink="">
        <xdr:nvSpPr>
          <xdr:cNvPr id="29" name="Rectangle 28"/>
          <xdr:cNvSpPr/>
        </xdr:nvSpPr>
        <xdr:spPr bwMode="auto">
          <a:xfrm>
            <a:off x="6812088" y="4889856"/>
            <a:ext cx="791983" cy="60425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Total Contribution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 for all members</a:t>
            </a:r>
          </a:p>
        </xdr:txBody>
      </xdr:sp>
      <xdr:sp macro="" textlink="">
        <xdr:nvSpPr>
          <xdr:cNvPr id="30" name="Rectangle 29"/>
          <xdr:cNvSpPr/>
        </xdr:nvSpPr>
        <xdr:spPr bwMode="auto">
          <a:xfrm>
            <a:off x="6812088" y="5649826"/>
            <a:ext cx="791983" cy="60589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Total Salary </a:t>
            </a:r>
            <a:r>
              <a:rPr lang="en-US" sz="900" b="0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0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x+1</a:t>
            </a:r>
            <a:r>
              <a:rPr lang="en-US" sz="900" b="0"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for all members</a:t>
            </a:r>
          </a:p>
        </xdr:txBody>
      </xdr:sp>
      <xdr:sp macro="" textlink="">
        <xdr:nvSpPr>
          <xdr:cNvPr id="31" name="Rectangle 30"/>
          <xdr:cNvSpPr/>
        </xdr:nvSpPr>
        <xdr:spPr bwMode="auto">
          <a:xfrm>
            <a:off x="8377143" y="5268263"/>
            <a:ext cx="791983" cy="605892"/>
          </a:xfrm>
          <a:prstGeom prst="rect">
            <a:avLst/>
          </a:prstGeom>
          <a:solidFill>
            <a:schemeClr val="accent3">
              <a:lumMod val="20000"/>
              <a:lumOff val="80000"/>
            </a:schemeClr>
          </a:solidFill>
          <a:ln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Initial Contribution Rate</a:t>
            </a: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cxnSp macro="">
        <xdr:nvCxnSpPr>
          <xdr:cNvPr id="32" name="Straight Arrow Connector 31"/>
          <xdr:cNvCxnSpPr/>
        </xdr:nvCxnSpPr>
        <xdr:spPr>
          <a:xfrm>
            <a:off x="3993506" y="5956742"/>
            <a:ext cx="400795" cy="0"/>
          </a:xfrm>
          <a:prstGeom prst="straightConnector1">
            <a:avLst/>
          </a:prstGeom>
          <a:ln w="12700">
            <a:solidFill>
              <a:schemeClr val="tx1"/>
            </a:solidFill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Right Brace 32"/>
          <xdr:cNvSpPr/>
        </xdr:nvSpPr>
        <xdr:spPr>
          <a:xfrm>
            <a:off x="3795797" y="5571209"/>
            <a:ext cx="197709" cy="771066"/>
          </a:xfrm>
          <a:prstGeom prst="rightBrace">
            <a:avLst>
              <a:gd name="adj1" fmla="val 37500"/>
              <a:gd name="adj2" fmla="val 50000"/>
            </a:avLst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34" name="Rectangle 33"/>
          <xdr:cNvSpPr/>
        </xdr:nvSpPr>
        <xdr:spPr bwMode="auto">
          <a:xfrm>
            <a:off x="145431" y="4262159"/>
            <a:ext cx="5231754" cy="2484782"/>
          </a:xfrm>
          <a:prstGeom prst="rect">
            <a:avLst/>
          </a:prstGeom>
          <a:noFill/>
          <a:ln w="190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5" name="Rectangle 34"/>
          <xdr:cNvSpPr/>
        </xdr:nvSpPr>
        <xdr:spPr>
          <a:xfrm>
            <a:off x="141698" y="3857922"/>
            <a:ext cx="5235487" cy="349353"/>
          </a:xfrm>
          <a:prstGeom prst="rect">
            <a:avLst/>
          </a:prstGeom>
          <a:solidFill>
            <a:srgbClr val="ECA40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100" b="1" i="1">
                <a:latin typeface="Century Gothic" panose="020B0502020202020204" pitchFamily="34" charset="0"/>
              </a:rPr>
              <a:t>Run the calculation for each group X</a:t>
            </a:r>
          </a:p>
        </xdr:txBody>
      </xdr:sp>
    </xdr:grpSp>
    <xdr:clientData/>
  </xdr:twoCellAnchor>
  <xdr:twoCellAnchor>
    <xdr:from>
      <xdr:col>1</xdr:col>
      <xdr:colOff>19050</xdr:colOff>
      <xdr:row>3</xdr:row>
      <xdr:rowOff>85725</xdr:rowOff>
    </xdr:from>
    <xdr:to>
      <xdr:col>16</xdr:col>
      <xdr:colOff>470675</xdr:colOff>
      <xdr:row>9</xdr:row>
      <xdr:rowOff>87920</xdr:rowOff>
    </xdr:to>
    <xdr:grpSp>
      <xdr:nvGrpSpPr>
        <xdr:cNvPr id="36" name="Group 35"/>
        <xdr:cNvGrpSpPr/>
      </xdr:nvGrpSpPr>
      <xdr:grpSpPr>
        <a:xfrm>
          <a:off x="180975" y="561975"/>
          <a:ext cx="9595625" cy="1049945"/>
          <a:chOff x="141698" y="147342"/>
          <a:chExt cx="9595625" cy="1126145"/>
        </a:xfrm>
      </xdr:grpSpPr>
      <xdr:sp macro="" textlink="">
        <xdr:nvSpPr>
          <xdr:cNvPr id="37" name="Rectangle 36"/>
          <xdr:cNvSpPr/>
        </xdr:nvSpPr>
        <xdr:spPr bwMode="auto">
          <a:xfrm>
            <a:off x="141698" y="147342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Financial Assumptions</a:t>
            </a:r>
          </a:p>
        </xdr:txBody>
      </xdr:sp>
      <xdr:sp macro="" textlink="">
        <xdr:nvSpPr>
          <xdr:cNvPr id="38" name="Rectangle 37"/>
          <xdr:cNvSpPr/>
        </xdr:nvSpPr>
        <xdr:spPr bwMode="auto">
          <a:xfrm>
            <a:off x="1310099" y="218903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e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Salary inflation</a:t>
            </a:r>
          </a:p>
        </xdr:txBody>
      </xdr:sp>
      <xdr:sp macro="" textlink="">
        <xdr:nvSpPr>
          <xdr:cNvPr id="39" name="Rectangle 38"/>
          <xdr:cNvSpPr/>
        </xdr:nvSpPr>
        <xdr:spPr bwMode="auto">
          <a:xfrm>
            <a:off x="1310098" y="714920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i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Investment rate</a:t>
            </a:r>
          </a:p>
        </xdr:txBody>
      </xdr:sp>
      <xdr:sp macro="" textlink="">
        <xdr:nvSpPr>
          <xdr:cNvPr id="40" name="Rectangle 39"/>
          <xdr:cNvSpPr/>
        </xdr:nvSpPr>
        <xdr:spPr bwMode="auto">
          <a:xfrm>
            <a:off x="2797711" y="156353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Demographic Assumptions</a:t>
            </a:r>
          </a:p>
        </xdr:txBody>
      </xdr:sp>
      <xdr:sp macro="" textlink="">
        <xdr:nvSpPr>
          <xdr:cNvPr id="41" name="Rectangle 40"/>
          <xdr:cNvSpPr/>
        </xdr:nvSpPr>
        <xdr:spPr bwMode="auto">
          <a:xfrm>
            <a:off x="5014392" y="241103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S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Pensionable salary</a:t>
            </a:r>
          </a:p>
        </xdr:txBody>
      </xdr:sp>
      <xdr:sp macro="" textlink="">
        <xdr:nvSpPr>
          <xdr:cNvPr id="42" name="Rectangle 41"/>
          <xdr:cNvSpPr/>
        </xdr:nvSpPr>
        <xdr:spPr bwMode="auto">
          <a:xfrm>
            <a:off x="3941241" y="241103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Current age</a:t>
            </a:r>
          </a:p>
        </xdr:txBody>
      </xdr:sp>
      <xdr:sp macro="" textlink="">
        <xdr:nvSpPr>
          <xdr:cNvPr id="43" name="Rectangle 42"/>
          <xdr:cNvSpPr/>
        </xdr:nvSpPr>
        <xdr:spPr bwMode="auto">
          <a:xfrm>
            <a:off x="7599899" y="225108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k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Accrual rate</a:t>
            </a:r>
          </a:p>
        </xdr:txBody>
      </xdr:sp>
      <xdr:sp macro="" textlink="">
        <xdr:nvSpPr>
          <xdr:cNvPr id="44" name="Rectangle 43"/>
          <xdr:cNvSpPr/>
        </xdr:nvSpPr>
        <xdr:spPr bwMode="auto">
          <a:xfrm>
            <a:off x="3941240" y="752105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NRA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Normal retirement age</a:t>
            </a:r>
          </a:p>
        </xdr:txBody>
      </xdr:sp>
      <xdr:sp macro="" textlink="">
        <xdr:nvSpPr>
          <xdr:cNvPr id="45" name="Rectangle 44"/>
          <xdr:cNvSpPr/>
        </xdr:nvSpPr>
        <xdr:spPr bwMode="auto">
          <a:xfrm>
            <a:off x="1214850" y="147342"/>
            <a:ext cx="1184274" cy="1117134"/>
          </a:xfrm>
          <a:prstGeom prst="rect">
            <a:avLst/>
          </a:prstGeom>
          <a:noFill/>
          <a:ln w="12700">
            <a:solidFill>
              <a:schemeClr val="accent2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6" name="Rectangle 45"/>
          <xdr:cNvSpPr/>
        </xdr:nvSpPr>
        <xdr:spPr bwMode="auto">
          <a:xfrm>
            <a:off x="3870862" y="156353"/>
            <a:ext cx="2207801" cy="1117134"/>
          </a:xfrm>
          <a:prstGeom prst="rect">
            <a:avLst/>
          </a:prstGeom>
          <a:noFill/>
          <a:ln w="12700">
            <a:solidFill>
              <a:schemeClr val="accent2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7" name="Rectangle 46"/>
          <xdr:cNvSpPr/>
        </xdr:nvSpPr>
        <xdr:spPr bwMode="auto">
          <a:xfrm>
            <a:off x="7529522" y="147342"/>
            <a:ext cx="2207801" cy="1117134"/>
          </a:xfrm>
          <a:prstGeom prst="rect">
            <a:avLst/>
          </a:prstGeom>
          <a:noFill/>
          <a:ln w="12700">
            <a:solidFill>
              <a:schemeClr val="accent2">
                <a:lumMod val="75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n-US" sz="9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8" name="Rectangle 47"/>
          <xdr:cNvSpPr/>
        </xdr:nvSpPr>
        <xdr:spPr bwMode="auto">
          <a:xfrm>
            <a:off x="6456371" y="147342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45720" rIns="4572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Other Inputs</a:t>
            </a:r>
          </a:p>
        </xdr:txBody>
      </xdr:sp>
      <xdr:sp macro="" textlink="">
        <xdr:nvSpPr>
          <xdr:cNvPr id="49" name="Rectangle 48"/>
          <xdr:cNvSpPr/>
        </xdr:nvSpPr>
        <xdr:spPr bwMode="auto">
          <a:xfrm>
            <a:off x="7599899" y="744792"/>
            <a:ext cx="2054346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N</a:t>
            </a:r>
            <a:r>
              <a:rPr lang="en-US" sz="900" b="1" baseline="-25000">
                <a:solidFill>
                  <a:schemeClr val="tx1"/>
                </a:solidFill>
                <a:latin typeface="Century Gothic" panose="020B0502020202020204" pitchFamily="34" charset="0"/>
              </a:rPr>
              <a:t>x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: Number of employees for each group</a:t>
            </a:r>
          </a:p>
        </xdr:txBody>
      </xdr:sp>
      <xdr:sp macro="" textlink="">
        <xdr:nvSpPr>
          <xdr:cNvPr id="50" name="Rectangle 49"/>
          <xdr:cNvSpPr/>
        </xdr:nvSpPr>
        <xdr:spPr bwMode="auto">
          <a:xfrm>
            <a:off x="8673052" y="225108"/>
            <a:ext cx="981193" cy="42687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127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900" b="1">
                <a:solidFill>
                  <a:schemeClr val="tx1"/>
                </a:solidFill>
                <a:latin typeface="Century Gothic" panose="020B0502020202020204" pitchFamily="34" charset="0"/>
              </a:rPr>
              <a:t>Group: </a:t>
            </a:r>
            <a:r>
              <a:rPr lang="en-US" sz="900">
                <a:solidFill>
                  <a:schemeClr val="tx1"/>
                </a:solidFill>
                <a:latin typeface="Century Gothic" panose="020B0502020202020204" pitchFamily="34" charset="0"/>
              </a:rPr>
              <a:t>30, 40, 45, 50, 55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D27"/>
  <sheetViews>
    <sheetView showGridLines="0" tabSelected="1" zoomScale="85" zoomScaleNormal="85" workbookViewId="0"/>
  </sheetViews>
  <sheetFormatPr defaultRowHeight="15" x14ac:dyDescent="0.25"/>
  <cols>
    <col min="1" max="1" width="3.28515625" customWidth="1"/>
    <col min="2" max="2" width="20" bestFit="1" customWidth="1"/>
    <col min="3" max="3" width="13.42578125" bestFit="1" customWidth="1"/>
    <col min="4" max="4" width="12.7109375" bestFit="1" customWidth="1"/>
  </cols>
  <sheetData>
    <row r="1" spans="1:4" ht="16.5" x14ac:dyDescent="0.25">
      <c r="A1" s="201" t="s">
        <v>498</v>
      </c>
      <c r="B1" s="191"/>
      <c r="C1" s="186"/>
      <c r="D1" s="186"/>
    </row>
    <row r="2" spans="1:4" x14ac:dyDescent="0.25">
      <c r="B2" s="191"/>
    </row>
    <row r="3" spans="1:4" ht="16.5" x14ac:dyDescent="0.3">
      <c r="B3" s="192" t="s">
        <v>501</v>
      </c>
      <c r="C3" s="14"/>
      <c r="D3" s="14"/>
    </row>
    <row r="4" spans="1:4" ht="16.5" x14ac:dyDescent="0.3">
      <c r="B4" s="192"/>
      <c r="C4" s="14"/>
      <c r="D4" s="14"/>
    </row>
    <row r="5" spans="1:4" ht="16.5" x14ac:dyDescent="0.25">
      <c r="B5" s="192" t="s">
        <v>502</v>
      </c>
      <c r="C5" s="186"/>
      <c r="D5" s="186"/>
    </row>
    <row r="6" spans="1:4" ht="16.5" x14ac:dyDescent="0.25">
      <c r="B6" s="189"/>
      <c r="C6" s="186"/>
      <c r="D6" s="186"/>
    </row>
    <row r="7" spans="1:4" ht="16.5" x14ac:dyDescent="0.25">
      <c r="B7" s="189"/>
      <c r="C7" s="200" t="s">
        <v>510</v>
      </c>
      <c r="D7" s="186"/>
    </row>
    <row r="8" spans="1:4" x14ac:dyDescent="0.25">
      <c r="B8" s="193"/>
      <c r="C8" s="198" t="s">
        <v>6</v>
      </c>
      <c r="D8" s="198" t="s">
        <v>5</v>
      </c>
    </row>
    <row r="9" spans="1:4" ht="16.5" x14ac:dyDescent="0.25">
      <c r="B9" s="192" t="s">
        <v>499</v>
      </c>
      <c r="C9" s="187">
        <f>'1.c PUC_Projection'!I12</f>
        <v>9.4290679662257557E-2</v>
      </c>
      <c r="D9" s="187">
        <f>'1.c PUC_Projection'!J12</f>
        <v>2.8041531451629458E-2</v>
      </c>
    </row>
    <row r="10" spans="1:4" ht="16.5" x14ac:dyDescent="0.25">
      <c r="B10" s="192" t="s">
        <v>500</v>
      </c>
      <c r="C10" s="187">
        <f>'1.c EAN_Projection'!H9</f>
        <v>9.647208558714504E-2</v>
      </c>
      <c r="D10" s="187">
        <f>'1.c EAN_Projection'!M9</f>
        <v>3.5517587441111532E-2</v>
      </c>
    </row>
    <row r="11" spans="1:4" ht="16.5" x14ac:dyDescent="0.25">
      <c r="B11" s="194"/>
      <c r="C11" s="186"/>
      <c r="D11" s="186"/>
    </row>
    <row r="12" spans="1:4" x14ac:dyDescent="0.25">
      <c r="B12" s="195" t="s">
        <v>494</v>
      </c>
      <c r="C12" s="200" t="s">
        <v>509</v>
      </c>
    </row>
    <row r="13" spans="1:4" x14ac:dyDescent="0.25">
      <c r="B13" s="194"/>
      <c r="C13" s="198" t="s">
        <v>6</v>
      </c>
      <c r="D13" s="198" t="s">
        <v>5</v>
      </c>
    </row>
    <row r="14" spans="1:4" ht="16.5" x14ac:dyDescent="0.25">
      <c r="B14" s="194"/>
      <c r="C14" s="188">
        <f>'2.a PUC_Projection'!I11</f>
        <v>1523834.7127712336</v>
      </c>
      <c r="D14" s="188">
        <f>'2.a PUC_Projection'!J11</f>
        <v>4204563.3172152787</v>
      </c>
    </row>
    <row r="15" spans="1:4" ht="16.5" x14ac:dyDescent="0.25">
      <c r="B15" s="194"/>
      <c r="C15" s="188"/>
      <c r="D15" s="188"/>
    </row>
    <row r="16" spans="1:4" ht="16.5" x14ac:dyDescent="0.25">
      <c r="B16" s="195" t="s">
        <v>495</v>
      </c>
      <c r="C16" s="200" t="s">
        <v>509</v>
      </c>
      <c r="D16" s="186"/>
    </row>
    <row r="17" spans="2:4" x14ac:dyDescent="0.25">
      <c r="B17" s="194"/>
      <c r="C17" s="198" t="s">
        <v>6</v>
      </c>
      <c r="D17" s="198" t="s">
        <v>5</v>
      </c>
    </row>
    <row r="18" spans="2:4" ht="16.5" x14ac:dyDescent="0.25">
      <c r="B18" s="194"/>
      <c r="C18" s="188">
        <f>'2.b EAN_Projection'!I11</f>
        <v>2626958.9706012397</v>
      </c>
      <c r="D18" s="188">
        <f>'2.b EAN_Projection'!J11</f>
        <v>12135731.374859001</v>
      </c>
    </row>
    <row r="19" spans="2:4" ht="16.5" x14ac:dyDescent="0.25">
      <c r="B19" s="194"/>
      <c r="C19" s="188"/>
      <c r="D19" s="188"/>
    </row>
    <row r="20" spans="2:4" ht="16.5" x14ac:dyDescent="0.25">
      <c r="B20" s="195" t="s">
        <v>496</v>
      </c>
      <c r="C20" s="200" t="s">
        <v>509</v>
      </c>
      <c r="D20" s="186"/>
    </row>
    <row r="21" spans="2:4" x14ac:dyDescent="0.25">
      <c r="B21" s="194"/>
      <c r="C21" s="198" t="s">
        <v>6</v>
      </c>
      <c r="D21" s="198" t="s">
        <v>5</v>
      </c>
    </row>
    <row r="22" spans="2:4" ht="16.5" x14ac:dyDescent="0.25">
      <c r="B22" s="194"/>
      <c r="C22" s="188">
        <f>'2.c EAN_Projection'!I11</f>
        <v>1816631.2646494247</v>
      </c>
      <c r="D22" s="188">
        <f>'2.c EAN_Projection'!J11</f>
        <v>11396339.22023629</v>
      </c>
    </row>
    <row r="23" spans="2:4" ht="16.5" x14ac:dyDescent="0.25">
      <c r="B23" s="194"/>
      <c r="C23" s="188"/>
      <c r="D23" s="188"/>
    </row>
    <row r="24" spans="2:4" x14ac:dyDescent="0.25">
      <c r="B24" s="195" t="s">
        <v>497</v>
      </c>
      <c r="C24" s="200" t="s">
        <v>509</v>
      </c>
    </row>
    <row r="25" spans="2:4" x14ac:dyDescent="0.25">
      <c r="B25" s="194"/>
      <c r="C25" s="198" t="s">
        <v>6</v>
      </c>
      <c r="D25" s="198" t="s">
        <v>5</v>
      </c>
    </row>
    <row r="26" spans="2:4" ht="16.5" x14ac:dyDescent="0.25">
      <c r="B26" s="190"/>
      <c r="C26" s="188">
        <f>'2.d EAN_Projection'!I11</f>
        <v>944610.5794469231</v>
      </c>
      <c r="D26" s="188">
        <f>'2.d EAN_Projection'!J11</f>
        <v>7192351.1366760116</v>
      </c>
    </row>
    <row r="27" spans="2:4" ht="16.5" x14ac:dyDescent="0.25">
      <c r="B27" s="186"/>
    </row>
  </sheetData>
  <hyperlinks>
    <hyperlink ref="B12" location="'2.a PUC_Projection'!A1" display="Q2 a."/>
    <hyperlink ref="B16" location="'2.b EAN_Projection'!A1" display="Q2 b."/>
    <hyperlink ref="B20" location="'2.c EAN_Projection'!A1" display="Q2 c."/>
    <hyperlink ref="B24" location="'2.d EAN_Projection'!A1" display="Q2 d."/>
    <hyperlink ref="B9" location="'1.c PUC_Projection'!A1" display="Q1 c. PUC"/>
    <hyperlink ref="B10" location="'1.c EAN_Projection'!A1" display="Q1 c. EAN"/>
    <hyperlink ref="B3" location="'1.a Assumptions'!A1" display="Q1 a. Assumptions"/>
    <hyperlink ref="B5" location="'1.b Flowchart'!A1" display="Q1 b. Flowchart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</sheetPr>
  <dimension ref="A1:P39"/>
  <sheetViews>
    <sheetView showGridLines="0" zoomScale="85" zoomScaleNormal="85" workbookViewId="0"/>
  </sheetViews>
  <sheetFormatPr defaultRowHeight="16.5" x14ac:dyDescent="0.3"/>
  <cols>
    <col min="1" max="1" width="2.85546875" style="14" customWidth="1"/>
    <col min="2" max="2" width="23.7109375" style="14" customWidth="1"/>
    <col min="3" max="6" width="9.28515625" style="14" customWidth="1"/>
    <col min="7" max="7" width="11.140625" style="14" customWidth="1"/>
    <col min="8" max="9" width="16.85546875" style="14" customWidth="1"/>
    <col min="10" max="16384" width="9.140625" style="14"/>
  </cols>
  <sheetData>
    <row r="1" spans="1:16" ht="17.25" thickBot="1" x14ac:dyDescent="0.35">
      <c r="A1" s="174" t="s">
        <v>30</v>
      </c>
      <c r="B1" s="175"/>
      <c r="C1" s="170"/>
      <c r="D1" s="170"/>
      <c r="E1" s="170"/>
      <c r="F1" s="170"/>
      <c r="G1" s="170"/>
      <c r="H1" s="170"/>
      <c r="I1" s="170"/>
      <c r="J1" s="13"/>
      <c r="K1" s="13"/>
      <c r="L1" s="13"/>
      <c r="M1" s="13"/>
      <c r="N1" s="13"/>
      <c r="O1" s="13"/>
      <c r="P1" s="13"/>
    </row>
    <row r="2" spans="1:16" x14ac:dyDescent="0.3">
      <c r="A2" s="174"/>
      <c r="B2" s="167" t="s">
        <v>488</v>
      </c>
      <c r="C2" s="15" t="s">
        <v>12</v>
      </c>
      <c r="D2" s="170"/>
      <c r="E2" s="170"/>
      <c r="F2" s="170"/>
      <c r="G2" s="170"/>
      <c r="H2" s="170"/>
      <c r="I2" s="170"/>
      <c r="J2" s="13"/>
      <c r="K2" s="13"/>
      <c r="L2" s="13"/>
      <c r="M2" s="13"/>
      <c r="N2" s="13"/>
      <c r="O2" s="13"/>
      <c r="P2" s="13"/>
    </row>
    <row r="3" spans="1:16" ht="17.25" thickBot="1" x14ac:dyDescent="0.35">
      <c r="A3" s="174"/>
      <c r="B3" s="175"/>
      <c r="C3" s="20" t="s">
        <v>37</v>
      </c>
      <c r="D3" s="199" t="s">
        <v>508</v>
      </c>
      <c r="E3" s="170"/>
      <c r="F3" s="170"/>
      <c r="G3" s="170"/>
      <c r="H3" s="170"/>
      <c r="I3" s="170"/>
      <c r="J3" s="13"/>
      <c r="K3" s="13"/>
      <c r="L3" s="13"/>
      <c r="M3" s="13"/>
      <c r="N3" s="13"/>
      <c r="O3" s="13"/>
      <c r="P3" s="13"/>
    </row>
    <row r="4" spans="1:16" x14ac:dyDescent="0.3">
      <c r="A4" s="174"/>
      <c r="B4" s="175"/>
      <c r="C4" s="170"/>
      <c r="D4" s="170"/>
      <c r="E4" s="170"/>
      <c r="F4" s="170"/>
      <c r="G4" s="170"/>
      <c r="H4" s="170"/>
      <c r="I4" s="170"/>
      <c r="J4" s="13"/>
      <c r="K4" s="13"/>
      <c r="L4" s="13"/>
      <c r="M4" s="13"/>
      <c r="N4" s="13"/>
      <c r="O4" s="13"/>
      <c r="P4" s="13"/>
    </row>
    <row r="5" spans="1:16" x14ac:dyDescent="0.3">
      <c r="A5" s="175"/>
      <c r="B5" s="167" t="s">
        <v>7</v>
      </c>
      <c r="C5" s="170"/>
      <c r="D5" s="170"/>
      <c r="E5" s="170"/>
      <c r="F5" s="170"/>
      <c r="G5" s="175"/>
      <c r="H5" s="170"/>
      <c r="I5" s="170"/>
      <c r="J5" s="13"/>
      <c r="K5" s="13"/>
      <c r="L5" s="13"/>
      <c r="M5" s="13"/>
      <c r="N5" s="13"/>
      <c r="O5" s="13"/>
      <c r="P5" s="13"/>
    </row>
    <row r="6" spans="1:16" x14ac:dyDescent="0.3">
      <c r="A6" s="175"/>
      <c r="B6" s="169" t="s">
        <v>8</v>
      </c>
      <c r="C6" s="176">
        <v>0.1</v>
      </c>
      <c r="D6" s="175"/>
      <c r="E6" s="170"/>
      <c r="F6" s="170"/>
      <c r="G6" s="175"/>
      <c r="H6" s="170"/>
      <c r="I6" s="170"/>
      <c r="J6" s="13"/>
      <c r="K6" s="13"/>
      <c r="L6" s="13"/>
      <c r="M6" s="13"/>
      <c r="N6" s="13"/>
      <c r="O6" s="13"/>
      <c r="P6" s="13"/>
    </row>
    <row r="7" spans="1:16" x14ac:dyDescent="0.3">
      <c r="A7" s="175"/>
      <c r="B7" s="169" t="s">
        <v>9</v>
      </c>
      <c r="C7" s="176">
        <v>0.05</v>
      </c>
      <c r="D7" s="175"/>
      <c r="E7" s="170"/>
      <c r="F7" s="170"/>
      <c r="G7" s="170"/>
      <c r="H7" s="170"/>
      <c r="I7" s="170"/>
      <c r="J7" s="13"/>
      <c r="K7" s="13"/>
      <c r="L7" s="13"/>
      <c r="M7" s="13"/>
      <c r="N7" s="13"/>
      <c r="O7" s="13"/>
      <c r="P7" s="13"/>
    </row>
    <row r="8" spans="1:16" x14ac:dyDescent="0.3">
      <c r="A8" s="175"/>
      <c r="B8" s="170"/>
      <c r="C8" s="170"/>
      <c r="D8" s="170"/>
      <c r="E8" s="170"/>
      <c r="F8" s="170"/>
      <c r="G8" s="170"/>
      <c r="H8" s="175"/>
      <c r="I8" s="175"/>
      <c r="M8" s="13"/>
      <c r="N8" s="13"/>
      <c r="O8" s="13"/>
      <c r="P8" s="13"/>
    </row>
    <row r="9" spans="1:16" x14ac:dyDescent="0.3">
      <c r="A9" s="175"/>
      <c r="B9" s="167" t="s">
        <v>11</v>
      </c>
      <c r="C9" s="175"/>
      <c r="D9" s="175"/>
      <c r="E9" s="170"/>
      <c r="F9" s="170"/>
      <c r="G9" s="170"/>
      <c r="H9" s="175"/>
      <c r="I9" s="175"/>
      <c r="M9" s="13"/>
      <c r="N9" s="13"/>
      <c r="O9" s="13"/>
      <c r="P9" s="13"/>
    </row>
    <row r="10" spans="1:16" x14ac:dyDescent="0.3">
      <c r="A10" s="175"/>
      <c r="B10" s="169" t="s">
        <v>8</v>
      </c>
      <c r="C10" s="177">
        <v>50</v>
      </c>
      <c r="D10" s="175"/>
      <c r="E10" s="170"/>
      <c r="F10" s="170"/>
      <c r="G10" s="170"/>
      <c r="H10" s="175"/>
      <c r="I10" s="175"/>
      <c r="M10" s="13"/>
      <c r="N10" s="13"/>
      <c r="O10" s="13"/>
      <c r="P10" s="13"/>
    </row>
    <row r="11" spans="1:16" x14ac:dyDescent="0.3">
      <c r="A11" s="175"/>
      <c r="B11" s="169" t="s">
        <v>9</v>
      </c>
      <c r="C11" s="177">
        <v>60</v>
      </c>
      <c r="D11" s="170"/>
      <c r="E11" s="170"/>
      <c r="F11" s="170"/>
      <c r="G11" s="170"/>
      <c r="H11" s="175"/>
      <c r="I11" s="175"/>
      <c r="M11" s="13"/>
      <c r="N11" s="13"/>
      <c r="O11" s="13"/>
      <c r="P11" s="13"/>
    </row>
    <row r="12" spans="1:16" x14ac:dyDescent="0.3">
      <c r="A12" s="175"/>
      <c r="B12" s="170"/>
      <c r="C12" s="170"/>
      <c r="D12" s="170"/>
      <c r="E12" s="170"/>
      <c r="F12" s="170"/>
      <c r="G12" s="175"/>
      <c r="H12" s="175"/>
      <c r="I12" s="175"/>
      <c r="M12" s="13"/>
      <c r="N12" s="13"/>
      <c r="O12" s="13"/>
      <c r="P12" s="13"/>
    </row>
    <row r="13" spans="1:16" x14ac:dyDescent="0.3">
      <c r="A13" s="175"/>
      <c r="B13" s="167" t="s">
        <v>85</v>
      </c>
      <c r="C13" s="178">
        <v>0.75</v>
      </c>
      <c r="D13" s="170" t="s">
        <v>84</v>
      </c>
      <c r="E13" s="170"/>
      <c r="F13" s="170"/>
      <c r="G13" s="175"/>
      <c r="H13" s="175"/>
      <c r="I13" s="175"/>
      <c r="M13" s="13"/>
      <c r="N13" s="13"/>
      <c r="O13" s="13"/>
      <c r="P13" s="13"/>
    </row>
    <row r="14" spans="1:16" x14ac:dyDescent="0.3">
      <c r="A14" s="175"/>
      <c r="B14" s="167"/>
      <c r="C14" s="170"/>
      <c r="D14" s="170"/>
      <c r="E14" s="170"/>
      <c r="F14" s="170"/>
      <c r="G14" s="175"/>
      <c r="H14" s="175"/>
      <c r="I14" s="175"/>
      <c r="M14" s="13"/>
      <c r="N14" s="13"/>
      <c r="O14" s="13"/>
      <c r="P14" s="13"/>
    </row>
    <row r="15" spans="1:16" x14ac:dyDescent="0.3">
      <c r="A15" s="175"/>
      <c r="B15" s="196" t="s">
        <v>507</v>
      </c>
      <c r="C15" s="170"/>
      <c r="D15" s="170"/>
      <c r="E15" s="170"/>
      <c r="F15" s="170"/>
      <c r="G15" s="175"/>
      <c r="H15" s="175"/>
      <c r="I15" s="175"/>
      <c r="M15" s="13"/>
      <c r="N15" s="13"/>
      <c r="O15" s="13"/>
      <c r="P15" s="13"/>
    </row>
    <row r="16" spans="1:16" x14ac:dyDescent="0.3">
      <c r="A16" s="175"/>
      <c r="B16" s="166"/>
      <c r="C16" s="170"/>
      <c r="D16" s="170"/>
      <c r="E16" s="170"/>
      <c r="F16" s="170"/>
      <c r="G16" s="170"/>
      <c r="H16" s="175"/>
      <c r="I16" s="175"/>
      <c r="M16" s="13"/>
      <c r="N16" s="13"/>
      <c r="O16" s="13"/>
      <c r="P16" s="13"/>
    </row>
    <row r="17" spans="1:16" x14ac:dyDescent="0.3">
      <c r="A17" s="175"/>
      <c r="B17" s="167" t="s">
        <v>10</v>
      </c>
      <c r="C17" s="179">
        <v>0.05</v>
      </c>
      <c r="D17" s="170" t="s">
        <v>83</v>
      </c>
      <c r="E17" s="170"/>
      <c r="F17" s="170"/>
      <c r="G17" s="168" t="s">
        <v>67</v>
      </c>
      <c r="H17" s="170"/>
      <c r="I17" s="170"/>
      <c r="M17" s="13"/>
      <c r="N17" s="13"/>
      <c r="O17" s="13"/>
      <c r="P17" s="13"/>
    </row>
    <row r="18" spans="1:16" x14ac:dyDescent="0.3">
      <c r="A18" s="175"/>
      <c r="B18" s="170"/>
      <c r="C18" s="170"/>
      <c r="D18" s="170"/>
      <c r="E18" s="170"/>
      <c r="F18" s="170"/>
      <c r="G18" s="169" t="s">
        <v>68</v>
      </c>
      <c r="H18" s="71" t="s">
        <v>69</v>
      </c>
      <c r="I18" s="71" t="s">
        <v>65</v>
      </c>
      <c r="M18" s="13"/>
      <c r="N18" s="13"/>
      <c r="O18" s="13"/>
      <c r="P18" s="13"/>
    </row>
    <row r="19" spans="1:16" x14ac:dyDescent="0.3">
      <c r="A19" s="175"/>
      <c r="B19" s="167" t="s">
        <v>0</v>
      </c>
      <c r="C19" s="175"/>
      <c r="D19" s="175"/>
      <c r="E19" s="170"/>
      <c r="F19" s="170"/>
      <c r="G19" s="170">
        <v>49</v>
      </c>
      <c r="H19" s="171">
        <v>0.2</v>
      </c>
      <c r="I19" s="172">
        <f>('RP-2014-White Collar Male'!B56+'RP-2014-White Collar Female'!B56)/2</f>
        <v>9.5350000000000003E-4</v>
      </c>
      <c r="M19" s="13"/>
      <c r="N19" s="13"/>
      <c r="O19" s="13"/>
      <c r="P19" s="13"/>
    </row>
    <row r="20" spans="1:16" x14ac:dyDescent="0.3">
      <c r="A20" s="175"/>
      <c r="B20" s="169" t="s">
        <v>8</v>
      </c>
      <c r="C20" s="179">
        <v>0.05</v>
      </c>
      <c r="D20" s="170" t="s">
        <v>82</v>
      </c>
      <c r="E20" s="170"/>
      <c r="F20" s="170"/>
      <c r="G20" s="170">
        <f t="shared" ref="G20:G28" si="0">G19+1</f>
        <v>50</v>
      </c>
      <c r="H20" s="171">
        <f>H19</f>
        <v>0.2</v>
      </c>
      <c r="I20" s="172">
        <f>('RP-2014-White Collar Male'!B57+'RP-2014-White Collar Female'!B57)/2</f>
        <v>1.0560000000000001E-3</v>
      </c>
      <c r="M20" s="13"/>
      <c r="N20" s="13"/>
      <c r="O20" s="13"/>
      <c r="P20" s="13"/>
    </row>
    <row r="21" spans="1:16" x14ac:dyDescent="0.3">
      <c r="A21" s="175"/>
      <c r="B21" s="169" t="s">
        <v>9</v>
      </c>
      <c r="C21" s="179">
        <v>0.06</v>
      </c>
      <c r="D21" s="170" t="s">
        <v>82</v>
      </c>
      <c r="E21" s="170"/>
      <c r="F21" s="170"/>
      <c r="G21" s="170">
        <f t="shared" si="0"/>
        <v>51</v>
      </c>
      <c r="H21" s="171">
        <f t="shared" ref="H21:H33" si="1">H20</f>
        <v>0.2</v>
      </c>
      <c r="I21" s="172">
        <f>('RP-2014-White Collar Male'!B58+'RP-2014-White Collar Female'!B58)/2</f>
        <v>1.165E-3</v>
      </c>
      <c r="M21" s="13"/>
      <c r="N21" s="13"/>
      <c r="O21" s="13"/>
      <c r="P21" s="13"/>
    </row>
    <row r="22" spans="1:16" x14ac:dyDescent="0.3">
      <c r="A22" s="175"/>
      <c r="B22" s="166"/>
      <c r="C22" s="170"/>
      <c r="D22" s="170"/>
      <c r="E22" s="170"/>
      <c r="F22" s="170"/>
      <c r="G22" s="170">
        <f t="shared" si="0"/>
        <v>52</v>
      </c>
      <c r="H22" s="171">
        <f t="shared" si="1"/>
        <v>0.2</v>
      </c>
      <c r="I22" s="172">
        <f>('RP-2014-White Collar Male'!B59+'RP-2014-White Collar Female'!B59)/2</f>
        <v>1.2815000000000001E-3</v>
      </c>
      <c r="M22" s="13"/>
      <c r="N22" s="13"/>
      <c r="O22" s="13"/>
      <c r="P22" s="13"/>
    </row>
    <row r="23" spans="1:16" x14ac:dyDescent="0.3">
      <c r="A23" s="175"/>
      <c r="B23" s="167" t="s">
        <v>78</v>
      </c>
      <c r="C23" s="175"/>
      <c r="D23" s="170"/>
      <c r="E23" s="170"/>
      <c r="F23" s="170"/>
      <c r="G23" s="170">
        <f t="shared" si="0"/>
        <v>53</v>
      </c>
      <c r="H23" s="171">
        <f t="shared" si="1"/>
        <v>0.2</v>
      </c>
      <c r="I23" s="172">
        <f>('RP-2014-White Collar Male'!B60+'RP-2014-White Collar Female'!B60)/2</f>
        <v>1.4055000000000001E-3</v>
      </c>
      <c r="M23" s="13"/>
      <c r="N23" s="13"/>
      <c r="O23" s="13"/>
      <c r="P23" s="13"/>
    </row>
    <row r="24" spans="1:16" x14ac:dyDescent="0.3">
      <c r="A24" s="175"/>
      <c r="B24" s="169" t="s">
        <v>8</v>
      </c>
      <c r="C24" s="179">
        <f>withdraw_rate_A</f>
        <v>0.05</v>
      </c>
      <c r="D24" s="170" t="s">
        <v>81</v>
      </c>
      <c r="E24" s="170"/>
      <c r="F24" s="170"/>
      <c r="G24" s="170">
        <f t="shared" si="0"/>
        <v>54</v>
      </c>
      <c r="H24" s="171">
        <f t="shared" si="1"/>
        <v>0.2</v>
      </c>
      <c r="I24" s="172">
        <f>('RP-2014-White Collar Male'!B61+'RP-2014-White Collar Female'!B61)/2</f>
        <v>1.539E-3</v>
      </c>
      <c r="M24" s="13"/>
      <c r="N24" s="13"/>
      <c r="O24" s="13"/>
      <c r="P24" s="13"/>
    </row>
    <row r="25" spans="1:16" x14ac:dyDescent="0.3">
      <c r="A25" s="175"/>
      <c r="B25" s="169" t="s">
        <v>9</v>
      </c>
      <c r="C25" s="179">
        <f>withdraw_rate_B</f>
        <v>0.06</v>
      </c>
      <c r="D25" s="170" t="s">
        <v>81</v>
      </c>
      <c r="E25" s="170"/>
      <c r="F25" s="170"/>
      <c r="G25" s="170">
        <f t="shared" si="0"/>
        <v>55</v>
      </c>
      <c r="H25" s="171">
        <f t="shared" si="1"/>
        <v>0.2</v>
      </c>
      <c r="I25" s="172">
        <f>('RP-2014-White Collar Male'!B62+'RP-2014-White Collar Female'!B62)/2</f>
        <v>1.6835000000000001E-3</v>
      </c>
      <c r="J25" s="13"/>
      <c r="K25" s="13"/>
      <c r="L25" s="13"/>
      <c r="M25" s="13"/>
      <c r="N25" s="13"/>
      <c r="O25" s="13"/>
      <c r="P25" s="13"/>
    </row>
    <row r="26" spans="1:16" x14ac:dyDescent="0.3">
      <c r="A26" s="175"/>
      <c r="B26" s="170"/>
      <c r="C26" s="170"/>
      <c r="D26" s="170"/>
      <c r="E26" s="170"/>
      <c r="F26" s="170"/>
      <c r="G26" s="170">
        <f t="shared" si="0"/>
        <v>56</v>
      </c>
      <c r="H26" s="171">
        <f t="shared" si="1"/>
        <v>0.2</v>
      </c>
      <c r="I26" s="172">
        <f>('RP-2014-White Collar Male'!B63+'RP-2014-White Collar Female'!B63)/2</f>
        <v>1.841E-3</v>
      </c>
      <c r="J26" s="13"/>
      <c r="K26" s="13"/>
      <c r="L26" s="13"/>
      <c r="M26" s="13"/>
      <c r="N26" s="13"/>
      <c r="O26" s="13"/>
      <c r="P26" s="13"/>
    </row>
    <row r="27" spans="1:16" x14ac:dyDescent="0.3">
      <c r="A27" s="175"/>
      <c r="B27" s="167" t="s">
        <v>76</v>
      </c>
      <c r="C27" s="175"/>
      <c r="D27" s="175"/>
      <c r="E27" s="175"/>
      <c r="F27" s="170"/>
      <c r="G27" s="170">
        <f t="shared" si="0"/>
        <v>57</v>
      </c>
      <c r="H27" s="171">
        <f t="shared" si="1"/>
        <v>0.2</v>
      </c>
      <c r="I27" s="172">
        <f>('RP-2014-White Collar Male'!B64+'RP-2014-White Collar Female'!B64)/2</f>
        <v>2.0154999999999999E-3</v>
      </c>
      <c r="J27" s="13"/>
      <c r="K27" s="13"/>
      <c r="L27" s="13"/>
      <c r="M27" s="13"/>
      <c r="N27" s="13"/>
      <c r="O27" s="13"/>
      <c r="P27" s="13"/>
    </row>
    <row r="28" spans="1:16" x14ac:dyDescent="0.3">
      <c r="A28" s="175"/>
      <c r="B28" s="169" t="s">
        <v>8</v>
      </c>
      <c r="C28" s="180">
        <f>'opening demographics'!F12</f>
        <v>3.6484317092170926E-2</v>
      </c>
      <c r="D28" s="181"/>
      <c r="E28" s="175"/>
      <c r="F28" s="170"/>
      <c r="G28" s="170">
        <f t="shared" si="0"/>
        <v>58</v>
      </c>
      <c r="H28" s="171">
        <f t="shared" si="1"/>
        <v>0.2</v>
      </c>
      <c r="I28" s="172">
        <f>('RP-2014-White Collar Male'!B65+'RP-2014-White Collar Female'!B65)/2</f>
        <v>2.2095000000000001E-3</v>
      </c>
      <c r="J28" s="13"/>
      <c r="K28" s="13"/>
      <c r="L28" s="13"/>
      <c r="M28" s="13"/>
      <c r="N28" s="13"/>
      <c r="O28" s="13"/>
      <c r="P28" s="13"/>
    </row>
    <row r="29" spans="1:16" x14ac:dyDescent="0.3">
      <c r="A29" s="175"/>
      <c r="B29" s="169" t="s">
        <v>9</v>
      </c>
      <c r="C29" s="180">
        <f>'opening demographics'!G12</f>
        <v>1.1257768431897297E-2</v>
      </c>
      <c r="D29" s="182"/>
      <c r="E29" s="181"/>
      <c r="F29" s="170"/>
      <c r="G29" s="170">
        <f t="shared" ref="G29:G34" si="2">G28+1</f>
        <v>59</v>
      </c>
      <c r="H29" s="171">
        <f t="shared" si="1"/>
        <v>0.2</v>
      </c>
      <c r="I29" s="172">
        <f>('RP-2014-White Collar Male'!B66+'RP-2014-White Collar Female'!B66)/2</f>
        <v>2.428E-3</v>
      </c>
      <c r="J29" s="13"/>
      <c r="K29" s="13"/>
      <c r="L29" s="13"/>
      <c r="M29" s="13"/>
      <c r="N29" s="13"/>
      <c r="O29" s="13"/>
      <c r="P29" s="13"/>
    </row>
    <row r="30" spans="1:16" x14ac:dyDescent="0.3">
      <c r="A30" s="175"/>
      <c r="B30" s="170"/>
      <c r="C30" s="182"/>
      <c r="D30" s="182"/>
      <c r="E30" s="170"/>
      <c r="F30" s="170"/>
      <c r="G30" s="170">
        <f t="shared" si="2"/>
        <v>60</v>
      </c>
      <c r="H30" s="171">
        <f t="shared" si="1"/>
        <v>0.2</v>
      </c>
      <c r="I30" s="172">
        <f>('RP-2014-White Collar Male'!B67+'RP-2014-White Collar Female'!B67)/2</f>
        <v>2.6740000000000002E-3</v>
      </c>
      <c r="J30" s="13"/>
      <c r="K30" s="13"/>
      <c r="L30" s="13"/>
      <c r="M30" s="13"/>
      <c r="N30" s="13"/>
      <c r="O30" s="13"/>
      <c r="P30" s="13"/>
    </row>
    <row r="31" spans="1:16" x14ac:dyDescent="0.3">
      <c r="A31" s="175"/>
      <c r="B31" s="167" t="s">
        <v>75</v>
      </c>
      <c r="C31" s="183" t="s">
        <v>86</v>
      </c>
      <c r="D31" s="183"/>
      <c r="E31" s="170"/>
      <c r="F31" s="170"/>
      <c r="G31" s="170">
        <f t="shared" si="2"/>
        <v>61</v>
      </c>
      <c r="H31" s="171">
        <f t="shared" si="1"/>
        <v>0.2</v>
      </c>
      <c r="I31" s="172">
        <f>('RP-2014-White Collar Male'!B68+'RP-2014-White Collar Female'!B68)/2</f>
        <v>2.9519999999999998E-3</v>
      </c>
      <c r="J31" s="13"/>
      <c r="K31" s="13"/>
      <c r="L31" s="13"/>
      <c r="M31" s="13"/>
      <c r="N31" s="13"/>
      <c r="O31" s="13"/>
      <c r="P31" s="13"/>
    </row>
    <row r="32" spans="1:16" x14ac:dyDescent="0.3">
      <c r="A32" s="175"/>
      <c r="B32" s="169" t="s">
        <v>8</v>
      </c>
      <c r="C32" s="184">
        <f>SUMPRODUCT('opening demographics'!B2:B11,'opening demographics'!C2:C11,'opening demographics'!H2:H11)/SUMPRODUCT('opening demographics'!C2:C11,'opening demographics'!H2:H11)</f>
        <v>43.5</v>
      </c>
      <c r="D32" s="185"/>
      <c r="E32" s="170"/>
      <c r="F32" s="170"/>
      <c r="G32" s="170">
        <f t="shared" si="2"/>
        <v>62</v>
      </c>
      <c r="H32" s="171">
        <f t="shared" si="1"/>
        <v>0.2</v>
      </c>
      <c r="I32" s="172">
        <f>('RP-2014-White Collar Male'!B69+'RP-2014-White Collar Female'!B69)/2</f>
        <v>3.2654999999999997E-3</v>
      </c>
      <c r="J32" s="13"/>
      <c r="K32" s="13"/>
      <c r="L32" s="13"/>
      <c r="M32" s="13"/>
      <c r="N32" s="13"/>
      <c r="O32" s="13"/>
      <c r="P32" s="13"/>
    </row>
    <row r="33" spans="1:16" x14ac:dyDescent="0.3">
      <c r="A33" s="175"/>
      <c r="B33" s="169" t="s">
        <v>9</v>
      </c>
      <c r="C33" s="184">
        <f>SUMPRODUCT('opening demographics'!B2:B11,'opening demographics'!C2:C11,'opening demographics'!I2:I11)/SUMPRODUCT('opening demographics'!C2:C11,'opening demographics'!I2:I11)</f>
        <v>41.833333333333336</v>
      </c>
      <c r="D33" s="183"/>
      <c r="E33" s="170"/>
      <c r="F33" s="170"/>
      <c r="G33" s="170">
        <f t="shared" si="2"/>
        <v>63</v>
      </c>
      <c r="H33" s="171">
        <f t="shared" si="1"/>
        <v>0.2</v>
      </c>
      <c r="I33" s="172">
        <f>('RP-2014-White Collar Male'!B70+'RP-2014-White Collar Female'!B70)/2</f>
        <v>3.6194999999999999E-3</v>
      </c>
      <c r="J33" s="13"/>
      <c r="K33" s="13"/>
      <c r="L33" s="13"/>
      <c r="M33" s="13"/>
      <c r="N33" s="13"/>
      <c r="O33" s="13"/>
      <c r="P33" s="13"/>
    </row>
    <row r="34" spans="1:16" x14ac:dyDescent="0.3">
      <c r="A34" s="175"/>
      <c r="B34" s="170"/>
      <c r="C34" s="170"/>
      <c r="D34" s="170"/>
      <c r="E34" s="170"/>
      <c r="F34" s="170"/>
      <c r="G34" s="170">
        <f t="shared" si="2"/>
        <v>64</v>
      </c>
      <c r="H34" s="171">
        <v>1</v>
      </c>
      <c r="I34" s="173"/>
      <c r="J34" s="13"/>
      <c r="K34" s="13"/>
      <c r="L34" s="13"/>
      <c r="M34" s="13"/>
      <c r="N34" s="13"/>
      <c r="O34" s="13"/>
      <c r="P34" s="13"/>
    </row>
    <row r="35" spans="1:16" x14ac:dyDescent="0.3">
      <c r="E35" s="13"/>
      <c r="F35" s="13"/>
      <c r="G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3">
      <c r="B36" s="197" t="s">
        <v>503</v>
      </c>
      <c r="E36" s="13"/>
      <c r="F36" s="13"/>
      <c r="G36" s="13"/>
      <c r="I36" s="13"/>
      <c r="J36" s="13"/>
      <c r="K36" s="13"/>
      <c r="L36" s="13"/>
      <c r="M36" s="13"/>
      <c r="N36" s="13"/>
      <c r="O36" s="13"/>
      <c r="P36" s="13"/>
    </row>
    <row r="37" spans="1:16" x14ac:dyDescent="0.3">
      <c r="B37" s="14" t="s">
        <v>504</v>
      </c>
    </row>
    <row r="38" spans="1:16" ht="19.5" x14ac:dyDescent="0.4">
      <c r="B38" s="14" t="s">
        <v>505</v>
      </c>
    </row>
    <row r="39" spans="1:16" ht="19.5" x14ac:dyDescent="0.4">
      <c r="B39" s="14" t="s">
        <v>506</v>
      </c>
    </row>
  </sheetData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'1.c PUC_Projection'!$H$3:$Q$3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13"/>
  <sheetViews>
    <sheetView showGridLines="0" zoomScaleNormal="100" workbookViewId="0"/>
  </sheetViews>
  <sheetFormatPr defaultRowHeight="15" x14ac:dyDescent="0.25"/>
  <cols>
    <col min="1" max="1" width="2.42578125" customWidth="1"/>
  </cols>
  <sheetData>
    <row r="1" spans="1:2" x14ac:dyDescent="0.25">
      <c r="A1" s="103" t="s">
        <v>71</v>
      </c>
    </row>
    <row r="2" spans="1:2" ht="7.5" customHeight="1" x14ac:dyDescent="0.25"/>
    <row r="3" spans="1:2" x14ac:dyDescent="0.25">
      <c r="B3" s="104" t="s">
        <v>72</v>
      </c>
    </row>
    <row r="4" spans="1:2" ht="7.5" customHeight="1" x14ac:dyDescent="0.25"/>
    <row r="12" spans="1:2" x14ac:dyDescent="0.25">
      <c r="B12" s="104" t="s">
        <v>73</v>
      </c>
    </row>
    <row r="13" spans="1:2" ht="7.5" customHeight="1" x14ac:dyDescent="0.25"/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-0.249977111117893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A1:AA81"/>
  <sheetViews>
    <sheetView zoomScale="85" zoomScaleNormal="85" workbookViewId="0"/>
  </sheetViews>
  <sheetFormatPr defaultRowHeight="16.5" x14ac:dyDescent="0.3"/>
  <cols>
    <col min="1" max="1" width="2.85546875" style="14" customWidth="1"/>
    <col min="2" max="2" width="14.85546875" style="14" customWidth="1"/>
    <col min="3" max="3" width="17.85546875" style="14" bestFit="1" customWidth="1"/>
    <col min="4" max="4" width="11.140625" style="14" customWidth="1"/>
    <col min="5" max="8" width="14.28515625" style="14" customWidth="1"/>
    <col min="9" max="9" width="9.140625" style="14"/>
    <col min="10" max="10" width="14.28515625" style="14" customWidth="1"/>
    <col min="11" max="11" width="19.85546875" style="14" bestFit="1" customWidth="1"/>
    <col min="12" max="12" width="10.28515625" style="14" bestFit="1" customWidth="1"/>
    <col min="13" max="16384" width="9.140625" style="14"/>
  </cols>
  <sheetData>
    <row r="1" spans="1:27" ht="15" customHeight="1" thickBot="1" x14ac:dyDescent="0.35">
      <c r="A1" s="103" t="s">
        <v>29</v>
      </c>
      <c r="B1" s="13"/>
      <c r="C1" s="13"/>
      <c r="D1" s="13"/>
      <c r="E1" s="13"/>
      <c r="F1" s="13"/>
      <c r="G1" s="13"/>
      <c r="H1" s="13"/>
    </row>
    <row r="2" spans="1:27" ht="15" customHeight="1" x14ac:dyDescent="0.3">
      <c r="A2" s="13"/>
      <c r="B2" s="15" t="s">
        <v>12</v>
      </c>
      <c r="C2" s="16" t="s">
        <v>19</v>
      </c>
      <c r="D2" s="17" t="str">
        <f>RIGHT($B$3,1)</f>
        <v>B</v>
      </c>
      <c r="E2" s="13"/>
      <c r="F2" s="13"/>
      <c r="G2" s="13"/>
      <c r="H2" s="13"/>
    </row>
    <row r="3" spans="1:27" ht="15" customHeight="1" thickBot="1" x14ac:dyDescent="0.35">
      <c r="A3" s="13"/>
      <c r="B3" s="20" t="str">
        <f>'1.c PUC_Projection'!B3</f>
        <v>45B</v>
      </c>
      <c r="C3" s="16" t="s">
        <v>49</v>
      </c>
      <c r="D3" s="17">
        <f>VLOOKUP($B$3,'opening demographics'!$A$1:$E$11,3,FALSE)</f>
        <v>240</v>
      </c>
      <c r="E3" s="13"/>
      <c r="F3" s="13"/>
      <c r="G3" s="13"/>
      <c r="H3" s="13"/>
    </row>
    <row r="4" spans="1:27" ht="15" customHeight="1" x14ac:dyDescent="0.3">
      <c r="A4" s="13"/>
      <c r="B4" s="13"/>
      <c r="C4" s="16" t="s">
        <v>20</v>
      </c>
      <c r="D4" s="17">
        <f>VALUE(LEFT($B$3,2))</f>
        <v>45</v>
      </c>
      <c r="E4" s="13"/>
      <c r="F4" s="13"/>
      <c r="G4" s="13"/>
      <c r="H4" s="13"/>
    </row>
    <row r="5" spans="1:27" ht="15" customHeight="1" x14ac:dyDescent="0.3">
      <c r="A5" s="13"/>
      <c r="B5" s="13"/>
      <c r="C5" s="16" t="s">
        <v>21</v>
      </c>
      <c r="D5" s="17">
        <f ca="1">INDIRECT("NRA_"&amp;$D$2)</f>
        <v>60</v>
      </c>
      <c r="E5" s="13"/>
      <c r="F5" s="13"/>
      <c r="G5" s="13"/>
      <c r="H5" s="13"/>
    </row>
    <row r="6" spans="1:27" ht="15" customHeight="1" x14ac:dyDescent="0.3">
      <c r="A6" s="13"/>
      <c r="B6" s="13"/>
      <c r="C6" s="16" t="s">
        <v>22</v>
      </c>
      <c r="D6" s="36">
        <f ca="1">INDIRECT("accrual_rate_"&amp;$D$2)</f>
        <v>0.05</v>
      </c>
      <c r="E6" s="13"/>
      <c r="F6" s="13"/>
      <c r="G6" s="13"/>
      <c r="H6" s="13"/>
    </row>
    <row r="7" spans="1:27" ht="15" customHeight="1" x14ac:dyDescent="0.3">
      <c r="A7" s="13"/>
      <c r="B7" s="13"/>
      <c r="C7" s="16" t="s">
        <v>23</v>
      </c>
      <c r="D7" s="37">
        <f>VLOOKUP($B$3,'opening demographics'!$A$1:$E$11,4,FALSE)</f>
        <v>95000</v>
      </c>
      <c r="E7" s="13"/>
      <c r="F7" s="13"/>
      <c r="G7" s="13"/>
      <c r="H7" s="13"/>
    </row>
    <row r="8" spans="1:27" ht="15" customHeight="1" x14ac:dyDescent="0.3">
      <c r="A8" s="13"/>
      <c r="B8" s="13"/>
      <c r="C8" s="16" t="s">
        <v>24</v>
      </c>
      <c r="D8" s="44">
        <f ca="1">INDIRECT("e_"&amp;$D$2)</f>
        <v>1.1257768431897297E-2</v>
      </c>
      <c r="E8" s="13"/>
      <c r="F8" s="13"/>
      <c r="G8" s="13"/>
      <c r="H8" s="13"/>
    </row>
    <row r="9" spans="1:27" ht="36" customHeight="1" x14ac:dyDescent="0.3">
      <c r="A9" s="13"/>
      <c r="B9" s="13"/>
      <c r="C9" s="13"/>
      <c r="D9" s="13"/>
      <c r="E9" s="13"/>
      <c r="F9" s="13"/>
      <c r="G9" s="13"/>
      <c r="H9" s="13"/>
      <c r="J9" s="99" t="s">
        <v>480</v>
      </c>
      <c r="K9" s="99" t="s">
        <v>80</v>
      </c>
      <c r="L9" s="109"/>
    </row>
    <row r="10" spans="1:27" ht="43.5" customHeight="1" x14ac:dyDescent="0.3">
      <c r="A10" s="13"/>
      <c r="B10" s="99" t="s">
        <v>48</v>
      </c>
      <c r="C10" s="99" t="s">
        <v>16</v>
      </c>
      <c r="D10" s="99" t="s">
        <v>26</v>
      </c>
      <c r="E10" s="99" t="s">
        <v>0</v>
      </c>
      <c r="F10" s="99" t="s">
        <v>70</v>
      </c>
      <c r="G10" s="99" t="s">
        <v>28</v>
      </c>
      <c r="H10" s="99" t="s">
        <v>27</v>
      </c>
      <c r="J10" s="99" t="s">
        <v>16</v>
      </c>
      <c r="K10" s="132">
        <v>1</v>
      </c>
      <c r="L10" s="132">
        <f>K10+1</f>
        <v>2</v>
      </c>
      <c r="M10" s="132">
        <f>L10+1</f>
        <v>3</v>
      </c>
      <c r="N10" s="132">
        <f>M10+1</f>
        <v>4</v>
      </c>
      <c r="O10" s="132">
        <f>N10+1</f>
        <v>5</v>
      </c>
      <c r="P10" s="132">
        <f t="shared" ref="P10:X10" si="0">O10+1</f>
        <v>6</v>
      </c>
      <c r="Q10" s="132">
        <f t="shared" si="0"/>
        <v>7</v>
      </c>
      <c r="R10" s="132">
        <f t="shared" si="0"/>
        <v>8</v>
      </c>
      <c r="S10" s="132">
        <f t="shared" si="0"/>
        <v>9</v>
      </c>
      <c r="T10" s="132">
        <f t="shared" si="0"/>
        <v>10</v>
      </c>
      <c r="U10" s="132">
        <f t="shared" si="0"/>
        <v>11</v>
      </c>
      <c r="V10" s="132">
        <f>U10+1</f>
        <v>12</v>
      </c>
      <c r="W10" s="132">
        <f t="shared" si="0"/>
        <v>13</v>
      </c>
      <c r="X10" s="132">
        <f t="shared" si="0"/>
        <v>14</v>
      </c>
      <c r="Y10" s="140">
        <f t="shared" ref="Y10" si="1">X10+1</f>
        <v>15</v>
      </c>
    </row>
    <row r="11" spans="1:27" ht="15" customHeight="1" x14ac:dyDescent="0.3">
      <c r="A11" s="13"/>
      <c r="B11" s="57">
        <v>0</v>
      </c>
      <c r="C11" s="58">
        <f>D4</f>
        <v>45</v>
      </c>
      <c r="D11" s="101">
        <v>1</v>
      </c>
      <c r="E11" s="102">
        <f ca="1">IF($D$2="A",(D11-G11)*INDIRECT("withdraw_rate_"&amp;$D$2)*(C11&lt;$D$5),(D11-G11)*INDIRECT("withdraw_rate_"&amp;$D$2)*(C11&lt;&gt;$D$5-1))</f>
        <v>0.06</v>
      </c>
      <c r="F11" s="102">
        <f ca="1">IF($D$2="A",
(D11-G11)*IFERROR(VLOOKUP(C11,'1.a Assumptions'!$G$19:$I$34,2,FALSE),0),
(D11-G11)*100%*(C11=$D$5-1))</f>
        <v>0</v>
      </c>
      <c r="G11" s="102">
        <f>IF($D$2="A",
D11*IFERROR(VLOOKUP(C11,'1.a Assumptions'!$G$19:$I$34,3,FALSE),0),
0)</f>
        <v>0</v>
      </c>
      <c r="H11" s="102">
        <f ca="1">D11-E11-F11-G11</f>
        <v>0.94</v>
      </c>
      <c r="J11" s="57">
        <f>C11</f>
        <v>45</v>
      </c>
      <c r="K11" s="133">
        <f>$D$3*D11</f>
        <v>240</v>
      </c>
      <c r="L11" s="134">
        <f ca="1">$K11*INDIRECT("turnover_rate_"&amp;$D$2)</f>
        <v>14.399999999999999</v>
      </c>
      <c r="M11" s="134">
        <f t="shared" ref="M11:Y11" ca="1" si="2">$K11*INDIRECT("turnover_rate_"&amp;$D$2)</f>
        <v>14.399999999999999</v>
      </c>
      <c r="N11" s="134">
        <f t="shared" ca="1" si="2"/>
        <v>14.399999999999999</v>
      </c>
      <c r="O11" s="134">
        <f t="shared" ca="1" si="2"/>
        <v>14.399999999999999</v>
      </c>
      <c r="P11" s="134">
        <f t="shared" ca="1" si="2"/>
        <v>14.399999999999999</v>
      </c>
      <c r="Q11" s="134">
        <f t="shared" ca="1" si="2"/>
        <v>14.399999999999999</v>
      </c>
      <c r="R11" s="134">
        <f t="shared" ca="1" si="2"/>
        <v>14.399999999999999</v>
      </c>
      <c r="S11" s="134">
        <f t="shared" ca="1" si="2"/>
        <v>14.399999999999999</v>
      </c>
      <c r="T11" s="134">
        <f t="shared" ca="1" si="2"/>
        <v>14.399999999999999</v>
      </c>
      <c r="U11" s="134">
        <f t="shared" ca="1" si="2"/>
        <v>14.399999999999999</v>
      </c>
      <c r="V11" s="134">
        <f t="shared" ca="1" si="2"/>
        <v>14.399999999999999</v>
      </c>
      <c r="W11" s="134">
        <f t="shared" ca="1" si="2"/>
        <v>14.399999999999999</v>
      </c>
      <c r="X11" s="134">
        <f t="shared" ca="1" si="2"/>
        <v>14.399999999999999</v>
      </c>
      <c r="Y11" s="139">
        <f t="shared" ca="1" si="2"/>
        <v>14.399999999999999</v>
      </c>
      <c r="AA11" s="108"/>
    </row>
    <row r="12" spans="1:27" ht="15" customHeight="1" x14ac:dyDescent="0.3">
      <c r="A12" s="13"/>
      <c r="B12" s="57">
        <f ca="1">IF($C12="","",B11+1)</f>
        <v>1</v>
      </c>
      <c r="C12" s="71">
        <f t="shared" ref="C12:C43" ca="1" si="3">IF(C11="","",IF($D$2="A",C11+1,IF(C11+1&gt;$D$5,"",C11+1)))</f>
        <v>46</v>
      </c>
      <c r="D12" s="102">
        <f ca="1">H11</f>
        <v>0.94</v>
      </c>
      <c r="E12" s="102">
        <f t="shared" ref="E12:E75" ca="1" si="4">IF($D$2="A",(D12-G12)*INDIRECT("withdraw_rate_"&amp;$D$2)*(C12&lt;$D$5),(D12-G12)*INDIRECT("withdraw_rate_"&amp;$D$2)*(C12&lt;&gt;$D$5-1))</f>
        <v>5.6399999999999992E-2</v>
      </c>
      <c r="F12" s="102">
        <f ca="1">IF($D$2="A",
(D12-G12)*IFERROR(VLOOKUP(C12,'1.a Assumptions'!$G$19:$I$34,2,FALSE),0),
(D12-G12)*100%*(C12=$D$5-1))</f>
        <v>0</v>
      </c>
      <c r="G12" s="102">
        <f>IF($D$2="A",
D12*IFERROR(VLOOKUP(C12,'1.a Assumptions'!$G$19:$I$34,3,FALSE),0),
0)</f>
        <v>0</v>
      </c>
      <c r="H12" s="102">
        <f t="shared" ref="H12:H75" ca="1" si="5">D12-E12-F12-G12</f>
        <v>0.88359999999999994</v>
      </c>
      <c r="J12" s="57">
        <f t="shared" ref="J12:J25" ca="1" si="6">C12</f>
        <v>46</v>
      </c>
      <c r="K12" s="135">
        <f t="shared" ref="K12:K25" ca="1" si="7">K$11*D12</f>
        <v>225.6</v>
      </c>
      <c r="L12" s="136">
        <f t="shared" ref="L12:N22" ca="1" si="8">L$11*$D12</f>
        <v>13.535999999999998</v>
      </c>
      <c r="M12" s="136">
        <f t="shared" ca="1" si="8"/>
        <v>13.535999999999998</v>
      </c>
      <c r="N12" s="136">
        <f t="shared" ca="1" si="8"/>
        <v>13.535999999999998</v>
      </c>
      <c r="O12" s="136">
        <f t="shared" ref="O12:X12" ca="1" si="9">O$11*$D12</f>
        <v>13.535999999999998</v>
      </c>
      <c r="P12" s="136">
        <f t="shared" ca="1" si="9"/>
        <v>13.535999999999998</v>
      </c>
      <c r="Q12" s="136">
        <f t="shared" ca="1" si="9"/>
        <v>13.535999999999998</v>
      </c>
      <c r="R12" s="136">
        <f t="shared" ca="1" si="9"/>
        <v>13.535999999999998</v>
      </c>
      <c r="S12" s="136">
        <f t="shared" ca="1" si="9"/>
        <v>13.535999999999998</v>
      </c>
      <c r="T12" s="136">
        <f t="shared" ca="1" si="9"/>
        <v>13.535999999999998</v>
      </c>
      <c r="U12" s="136">
        <f t="shared" ca="1" si="9"/>
        <v>13.535999999999998</v>
      </c>
      <c r="V12" s="136">
        <f t="shared" ca="1" si="9"/>
        <v>13.535999999999998</v>
      </c>
      <c r="W12" s="136">
        <f t="shared" ca="1" si="9"/>
        <v>13.535999999999998</v>
      </c>
      <c r="X12" s="138">
        <f t="shared" ca="1" si="9"/>
        <v>13.535999999999998</v>
      </c>
      <c r="Y12" s="136"/>
      <c r="AA12" s="108"/>
    </row>
    <row r="13" spans="1:27" ht="15" customHeight="1" x14ac:dyDescent="0.3">
      <c r="A13" s="13"/>
      <c r="B13" s="57">
        <f t="shared" ref="B13:B76" ca="1" si="10">IF($C13="","",B12+1)</f>
        <v>2</v>
      </c>
      <c r="C13" s="71">
        <f t="shared" ca="1" si="3"/>
        <v>47</v>
      </c>
      <c r="D13" s="102">
        <f t="shared" ref="D13:D76" ca="1" si="11">H12</f>
        <v>0.88359999999999994</v>
      </c>
      <c r="E13" s="102">
        <f t="shared" ca="1" si="4"/>
        <v>5.3015999999999994E-2</v>
      </c>
      <c r="F13" s="102">
        <f ca="1">IF($D$2="A",
(D13-G13)*IFERROR(VLOOKUP(C13,'1.a Assumptions'!$G$19:$I$34,2,FALSE),0),
(D13-G13)*100%*(C13=$D$5-1))</f>
        <v>0</v>
      </c>
      <c r="G13" s="102">
        <f>IF($D$2="A",
D13*IFERROR(VLOOKUP(C13,'1.a Assumptions'!$G$19:$I$34,3,FALSE),0),
0)</f>
        <v>0</v>
      </c>
      <c r="H13" s="102">
        <f t="shared" ca="1" si="5"/>
        <v>0.83058399999999999</v>
      </c>
      <c r="J13" s="57">
        <f t="shared" ca="1" si="6"/>
        <v>47</v>
      </c>
      <c r="K13" s="135">
        <f t="shared" ca="1" si="7"/>
        <v>212.06399999999999</v>
      </c>
      <c r="L13" s="136">
        <f t="shared" ca="1" si="8"/>
        <v>12.723839999999997</v>
      </c>
      <c r="M13" s="136">
        <f t="shared" ca="1" si="8"/>
        <v>12.723839999999997</v>
      </c>
      <c r="N13" s="136">
        <f t="shared" ca="1" si="8"/>
        <v>12.723839999999997</v>
      </c>
      <c r="O13" s="136">
        <f t="shared" ref="O13:W21" ca="1" si="12">O$11*$D13</f>
        <v>12.723839999999997</v>
      </c>
      <c r="P13" s="136">
        <f t="shared" ca="1" si="12"/>
        <v>12.723839999999997</v>
      </c>
      <c r="Q13" s="136">
        <f t="shared" ca="1" si="12"/>
        <v>12.723839999999997</v>
      </c>
      <c r="R13" s="136">
        <f t="shared" ca="1" si="12"/>
        <v>12.723839999999997</v>
      </c>
      <c r="S13" s="136">
        <f t="shared" ca="1" si="12"/>
        <v>12.723839999999997</v>
      </c>
      <c r="T13" s="136">
        <f t="shared" ca="1" si="12"/>
        <v>12.723839999999997</v>
      </c>
      <c r="U13" s="136">
        <f t="shared" ca="1" si="12"/>
        <v>12.723839999999997</v>
      </c>
      <c r="V13" s="136">
        <f t="shared" ca="1" si="12"/>
        <v>12.723839999999997</v>
      </c>
      <c r="W13" s="138">
        <f t="shared" ca="1" si="12"/>
        <v>12.723839999999997</v>
      </c>
      <c r="X13" s="136"/>
      <c r="Y13" s="136"/>
      <c r="AA13" s="108"/>
    </row>
    <row r="14" spans="1:27" ht="15" customHeight="1" x14ac:dyDescent="0.3">
      <c r="A14" s="13"/>
      <c r="B14" s="57">
        <f t="shared" ca="1" si="10"/>
        <v>3</v>
      </c>
      <c r="C14" s="71">
        <f t="shared" ca="1" si="3"/>
        <v>48</v>
      </c>
      <c r="D14" s="102">
        <f t="shared" ca="1" si="11"/>
        <v>0.83058399999999999</v>
      </c>
      <c r="E14" s="102">
        <f t="shared" ca="1" si="4"/>
        <v>4.9835039999999997E-2</v>
      </c>
      <c r="F14" s="102">
        <f ca="1">IF($D$2="A",
(D14-G14)*IFERROR(VLOOKUP(C14,'1.a Assumptions'!$G$19:$I$34,2,FALSE),0),
(D14-G14)*100%*(C14=$D$5-1))</f>
        <v>0</v>
      </c>
      <c r="G14" s="102">
        <f>IF($D$2="A",
D14*IFERROR(VLOOKUP(C14,'1.a Assumptions'!$G$19:$I$34,3,FALSE),0),
0)</f>
        <v>0</v>
      </c>
      <c r="H14" s="102">
        <f t="shared" ca="1" si="5"/>
        <v>0.78074895999999994</v>
      </c>
      <c r="J14" s="57">
        <f t="shared" ca="1" si="6"/>
        <v>48</v>
      </c>
      <c r="K14" s="135">
        <f t="shared" ca="1" si="7"/>
        <v>199.34016</v>
      </c>
      <c r="L14" s="136">
        <f t="shared" ca="1" si="8"/>
        <v>11.960409599999998</v>
      </c>
      <c r="M14" s="136">
        <f t="shared" ca="1" si="8"/>
        <v>11.960409599999998</v>
      </c>
      <c r="N14" s="136">
        <f t="shared" ca="1" si="8"/>
        <v>11.960409599999998</v>
      </c>
      <c r="O14" s="136">
        <f t="shared" ca="1" si="12"/>
        <v>11.960409599999998</v>
      </c>
      <c r="P14" s="136">
        <f t="shared" ca="1" si="12"/>
        <v>11.960409599999998</v>
      </c>
      <c r="Q14" s="136">
        <f t="shared" ca="1" si="12"/>
        <v>11.960409599999998</v>
      </c>
      <c r="R14" s="136">
        <f t="shared" ca="1" si="12"/>
        <v>11.960409599999998</v>
      </c>
      <c r="S14" s="136">
        <f t="shared" ca="1" si="12"/>
        <v>11.960409599999998</v>
      </c>
      <c r="T14" s="136">
        <f t="shared" ca="1" si="12"/>
        <v>11.960409599999998</v>
      </c>
      <c r="U14" s="136">
        <f t="shared" ca="1" si="12"/>
        <v>11.960409599999998</v>
      </c>
      <c r="V14" s="138">
        <f t="shared" ca="1" si="12"/>
        <v>11.960409599999998</v>
      </c>
      <c r="W14" s="136"/>
      <c r="X14" s="136"/>
      <c r="Y14" s="136"/>
      <c r="AA14" s="108"/>
    </row>
    <row r="15" spans="1:27" ht="15" customHeight="1" x14ac:dyDescent="0.3">
      <c r="A15" s="13"/>
      <c r="B15" s="57">
        <f t="shared" ca="1" si="10"/>
        <v>4</v>
      </c>
      <c r="C15" s="71">
        <f t="shared" ca="1" si="3"/>
        <v>49</v>
      </c>
      <c r="D15" s="102">
        <f t="shared" ca="1" si="11"/>
        <v>0.78074895999999994</v>
      </c>
      <c r="E15" s="102">
        <f t="shared" ca="1" si="4"/>
        <v>4.6844937599999997E-2</v>
      </c>
      <c r="F15" s="102">
        <f ca="1">IF($D$2="A",
(D15-G15)*IFERROR(VLOOKUP(C15,'1.a Assumptions'!$G$19:$I$34,2,FALSE),0),
(D15-G15)*100%*(C15=$D$5-1))</f>
        <v>0</v>
      </c>
      <c r="G15" s="102">
        <f>IF($D$2="A",
D15*IFERROR(VLOOKUP(C15,'1.a Assumptions'!$G$19:$I$34,3,FALSE),0),
0)</f>
        <v>0</v>
      </c>
      <c r="H15" s="102">
        <f t="shared" ca="1" si="5"/>
        <v>0.73390402239999997</v>
      </c>
      <c r="J15" s="57">
        <f t="shared" ca="1" si="6"/>
        <v>49</v>
      </c>
      <c r="K15" s="135">
        <f t="shared" ca="1" si="7"/>
        <v>187.37975039999998</v>
      </c>
      <c r="L15" s="136">
        <f t="shared" ca="1" si="8"/>
        <v>11.242785023999998</v>
      </c>
      <c r="M15" s="136">
        <f t="shared" ca="1" si="8"/>
        <v>11.242785023999998</v>
      </c>
      <c r="N15" s="136">
        <f t="shared" ca="1" si="8"/>
        <v>11.242785023999998</v>
      </c>
      <c r="O15" s="136">
        <f t="shared" ca="1" si="12"/>
        <v>11.242785023999998</v>
      </c>
      <c r="P15" s="136">
        <f t="shared" ca="1" si="12"/>
        <v>11.242785023999998</v>
      </c>
      <c r="Q15" s="136">
        <f t="shared" ca="1" si="12"/>
        <v>11.242785023999998</v>
      </c>
      <c r="R15" s="136">
        <f t="shared" ca="1" si="12"/>
        <v>11.242785023999998</v>
      </c>
      <c r="S15" s="136">
        <f t="shared" ca="1" si="12"/>
        <v>11.242785023999998</v>
      </c>
      <c r="T15" s="136">
        <f t="shared" ca="1" si="12"/>
        <v>11.242785023999998</v>
      </c>
      <c r="U15" s="138">
        <f t="shared" ca="1" si="12"/>
        <v>11.242785023999998</v>
      </c>
      <c r="V15" s="136"/>
      <c r="W15" s="136"/>
      <c r="X15" s="136"/>
      <c r="Y15" s="136"/>
      <c r="AA15" s="108"/>
    </row>
    <row r="16" spans="1:27" ht="15" customHeight="1" x14ac:dyDescent="0.3">
      <c r="A16" s="13"/>
      <c r="B16" s="57">
        <f t="shared" ca="1" si="10"/>
        <v>5</v>
      </c>
      <c r="C16" s="71">
        <f t="shared" ca="1" si="3"/>
        <v>50</v>
      </c>
      <c r="D16" s="102">
        <f t="shared" ca="1" si="11"/>
        <v>0.73390402239999997</v>
      </c>
      <c r="E16" s="102">
        <f t="shared" ca="1" si="4"/>
        <v>4.4034241343999997E-2</v>
      </c>
      <c r="F16" s="102">
        <f ca="1">IF($D$2="A",
(D16-G16)*IFERROR(VLOOKUP(C16,'1.a Assumptions'!$G$19:$I$34,2,FALSE),0),
(D16-G16)*100%*(C16=$D$5-1))</f>
        <v>0</v>
      </c>
      <c r="G16" s="102">
        <f>IF($D$2="A",
D16*IFERROR(VLOOKUP(C16,'1.a Assumptions'!$G$19:$I$34,3,FALSE),0),
0)</f>
        <v>0</v>
      </c>
      <c r="H16" s="102">
        <f t="shared" ca="1" si="5"/>
        <v>0.68986978105599994</v>
      </c>
      <c r="J16" s="57">
        <f t="shared" ca="1" si="6"/>
        <v>50</v>
      </c>
      <c r="K16" s="135">
        <f t="shared" ca="1" si="7"/>
        <v>176.13696537599998</v>
      </c>
      <c r="L16" s="136">
        <f t="shared" ca="1" si="8"/>
        <v>10.568217922559999</v>
      </c>
      <c r="M16" s="136">
        <f t="shared" ca="1" si="8"/>
        <v>10.568217922559999</v>
      </c>
      <c r="N16" s="136">
        <f t="shared" ca="1" si="8"/>
        <v>10.568217922559999</v>
      </c>
      <c r="O16" s="136">
        <f t="shared" ca="1" si="12"/>
        <v>10.568217922559999</v>
      </c>
      <c r="P16" s="136">
        <f t="shared" ca="1" si="12"/>
        <v>10.568217922559999</v>
      </c>
      <c r="Q16" s="136">
        <f t="shared" ca="1" si="12"/>
        <v>10.568217922559999</v>
      </c>
      <c r="R16" s="136">
        <f t="shared" ca="1" si="12"/>
        <v>10.568217922559999</v>
      </c>
      <c r="S16" s="136">
        <f t="shared" ca="1" si="12"/>
        <v>10.568217922559999</v>
      </c>
      <c r="T16" s="138">
        <f t="shared" ca="1" si="12"/>
        <v>10.568217922559999</v>
      </c>
      <c r="U16" s="136"/>
      <c r="V16" s="136"/>
      <c r="W16" s="136"/>
      <c r="X16" s="136"/>
      <c r="Y16" s="136"/>
      <c r="AA16" s="108"/>
    </row>
    <row r="17" spans="1:27" ht="15" customHeight="1" x14ac:dyDescent="0.3">
      <c r="A17" s="13"/>
      <c r="B17" s="57">
        <f t="shared" ca="1" si="10"/>
        <v>6</v>
      </c>
      <c r="C17" s="71">
        <f t="shared" ca="1" si="3"/>
        <v>51</v>
      </c>
      <c r="D17" s="102">
        <f t="shared" ca="1" si="11"/>
        <v>0.68986978105599994</v>
      </c>
      <c r="E17" s="102">
        <f t="shared" ca="1" si="4"/>
        <v>4.1392186863359992E-2</v>
      </c>
      <c r="F17" s="102">
        <f ca="1">IF($D$2="A",
(D17-G17)*IFERROR(VLOOKUP(C17,'1.a Assumptions'!$G$19:$I$34,2,FALSE),0),
(D17-G17)*100%*(C17=$D$5-1))</f>
        <v>0</v>
      </c>
      <c r="G17" s="102">
        <f>IF($D$2="A",
D17*IFERROR(VLOOKUP(C17,'1.a Assumptions'!$G$19:$I$34,3,FALSE),0),
0)</f>
        <v>0</v>
      </c>
      <c r="H17" s="102">
        <f t="shared" ca="1" si="5"/>
        <v>0.64847759419263995</v>
      </c>
      <c r="J17" s="57">
        <f t="shared" ca="1" si="6"/>
        <v>51</v>
      </c>
      <c r="K17" s="135">
        <f t="shared" ca="1" si="7"/>
        <v>165.56874745343998</v>
      </c>
      <c r="L17" s="136">
        <f t="shared" ca="1" si="8"/>
        <v>9.9341248472063981</v>
      </c>
      <c r="M17" s="136">
        <f t="shared" ca="1" si="8"/>
        <v>9.9341248472063981</v>
      </c>
      <c r="N17" s="136">
        <f t="shared" ca="1" si="8"/>
        <v>9.9341248472063981</v>
      </c>
      <c r="O17" s="136">
        <f t="shared" ca="1" si="12"/>
        <v>9.9341248472063981</v>
      </c>
      <c r="P17" s="136">
        <f t="shared" ca="1" si="12"/>
        <v>9.9341248472063981</v>
      </c>
      <c r="Q17" s="136">
        <f t="shared" ca="1" si="12"/>
        <v>9.9341248472063981</v>
      </c>
      <c r="R17" s="136">
        <f t="shared" ca="1" si="12"/>
        <v>9.9341248472063981</v>
      </c>
      <c r="S17" s="138">
        <f t="shared" ca="1" si="12"/>
        <v>9.9341248472063981</v>
      </c>
      <c r="T17" s="136"/>
      <c r="U17" s="136"/>
      <c r="V17" s="136"/>
      <c r="W17" s="136"/>
      <c r="X17" s="136"/>
      <c r="Y17" s="136"/>
      <c r="AA17" s="108"/>
    </row>
    <row r="18" spans="1:27" ht="15" customHeight="1" x14ac:dyDescent="0.3">
      <c r="A18" s="13"/>
      <c r="B18" s="57">
        <f t="shared" ca="1" si="10"/>
        <v>7</v>
      </c>
      <c r="C18" s="71">
        <f t="shared" ca="1" si="3"/>
        <v>52</v>
      </c>
      <c r="D18" s="102">
        <f t="shared" ca="1" si="11"/>
        <v>0.64847759419263995</v>
      </c>
      <c r="E18" s="102">
        <f t="shared" ca="1" si="4"/>
        <v>3.8908655651558398E-2</v>
      </c>
      <c r="F18" s="102">
        <f ca="1">IF($D$2="A",
(D18-G18)*IFERROR(VLOOKUP(C18,'1.a Assumptions'!$G$19:$I$34,2,FALSE),0),
(D18-G18)*100%*(C18=$D$5-1))</f>
        <v>0</v>
      </c>
      <c r="G18" s="102">
        <f>IF($D$2="A",
D18*IFERROR(VLOOKUP(C18,'1.a Assumptions'!$G$19:$I$34,3,FALSE),0),
0)</f>
        <v>0</v>
      </c>
      <c r="H18" s="102">
        <f t="shared" ca="1" si="5"/>
        <v>0.60956893854108152</v>
      </c>
      <c r="J18" s="57">
        <f t="shared" ca="1" si="6"/>
        <v>52</v>
      </c>
      <c r="K18" s="135">
        <f t="shared" ca="1" si="7"/>
        <v>155.63462260623359</v>
      </c>
      <c r="L18" s="136">
        <f t="shared" ca="1" si="8"/>
        <v>9.3380773563740149</v>
      </c>
      <c r="M18" s="136">
        <f t="shared" ca="1" si="8"/>
        <v>9.3380773563740149</v>
      </c>
      <c r="N18" s="136">
        <f t="shared" ca="1" si="8"/>
        <v>9.3380773563740149</v>
      </c>
      <c r="O18" s="136">
        <f t="shared" ca="1" si="12"/>
        <v>9.3380773563740149</v>
      </c>
      <c r="P18" s="136">
        <f t="shared" ca="1" si="12"/>
        <v>9.3380773563740149</v>
      </c>
      <c r="Q18" s="136">
        <f t="shared" ca="1" si="12"/>
        <v>9.3380773563740149</v>
      </c>
      <c r="R18" s="138">
        <f t="shared" ca="1" si="12"/>
        <v>9.3380773563740149</v>
      </c>
      <c r="S18" s="136"/>
      <c r="T18" s="136"/>
      <c r="U18" s="136"/>
      <c r="V18" s="136"/>
      <c r="W18" s="136"/>
      <c r="X18" s="136"/>
      <c r="Y18" s="136"/>
      <c r="AA18" s="108"/>
    </row>
    <row r="19" spans="1:27" ht="15" customHeight="1" x14ac:dyDescent="0.3">
      <c r="A19" s="13"/>
      <c r="B19" s="57">
        <f t="shared" ca="1" si="10"/>
        <v>8</v>
      </c>
      <c r="C19" s="71">
        <f t="shared" ca="1" si="3"/>
        <v>53</v>
      </c>
      <c r="D19" s="102">
        <f t="shared" ca="1" si="11"/>
        <v>0.60956893854108152</v>
      </c>
      <c r="E19" s="102">
        <f t="shared" ca="1" si="4"/>
        <v>3.6574136312464887E-2</v>
      </c>
      <c r="F19" s="102">
        <f ca="1">IF($D$2="A",
(D19-G19)*IFERROR(VLOOKUP(C19,'1.a Assumptions'!$G$19:$I$34,2,FALSE),0),
(D19-G19)*100%*(C19=$D$5-1))</f>
        <v>0</v>
      </c>
      <c r="G19" s="102">
        <f>IF($D$2="A",
D19*IFERROR(VLOOKUP(C19,'1.a Assumptions'!$G$19:$I$34,3,FALSE),0),
0)</f>
        <v>0</v>
      </c>
      <c r="H19" s="102">
        <f t="shared" ca="1" si="5"/>
        <v>0.57299480222861665</v>
      </c>
      <c r="J19" s="57">
        <f t="shared" ca="1" si="6"/>
        <v>53</v>
      </c>
      <c r="K19" s="135">
        <f t="shared" ca="1" si="7"/>
        <v>146.29654524985958</v>
      </c>
      <c r="L19" s="136">
        <f t="shared" ca="1" si="8"/>
        <v>8.7777927149915733</v>
      </c>
      <c r="M19" s="136">
        <f t="shared" ca="1" si="8"/>
        <v>8.7777927149915733</v>
      </c>
      <c r="N19" s="136">
        <f t="shared" ca="1" si="8"/>
        <v>8.7777927149915733</v>
      </c>
      <c r="O19" s="136">
        <f t="shared" ca="1" si="12"/>
        <v>8.7777927149915733</v>
      </c>
      <c r="P19" s="136">
        <f t="shared" ca="1" si="12"/>
        <v>8.7777927149915733</v>
      </c>
      <c r="Q19" s="138">
        <f t="shared" ca="1" si="12"/>
        <v>8.7777927149915733</v>
      </c>
      <c r="R19" s="136"/>
      <c r="S19" s="136"/>
      <c r="T19" s="136"/>
      <c r="U19" s="136"/>
      <c r="V19" s="136"/>
      <c r="W19" s="136"/>
      <c r="X19" s="136"/>
      <c r="Y19" s="136"/>
      <c r="AA19" s="108"/>
    </row>
    <row r="20" spans="1:27" ht="15" customHeight="1" x14ac:dyDescent="0.3">
      <c r="A20" s="13"/>
      <c r="B20" s="57">
        <f t="shared" ca="1" si="10"/>
        <v>9</v>
      </c>
      <c r="C20" s="71">
        <f t="shared" ca="1" si="3"/>
        <v>54</v>
      </c>
      <c r="D20" s="102">
        <f t="shared" ca="1" si="11"/>
        <v>0.57299480222861665</v>
      </c>
      <c r="E20" s="102">
        <f t="shared" ca="1" si="4"/>
        <v>3.4379688133716994E-2</v>
      </c>
      <c r="F20" s="102">
        <f ca="1">IF($D$2="A",
(D20-G20)*IFERROR(VLOOKUP(C20,'1.a Assumptions'!$G$19:$I$34,2,FALSE),0),
(D20-G20)*100%*(C20=$D$5-1))</f>
        <v>0</v>
      </c>
      <c r="G20" s="102">
        <f>IF($D$2="A",
D20*IFERROR(VLOOKUP(C20,'1.a Assumptions'!$G$19:$I$34,3,FALSE),0),
0)</f>
        <v>0</v>
      </c>
      <c r="H20" s="102">
        <f t="shared" ca="1" si="5"/>
        <v>0.53861511409489971</v>
      </c>
      <c r="J20" s="57">
        <f t="shared" ca="1" si="6"/>
        <v>54</v>
      </c>
      <c r="K20" s="135">
        <f t="shared" ca="1" si="7"/>
        <v>137.51875253486799</v>
      </c>
      <c r="L20" s="136">
        <f t="shared" ca="1" si="8"/>
        <v>8.2511251520920794</v>
      </c>
      <c r="M20" s="136">
        <f t="shared" ca="1" si="8"/>
        <v>8.2511251520920794</v>
      </c>
      <c r="N20" s="136">
        <f t="shared" ca="1" si="8"/>
        <v>8.2511251520920794</v>
      </c>
      <c r="O20" s="136">
        <f t="shared" ca="1" si="12"/>
        <v>8.2511251520920794</v>
      </c>
      <c r="P20" s="138">
        <f t="shared" ca="1" si="12"/>
        <v>8.2511251520920794</v>
      </c>
      <c r="Q20" s="136"/>
      <c r="R20" s="136"/>
      <c r="S20" s="136"/>
      <c r="T20" s="136"/>
      <c r="U20" s="136"/>
      <c r="V20" s="136"/>
      <c r="W20" s="136"/>
      <c r="X20" s="136"/>
      <c r="Y20" s="136"/>
      <c r="AA20" s="108"/>
    </row>
    <row r="21" spans="1:27" ht="15" customHeight="1" x14ac:dyDescent="0.3">
      <c r="A21" s="13"/>
      <c r="B21" s="57">
        <f t="shared" ca="1" si="10"/>
        <v>10</v>
      </c>
      <c r="C21" s="71">
        <f t="shared" ca="1" si="3"/>
        <v>55</v>
      </c>
      <c r="D21" s="102">
        <f t="shared" ca="1" si="11"/>
        <v>0.53861511409489971</v>
      </c>
      <c r="E21" s="102">
        <f t="shared" ca="1" si="4"/>
        <v>3.231690684569398E-2</v>
      </c>
      <c r="F21" s="102">
        <f ca="1">IF($D$2="A",
(D21-G21)*IFERROR(VLOOKUP(C21,'1.a Assumptions'!$G$19:$I$34,2,FALSE),0),
(D21-G21)*100%*(C21=$D$5-1))</f>
        <v>0</v>
      </c>
      <c r="G21" s="102">
        <f>IF($D$2="A",
D21*IFERROR(VLOOKUP(C21,'1.a Assumptions'!$G$19:$I$34,3,FALSE),0),
0)</f>
        <v>0</v>
      </c>
      <c r="H21" s="102">
        <f t="shared" ca="1" si="5"/>
        <v>0.50629820724920571</v>
      </c>
      <c r="J21" s="57">
        <f t="shared" ca="1" si="6"/>
        <v>55</v>
      </c>
      <c r="K21" s="135">
        <f t="shared" ca="1" si="7"/>
        <v>129.26762738277594</v>
      </c>
      <c r="L21" s="136">
        <f t="shared" ca="1" si="8"/>
        <v>7.7560576429665549</v>
      </c>
      <c r="M21" s="136">
        <f t="shared" ca="1" si="8"/>
        <v>7.7560576429665549</v>
      </c>
      <c r="N21" s="136">
        <f t="shared" ca="1" si="8"/>
        <v>7.7560576429665549</v>
      </c>
      <c r="O21" s="138">
        <f t="shared" ca="1" si="12"/>
        <v>7.7560576429665549</v>
      </c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AA21" s="108"/>
    </row>
    <row r="22" spans="1:27" ht="15" customHeight="1" x14ac:dyDescent="0.3">
      <c r="A22" s="13"/>
      <c r="B22" s="57">
        <f t="shared" ca="1" si="10"/>
        <v>11</v>
      </c>
      <c r="C22" s="71">
        <f t="shared" ca="1" si="3"/>
        <v>56</v>
      </c>
      <c r="D22" s="102">
        <f t="shared" ca="1" si="11"/>
        <v>0.50629820724920571</v>
      </c>
      <c r="E22" s="102">
        <f t="shared" ca="1" si="4"/>
        <v>3.0377892434952342E-2</v>
      </c>
      <c r="F22" s="102">
        <f ca="1">IF($D$2="A",
(D22-G22)*IFERROR(VLOOKUP(C22,'1.a Assumptions'!$G$19:$I$34,2,FALSE),0),
(D22-G22)*100%*(C22=$D$5-1))</f>
        <v>0</v>
      </c>
      <c r="G22" s="102">
        <f>IF($D$2="A",
D22*IFERROR(VLOOKUP(C22,'1.a Assumptions'!$G$19:$I$34,3,FALSE),0),
0)</f>
        <v>0</v>
      </c>
      <c r="H22" s="102">
        <f t="shared" ca="1" si="5"/>
        <v>0.47592031481425334</v>
      </c>
      <c r="J22" s="57">
        <f t="shared" ca="1" si="6"/>
        <v>56</v>
      </c>
      <c r="K22" s="135">
        <f t="shared" ca="1" si="7"/>
        <v>121.51156973980937</v>
      </c>
      <c r="L22" s="136">
        <f t="shared" ca="1" si="8"/>
        <v>7.2906941843885615</v>
      </c>
      <c r="M22" s="136">
        <f t="shared" ca="1" si="8"/>
        <v>7.2906941843885615</v>
      </c>
      <c r="N22" s="138">
        <f t="shared" ca="1" si="8"/>
        <v>7.2906941843885615</v>
      </c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AA22" s="108"/>
    </row>
    <row r="23" spans="1:27" ht="15" customHeight="1" x14ac:dyDescent="0.3">
      <c r="A23" s="13"/>
      <c r="B23" s="57">
        <f t="shared" ca="1" si="10"/>
        <v>12</v>
      </c>
      <c r="C23" s="71">
        <f t="shared" ca="1" si="3"/>
        <v>57</v>
      </c>
      <c r="D23" s="102">
        <f t="shared" ca="1" si="11"/>
        <v>0.47592031481425334</v>
      </c>
      <c r="E23" s="102">
        <f t="shared" ca="1" si="4"/>
        <v>2.8555218888855198E-2</v>
      </c>
      <c r="F23" s="102">
        <f ca="1">IF($D$2="A",
(D23-G23)*IFERROR(VLOOKUP(C23,'1.a Assumptions'!$G$19:$I$34,2,FALSE),0),
(D23-G23)*100%*(C23=$D$5-1))</f>
        <v>0</v>
      </c>
      <c r="G23" s="102">
        <f>IF($D$2="A",
D23*IFERROR(VLOOKUP(C23,'1.a Assumptions'!$G$19:$I$34,3,FALSE),0),
0)</f>
        <v>0</v>
      </c>
      <c r="H23" s="102">
        <f t="shared" ca="1" si="5"/>
        <v>0.44736509592539814</v>
      </c>
      <c r="J23" s="57">
        <f t="shared" ca="1" si="6"/>
        <v>57</v>
      </c>
      <c r="K23" s="135">
        <f t="shared" ca="1" si="7"/>
        <v>114.2208755554208</v>
      </c>
      <c r="L23" s="136">
        <f ca="1">L$11*$D23</f>
        <v>6.8532525333252474</v>
      </c>
      <c r="M23" s="138">
        <f ca="1">M$11*$D23</f>
        <v>6.8532525333252474</v>
      </c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AA23" s="108"/>
    </row>
    <row r="24" spans="1:27" ht="15" customHeight="1" x14ac:dyDescent="0.3">
      <c r="A24" s="13"/>
      <c r="B24" s="57">
        <f t="shared" ca="1" si="10"/>
        <v>13</v>
      </c>
      <c r="C24" s="71">
        <f t="shared" ca="1" si="3"/>
        <v>58</v>
      </c>
      <c r="D24" s="102">
        <f t="shared" ca="1" si="11"/>
        <v>0.44736509592539814</v>
      </c>
      <c r="E24" s="102">
        <f t="shared" ca="1" si="4"/>
        <v>2.6841905755523886E-2</v>
      </c>
      <c r="F24" s="102">
        <f ca="1">IF($D$2="A",
(D24-G24)*IFERROR(VLOOKUP(C24,'1.a Assumptions'!$G$19:$I$34,2,FALSE),0),
(D24-G24)*100%*(C24=$D$5-1))</f>
        <v>0</v>
      </c>
      <c r="G24" s="102">
        <f>IF($D$2="A",
D24*IFERROR(VLOOKUP(C24,'1.a Assumptions'!$G$19:$I$34,3,FALSE),0),
0)</f>
        <v>0</v>
      </c>
      <c r="H24" s="102">
        <f t="shared" ca="1" si="5"/>
        <v>0.42052319016987427</v>
      </c>
      <c r="J24" s="57">
        <f t="shared" ca="1" si="6"/>
        <v>58</v>
      </c>
      <c r="K24" s="135">
        <f t="shared" ca="1" si="7"/>
        <v>107.36762302209556</v>
      </c>
      <c r="L24" s="138">
        <f ca="1">L$11*$D24</f>
        <v>6.4420573813257329</v>
      </c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AA24" s="108"/>
    </row>
    <row r="25" spans="1:27" ht="15" customHeight="1" x14ac:dyDescent="0.3">
      <c r="A25" s="13"/>
      <c r="B25" s="57">
        <f t="shared" ca="1" si="10"/>
        <v>14</v>
      </c>
      <c r="C25" s="71">
        <f t="shared" ca="1" si="3"/>
        <v>59</v>
      </c>
      <c r="D25" s="102">
        <f t="shared" ca="1" si="11"/>
        <v>0.42052319016987427</v>
      </c>
      <c r="E25" s="102">
        <f t="shared" ca="1" si="4"/>
        <v>0</v>
      </c>
      <c r="F25" s="102">
        <f ca="1">IF($D$2="A",
(D25-G25)*IFERROR(VLOOKUP(C25,'1.a Assumptions'!$G$19:$I$34,2,FALSE),0),
(D25-G25)*100%*(C25=$D$5-1))</f>
        <v>0.42052319016987427</v>
      </c>
      <c r="G25" s="102">
        <f>IF($D$2="A",
D25*IFERROR(VLOOKUP(C25,'1.a Assumptions'!$G$19:$I$34,3,FALSE),0),
0)</f>
        <v>0</v>
      </c>
      <c r="H25" s="102">
        <f t="shared" ca="1" si="5"/>
        <v>0</v>
      </c>
      <c r="J25" s="57">
        <f t="shared" ca="1" si="6"/>
        <v>59</v>
      </c>
      <c r="K25" s="137">
        <f t="shared" ca="1" si="7"/>
        <v>100.92556564076983</v>
      </c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AA25" s="108"/>
    </row>
    <row r="26" spans="1:27" ht="15" customHeight="1" x14ac:dyDescent="0.3">
      <c r="A26" s="13"/>
      <c r="B26" s="57">
        <f t="shared" ca="1" si="10"/>
        <v>15</v>
      </c>
      <c r="C26" s="71">
        <f t="shared" ca="1" si="3"/>
        <v>60</v>
      </c>
      <c r="D26" s="102">
        <f t="shared" ca="1" si="11"/>
        <v>0</v>
      </c>
      <c r="E26" s="102">
        <f t="shared" ca="1" si="4"/>
        <v>0</v>
      </c>
      <c r="F26" s="102">
        <f ca="1">IF($D$2="A",
(D26-G26)*IFERROR(VLOOKUP(C26,'1.a Assumptions'!$G$19:$I$34,2,FALSE),0),
(D26-G26)*100%*(C26=$D$5-1))</f>
        <v>0</v>
      </c>
      <c r="G26" s="102">
        <f>IF($D$2="A",
D26*IFERROR(VLOOKUP(C26,'1.a Assumptions'!$G$19:$I$34,3,FALSE),0),
0)</f>
        <v>0</v>
      </c>
      <c r="H26" s="102">
        <f t="shared" ca="1" si="5"/>
        <v>0</v>
      </c>
      <c r="J26" s="57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</row>
    <row r="27" spans="1:27" ht="15" customHeight="1" x14ac:dyDescent="0.3">
      <c r="A27" s="13"/>
      <c r="B27" s="57" t="str">
        <f t="shared" ca="1" si="10"/>
        <v/>
      </c>
      <c r="C27" s="71" t="str">
        <f t="shared" ca="1" si="3"/>
        <v/>
      </c>
      <c r="D27" s="102">
        <f t="shared" ca="1" si="11"/>
        <v>0</v>
      </c>
      <c r="E27" s="102">
        <f t="shared" ca="1" si="4"/>
        <v>0</v>
      </c>
      <c r="F27" s="102">
        <f ca="1">IF($D$2="A",
(D27-G27)*IFERROR(VLOOKUP(C27,'1.a Assumptions'!$G$19:$I$34,2,FALSE),0),
(D27-G27)*100%*(C27=$D$5-1))</f>
        <v>0</v>
      </c>
      <c r="G27" s="102">
        <f>IF($D$2="A",
D27*IFERROR(VLOOKUP(C27,'1.a Assumptions'!$G$19:$I$34,3,FALSE),0),
0)</f>
        <v>0</v>
      </c>
      <c r="H27" s="102">
        <f t="shared" ca="1" si="5"/>
        <v>0</v>
      </c>
      <c r="J27" s="118" t="s">
        <v>18</v>
      </c>
      <c r="K27" s="119">
        <f ca="1">K25+L24+M23+N22+O21+P20+Q19+R18+S17+T16+U15+V14+W13+X12+Y11</f>
        <v>239.99999999999997</v>
      </c>
      <c r="Z27" s="107"/>
    </row>
    <row r="28" spans="1:27" ht="15" customHeight="1" x14ac:dyDescent="0.3">
      <c r="A28" s="13"/>
      <c r="B28" s="57" t="str">
        <f t="shared" ca="1" si="10"/>
        <v/>
      </c>
      <c r="C28" s="71" t="str">
        <f t="shared" ca="1" si="3"/>
        <v/>
      </c>
      <c r="D28" s="102">
        <f t="shared" ca="1" si="11"/>
        <v>0</v>
      </c>
      <c r="E28" s="102">
        <f t="shared" ca="1" si="4"/>
        <v>0</v>
      </c>
      <c r="F28" s="102">
        <f ca="1">IF($D$2="A",
(D28-G28)*IFERROR(VLOOKUP(C28,'1.a Assumptions'!$G$19:$I$34,2,FALSE),0),
(D28-G28)*100%*(C28=$D$5-1))</f>
        <v>0</v>
      </c>
      <c r="G28" s="102">
        <f>IF($D$2="A",
D28*IFERROR(VLOOKUP(C28,'1.a Assumptions'!$G$19:$I$34,3,FALSE),0),
0)</f>
        <v>0</v>
      </c>
      <c r="H28" s="102">
        <f t="shared" ca="1" si="5"/>
        <v>0</v>
      </c>
      <c r="K28" s="106"/>
      <c r="Z28" s="107"/>
    </row>
    <row r="29" spans="1:27" ht="15" customHeight="1" x14ac:dyDescent="0.3">
      <c r="A29" s="13"/>
      <c r="B29" s="57" t="str">
        <f t="shared" ca="1" si="10"/>
        <v/>
      </c>
      <c r="C29" s="71" t="str">
        <f t="shared" ca="1" si="3"/>
        <v/>
      </c>
      <c r="D29" s="102">
        <f t="shared" ca="1" si="11"/>
        <v>0</v>
      </c>
      <c r="E29" s="102">
        <f t="shared" ca="1" si="4"/>
        <v>0</v>
      </c>
      <c r="F29" s="102">
        <f ca="1">IF($D$2="A",
(D29-G29)*IFERROR(VLOOKUP(C29,'1.a Assumptions'!$G$19:$I$34,2,FALSE),0),
(D29-G29)*100%*(C29=$D$5-1))</f>
        <v>0</v>
      </c>
      <c r="G29" s="102">
        <f>IF($D$2="A",
D29*IFERROR(VLOOKUP(C29,'1.a Assumptions'!$G$19:$I$34,3,FALSE),0),
0)</f>
        <v>0</v>
      </c>
      <c r="H29" s="102">
        <f t="shared" ca="1" si="5"/>
        <v>0</v>
      </c>
      <c r="Z29" s="107"/>
    </row>
    <row r="30" spans="1:27" ht="15" customHeight="1" x14ac:dyDescent="0.3">
      <c r="A30" s="13"/>
      <c r="B30" s="57" t="str">
        <f t="shared" ca="1" si="10"/>
        <v/>
      </c>
      <c r="C30" s="71" t="str">
        <f t="shared" ca="1" si="3"/>
        <v/>
      </c>
      <c r="D30" s="102">
        <f t="shared" ca="1" si="11"/>
        <v>0</v>
      </c>
      <c r="E30" s="102">
        <f t="shared" ca="1" si="4"/>
        <v>0</v>
      </c>
      <c r="F30" s="102">
        <f ca="1">IF($D$2="A",
(D30-G30)*IFERROR(VLOOKUP(C30,'1.a Assumptions'!$G$19:$I$34,2,FALSE),0),
(D30-G30)*100%*(C30=$D$5-1))</f>
        <v>0</v>
      </c>
      <c r="G30" s="102">
        <f>IF($D$2="A",
D30*IFERROR(VLOOKUP(C30,'1.a Assumptions'!$G$19:$I$34,3,FALSE),0),
0)</f>
        <v>0</v>
      </c>
      <c r="H30" s="102">
        <f t="shared" ca="1" si="5"/>
        <v>0</v>
      </c>
    </row>
    <row r="31" spans="1:27" ht="15" customHeight="1" x14ac:dyDescent="0.3">
      <c r="A31" s="13"/>
      <c r="B31" s="57" t="str">
        <f t="shared" ca="1" si="10"/>
        <v/>
      </c>
      <c r="C31" s="71" t="str">
        <f t="shared" ca="1" si="3"/>
        <v/>
      </c>
      <c r="D31" s="102">
        <f t="shared" ca="1" si="11"/>
        <v>0</v>
      </c>
      <c r="E31" s="102">
        <f t="shared" ca="1" si="4"/>
        <v>0</v>
      </c>
      <c r="F31" s="102">
        <f ca="1">IF($D$2="A",
(D31-G31)*IFERROR(VLOOKUP(C31,'1.a Assumptions'!$G$19:$I$34,2,FALSE),0),
(D31-G31)*100%*(C31=$D$5-1))</f>
        <v>0</v>
      </c>
      <c r="G31" s="102">
        <f>IF($D$2="A",
D31*IFERROR(VLOOKUP(C31,'1.a Assumptions'!$G$19:$I$34,3,FALSE),0),
0)</f>
        <v>0</v>
      </c>
      <c r="H31" s="102">
        <f t="shared" ca="1" si="5"/>
        <v>0</v>
      </c>
    </row>
    <row r="32" spans="1:27" ht="15" customHeight="1" x14ac:dyDescent="0.3">
      <c r="A32" s="13"/>
      <c r="B32" s="57" t="str">
        <f t="shared" ca="1" si="10"/>
        <v/>
      </c>
      <c r="C32" s="71" t="str">
        <f t="shared" ca="1" si="3"/>
        <v/>
      </c>
      <c r="D32" s="102">
        <f t="shared" ca="1" si="11"/>
        <v>0</v>
      </c>
      <c r="E32" s="102">
        <f t="shared" ca="1" si="4"/>
        <v>0</v>
      </c>
      <c r="F32" s="102">
        <f ca="1">IF($D$2="A",
(D32-G32)*IFERROR(VLOOKUP(C32,'1.a Assumptions'!$G$19:$I$34,2,FALSE),0),
(D32-G32)*100%*(C32=$D$5-1))</f>
        <v>0</v>
      </c>
      <c r="G32" s="102">
        <f>IF($D$2="A",
D32*IFERROR(VLOOKUP(C32,'1.a Assumptions'!$G$19:$I$34,3,FALSE),0),
0)</f>
        <v>0</v>
      </c>
      <c r="H32" s="102">
        <f t="shared" ca="1" si="5"/>
        <v>0</v>
      </c>
    </row>
    <row r="33" spans="1:8" ht="15" customHeight="1" x14ac:dyDescent="0.3">
      <c r="A33" s="13"/>
      <c r="B33" s="57" t="str">
        <f t="shared" ca="1" si="10"/>
        <v/>
      </c>
      <c r="C33" s="71" t="str">
        <f t="shared" ca="1" si="3"/>
        <v/>
      </c>
      <c r="D33" s="102">
        <f t="shared" ca="1" si="11"/>
        <v>0</v>
      </c>
      <c r="E33" s="102">
        <f t="shared" ca="1" si="4"/>
        <v>0</v>
      </c>
      <c r="F33" s="102">
        <f ca="1">IF($D$2="A",
(D33-G33)*IFERROR(VLOOKUP(C33,'1.a Assumptions'!$G$19:$I$34,2,FALSE),0),
(D33-G33)*100%*(C33=$D$5-1))</f>
        <v>0</v>
      </c>
      <c r="G33" s="102">
        <f>IF($D$2="A",
D33*IFERROR(VLOOKUP(C33,'1.a Assumptions'!$G$19:$I$34,3,FALSE),0),
0)</f>
        <v>0</v>
      </c>
      <c r="H33" s="102">
        <f t="shared" ca="1" si="5"/>
        <v>0</v>
      </c>
    </row>
    <row r="34" spans="1:8" ht="15" customHeight="1" x14ac:dyDescent="0.3">
      <c r="A34" s="13"/>
      <c r="B34" s="57" t="str">
        <f t="shared" ca="1" si="10"/>
        <v/>
      </c>
      <c r="C34" s="71" t="str">
        <f t="shared" ca="1" si="3"/>
        <v/>
      </c>
      <c r="D34" s="102">
        <f t="shared" ca="1" si="11"/>
        <v>0</v>
      </c>
      <c r="E34" s="102">
        <f t="shared" ca="1" si="4"/>
        <v>0</v>
      </c>
      <c r="F34" s="102">
        <f ca="1">IF($D$2="A",
(D34-G34)*IFERROR(VLOOKUP(C34,'1.a Assumptions'!$G$19:$I$34,2,FALSE),0),
(D34-G34)*100%*(C34=$D$5-1))</f>
        <v>0</v>
      </c>
      <c r="G34" s="102">
        <f>IF($D$2="A",
D34*IFERROR(VLOOKUP(C34,'1.a Assumptions'!$G$19:$I$34,3,FALSE),0),
0)</f>
        <v>0</v>
      </c>
      <c r="H34" s="102">
        <f t="shared" ca="1" si="5"/>
        <v>0</v>
      </c>
    </row>
    <row r="35" spans="1:8" ht="15" customHeight="1" x14ac:dyDescent="0.3">
      <c r="A35" s="13"/>
      <c r="B35" s="57" t="str">
        <f t="shared" ca="1" si="10"/>
        <v/>
      </c>
      <c r="C35" s="71" t="str">
        <f t="shared" ca="1" si="3"/>
        <v/>
      </c>
      <c r="D35" s="102">
        <f t="shared" ca="1" si="11"/>
        <v>0</v>
      </c>
      <c r="E35" s="102">
        <f t="shared" ca="1" si="4"/>
        <v>0</v>
      </c>
      <c r="F35" s="102">
        <f ca="1">IF($D$2="A",
(D35-G35)*IFERROR(VLOOKUP(C35,'1.a Assumptions'!$G$19:$I$34,2,FALSE),0),
(D35-G35)*100%*(C35=$D$5-1))</f>
        <v>0</v>
      </c>
      <c r="G35" s="102">
        <f>IF($D$2="A",
D35*IFERROR(VLOOKUP(C35,'1.a Assumptions'!$G$19:$I$34,3,FALSE),0),
0)</f>
        <v>0</v>
      </c>
      <c r="H35" s="102">
        <f t="shared" ca="1" si="5"/>
        <v>0</v>
      </c>
    </row>
    <row r="36" spans="1:8" ht="15" customHeight="1" x14ac:dyDescent="0.3">
      <c r="A36" s="13"/>
      <c r="B36" s="57" t="str">
        <f t="shared" ca="1" si="10"/>
        <v/>
      </c>
      <c r="C36" s="71" t="str">
        <f t="shared" ca="1" si="3"/>
        <v/>
      </c>
      <c r="D36" s="102">
        <f t="shared" ca="1" si="11"/>
        <v>0</v>
      </c>
      <c r="E36" s="102">
        <f t="shared" ca="1" si="4"/>
        <v>0</v>
      </c>
      <c r="F36" s="102">
        <f ca="1">IF($D$2="A",
(D36-G36)*IFERROR(VLOOKUP(C36,'1.a Assumptions'!$G$19:$I$34,2,FALSE),0),
(D36-G36)*100%*(C36=$D$5-1))</f>
        <v>0</v>
      </c>
      <c r="G36" s="102">
        <f>IF($D$2="A",
D36*IFERROR(VLOOKUP(C36,'1.a Assumptions'!$G$19:$I$34,3,FALSE),0),
0)</f>
        <v>0</v>
      </c>
      <c r="H36" s="102">
        <f t="shared" ca="1" si="5"/>
        <v>0</v>
      </c>
    </row>
    <row r="37" spans="1:8" ht="15" customHeight="1" x14ac:dyDescent="0.3">
      <c r="A37" s="13"/>
      <c r="B37" s="57" t="str">
        <f t="shared" ca="1" si="10"/>
        <v/>
      </c>
      <c r="C37" s="71" t="str">
        <f t="shared" ca="1" si="3"/>
        <v/>
      </c>
      <c r="D37" s="102">
        <f t="shared" ca="1" si="11"/>
        <v>0</v>
      </c>
      <c r="E37" s="102">
        <f t="shared" ca="1" si="4"/>
        <v>0</v>
      </c>
      <c r="F37" s="102">
        <f ca="1">IF($D$2="A",
(D37-G37)*IFERROR(VLOOKUP(C37,'1.a Assumptions'!$G$19:$I$34,2,FALSE),0),
(D37-G37)*100%*(C37=$D$5-1))</f>
        <v>0</v>
      </c>
      <c r="G37" s="102">
        <f>IF($D$2="A",
D37*IFERROR(VLOOKUP(C37,'1.a Assumptions'!$G$19:$I$34,3,FALSE),0),
0)</f>
        <v>0</v>
      </c>
      <c r="H37" s="102">
        <f t="shared" ca="1" si="5"/>
        <v>0</v>
      </c>
    </row>
    <row r="38" spans="1:8" ht="15" customHeight="1" x14ac:dyDescent="0.3">
      <c r="A38" s="13"/>
      <c r="B38" s="57" t="str">
        <f t="shared" ca="1" si="10"/>
        <v/>
      </c>
      <c r="C38" s="71" t="str">
        <f t="shared" ca="1" si="3"/>
        <v/>
      </c>
      <c r="D38" s="102">
        <f t="shared" ca="1" si="11"/>
        <v>0</v>
      </c>
      <c r="E38" s="102">
        <f t="shared" ca="1" si="4"/>
        <v>0</v>
      </c>
      <c r="F38" s="102">
        <f ca="1">IF($D$2="A",
(D38-G38)*IFERROR(VLOOKUP(C38,'1.a Assumptions'!$G$19:$I$34,2,FALSE),0),
(D38-G38)*100%*(C38=$D$5-1))</f>
        <v>0</v>
      </c>
      <c r="G38" s="102">
        <f>IF($D$2="A",
D38*IFERROR(VLOOKUP(C38,'1.a Assumptions'!$G$19:$I$34,3,FALSE),0),
0)</f>
        <v>0</v>
      </c>
      <c r="H38" s="102">
        <f t="shared" ca="1" si="5"/>
        <v>0</v>
      </c>
    </row>
    <row r="39" spans="1:8" ht="15" customHeight="1" x14ac:dyDescent="0.3">
      <c r="A39" s="13"/>
      <c r="B39" s="57" t="str">
        <f t="shared" ca="1" si="10"/>
        <v/>
      </c>
      <c r="C39" s="71" t="str">
        <f t="shared" ca="1" si="3"/>
        <v/>
      </c>
      <c r="D39" s="102">
        <f t="shared" ca="1" si="11"/>
        <v>0</v>
      </c>
      <c r="E39" s="102">
        <f t="shared" ca="1" si="4"/>
        <v>0</v>
      </c>
      <c r="F39" s="102">
        <f ca="1">IF($D$2="A",
(D39-G39)*IFERROR(VLOOKUP(C39,'1.a Assumptions'!$G$19:$I$34,2,FALSE),0),
(D39-G39)*100%*(C39=$D$5-1))</f>
        <v>0</v>
      </c>
      <c r="G39" s="102">
        <f>IF($D$2="A",
D39*IFERROR(VLOOKUP(C39,'1.a Assumptions'!$G$19:$I$34,3,FALSE),0),
0)</f>
        <v>0</v>
      </c>
      <c r="H39" s="102">
        <f t="shared" ca="1" si="5"/>
        <v>0</v>
      </c>
    </row>
    <row r="40" spans="1:8" ht="15" customHeight="1" x14ac:dyDescent="0.3">
      <c r="A40" s="13"/>
      <c r="B40" s="57" t="str">
        <f t="shared" ca="1" si="10"/>
        <v/>
      </c>
      <c r="C40" s="71" t="str">
        <f t="shared" ca="1" si="3"/>
        <v/>
      </c>
      <c r="D40" s="102">
        <f t="shared" ca="1" si="11"/>
        <v>0</v>
      </c>
      <c r="E40" s="102">
        <f t="shared" ca="1" si="4"/>
        <v>0</v>
      </c>
      <c r="F40" s="102">
        <f ca="1">IF($D$2="A",
(D40-G40)*IFERROR(VLOOKUP(C40,'1.a Assumptions'!$G$19:$I$34,2,FALSE),0),
(D40-G40)*100%*(C40=$D$5-1))</f>
        <v>0</v>
      </c>
      <c r="G40" s="102">
        <f>IF($D$2="A",
D40*IFERROR(VLOOKUP(C40,'1.a Assumptions'!$G$19:$I$34,3,FALSE),0),
0)</f>
        <v>0</v>
      </c>
      <c r="H40" s="102">
        <f t="shared" ca="1" si="5"/>
        <v>0</v>
      </c>
    </row>
    <row r="41" spans="1:8" ht="15" customHeight="1" x14ac:dyDescent="0.3">
      <c r="A41" s="13"/>
      <c r="B41" s="57" t="str">
        <f t="shared" ca="1" si="10"/>
        <v/>
      </c>
      <c r="C41" s="71" t="str">
        <f t="shared" ca="1" si="3"/>
        <v/>
      </c>
      <c r="D41" s="102">
        <f t="shared" ca="1" si="11"/>
        <v>0</v>
      </c>
      <c r="E41" s="102">
        <f t="shared" ca="1" si="4"/>
        <v>0</v>
      </c>
      <c r="F41" s="102">
        <f ca="1">IF($D$2="A",
(D41-G41)*IFERROR(VLOOKUP(C41,'1.a Assumptions'!$G$19:$I$34,2,FALSE),0),
(D41-G41)*100%*(C41=$D$5-1))</f>
        <v>0</v>
      </c>
      <c r="G41" s="102">
        <f>IF($D$2="A",
D41*IFERROR(VLOOKUP(C41,'1.a Assumptions'!$G$19:$I$34,3,FALSE),0),
0)</f>
        <v>0</v>
      </c>
      <c r="H41" s="102">
        <f t="shared" ca="1" si="5"/>
        <v>0</v>
      </c>
    </row>
    <row r="42" spans="1:8" ht="15" customHeight="1" x14ac:dyDescent="0.3">
      <c r="A42" s="13"/>
      <c r="B42" s="57" t="str">
        <f t="shared" ca="1" si="10"/>
        <v/>
      </c>
      <c r="C42" s="71" t="str">
        <f t="shared" ca="1" si="3"/>
        <v/>
      </c>
      <c r="D42" s="102">
        <f t="shared" ca="1" si="11"/>
        <v>0</v>
      </c>
      <c r="E42" s="102">
        <f t="shared" ca="1" si="4"/>
        <v>0</v>
      </c>
      <c r="F42" s="102">
        <f ca="1">IF($D$2="A",
(D42-G42)*IFERROR(VLOOKUP(C42,'1.a Assumptions'!$G$19:$I$34,2,FALSE),0),
(D42-G42)*100%*(C42=$D$5-1))</f>
        <v>0</v>
      </c>
      <c r="G42" s="102">
        <f>IF($D$2="A",
D42*IFERROR(VLOOKUP(C42,'1.a Assumptions'!$G$19:$I$34,3,FALSE),0),
0)</f>
        <v>0</v>
      </c>
      <c r="H42" s="102">
        <f t="shared" ca="1" si="5"/>
        <v>0</v>
      </c>
    </row>
    <row r="43" spans="1:8" ht="15" customHeight="1" x14ac:dyDescent="0.3">
      <c r="A43" s="13"/>
      <c r="B43" s="57" t="str">
        <f t="shared" ca="1" si="10"/>
        <v/>
      </c>
      <c r="C43" s="71" t="str">
        <f t="shared" ca="1" si="3"/>
        <v/>
      </c>
      <c r="D43" s="102">
        <f t="shared" ca="1" si="11"/>
        <v>0</v>
      </c>
      <c r="E43" s="102">
        <f t="shared" ca="1" si="4"/>
        <v>0</v>
      </c>
      <c r="F43" s="102">
        <f ca="1">IF($D$2="A",
(D43-G43)*IFERROR(VLOOKUP(C43,'1.a Assumptions'!$G$19:$I$34,2,FALSE),0),
(D43-G43)*100%*(C43=$D$5-1))</f>
        <v>0</v>
      </c>
      <c r="G43" s="102">
        <f>IF($D$2="A",
D43*IFERROR(VLOOKUP(C43,'1.a Assumptions'!$G$19:$I$34,3,FALSE),0),
0)</f>
        <v>0</v>
      </c>
      <c r="H43" s="102">
        <f t="shared" ca="1" si="5"/>
        <v>0</v>
      </c>
    </row>
    <row r="44" spans="1:8" ht="15" customHeight="1" x14ac:dyDescent="0.3">
      <c r="A44" s="13"/>
      <c r="B44" s="57" t="str">
        <f t="shared" ca="1" si="10"/>
        <v/>
      </c>
      <c r="C44" s="71" t="str">
        <f t="shared" ref="C44:C75" ca="1" si="13">IF(C43="","",IF($D$2="A",C43+1,IF(C43+1&gt;$D$5,"",C43+1)))</f>
        <v/>
      </c>
      <c r="D44" s="102">
        <f t="shared" ca="1" si="11"/>
        <v>0</v>
      </c>
      <c r="E44" s="102">
        <f t="shared" ca="1" si="4"/>
        <v>0</v>
      </c>
      <c r="F44" s="102">
        <f ca="1">IF($D$2="A",
(D44-G44)*IFERROR(VLOOKUP(C44,'1.a Assumptions'!$G$19:$I$34,2,FALSE),0),
(D44-G44)*100%*(C44=$D$5-1))</f>
        <v>0</v>
      </c>
      <c r="G44" s="102">
        <f>IF($D$2="A",
D44*IFERROR(VLOOKUP(C44,'1.a Assumptions'!$G$19:$I$34,3,FALSE),0),
0)</f>
        <v>0</v>
      </c>
      <c r="H44" s="102">
        <f t="shared" ca="1" si="5"/>
        <v>0</v>
      </c>
    </row>
    <row r="45" spans="1:8" ht="15" customHeight="1" x14ac:dyDescent="0.3">
      <c r="A45" s="13"/>
      <c r="B45" s="57" t="str">
        <f t="shared" ca="1" si="10"/>
        <v/>
      </c>
      <c r="C45" s="71" t="str">
        <f t="shared" ca="1" si="13"/>
        <v/>
      </c>
      <c r="D45" s="102">
        <f t="shared" ca="1" si="11"/>
        <v>0</v>
      </c>
      <c r="E45" s="102">
        <f t="shared" ca="1" si="4"/>
        <v>0</v>
      </c>
      <c r="F45" s="102">
        <f ca="1">IF($D$2="A",
(D45-G45)*IFERROR(VLOOKUP(C45,'1.a Assumptions'!$G$19:$I$34,2,FALSE),0),
(D45-G45)*100%*(C45=$D$5-1))</f>
        <v>0</v>
      </c>
      <c r="G45" s="102">
        <f>IF($D$2="A",
D45*IFERROR(VLOOKUP(C45,'1.a Assumptions'!$G$19:$I$34,3,FALSE),0),
0)</f>
        <v>0</v>
      </c>
      <c r="H45" s="102">
        <f t="shared" ca="1" si="5"/>
        <v>0</v>
      </c>
    </row>
    <row r="46" spans="1:8" ht="15" customHeight="1" x14ac:dyDescent="0.3">
      <c r="A46" s="13"/>
      <c r="B46" s="57" t="str">
        <f t="shared" ca="1" si="10"/>
        <v/>
      </c>
      <c r="C46" s="71" t="str">
        <f t="shared" ca="1" si="13"/>
        <v/>
      </c>
      <c r="D46" s="102">
        <f t="shared" ca="1" si="11"/>
        <v>0</v>
      </c>
      <c r="E46" s="102">
        <f t="shared" ca="1" si="4"/>
        <v>0</v>
      </c>
      <c r="F46" s="102">
        <f ca="1">IF($D$2="A",
(D46-G46)*IFERROR(VLOOKUP(C46,'1.a Assumptions'!$G$19:$I$34,2,FALSE),0),
(D46-G46)*100%*(C46=$D$5-1))</f>
        <v>0</v>
      </c>
      <c r="G46" s="102">
        <f>IF($D$2="A",
D46*IFERROR(VLOOKUP(C46,'1.a Assumptions'!$G$19:$I$34,3,FALSE),0),
0)</f>
        <v>0</v>
      </c>
      <c r="H46" s="102">
        <f t="shared" ca="1" si="5"/>
        <v>0</v>
      </c>
    </row>
    <row r="47" spans="1:8" ht="15" customHeight="1" x14ac:dyDescent="0.3">
      <c r="A47" s="13"/>
      <c r="B47" s="57" t="str">
        <f t="shared" ca="1" si="10"/>
        <v/>
      </c>
      <c r="C47" s="71" t="str">
        <f t="shared" ca="1" si="13"/>
        <v/>
      </c>
      <c r="D47" s="102">
        <f t="shared" ca="1" si="11"/>
        <v>0</v>
      </c>
      <c r="E47" s="102">
        <f t="shared" ca="1" si="4"/>
        <v>0</v>
      </c>
      <c r="F47" s="102">
        <f ca="1">IF($D$2="A",
(D47-G47)*IFERROR(VLOOKUP(C47,'1.a Assumptions'!$G$19:$I$34,2,FALSE),0),
(D47-G47)*100%*(C47=$D$5-1))</f>
        <v>0</v>
      </c>
      <c r="G47" s="102">
        <f>IF($D$2="A",
D47*IFERROR(VLOOKUP(C47,'1.a Assumptions'!$G$19:$I$34,3,FALSE),0),
0)</f>
        <v>0</v>
      </c>
      <c r="H47" s="102">
        <f t="shared" ca="1" si="5"/>
        <v>0</v>
      </c>
    </row>
    <row r="48" spans="1:8" ht="15" customHeight="1" x14ac:dyDescent="0.3">
      <c r="A48" s="13"/>
      <c r="B48" s="57" t="str">
        <f t="shared" ca="1" si="10"/>
        <v/>
      </c>
      <c r="C48" s="71" t="str">
        <f t="shared" ca="1" si="13"/>
        <v/>
      </c>
      <c r="D48" s="102">
        <f t="shared" ca="1" si="11"/>
        <v>0</v>
      </c>
      <c r="E48" s="102">
        <f t="shared" ca="1" si="4"/>
        <v>0</v>
      </c>
      <c r="F48" s="102">
        <f ca="1">IF($D$2="A",
(D48-G48)*IFERROR(VLOOKUP(C48,'1.a Assumptions'!$G$19:$I$34,2,FALSE),0),
(D48-G48)*100%*(C48=$D$5-1))</f>
        <v>0</v>
      </c>
      <c r="G48" s="102">
        <f>IF($D$2="A",
D48*IFERROR(VLOOKUP(C48,'1.a Assumptions'!$G$19:$I$34,3,FALSE),0),
0)</f>
        <v>0</v>
      </c>
      <c r="H48" s="102">
        <f t="shared" ca="1" si="5"/>
        <v>0</v>
      </c>
    </row>
    <row r="49" spans="1:8" ht="15" customHeight="1" x14ac:dyDescent="0.3">
      <c r="A49" s="13"/>
      <c r="B49" s="57" t="str">
        <f t="shared" ca="1" si="10"/>
        <v/>
      </c>
      <c r="C49" s="71" t="str">
        <f t="shared" ca="1" si="13"/>
        <v/>
      </c>
      <c r="D49" s="102">
        <f t="shared" ca="1" si="11"/>
        <v>0</v>
      </c>
      <c r="E49" s="102">
        <f t="shared" ca="1" si="4"/>
        <v>0</v>
      </c>
      <c r="F49" s="102">
        <f ca="1">IF($D$2="A",
(D49-G49)*IFERROR(VLOOKUP(C49,'1.a Assumptions'!$G$19:$I$34,2,FALSE),0),
(D49-G49)*100%*(C49=$D$5-1))</f>
        <v>0</v>
      </c>
      <c r="G49" s="102">
        <f>IF($D$2="A",
D49*IFERROR(VLOOKUP(C49,'1.a Assumptions'!$G$19:$I$34,3,FALSE),0),
0)</f>
        <v>0</v>
      </c>
      <c r="H49" s="102">
        <f t="shared" ca="1" si="5"/>
        <v>0</v>
      </c>
    </row>
    <row r="50" spans="1:8" ht="15" customHeight="1" x14ac:dyDescent="0.3">
      <c r="A50" s="13"/>
      <c r="B50" s="57" t="str">
        <f t="shared" ca="1" si="10"/>
        <v/>
      </c>
      <c r="C50" s="71" t="str">
        <f t="shared" ca="1" si="13"/>
        <v/>
      </c>
      <c r="D50" s="102">
        <f t="shared" ca="1" si="11"/>
        <v>0</v>
      </c>
      <c r="E50" s="102">
        <f t="shared" ca="1" si="4"/>
        <v>0</v>
      </c>
      <c r="F50" s="102">
        <f ca="1">IF($D$2="A",
(D50-G50)*IFERROR(VLOOKUP(C50,'1.a Assumptions'!$G$19:$I$34,2,FALSE),0),
(D50-G50)*100%*(C50=$D$5-1))</f>
        <v>0</v>
      </c>
      <c r="G50" s="102">
        <f>IF($D$2="A",
D50*IFERROR(VLOOKUP(C50,'1.a Assumptions'!$G$19:$I$34,3,FALSE),0),
0)</f>
        <v>0</v>
      </c>
      <c r="H50" s="102">
        <f t="shared" ca="1" si="5"/>
        <v>0</v>
      </c>
    </row>
    <row r="51" spans="1:8" ht="15" customHeight="1" x14ac:dyDescent="0.3">
      <c r="A51" s="13"/>
      <c r="B51" s="57" t="str">
        <f t="shared" ca="1" si="10"/>
        <v/>
      </c>
      <c r="C51" s="71" t="str">
        <f t="shared" ca="1" si="13"/>
        <v/>
      </c>
      <c r="D51" s="102">
        <f t="shared" ca="1" si="11"/>
        <v>0</v>
      </c>
      <c r="E51" s="102">
        <f t="shared" ca="1" si="4"/>
        <v>0</v>
      </c>
      <c r="F51" s="102">
        <f ca="1">IF($D$2="A",
(D51-G51)*IFERROR(VLOOKUP(C51,'1.a Assumptions'!$G$19:$I$34,2,FALSE),0),
(D51-G51)*100%*(C51=$D$5-1))</f>
        <v>0</v>
      </c>
      <c r="G51" s="102">
        <f>IF($D$2="A",
D51*IFERROR(VLOOKUP(C51,'1.a Assumptions'!$G$19:$I$34,3,FALSE),0),
0)</f>
        <v>0</v>
      </c>
      <c r="H51" s="102">
        <f t="shared" ca="1" si="5"/>
        <v>0</v>
      </c>
    </row>
    <row r="52" spans="1:8" ht="15" customHeight="1" x14ac:dyDescent="0.3">
      <c r="A52" s="13"/>
      <c r="B52" s="57" t="str">
        <f t="shared" ca="1" si="10"/>
        <v/>
      </c>
      <c r="C52" s="71" t="str">
        <f t="shared" ca="1" si="13"/>
        <v/>
      </c>
      <c r="D52" s="102">
        <f t="shared" ca="1" si="11"/>
        <v>0</v>
      </c>
      <c r="E52" s="102">
        <f t="shared" ca="1" si="4"/>
        <v>0</v>
      </c>
      <c r="F52" s="102">
        <f ca="1">IF($D$2="A",
(D52-G52)*IFERROR(VLOOKUP(C52,'1.a Assumptions'!$G$19:$I$34,2,FALSE),0),
(D52-G52)*100%*(C52=$D$5-1))</f>
        <v>0</v>
      </c>
      <c r="G52" s="102">
        <f>IF($D$2="A",
D52*IFERROR(VLOOKUP(C52,'1.a Assumptions'!$G$19:$I$34,3,FALSE),0),
0)</f>
        <v>0</v>
      </c>
      <c r="H52" s="102">
        <f t="shared" ca="1" si="5"/>
        <v>0</v>
      </c>
    </row>
    <row r="53" spans="1:8" ht="15" customHeight="1" x14ac:dyDescent="0.3">
      <c r="A53" s="13"/>
      <c r="B53" s="57" t="str">
        <f t="shared" ca="1" si="10"/>
        <v/>
      </c>
      <c r="C53" s="71" t="str">
        <f t="shared" ca="1" si="13"/>
        <v/>
      </c>
      <c r="D53" s="102">
        <f t="shared" ca="1" si="11"/>
        <v>0</v>
      </c>
      <c r="E53" s="102">
        <f t="shared" ca="1" si="4"/>
        <v>0</v>
      </c>
      <c r="F53" s="102">
        <f ca="1">IF($D$2="A",
(D53-G53)*IFERROR(VLOOKUP(C53,'1.a Assumptions'!$G$19:$I$34,2,FALSE),0),
(D53-G53)*100%*(C53=$D$5-1))</f>
        <v>0</v>
      </c>
      <c r="G53" s="102">
        <f>IF($D$2="A",
D53*IFERROR(VLOOKUP(C53,'1.a Assumptions'!$G$19:$I$34,3,FALSE),0),
0)</f>
        <v>0</v>
      </c>
      <c r="H53" s="102">
        <f t="shared" ca="1" si="5"/>
        <v>0</v>
      </c>
    </row>
    <row r="54" spans="1:8" ht="15" customHeight="1" x14ac:dyDescent="0.3">
      <c r="A54" s="13"/>
      <c r="B54" s="57" t="str">
        <f t="shared" ca="1" si="10"/>
        <v/>
      </c>
      <c r="C54" s="71" t="str">
        <f t="shared" ca="1" si="13"/>
        <v/>
      </c>
      <c r="D54" s="102">
        <f t="shared" ca="1" si="11"/>
        <v>0</v>
      </c>
      <c r="E54" s="102">
        <f t="shared" ca="1" si="4"/>
        <v>0</v>
      </c>
      <c r="F54" s="102">
        <f ca="1">IF($D$2="A",
(D54-G54)*IFERROR(VLOOKUP(C54,'1.a Assumptions'!$G$19:$I$34,2,FALSE),0),
(D54-G54)*100%*(C54=$D$5-1))</f>
        <v>0</v>
      </c>
      <c r="G54" s="102">
        <f>IF($D$2="A",
D54*IFERROR(VLOOKUP(C54,'1.a Assumptions'!$G$19:$I$34,3,FALSE),0),
0)</f>
        <v>0</v>
      </c>
      <c r="H54" s="102">
        <f t="shared" ca="1" si="5"/>
        <v>0</v>
      </c>
    </row>
    <row r="55" spans="1:8" ht="15" customHeight="1" x14ac:dyDescent="0.3">
      <c r="A55" s="13"/>
      <c r="B55" s="57" t="str">
        <f t="shared" ca="1" si="10"/>
        <v/>
      </c>
      <c r="C55" s="71" t="str">
        <f t="shared" ca="1" si="13"/>
        <v/>
      </c>
      <c r="D55" s="102">
        <f t="shared" ca="1" si="11"/>
        <v>0</v>
      </c>
      <c r="E55" s="102">
        <f t="shared" ca="1" si="4"/>
        <v>0</v>
      </c>
      <c r="F55" s="102">
        <f ca="1">IF($D$2="A",
(D55-G55)*IFERROR(VLOOKUP(C55,'1.a Assumptions'!$G$19:$I$34,2,FALSE),0),
(D55-G55)*100%*(C55=$D$5-1))</f>
        <v>0</v>
      </c>
      <c r="G55" s="102">
        <f>IF($D$2="A",
D55*IFERROR(VLOOKUP(C55,'1.a Assumptions'!$G$19:$I$34,3,FALSE),0),
0)</f>
        <v>0</v>
      </c>
      <c r="H55" s="102">
        <f t="shared" ca="1" si="5"/>
        <v>0</v>
      </c>
    </row>
    <row r="56" spans="1:8" ht="15" customHeight="1" x14ac:dyDescent="0.3">
      <c r="A56" s="13"/>
      <c r="B56" s="57" t="str">
        <f t="shared" ca="1" si="10"/>
        <v/>
      </c>
      <c r="C56" s="71" t="str">
        <f t="shared" ca="1" si="13"/>
        <v/>
      </c>
      <c r="D56" s="102">
        <f t="shared" ca="1" si="11"/>
        <v>0</v>
      </c>
      <c r="E56" s="102">
        <f t="shared" ca="1" si="4"/>
        <v>0</v>
      </c>
      <c r="F56" s="102">
        <f ca="1">IF($D$2="A",
(D56-G56)*IFERROR(VLOOKUP(C56,'1.a Assumptions'!$G$19:$I$34,2,FALSE),0),
(D56-G56)*100%*(C56=$D$5-1))</f>
        <v>0</v>
      </c>
      <c r="G56" s="102">
        <f>IF($D$2="A",
D56*IFERROR(VLOOKUP(C56,'1.a Assumptions'!$G$19:$I$34,3,FALSE),0),
0)</f>
        <v>0</v>
      </c>
      <c r="H56" s="102">
        <f t="shared" ca="1" si="5"/>
        <v>0</v>
      </c>
    </row>
    <row r="57" spans="1:8" ht="15" customHeight="1" x14ac:dyDescent="0.3">
      <c r="A57" s="13"/>
      <c r="B57" s="57" t="str">
        <f t="shared" ca="1" si="10"/>
        <v/>
      </c>
      <c r="C57" s="71" t="str">
        <f t="shared" ca="1" si="13"/>
        <v/>
      </c>
      <c r="D57" s="102">
        <f t="shared" ca="1" si="11"/>
        <v>0</v>
      </c>
      <c r="E57" s="102">
        <f t="shared" ca="1" si="4"/>
        <v>0</v>
      </c>
      <c r="F57" s="102">
        <f ca="1">IF($D$2="A",
(D57-G57)*IFERROR(VLOOKUP(C57,'1.a Assumptions'!$G$19:$I$34,2,FALSE),0),
(D57-G57)*100%*(C57=$D$5-1))</f>
        <v>0</v>
      </c>
      <c r="G57" s="102">
        <f>IF($D$2="A",
D57*IFERROR(VLOOKUP(C57,'1.a Assumptions'!$G$19:$I$34,3,FALSE),0),
0)</f>
        <v>0</v>
      </c>
      <c r="H57" s="102">
        <f t="shared" ca="1" si="5"/>
        <v>0</v>
      </c>
    </row>
    <row r="58" spans="1:8" ht="15" customHeight="1" x14ac:dyDescent="0.3">
      <c r="A58" s="13"/>
      <c r="B58" s="57" t="str">
        <f t="shared" ca="1" si="10"/>
        <v/>
      </c>
      <c r="C58" s="71" t="str">
        <f t="shared" ca="1" si="13"/>
        <v/>
      </c>
      <c r="D58" s="102">
        <f t="shared" ca="1" si="11"/>
        <v>0</v>
      </c>
      <c r="E58" s="102">
        <f t="shared" ca="1" si="4"/>
        <v>0</v>
      </c>
      <c r="F58" s="102">
        <f ca="1">IF($D$2="A",
(D58-G58)*IFERROR(VLOOKUP(C58,'1.a Assumptions'!$G$19:$I$34,2,FALSE),0),
(D58-G58)*100%*(C58=$D$5-1))</f>
        <v>0</v>
      </c>
      <c r="G58" s="102">
        <f>IF($D$2="A",
D58*IFERROR(VLOOKUP(C58,'1.a Assumptions'!$G$19:$I$34,3,FALSE),0),
0)</f>
        <v>0</v>
      </c>
      <c r="H58" s="102">
        <f t="shared" ca="1" si="5"/>
        <v>0</v>
      </c>
    </row>
    <row r="59" spans="1:8" ht="15" customHeight="1" x14ac:dyDescent="0.3">
      <c r="A59" s="13"/>
      <c r="B59" s="57" t="str">
        <f t="shared" ca="1" si="10"/>
        <v/>
      </c>
      <c r="C59" s="71" t="str">
        <f t="shared" ca="1" si="13"/>
        <v/>
      </c>
      <c r="D59" s="102">
        <f t="shared" ca="1" si="11"/>
        <v>0</v>
      </c>
      <c r="E59" s="102">
        <f t="shared" ca="1" si="4"/>
        <v>0</v>
      </c>
      <c r="F59" s="102">
        <f ca="1">IF($D$2="A",
(D59-G59)*IFERROR(VLOOKUP(C59,'1.a Assumptions'!$G$19:$I$34,2,FALSE),0),
(D59-G59)*100%*(C59=$D$5-1))</f>
        <v>0</v>
      </c>
      <c r="G59" s="102">
        <f>IF($D$2="A",
D59*IFERROR(VLOOKUP(C59,'1.a Assumptions'!$G$19:$I$34,3,FALSE),0),
0)</f>
        <v>0</v>
      </c>
      <c r="H59" s="102">
        <f t="shared" ca="1" si="5"/>
        <v>0</v>
      </c>
    </row>
    <row r="60" spans="1:8" ht="15" customHeight="1" x14ac:dyDescent="0.3">
      <c r="A60" s="13"/>
      <c r="B60" s="57" t="str">
        <f t="shared" ca="1" si="10"/>
        <v/>
      </c>
      <c r="C60" s="71" t="str">
        <f t="shared" ca="1" si="13"/>
        <v/>
      </c>
      <c r="D60" s="102">
        <f t="shared" ca="1" si="11"/>
        <v>0</v>
      </c>
      <c r="E60" s="102">
        <f t="shared" ca="1" si="4"/>
        <v>0</v>
      </c>
      <c r="F60" s="102">
        <f ca="1">IF($D$2="A",
(D60-G60)*IFERROR(VLOOKUP(C60,'1.a Assumptions'!$G$19:$I$34,2,FALSE),0),
(D60-G60)*100%*(C60=$D$5-1))</f>
        <v>0</v>
      </c>
      <c r="G60" s="102">
        <f>IF($D$2="A",
D60*IFERROR(VLOOKUP(C60,'1.a Assumptions'!$G$19:$I$34,3,FALSE),0),
0)</f>
        <v>0</v>
      </c>
      <c r="H60" s="102">
        <f t="shared" ca="1" si="5"/>
        <v>0</v>
      </c>
    </row>
    <row r="61" spans="1:8" ht="15" customHeight="1" x14ac:dyDescent="0.3">
      <c r="A61" s="13"/>
      <c r="B61" s="57" t="str">
        <f t="shared" ca="1" si="10"/>
        <v/>
      </c>
      <c r="C61" s="71" t="str">
        <f t="shared" ca="1" si="13"/>
        <v/>
      </c>
      <c r="D61" s="102">
        <f t="shared" ca="1" si="11"/>
        <v>0</v>
      </c>
      <c r="E61" s="102">
        <f t="shared" ca="1" si="4"/>
        <v>0</v>
      </c>
      <c r="F61" s="102">
        <f ca="1">IF($D$2="A",
(D61-G61)*IFERROR(VLOOKUP(C61,'1.a Assumptions'!$G$19:$I$34,2,FALSE),0),
(D61-G61)*100%*(C61=$D$5-1))</f>
        <v>0</v>
      </c>
      <c r="G61" s="102">
        <f>IF($D$2="A",
D61*IFERROR(VLOOKUP(C61,'1.a Assumptions'!$G$19:$I$34,3,FALSE),0),
0)</f>
        <v>0</v>
      </c>
      <c r="H61" s="102">
        <f t="shared" ca="1" si="5"/>
        <v>0</v>
      </c>
    </row>
    <row r="62" spans="1:8" ht="15" customHeight="1" x14ac:dyDescent="0.3">
      <c r="A62" s="13"/>
      <c r="B62" s="57" t="str">
        <f t="shared" ca="1" si="10"/>
        <v/>
      </c>
      <c r="C62" s="71" t="str">
        <f t="shared" ca="1" si="13"/>
        <v/>
      </c>
      <c r="D62" s="102">
        <f t="shared" ca="1" si="11"/>
        <v>0</v>
      </c>
      <c r="E62" s="102">
        <f t="shared" ca="1" si="4"/>
        <v>0</v>
      </c>
      <c r="F62" s="102">
        <f ca="1">IF($D$2="A",
(D62-G62)*IFERROR(VLOOKUP(C62,'1.a Assumptions'!$G$19:$I$34,2,FALSE),0),
(D62-G62)*100%*(C62=$D$5-1))</f>
        <v>0</v>
      </c>
      <c r="G62" s="102">
        <f>IF($D$2="A",
D62*IFERROR(VLOOKUP(C62,'1.a Assumptions'!$G$19:$I$34,3,FALSE),0),
0)</f>
        <v>0</v>
      </c>
      <c r="H62" s="102">
        <f t="shared" ca="1" si="5"/>
        <v>0</v>
      </c>
    </row>
    <row r="63" spans="1:8" ht="15" customHeight="1" x14ac:dyDescent="0.3">
      <c r="A63" s="13"/>
      <c r="B63" s="57" t="str">
        <f t="shared" ca="1" si="10"/>
        <v/>
      </c>
      <c r="C63" s="71" t="str">
        <f t="shared" ca="1" si="13"/>
        <v/>
      </c>
      <c r="D63" s="102">
        <f t="shared" ca="1" si="11"/>
        <v>0</v>
      </c>
      <c r="E63" s="102">
        <f t="shared" ca="1" si="4"/>
        <v>0</v>
      </c>
      <c r="F63" s="102">
        <f ca="1">IF($D$2="A",
(D63-G63)*IFERROR(VLOOKUP(C63,'1.a Assumptions'!$G$19:$I$34,2,FALSE),0),
(D63-G63)*100%*(C63=$D$5-1))</f>
        <v>0</v>
      </c>
      <c r="G63" s="102">
        <f>IF($D$2="A",
D63*IFERROR(VLOOKUP(C63,'1.a Assumptions'!$G$19:$I$34,3,FALSE),0),
0)</f>
        <v>0</v>
      </c>
      <c r="H63" s="102">
        <f t="shared" ca="1" si="5"/>
        <v>0</v>
      </c>
    </row>
    <row r="64" spans="1:8" ht="15" customHeight="1" x14ac:dyDescent="0.3">
      <c r="A64" s="13"/>
      <c r="B64" s="57" t="str">
        <f t="shared" ca="1" si="10"/>
        <v/>
      </c>
      <c r="C64" s="71" t="str">
        <f t="shared" ca="1" si="13"/>
        <v/>
      </c>
      <c r="D64" s="102">
        <f t="shared" ca="1" si="11"/>
        <v>0</v>
      </c>
      <c r="E64" s="102">
        <f t="shared" ca="1" si="4"/>
        <v>0</v>
      </c>
      <c r="F64" s="102">
        <f ca="1">IF($D$2="A",
(D64-G64)*IFERROR(VLOOKUP(C64,'1.a Assumptions'!$G$19:$I$34,2,FALSE),0),
(D64-G64)*100%*(C64=$D$5-1))</f>
        <v>0</v>
      </c>
      <c r="G64" s="102">
        <f>IF($D$2="A",
D64*IFERROR(VLOOKUP(C64,'1.a Assumptions'!$G$19:$I$34,3,FALSE),0),
0)</f>
        <v>0</v>
      </c>
      <c r="H64" s="102">
        <f t="shared" ca="1" si="5"/>
        <v>0</v>
      </c>
    </row>
    <row r="65" spans="1:8" ht="15" customHeight="1" x14ac:dyDescent="0.3">
      <c r="A65" s="13"/>
      <c r="B65" s="57" t="str">
        <f t="shared" ca="1" si="10"/>
        <v/>
      </c>
      <c r="C65" s="71" t="str">
        <f t="shared" ca="1" si="13"/>
        <v/>
      </c>
      <c r="D65" s="102">
        <f t="shared" ca="1" si="11"/>
        <v>0</v>
      </c>
      <c r="E65" s="102">
        <f t="shared" ca="1" si="4"/>
        <v>0</v>
      </c>
      <c r="F65" s="102">
        <f ca="1">IF($D$2="A",
(D65-G65)*IFERROR(VLOOKUP(C65,'1.a Assumptions'!$G$19:$I$34,2,FALSE),0),
(D65-G65)*100%*(C65=$D$5-1))</f>
        <v>0</v>
      </c>
      <c r="G65" s="102">
        <f>IF($D$2="A",
D65*IFERROR(VLOOKUP(C65,'1.a Assumptions'!$G$19:$I$34,3,FALSE),0),
0)</f>
        <v>0</v>
      </c>
      <c r="H65" s="102">
        <f t="shared" ca="1" si="5"/>
        <v>0</v>
      </c>
    </row>
    <row r="66" spans="1:8" ht="15" customHeight="1" x14ac:dyDescent="0.3">
      <c r="A66" s="13"/>
      <c r="B66" s="57" t="str">
        <f t="shared" ca="1" si="10"/>
        <v/>
      </c>
      <c r="C66" s="71" t="str">
        <f t="shared" ca="1" si="13"/>
        <v/>
      </c>
      <c r="D66" s="102">
        <f t="shared" ca="1" si="11"/>
        <v>0</v>
      </c>
      <c r="E66" s="102">
        <f t="shared" ca="1" si="4"/>
        <v>0</v>
      </c>
      <c r="F66" s="102">
        <f ca="1">IF($D$2="A",
(D66-G66)*IFERROR(VLOOKUP(C66,'1.a Assumptions'!$G$19:$I$34,2,FALSE),0),
(D66-G66)*100%*(C66=$D$5-1))</f>
        <v>0</v>
      </c>
      <c r="G66" s="102">
        <f>IF($D$2="A",
D66*IFERROR(VLOOKUP(C66,'1.a Assumptions'!$G$19:$I$34,3,FALSE),0),
0)</f>
        <v>0</v>
      </c>
      <c r="H66" s="102">
        <f t="shared" ca="1" si="5"/>
        <v>0</v>
      </c>
    </row>
    <row r="67" spans="1:8" ht="15" customHeight="1" x14ac:dyDescent="0.3">
      <c r="A67" s="13"/>
      <c r="B67" s="57" t="str">
        <f t="shared" ca="1" si="10"/>
        <v/>
      </c>
      <c r="C67" s="71" t="str">
        <f t="shared" ca="1" si="13"/>
        <v/>
      </c>
      <c r="D67" s="102">
        <f t="shared" ca="1" si="11"/>
        <v>0</v>
      </c>
      <c r="E67" s="102">
        <f t="shared" ca="1" si="4"/>
        <v>0</v>
      </c>
      <c r="F67" s="102">
        <f ca="1">IF($D$2="A",
(D67-G67)*IFERROR(VLOOKUP(C67,'1.a Assumptions'!$G$19:$I$34,2,FALSE),0),
(D67-G67)*100%*(C67=$D$5-1))</f>
        <v>0</v>
      </c>
      <c r="G67" s="102">
        <f>IF($D$2="A",
D67*IFERROR(VLOOKUP(C67,'1.a Assumptions'!$G$19:$I$34,3,FALSE),0),
0)</f>
        <v>0</v>
      </c>
      <c r="H67" s="102">
        <f t="shared" ca="1" si="5"/>
        <v>0</v>
      </c>
    </row>
    <row r="68" spans="1:8" ht="15" customHeight="1" x14ac:dyDescent="0.3">
      <c r="A68" s="13"/>
      <c r="B68" s="57" t="str">
        <f t="shared" ca="1" si="10"/>
        <v/>
      </c>
      <c r="C68" s="71" t="str">
        <f t="shared" ca="1" si="13"/>
        <v/>
      </c>
      <c r="D68" s="102">
        <f t="shared" ca="1" si="11"/>
        <v>0</v>
      </c>
      <c r="E68" s="102">
        <f t="shared" ca="1" si="4"/>
        <v>0</v>
      </c>
      <c r="F68" s="102">
        <f ca="1">IF($D$2="A",
(D68-G68)*IFERROR(VLOOKUP(C68,'1.a Assumptions'!$G$19:$I$34,2,FALSE),0),
(D68-G68)*100%*(C68=$D$5-1))</f>
        <v>0</v>
      </c>
      <c r="G68" s="102">
        <f>IF($D$2="A",
D68*IFERROR(VLOOKUP(C68,'1.a Assumptions'!$G$19:$I$34,3,FALSE),0),
0)</f>
        <v>0</v>
      </c>
      <c r="H68" s="102">
        <f t="shared" ca="1" si="5"/>
        <v>0</v>
      </c>
    </row>
    <row r="69" spans="1:8" ht="15" customHeight="1" x14ac:dyDescent="0.3">
      <c r="A69" s="13"/>
      <c r="B69" s="57" t="str">
        <f t="shared" ca="1" si="10"/>
        <v/>
      </c>
      <c r="C69" s="71" t="str">
        <f t="shared" ca="1" si="13"/>
        <v/>
      </c>
      <c r="D69" s="102">
        <f t="shared" ca="1" si="11"/>
        <v>0</v>
      </c>
      <c r="E69" s="102">
        <f t="shared" ca="1" si="4"/>
        <v>0</v>
      </c>
      <c r="F69" s="102">
        <f ca="1">IF($D$2="A",
(D69-G69)*IFERROR(VLOOKUP(C69,'1.a Assumptions'!$G$19:$I$34,2,FALSE),0),
(D69-G69)*100%*(C69=$D$5-1))</f>
        <v>0</v>
      </c>
      <c r="G69" s="102">
        <f>IF($D$2="A",
D69*IFERROR(VLOOKUP(C69,'1.a Assumptions'!$G$19:$I$34,3,FALSE),0),
0)</f>
        <v>0</v>
      </c>
      <c r="H69" s="102">
        <f t="shared" ca="1" si="5"/>
        <v>0</v>
      </c>
    </row>
    <row r="70" spans="1:8" ht="15" customHeight="1" x14ac:dyDescent="0.3">
      <c r="A70" s="13"/>
      <c r="B70" s="57" t="str">
        <f t="shared" ca="1" si="10"/>
        <v/>
      </c>
      <c r="C70" s="71" t="str">
        <f t="shared" ca="1" si="13"/>
        <v/>
      </c>
      <c r="D70" s="102">
        <f t="shared" ca="1" si="11"/>
        <v>0</v>
      </c>
      <c r="E70" s="102">
        <f t="shared" ca="1" si="4"/>
        <v>0</v>
      </c>
      <c r="F70" s="102">
        <f ca="1">IF($D$2="A",
(D70-G70)*IFERROR(VLOOKUP(C70,'1.a Assumptions'!$G$19:$I$34,2,FALSE),0),
(D70-G70)*100%*(C70=$D$5-1))</f>
        <v>0</v>
      </c>
      <c r="G70" s="102">
        <f>IF($D$2="A",
D70*IFERROR(VLOOKUP(C70,'1.a Assumptions'!$G$19:$I$34,3,FALSE),0),
0)</f>
        <v>0</v>
      </c>
      <c r="H70" s="102">
        <f t="shared" ca="1" si="5"/>
        <v>0</v>
      </c>
    </row>
    <row r="71" spans="1:8" ht="15" customHeight="1" x14ac:dyDescent="0.3">
      <c r="A71" s="13"/>
      <c r="B71" s="57" t="str">
        <f t="shared" ca="1" si="10"/>
        <v/>
      </c>
      <c r="C71" s="71" t="str">
        <f t="shared" ca="1" si="13"/>
        <v/>
      </c>
      <c r="D71" s="102">
        <f t="shared" ca="1" si="11"/>
        <v>0</v>
      </c>
      <c r="E71" s="102">
        <f t="shared" ca="1" si="4"/>
        <v>0</v>
      </c>
      <c r="F71" s="102">
        <f ca="1">IF($D$2="A",
(D71-G71)*IFERROR(VLOOKUP(C71,'1.a Assumptions'!$G$19:$I$34,2,FALSE),0),
(D71-G71)*100%*(C71=$D$5-1))</f>
        <v>0</v>
      </c>
      <c r="G71" s="102">
        <f>IF($D$2="A",
D71*IFERROR(VLOOKUP(C71,'1.a Assumptions'!$G$19:$I$34,3,FALSE),0),
0)</f>
        <v>0</v>
      </c>
      <c r="H71" s="102">
        <f t="shared" ca="1" si="5"/>
        <v>0</v>
      </c>
    </row>
    <row r="72" spans="1:8" ht="15" customHeight="1" x14ac:dyDescent="0.3">
      <c r="A72" s="13"/>
      <c r="B72" s="57" t="str">
        <f t="shared" ca="1" si="10"/>
        <v/>
      </c>
      <c r="C72" s="71" t="str">
        <f t="shared" ca="1" si="13"/>
        <v/>
      </c>
      <c r="D72" s="102">
        <f t="shared" ca="1" si="11"/>
        <v>0</v>
      </c>
      <c r="E72" s="102">
        <f t="shared" ca="1" si="4"/>
        <v>0</v>
      </c>
      <c r="F72" s="102">
        <f ca="1">IF($D$2="A",
(D72-G72)*IFERROR(VLOOKUP(C72,'1.a Assumptions'!$G$19:$I$34,2,FALSE),0),
(D72-G72)*100%*(C72=$D$5-1))</f>
        <v>0</v>
      </c>
      <c r="G72" s="102">
        <f>IF($D$2="A",
D72*IFERROR(VLOOKUP(C72,'1.a Assumptions'!$G$19:$I$34,3,FALSE),0),
0)</f>
        <v>0</v>
      </c>
      <c r="H72" s="102">
        <f t="shared" ca="1" si="5"/>
        <v>0</v>
      </c>
    </row>
    <row r="73" spans="1:8" ht="15" customHeight="1" x14ac:dyDescent="0.3">
      <c r="A73" s="13"/>
      <c r="B73" s="57" t="str">
        <f t="shared" ca="1" si="10"/>
        <v/>
      </c>
      <c r="C73" s="71" t="str">
        <f t="shared" ca="1" si="13"/>
        <v/>
      </c>
      <c r="D73" s="102">
        <f t="shared" ca="1" si="11"/>
        <v>0</v>
      </c>
      <c r="E73" s="102">
        <f t="shared" ca="1" si="4"/>
        <v>0</v>
      </c>
      <c r="F73" s="102">
        <f ca="1">IF($D$2="A",
(D73-G73)*IFERROR(VLOOKUP(C73,'1.a Assumptions'!$G$19:$I$34,2,FALSE),0),
(D73-G73)*100%*(C73=$D$5-1))</f>
        <v>0</v>
      </c>
      <c r="G73" s="102">
        <f>IF($D$2="A",
D73*IFERROR(VLOOKUP(C73,'1.a Assumptions'!$G$19:$I$34,3,FALSE),0),
0)</f>
        <v>0</v>
      </c>
      <c r="H73" s="102">
        <f t="shared" ca="1" si="5"/>
        <v>0</v>
      </c>
    </row>
    <row r="74" spans="1:8" ht="15" customHeight="1" x14ac:dyDescent="0.3">
      <c r="A74" s="13"/>
      <c r="B74" s="57" t="str">
        <f t="shared" ca="1" si="10"/>
        <v/>
      </c>
      <c r="C74" s="71" t="str">
        <f t="shared" ca="1" si="13"/>
        <v/>
      </c>
      <c r="D74" s="102">
        <f t="shared" ca="1" si="11"/>
        <v>0</v>
      </c>
      <c r="E74" s="102">
        <f t="shared" ca="1" si="4"/>
        <v>0</v>
      </c>
      <c r="F74" s="102">
        <f ca="1">IF($D$2="A",
(D74-G74)*IFERROR(VLOOKUP(C74,'1.a Assumptions'!$G$19:$I$34,2,FALSE),0),
(D74-G74)*100%*(C74=$D$5-1))</f>
        <v>0</v>
      </c>
      <c r="G74" s="102">
        <f>IF($D$2="A",
D74*IFERROR(VLOOKUP(C74,'1.a Assumptions'!$G$19:$I$34,3,FALSE),0),
0)</f>
        <v>0</v>
      </c>
      <c r="H74" s="102">
        <f t="shared" ca="1" si="5"/>
        <v>0</v>
      </c>
    </row>
    <row r="75" spans="1:8" ht="15" customHeight="1" x14ac:dyDescent="0.3">
      <c r="A75" s="13"/>
      <c r="B75" s="57" t="str">
        <f t="shared" ca="1" si="10"/>
        <v/>
      </c>
      <c r="C75" s="71" t="str">
        <f t="shared" ca="1" si="13"/>
        <v/>
      </c>
      <c r="D75" s="102">
        <f t="shared" ca="1" si="11"/>
        <v>0</v>
      </c>
      <c r="E75" s="102">
        <f t="shared" ca="1" si="4"/>
        <v>0</v>
      </c>
      <c r="F75" s="102">
        <f ca="1">IF($D$2="A",
(D75-G75)*IFERROR(VLOOKUP(C75,'1.a Assumptions'!$G$19:$I$34,2,FALSE),0),
(D75-G75)*100%*(C75=$D$5-1))</f>
        <v>0</v>
      </c>
      <c r="G75" s="102">
        <f>IF($D$2="A",
D75*IFERROR(VLOOKUP(C75,'1.a Assumptions'!$G$19:$I$34,3,FALSE),0),
0)</f>
        <v>0</v>
      </c>
      <c r="H75" s="102">
        <f t="shared" ca="1" si="5"/>
        <v>0</v>
      </c>
    </row>
    <row r="76" spans="1:8" ht="15" customHeight="1" x14ac:dyDescent="0.3">
      <c r="A76" s="13"/>
      <c r="B76" s="57" t="str">
        <f t="shared" ca="1" si="10"/>
        <v/>
      </c>
      <c r="C76" s="71" t="str">
        <f t="shared" ref="C76:C81" ca="1" si="14">IF(C75="","",IF($D$2="A",C75+1,IF(C75+1&gt;$D$5,"",C75+1)))</f>
        <v/>
      </c>
      <c r="D76" s="102">
        <f t="shared" ca="1" si="11"/>
        <v>0</v>
      </c>
      <c r="E76" s="102">
        <f t="shared" ref="E76:E81" ca="1" si="15">IF($D$2="A",(D76-G76)*INDIRECT("withdraw_rate_"&amp;$D$2)*(C76&lt;$D$5),(D76-G76)*INDIRECT("withdraw_rate_"&amp;$D$2)*(C76&lt;&gt;$D$5-1))</f>
        <v>0</v>
      </c>
      <c r="F76" s="102">
        <f ca="1">IF($D$2="A",
(D76-G76)*IFERROR(VLOOKUP(C76,'1.a Assumptions'!$G$19:$I$34,2,FALSE),0),
(D76-G76)*100%*(C76=$D$5-1))</f>
        <v>0</v>
      </c>
      <c r="G76" s="102">
        <f>IF($D$2="A",
D76*IFERROR(VLOOKUP(C76,'1.a Assumptions'!$G$19:$I$34,3,FALSE),0),
0)</f>
        <v>0</v>
      </c>
      <c r="H76" s="102">
        <f t="shared" ref="H76:H81" ca="1" si="16">D76-E76-F76-G76</f>
        <v>0</v>
      </c>
    </row>
    <row r="77" spans="1:8" ht="15" customHeight="1" x14ac:dyDescent="0.3">
      <c r="A77" s="13"/>
      <c r="B77" s="57" t="str">
        <f t="shared" ref="B77:B81" ca="1" si="17">IF($C77="","",B76+1)</f>
        <v/>
      </c>
      <c r="C77" s="71" t="str">
        <f t="shared" ca="1" si="14"/>
        <v/>
      </c>
      <c r="D77" s="102">
        <f t="shared" ref="D77:D81" ca="1" si="18">H76</f>
        <v>0</v>
      </c>
      <c r="E77" s="102">
        <f t="shared" ca="1" si="15"/>
        <v>0</v>
      </c>
      <c r="F77" s="102">
        <f ca="1">IF($D$2="A",
(D77-G77)*IFERROR(VLOOKUP(C77,'1.a Assumptions'!$G$19:$I$34,2,FALSE),0),
(D77-G77)*100%*(C77=$D$5-1))</f>
        <v>0</v>
      </c>
      <c r="G77" s="102">
        <f>IF($D$2="A",
D77*IFERROR(VLOOKUP(C77,'1.a Assumptions'!$G$19:$I$34,3,FALSE),0),
0)</f>
        <v>0</v>
      </c>
      <c r="H77" s="102">
        <f t="shared" ca="1" si="16"/>
        <v>0</v>
      </c>
    </row>
    <row r="78" spans="1:8" ht="15" customHeight="1" x14ac:dyDescent="0.3">
      <c r="A78" s="13"/>
      <c r="B78" s="57" t="str">
        <f t="shared" ca="1" si="17"/>
        <v/>
      </c>
      <c r="C78" s="71" t="str">
        <f t="shared" ca="1" si="14"/>
        <v/>
      </c>
      <c r="D78" s="102">
        <f t="shared" ca="1" si="18"/>
        <v>0</v>
      </c>
      <c r="E78" s="102">
        <f t="shared" ca="1" si="15"/>
        <v>0</v>
      </c>
      <c r="F78" s="102">
        <f ca="1">IF($D$2="A",
(D78-G78)*IFERROR(VLOOKUP(C78,'1.a Assumptions'!$G$19:$I$34,2,FALSE),0),
(D78-G78)*100%*(C78=$D$5-1))</f>
        <v>0</v>
      </c>
      <c r="G78" s="102">
        <f>IF($D$2="A",
D78*IFERROR(VLOOKUP(C78,'1.a Assumptions'!$G$19:$I$34,3,FALSE),0),
0)</f>
        <v>0</v>
      </c>
      <c r="H78" s="102">
        <f t="shared" ca="1" si="16"/>
        <v>0</v>
      </c>
    </row>
    <row r="79" spans="1:8" ht="15" customHeight="1" x14ac:dyDescent="0.3">
      <c r="A79" s="13"/>
      <c r="B79" s="57" t="str">
        <f t="shared" ca="1" si="17"/>
        <v/>
      </c>
      <c r="C79" s="71" t="str">
        <f t="shared" ca="1" si="14"/>
        <v/>
      </c>
      <c r="D79" s="102">
        <f t="shared" ca="1" si="18"/>
        <v>0</v>
      </c>
      <c r="E79" s="102">
        <f t="shared" ca="1" si="15"/>
        <v>0</v>
      </c>
      <c r="F79" s="102">
        <f ca="1">IF($D$2="A",
(D79-G79)*IFERROR(VLOOKUP(C79,'1.a Assumptions'!$G$19:$I$34,2,FALSE),0),
(D79-G79)*100%*(C79=$D$5-1))</f>
        <v>0</v>
      </c>
      <c r="G79" s="102">
        <f>IF($D$2="A",
D79*IFERROR(VLOOKUP(C79,'1.a Assumptions'!$G$19:$I$34,3,FALSE),0),
0)</f>
        <v>0</v>
      </c>
      <c r="H79" s="102">
        <f t="shared" ca="1" si="16"/>
        <v>0</v>
      </c>
    </row>
    <row r="80" spans="1:8" ht="15" customHeight="1" x14ac:dyDescent="0.3">
      <c r="A80" s="13"/>
      <c r="B80" s="57" t="str">
        <f t="shared" ca="1" si="17"/>
        <v/>
      </c>
      <c r="C80" s="71" t="str">
        <f t="shared" ca="1" si="14"/>
        <v/>
      </c>
      <c r="D80" s="102">
        <f t="shared" ca="1" si="18"/>
        <v>0</v>
      </c>
      <c r="E80" s="102">
        <f t="shared" ca="1" si="15"/>
        <v>0</v>
      </c>
      <c r="F80" s="102">
        <f ca="1">IF($D$2="A",
(D80-G80)*IFERROR(VLOOKUP(C80,'1.a Assumptions'!$G$19:$I$34,2,FALSE),0),
(D80-G80)*100%*(C80=$D$5-1))</f>
        <v>0</v>
      </c>
      <c r="G80" s="102">
        <f>IF($D$2="A",
D80*IFERROR(VLOOKUP(C80,'1.a Assumptions'!$G$19:$I$34,3,FALSE),0),
0)</f>
        <v>0</v>
      </c>
      <c r="H80" s="102">
        <f t="shared" ca="1" si="16"/>
        <v>0</v>
      </c>
    </row>
    <row r="81" spans="1:8" ht="15" customHeight="1" x14ac:dyDescent="0.3">
      <c r="A81" s="13"/>
      <c r="B81" s="57" t="str">
        <f t="shared" ca="1" si="17"/>
        <v/>
      </c>
      <c r="C81" s="71" t="str">
        <f t="shared" ca="1" si="14"/>
        <v/>
      </c>
      <c r="D81" s="102">
        <f t="shared" ca="1" si="18"/>
        <v>0</v>
      </c>
      <c r="E81" s="102">
        <f t="shared" ca="1" si="15"/>
        <v>0</v>
      </c>
      <c r="F81" s="102">
        <f ca="1">IF($D$2="A",
(D81-G81)*IFERROR(VLOOKUP(C81,'1.a Assumptions'!$G$19:$I$34,2,FALSE),0),
(D81-G81)*100%*(C81=$D$5-1))</f>
        <v>0</v>
      </c>
      <c r="G81" s="102">
        <f>IF($D$2="A",
D81*IFERROR(VLOOKUP(C81,'1.a Assumptions'!$G$19:$I$34,3,FALSE),0),
0)</f>
        <v>0</v>
      </c>
      <c r="H81" s="102">
        <f t="shared" ca="1" si="16"/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AC87"/>
  <sheetViews>
    <sheetView zoomScale="85" zoomScaleNormal="85" workbookViewId="0"/>
  </sheetViews>
  <sheetFormatPr defaultRowHeight="15" x14ac:dyDescent="0.25"/>
  <cols>
    <col min="1" max="1" width="3" customWidth="1"/>
    <col min="2" max="2" width="14.85546875" customWidth="1"/>
    <col min="3" max="3" width="17.85546875" bestFit="1" customWidth="1"/>
    <col min="4" max="4" width="11.140625" customWidth="1"/>
    <col min="5" max="5" width="16.28515625" customWidth="1"/>
    <col min="6" max="6" width="17.7109375" bestFit="1" customWidth="1"/>
    <col min="7" max="7" width="12.140625" customWidth="1"/>
    <col min="8" max="8" width="16.85546875" customWidth="1"/>
    <col min="9" max="9" width="15.7109375" customWidth="1"/>
    <col min="10" max="10" width="16.7109375" customWidth="1"/>
    <col min="11" max="18" width="15.7109375" customWidth="1"/>
    <col min="19" max="19" width="2.140625" customWidth="1"/>
    <col min="20" max="20" width="13" customWidth="1"/>
    <col min="21" max="21" width="14.28515625" bestFit="1" customWidth="1"/>
    <col min="22" max="23" width="11.5703125" bestFit="1" customWidth="1"/>
    <col min="24" max="24" width="10.5703125" bestFit="1" customWidth="1"/>
    <col min="25" max="29" width="11.5703125" bestFit="1" customWidth="1"/>
  </cols>
  <sheetData>
    <row r="1" spans="1:29" ht="15" customHeight="1" thickBot="1" x14ac:dyDescent="0.3">
      <c r="A1" s="103" t="s">
        <v>32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ht="15" customHeight="1" thickBot="1" x14ac:dyDescent="0.3">
      <c r="A2" s="13"/>
      <c r="B2" s="15" t="s">
        <v>12</v>
      </c>
      <c r="C2" s="16" t="s">
        <v>19</v>
      </c>
      <c r="D2" s="114" t="str">
        <f>RIGHT($B$3,1)</f>
        <v>B</v>
      </c>
      <c r="E2" s="13"/>
      <c r="F2" s="13"/>
      <c r="G2" s="13"/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ht="15" customHeight="1" thickBot="1" x14ac:dyDescent="0.3">
      <c r="A3" s="13"/>
      <c r="B3" s="20" t="str">
        <f>'1.c EAN_Projection'!B3</f>
        <v>45B</v>
      </c>
      <c r="C3" s="16" t="s">
        <v>49</v>
      </c>
      <c r="D3" s="114">
        <f>VLOOKUP($B$3,'opening demographics'!$A$1:$E$11,3,FALSE)</f>
        <v>240</v>
      </c>
      <c r="E3" s="13"/>
      <c r="F3" s="21" t="s">
        <v>46</v>
      </c>
      <c r="G3" s="22" t="str">
        <f>B3</f>
        <v>45B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ht="15" customHeight="1" x14ac:dyDescent="0.25">
      <c r="A4" s="13"/>
      <c r="B4" s="13"/>
      <c r="C4" s="16" t="s">
        <v>20</v>
      </c>
      <c r="D4" s="114">
        <f>VALUE(LEFT($B$3,2))</f>
        <v>45</v>
      </c>
      <c r="E4" s="13"/>
      <c r="F4" s="28" t="s">
        <v>47</v>
      </c>
      <c r="G4" s="29">
        <f>D3</f>
        <v>240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  <c r="R4" s="12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15" customHeight="1" x14ac:dyDescent="0.25">
      <c r="A5" s="13"/>
      <c r="B5" s="13"/>
      <c r="C5" s="16" t="s">
        <v>21</v>
      </c>
      <c r="D5" s="114">
        <f ca="1">INDIRECT("NRA_"&amp;$D$2)</f>
        <v>60</v>
      </c>
      <c r="E5" s="13"/>
      <c r="F5" s="28" t="s">
        <v>79</v>
      </c>
      <c r="G5" s="35">
        <f ca="1">I17</f>
        <v>2837.7327056022714</v>
      </c>
      <c r="H5" s="30">
        <v>8103.2273173852627</v>
      </c>
      <c r="I5" s="31">
        <v>13836.139106456934</v>
      </c>
      <c r="J5" s="31">
        <v>17222.433977073932</v>
      </c>
      <c r="K5" s="31">
        <v>19174.959866205161</v>
      </c>
      <c r="L5" s="32">
        <v>25912.107927304274</v>
      </c>
      <c r="M5" s="33">
        <v>1325.6566655769814</v>
      </c>
      <c r="N5" s="31">
        <v>2153.4261960311333</v>
      </c>
      <c r="O5" s="31">
        <v>2837.7327056022714</v>
      </c>
      <c r="P5" s="31">
        <v>3712.9768890949822</v>
      </c>
      <c r="Q5" s="34">
        <v>4480.8394891784646</v>
      </c>
      <c r="R5" s="121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ht="15" customHeight="1" x14ac:dyDescent="0.25">
      <c r="A6" s="13"/>
      <c r="B6" s="13"/>
      <c r="C6" s="16" t="s">
        <v>22</v>
      </c>
      <c r="D6" s="115">
        <f ca="1">INDIRECT("accrual_rate_"&amp;$D$2)</f>
        <v>0.05</v>
      </c>
      <c r="E6" s="13"/>
      <c r="F6" s="28" t="s">
        <v>486</v>
      </c>
      <c r="G6" s="35">
        <f ca="1">E18</f>
        <v>96069.488001030244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  <c r="R6" s="121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ht="25.5" x14ac:dyDescent="0.25">
      <c r="A7" s="13"/>
      <c r="B7" s="13"/>
      <c r="C7" s="16" t="s">
        <v>23</v>
      </c>
      <c r="D7" s="116">
        <f>VLOOKUP($B$3,'opening demographics'!$A$1:$E$11,4,FALSE)</f>
        <v>95000</v>
      </c>
      <c r="E7" s="13"/>
      <c r="F7" s="113" t="str">
        <f>"Total surplus / deficit at EOY "&amp;$Q$15</f>
        <v>Total surplus / deficit at EOY 15</v>
      </c>
      <c r="G7" s="85">
        <f ca="1">R17</f>
        <v>2569892.9363522241</v>
      </c>
      <c r="H7" s="30">
        <v>528260.13261297031</v>
      </c>
      <c r="I7" s="31">
        <v>468388.1678360682</v>
      </c>
      <c r="J7" s="31">
        <v>501772.99935551023</v>
      </c>
      <c r="K7" s="31">
        <v>1.0368239600211382E-9</v>
      </c>
      <c r="L7" s="32">
        <v>0</v>
      </c>
      <c r="M7" s="31">
        <v>1050467.5906922861</v>
      </c>
      <c r="N7" s="31">
        <v>1787660.2199389504</v>
      </c>
      <c r="O7" s="31">
        <v>2569892.9363522241</v>
      </c>
      <c r="P7" s="31">
        <v>215436.61385549369</v>
      </c>
      <c r="Q7" s="34">
        <v>11208.028482225154</v>
      </c>
      <c r="R7" s="122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ht="15" customHeight="1" thickBot="1" x14ac:dyDescent="0.3">
      <c r="A8" s="13"/>
      <c r="B8" s="13"/>
      <c r="C8" s="16" t="s">
        <v>24</v>
      </c>
      <c r="D8" s="117">
        <f ca="1">INDIRECT("e_"&amp;$D$2)</f>
        <v>1.1257768431897297E-2</v>
      </c>
      <c r="E8" s="13"/>
      <c r="F8" s="38" t="s">
        <v>18</v>
      </c>
      <c r="G8" s="39" t="str">
        <f ca="1">U16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ht="15" customHeight="1" x14ac:dyDescent="0.25">
      <c r="A9" s="13"/>
      <c r="B9" s="13"/>
      <c r="E9" s="13"/>
      <c r="F9" s="13"/>
      <c r="G9" s="13"/>
      <c r="H9" s="45" t="s">
        <v>51</v>
      </c>
      <c r="I9" s="46" t="s">
        <v>6</v>
      </c>
      <c r="J9" s="46" t="s">
        <v>5</v>
      </c>
      <c r="K9" s="47"/>
      <c r="L9" s="47"/>
      <c r="M9" s="157" t="s">
        <v>483</v>
      </c>
      <c r="N9" s="142"/>
      <c r="O9" s="142"/>
      <c r="P9" s="142"/>
      <c r="Q9" s="48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ht="15" customHeight="1" x14ac:dyDescent="0.25">
      <c r="A10" s="13"/>
      <c r="B10" s="13"/>
      <c r="C10" s="13"/>
      <c r="D10" s="13"/>
      <c r="E10" s="13"/>
      <c r="F10" s="13"/>
      <c r="G10" s="13"/>
      <c r="H10" s="49" t="s">
        <v>43</v>
      </c>
      <c r="I10" s="50">
        <f>SUMPRODUCT(H4:L4,H5:L5)</f>
        <v>1624774.7281849489</v>
      </c>
      <c r="J10" s="50">
        <f>SUMPRODUCT(M4:Q4,M5:Q5)</f>
        <v>2325575.3267385806</v>
      </c>
      <c r="K10" s="47"/>
      <c r="L10" s="47"/>
      <c r="M10" s="142" t="s">
        <v>51</v>
      </c>
      <c r="N10" s="142" t="s">
        <v>6</v>
      </c>
      <c r="O10" s="142" t="s">
        <v>5</v>
      </c>
      <c r="P10" s="142" t="s">
        <v>484</v>
      </c>
      <c r="Q10" s="48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ht="15" customHeight="1" x14ac:dyDescent="0.25">
      <c r="A11" s="13"/>
      <c r="B11" s="13"/>
      <c r="C11" s="13"/>
      <c r="D11" s="13"/>
      <c r="E11" s="13"/>
      <c r="F11" s="13"/>
      <c r="G11" s="13"/>
      <c r="H11" s="49" t="s">
        <v>44</v>
      </c>
      <c r="I11" s="50">
        <f>SUMPRODUCT(H6:L6,H4:L4)</f>
        <v>17231551.77165734</v>
      </c>
      <c r="J11" s="50">
        <f>SUMPRODUCT(M6:Q6,M4:Q4)</f>
        <v>82933249.589099899</v>
      </c>
      <c r="K11" s="47"/>
      <c r="L11" s="47"/>
      <c r="M11" s="142"/>
      <c r="N11" s="156">
        <f>SUM(H7:L7)</f>
        <v>1498421.2998045497</v>
      </c>
      <c r="O11" s="156">
        <f>SUM(M7:Q7)</f>
        <v>5634665.3893211791</v>
      </c>
      <c r="P11" s="156">
        <f>SUM(N11:O11)</f>
        <v>7133086.6891257288</v>
      </c>
      <c r="Q11" s="48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ht="15" customHeight="1" thickBot="1" x14ac:dyDescent="0.3">
      <c r="A12" s="13"/>
      <c r="B12" s="13"/>
      <c r="C12" s="13"/>
      <c r="D12" s="13"/>
      <c r="E12" s="13"/>
      <c r="F12" s="13"/>
      <c r="G12" s="13"/>
      <c r="H12" s="51" t="s">
        <v>45</v>
      </c>
      <c r="I12" s="52">
        <f>I10/I11</f>
        <v>9.4290679662257557E-2</v>
      </c>
      <c r="J12" s="52">
        <f>J10/J11</f>
        <v>2.8041531451629458E-2</v>
      </c>
      <c r="K12" s="53"/>
      <c r="L12" s="53"/>
      <c r="M12" s="53"/>
      <c r="N12" s="53"/>
      <c r="O12" s="53"/>
      <c r="P12" s="53"/>
      <c r="Q12" s="5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ht="15" customHeigh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55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ht="15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55"/>
      <c r="K14" s="13"/>
      <c r="L14" s="13"/>
      <c r="M14" s="13"/>
      <c r="N14" s="13"/>
      <c r="O14" s="13"/>
      <c r="P14" s="13"/>
      <c r="Q14" s="112" t="s">
        <v>77</v>
      </c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ht="15" customHeigh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55"/>
      <c r="K15" s="13"/>
      <c r="L15" s="13"/>
      <c r="M15" s="13"/>
      <c r="N15" s="13"/>
      <c r="O15" s="13"/>
      <c r="P15" s="13"/>
      <c r="Q15" s="111">
        <v>15</v>
      </c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ht="51.75" customHeight="1" x14ac:dyDescent="0.25">
      <c r="A16" s="13"/>
      <c r="B16" s="99" t="s">
        <v>48</v>
      </c>
      <c r="C16" s="99" t="s">
        <v>16</v>
      </c>
      <c r="D16" s="99" t="s">
        <v>14</v>
      </c>
      <c r="E16" s="99" t="s">
        <v>17</v>
      </c>
      <c r="F16" s="99" t="s">
        <v>55</v>
      </c>
      <c r="G16" s="99" t="s">
        <v>15</v>
      </c>
      <c r="H16" s="99" t="s">
        <v>66</v>
      </c>
      <c r="I16" s="99" t="s">
        <v>31</v>
      </c>
      <c r="J16" s="99" t="s">
        <v>56</v>
      </c>
      <c r="K16" s="99" t="s">
        <v>53</v>
      </c>
      <c r="L16" s="100" t="s">
        <v>57</v>
      </c>
      <c r="M16" s="99" t="s">
        <v>54</v>
      </c>
      <c r="N16" s="99" t="s">
        <v>58</v>
      </c>
      <c r="O16" s="99" t="s">
        <v>59</v>
      </c>
      <c r="P16" s="105" t="s">
        <v>74</v>
      </c>
      <c r="Q16" s="141" t="str">
        <f>"No. of NEW entrants for the last "&amp;$Q$15&amp;" years"</f>
        <v>No. of NEW entrants for the last 15 years</v>
      </c>
      <c r="R16" s="141" t="str">
        <f>"Total surplus/deficit at EOY "&amp;$Q$15</f>
        <v>Total surplus/deficit at EOY 15</v>
      </c>
      <c r="S16" s="13"/>
      <c r="T16" s="98" t="s">
        <v>50</v>
      </c>
      <c r="U16" s="56" t="str">
        <f ca="1">IF(ABS(SUM(U17:U87))&lt;0.0001,"Pass","Check!")</f>
        <v>Pass</v>
      </c>
      <c r="V16" s="13"/>
      <c r="W16" s="13"/>
      <c r="X16" s="13"/>
      <c r="Y16" s="13"/>
      <c r="Z16" s="13"/>
      <c r="AA16" s="13"/>
      <c r="AB16" s="13"/>
      <c r="AC16" s="13"/>
    </row>
    <row r="17" spans="1:29" x14ac:dyDescent="0.25">
      <c r="A17" s="13"/>
      <c r="B17" s="57">
        <v>0</v>
      </c>
      <c r="C17" s="58">
        <f>D4</f>
        <v>45</v>
      </c>
      <c r="D17" s="59">
        <f ca="1">D6</f>
        <v>0.05</v>
      </c>
      <c r="E17" s="60">
        <f>D7</f>
        <v>95000</v>
      </c>
      <c r="F17" s="61">
        <f ca="1">D8</f>
        <v>1.1257768431897297E-2</v>
      </c>
      <c r="G17" s="62">
        <f t="shared" ref="G17" si="0">i</f>
        <v>0.05</v>
      </c>
      <c r="H17" s="63">
        <f t="shared" ref="H17:H26" ca="1" si="1">IF($C17="","",
IF(C17&gt;=$D$5,D17*(B17*(F17-G17)+1+F17)/(1+F17),
D17*((1+F17)/(1+G17))^($D$5-C17-1)))</f>
        <v>2.9538334851663201E-2</v>
      </c>
      <c r="I17" s="64">
        <f ca="1">IF($C18="",0,
H17*E17*(1+F17))</f>
        <v>2837.7327056022714</v>
      </c>
      <c r="J17" s="64">
        <f ca="1">IF($C17="",0,
D17*E17*B17*((1+F17)/(1+G17))^MAX(0,$D$5-C17))</f>
        <v>0</v>
      </c>
      <c r="K17" s="65">
        <f ca="1">J17</f>
        <v>0</v>
      </c>
      <c r="L17" s="66"/>
      <c r="M17" s="67">
        <f ca="1">IF($C17="",0,
I17*'1.c Decrements'!D11)</f>
        <v>2837.7327056022714</v>
      </c>
      <c r="N17" s="68">
        <f ca="1">K17*'1.a Assumptions'!$C$13*'1.c Decrements'!E11</f>
        <v>0</v>
      </c>
      <c r="O17" s="68">
        <f ca="1">J18*('1.c Decrements'!F11+'1.c Decrements'!G11)</f>
        <v>0</v>
      </c>
      <c r="P17" s="68">
        <f ca="1">M17-J18*'1.c Decrements'!D11</f>
        <v>0</v>
      </c>
      <c r="Q17" s="68">
        <f ca="1">IF(B18&lt;=$Q$15,OFFSET('1.c Decrements'!$J$11,0,$Q$15-B17),"")</f>
        <v>14.399999999999999</v>
      </c>
      <c r="R17" s="110">
        <f ca="1">SUMPRODUCT(Q17:Q87,P17:P87)</f>
        <v>2569892.9363522241</v>
      </c>
      <c r="S17" s="13"/>
      <c r="T17" s="69">
        <f t="shared" ref="T17:T48" ca="1" si="2">IF($C18="","",J18-J17*(1+i))</f>
        <v>2837.7327056022714</v>
      </c>
      <c r="U17" s="70">
        <f t="shared" ref="U17:U48" ca="1" si="3">IFERROR(T17-I17,"")</f>
        <v>0</v>
      </c>
      <c r="V17" s="13"/>
      <c r="W17" s="13"/>
      <c r="X17" s="13"/>
      <c r="Y17" s="13"/>
      <c r="Z17" s="13"/>
      <c r="AA17" s="13"/>
      <c r="AB17" s="13"/>
      <c r="AC17" s="13"/>
    </row>
    <row r="18" spans="1:29" x14ac:dyDescent="0.25">
      <c r="A18" s="13"/>
      <c r="B18" s="57">
        <f t="shared" ref="B18:B64" ca="1" si="4">IF($C18="","",B17+1)</f>
        <v>1</v>
      </c>
      <c r="C18" s="71">
        <f ca="1">IF(C17="","",IF($D$2="A",IF(C17+1&gt;$D$5+15,"",C17+1),IF(C17+1&gt;$D$5,"",C17+1)))</f>
        <v>46</v>
      </c>
      <c r="D18" s="72">
        <f ca="1">IF($C18="","",D17)</f>
        <v>0.05</v>
      </c>
      <c r="E18" s="73">
        <f ca="1">IF($C18="","",E17*(1+F17))</f>
        <v>96069.488001030244</v>
      </c>
      <c r="F18" s="62">
        <f ca="1">IF($C18="","",F17)</f>
        <v>1.1257768431897297E-2</v>
      </c>
      <c r="G18" s="62">
        <f ca="1">IF($C18="","",G17)</f>
        <v>0.05</v>
      </c>
      <c r="H18" s="63">
        <f t="shared" ca="1" si="1"/>
        <v>3.0669976105439502E-2</v>
      </c>
      <c r="I18" s="64">
        <f t="shared" ref="I18:I81" ca="1" si="5">IF($C19="",0,
H18*E18*(1+F18))</f>
        <v>2979.6193408823851</v>
      </c>
      <c r="J18" s="64">
        <f t="shared" ref="J18:J81" ca="1" si="6">IF($C18="",0,
D18*E18*B18*((1+F18)/(1+G18))^MAX(0,$D$5-C18))</f>
        <v>2837.7327056022714</v>
      </c>
      <c r="K18" s="65">
        <f t="shared" ref="K18:K81" ca="1" si="7">J18</f>
        <v>2837.7327056022714</v>
      </c>
      <c r="L18" s="66"/>
      <c r="M18" s="67">
        <f ca="1">IF($C18="",0,
I18*'1.c Decrements'!D12+(M17-N17-O17)*(1+G17))</f>
        <v>5780.4615213118268</v>
      </c>
      <c r="N18" s="68">
        <f ca="1">K18*'1.a Assumptions'!$C$13*'1.c Decrements'!E12</f>
        <v>120.03609344697607</v>
      </c>
      <c r="O18" s="68">
        <f ca="1">J19*('1.c Decrements'!F12+'1.c Decrements'!G12)</f>
        <v>0</v>
      </c>
      <c r="P18" s="68">
        <f ca="1">M18-J19*'1.c Decrements'!D12</f>
        <v>178.77716045294437</v>
      </c>
      <c r="Q18" s="68">
        <f ca="1">IF(B19&lt;=$Q$15,OFFSET('1.c Decrements'!$J$11,0,$Q$15-B18),"")</f>
        <v>14.399999999999999</v>
      </c>
      <c r="S18" s="13"/>
      <c r="T18" s="69">
        <f t="shared" ca="1" si="2"/>
        <v>2979.6193408823842</v>
      </c>
      <c r="U18" s="70">
        <f t="shared" ca="1" si="3"/>
        <v>-9.0949470177292824E-13</v>
      </c>
      <c r="V18" s="13"/>
      <c r="W18" s="13"/>
      <c r="X18" s="13"/>
      <c r="Y18" s="13"/>
      <c r="Z18" s="13"/>
      <c r="AA18" s="13"/>
      <c r="AB18" s="13"/>
      <c r="AC18" s="13"/>
    </row>
    <row r="19" spans="1:29" x14ac:dyDescent="0.25">
      <c r="A19" s="13"/>
      <c r="B19" s="57">
        <f t="shared" ca="1" si="4"/>
        <v>2</v>
      </c>
      <c r="C19" s="71">
        <f t="shared" ref="C19:C82" ca="1" si="8">IF(C18="","",IF($D$2="A",IF(C18+1&gt;$D$5+15,"",C18+1),IF(C18+1&gt;$D$5,"",C18+1)))</f>
        <v>47</v>
      </c>
      <c r="D19" s="72">
        <f t="shared" ref="D19:D64" ca="1" si="9">IF($C19="","",D18)</f>
        <v>0.05</v>
      </c>
      <c r="E19" s="73">
        <f t="shared" ref="E19:E82" ca="1" si="10">IF($C19="","",E18*(1+F18))</f>
        <v>97151.016050316772</v>
      </c>
      <c r="F19" s="62">
        <f t="shared" ref="F19:F64" ca="1" si="11">IF($C19="","",F18)</f>
        <v>1.1257768431897297E-2</v>
      </c>
      <c r="G19" s="62">
        <f t="shared" ref="G19:G64" ca="1" si="12">IF($C19="","",G18)</f>
        <v>0.05</v>
      </c>
      <c r="H19" s="63">
        <f t="shared" ca="1" si="1"/>
        <v>3.184497159477713E-2</v>
      </c>
      <c r="I19" s="64">
        <f t="shared" ca="1" si="5"/>
        <v>3128.6003079265042</v>
      </c>
      <c r="J19" s="64">
        <f t="shared" ca="1" si="6"/>
        <v>5959.2386817647694</v>
      </c>
      <c r="K19" s="65">
        <f t="shared" ca="1" si="7"/>
        <v>5959.2386817647694</v>
      </c>
      <c r="L19" s="66"/>
      <c r="M19" s="67">
        <f ca="1">IF($C19="",0,
I19*'1.c Decrements'!D13+(M18-N18-O18)*(1+G18))</f>
        <v>8707.8779313419509</v>
      </c>
      <c r="N19" s="68">
        <f ca="1">K19*'1.a Assumptions'!$C$13*'1.c Decrements'!E13</f>
        <v>236.95124846433072</v>
      </c>
      <c r="O19" s="68">
        <f ca="1">J20*('1.c Decrements'!F13+'1.c Decrements'!G13)</f>
        <v>0</v>
      </c>
      <c r="P19" s="68">
        <f ca="1">M19-J20*'1.c Decrements'!D13</f>
        <v>414.58423509037493</v>
      </c>
      <c r="Q19" s="68">
        <f ca="1">IF(B20&lt;=$Q$15,OFFSET('1.c Decrements'!$J$11,0,$Q$15-B19),"")</f>
        <v>14.399999999999999</v>
      </c>
      <c r="S19" s="13"/>
      <c r="T19" s="69">
        <f t="shared" ca="1" si="2"/>
        <v>3128.6003079265038</v>
      </c>
      <c r="U19" s="70">
        <f t="shared" ca="1" si="3"/>
        <v>-4.5474735088646412E-13</v>
      </c>
      <c r="V19" s="13"/>
      <c r="W19" s="13"/>
      <c r="X19" s="13"/>
      <c r="Y19" s="13"/>
      <c r="Z19" s="13"/>
      <c r="AA19" s="13"/>
      <c r="AB19" s="13"/>
      <c r="AC19" s="13"/>
    </row>
    <row r="20" spans="1:29" x14ac:dyDescent="0.25">
      <c r="A20" s="13"/>
      <c r="B20" s="57">
        <f t="shared" ca="1" si="4"/>
        <v>3</v>
      </c>
      <c r="C20" s="71">
        <f t="shared" ca="1" si="8"/>
        <v>48</v>
      </c>
      <c r="D20" s="72">
        <f t="shared" ca="1" si="9"/>
        <v>0.05</v>
      </c>
      <c r="E20" s="73">
        <f t="shared" ca="1" si="10"/>
        <v>98244.719691934777</v>
      </c>
      <c r="F20" s="62">
        <f t="shared" ca="1" si="11"/>
        <v>1.1257768431897297E-2</v>
      </c>
      <c r="G20" s="62">
        <f t="shared" ca="1" si="12"/>
        <v>0.05</v>
      </c>
      <c r="H20" s="63">
        <f t="shared" ca="1" si="1"/>
        <v>3.3064982261016666E-2</v>
      </c>
      <c r="I20" s="64">
        <f t="shared" ca="1" si="5"/>
        <v>3285.0303233228292</v>
      </c>
      <c r="J20" s="64">
        <f t="shared" ca="1" si="6"/>
        <v>9385.8009237795122</v>
      </c>
      <c r="K20" s="65">
        <f t="shared" ca="1" si="7"/>
        <v>9385.8009237795122</v>
      </c>
      <c r="L20" s="66"/>
      <c r="M20" s="67">
        <f ca="1">IF($C20="",0,
I20*'1.c Decrements'!D14+(M19-N19-O19)*(1+G19))</f>
        <v>11622.96664308827</v>
      </c>
      <c r="N20" s="68">
        <f ca="1">K20*'1.a Assumptions'!$C$13*'1.c Decrements'!E14</f>
        <v>350.80632335144168</v>
      </c>
      <c r="O20" s="68">
        <f ca="1">J21*('1.c Decrements'!F14+'1.c Decrements'!G14)</f>
        <v>0</v>
      </c>
      <c r="P20" s="68">
        <f ca="1">M20-J21*'1.c Decrements'!D14</f>
        <v>708.99213882119511</v>
      </c>
      <c r="Q20" s="68">
        <f ca="1">IF(B21&lt;=$Q$15,OFFSET('1.c Decrements'!$J$11,0,$Q$15-B20),"")</f>
        <v>14.399999999999999</v>
      </c>
      <c r="S20" s="13"/>
      <c r="T20" s="69">
        <f t="shared" ca="1" si="2"/>
        <v>3285.0303233228278</v>
      </c>
      <c r="U20" s="70">
        <f t="shared" ca="1" si="3"/>
        <v>-1.3642420526593924E-12</v>
      </c>
      <c r="V20" s="13"/>
      <c r="W20" s="13"/>
      <c r="X20" s="13"/>
      <c r="Y20" s="13"/>
      <c r="Z20" s="13"/>
      <c r="AA20" s="13"/>
      <c r="AB20" s="13"/>
      <c r="AC20" s="13"/>
    </row>
    <row r="21" spans="1:29" x14ac:dyDescent="0.25">
      <c r="A21" s="13"/>
      <c r="B21" s="57">
        <f t="shared" ca="1" si="4"/>
        <v>4</v>
      </c>
      <c r="C21" s="71">
        <f t="shared" ca="1" si="8"/>
        <v>49</v>
      </c>
      <c r="D21" s="72">
        <f t="shared" ca="1" si="9"/>
        <v>0.05</v>
      </c>
      <c r="E21" s="73">
        <f t="shared" ca="1" si="10"/>
        <v>99350.735995883239</v>
      </c>
      <c r="F21" s="62">
        <f t="shared" ca="1" si="11"/>
        <v>1.1257768431897297E-2</v>
      </c>
      <c r="G21" s="62">
        <f t="shared" ca="1" si="12"/>
        <v>0.05</v>
      </c>
      <c r="H21" s="63">
        <f t="shared" ca="1" si="1"/>
        <v>3.433173267771597E-2</v>
      </c>
      <c r="I21" s="64">
        <f t="shared" ca="1" si="5"/>
        <v>3449.2818394889705</v>
      </c>
      <c r="J21" s="64">
        <f t="shared" ca="1" si="6"/>
        <v>13140.121293291317</v>
      </c>
      <c r="K21" s="65">
        <f t="shared" ca="1" si="7"/>
        <v>13140.121293291317</v>
      </c>
      <c r="L21" s="66"/>
      <c r="M21" s="67">
        <f ca="1">IF($C21="",0,
I21*'1.c Decrements'!D15+(M20-N20-O20)*(1+G20))</f>
        <v>14528.791544651569</v>
      </c>
      <c r="N21" s="68">
        <f ca="1">K21*'1.a Assumptions'!$C$13*'1.c Decrements'!E15</f>
        <v>461.66112153049721</v>
      </c>
      <c r="O21" s="68">
        <f ca="1">J22*('1.c Decrements'!F15+'1.c Decrements'!G15)</f>
        <v>0</v>
      </c>
      <c r="P21" s="68">
        <f ca="1">M21-J22*'1.c Decrements'!D15</f>
        <v>1063.6755000120665</v>
      </c>
      <c r="Q21" s="68">
        <f ca="1">IF(B22&lt;=$Q$15,OFFSET('1.c Decrements'!$J$11,0,$Q$15-B21),"")</f>
        <v>14.399999999999999</v>
      </c>
      <c r="S21" s="13"/>
      <c r="T21" s="69">
        <f t="shared" ca="1" si="2"/>
        <v>3449.2818394889691</v>
      </c>
      <c r="U21" s="70">
        <f t="shared" ca="1" si="3"/>
        <v>-1.3642420526593924E-12</v>
      </c>
      <c r="V21" s="13"/>
      <c r="W21" s="13"/>
      <c r="X21" s="13"/>
      <c r="Y21" s="13"/>
      <c r="Z21" s="13"/>
      <c r="AA21" s="13"/>
      <c r="AB21" s="13"/>
      <c r="AC21" s="13"/>
    </row>
    <row r="22" spans="1:29" x14ac:dyDescent="0.25">
      <c r="A22" s="13"/>
      <c r="B22" s="57">
        <f t="shared" ca="1" si="4"/>
        <v>5</v>
      </c>
      <c r="C22" s="71">
        <f t="shared" ca="1" si="8"/>
        <v>50</v>
      </c>
      <c r="D22" s="72">
        <f t="shared" ca="1" si="9"/>
        <v>0.05</v>
      </c>
      <c r="E22" s="73">
        <f t="shared" ca="1" si="10"/>
        <v>100469.20357526345</v>
      </c>
      <c r="F22" s="62">
        <f t="shared" ca="1" si="11"/>
        <v>1.1257768431897297E-2</v>
      </c>
      <c r="G22" s="62">
        <f t="shared" ca="1" si="12"/>
        <v>0.05</v>
      </c>
      <c r="H22" s="63">
        <f t="shared" ca="1" si="1"/>
        <v>3.5647013488459965E-2</v>
      </c>
      <c r="I22" s="64">
        <f t="shared" ca="1" si="5"/>
        <v>3621.7459314634189</v>
      </c>
      <c r="J22" s="64">
        <f t="shared" ca="1" si="6"/>
        <v>17246.409197444853</v>
      </c>
      <c r="K22" s="65">
        <f t="shared" ca="1" si="7"/>
        <v>17246.409197444853</v>
      </c>
      <c r="L22" s="66"/>
      <c r="M22" s="67">
        <f ca="1">IF($C22="",0,
I22*'1.c Decrements'!D16+(M21-N21-O21)*(1+G21))</f>
        <v>17428.500851488963</v>
      </c>
      <c r="N22" s="68">
        <f ca="1">K22*'1.a Assumptions'!$C$13*'1.c Decrements'!E16</f>
        <v>569.57440868825097</v>
      </c>
      <c r="O22" s="68">
        <f ca="1">J23*('1.c Decrements'!F16+'1.c Decrements'!G16)</f>
        <v>0</v>
      </c>
      <c r="P22" s="68">
        <f ca="1">M22-J23*'1.c Decrements'!D16</f>
        <v>1480.4174082179361</v>
      </c>
      <c r="Q22" s="68">
        <f ca="1">IF(B23&lt;=$Q$15,OFFSET('1.c Decrements'!$J$11,0,$Q$15-B22),"")</f>
        <v>14.399999999999999</v>
      </c>
      <c r="S22" s="13"/>
      <c r="T22" s="69">
        <f t="shared" ca="1" si="2"/>
        <v>3621.7459314634179</v>
      </c>
      <c r="U22" s="70">
        <f t="shared" ca="1" si="3"/>
        <v>-9.0949470177292824E-13</v>
      </c>
      <c r="V22" s="13"/>
      <c r="W22" s="13"/>
      <c r="X22" s="13"/>
      <c r="Y22" s="13"/>
      <c r="Z22" s="13"/>
      <c r="AA22" s="13"/>
      <c r="AB22" s="13"/>
      <c r="AC22" s="13"/>
    </row>
    <row r="23" spans="1:29" x14ac:dyDescent="0.25">
      <c r="A23" s="13"/>
      <c r="B23" s="57">
        <f t="shared" ca="1" si="4"/>
        <v>6</v>
      </c>
      <c r="C23" s="71">
        <f t="shared" ca="1" si="8"/>
        <v>51</v>
      </c>
      <c r="D23" s="72">
        <f t="shared" ca="1" si="9"/>
        <v>0.05</v>
      </c>
      <c r="E23" s="73">
        <f t="shared" ca="1" si="10"/>
        <v>101600.26260365092</v>
      </c>
      <c r="F23" s="62">
        <f t="shared" ca="1" si="11"/>
        <v>1.1257768431897297E-2</v>
      </c>
      <c r="G23" s="62">
        <f t="shared" ca="1" si="12"/>
        <v>0.05</v>
      </c>
      <c r="H23" s="63">
        <f t="shared" ca="1" si="1"/>
        <v>3.701268393806522E-2</v>
      </c>
      <c r="I23" s="64">
        <f t="shared" ca="1" si="5"/>
        <v>3802.8332280365898</v>
      </c>
      <c r="J23" s="64">
        <f t="shared" ca="1" si="6"/>
        <v>21730.475588780515</v>
      </c>
      <c r="K23" s="65">
        <f t="shared" ca="1" si="7"/>
        <v>21730.475588780515</v>
      </c>
      <c r="L23" s="66"/>
      <c r="M23" s="67">
        <f ca="1">IF($C23="",0,
I23*'1.c Decrements'!D17+(M22-N22-O22)*(1+G22))</f>
        <v>20325.332491358833</v>
      </c>
      <c r="N23" s="68">
        <f ca="1">K23*'1.a Assumptions'!$C$13*'1.c Decrements'!E17</f>
        <v>674.60392965036442</v>
      </c>
      <c r="O23" s="68">
        <f ca="1">J24*('1.c Decrements'!F17+'1.c Decrements'!G17)</f>
        <v>0</v>
      </c>
      <c r="P23" s="68">
        <f ca="1">M23-J24*'1.c Decrements'!D17</f>
        <v>1961.1144064322434</v>
      </c>
      <c r="Q23" s="68">
        <f ca="1">IF(B24&lt;=$Q$15,OFFSET('1.c Decrements'!$J$11,0,$Q$15-B23),"")</f>
        <v>14.399999999999999</v>
      </c>
      <c r="S23" s="13"/>
      <c r="T23" s="69">
        <f t="shared" ca="1" si="2"/>
        <v>3802.8332280365903</v>
      </c>
      <c r="U23" s="70">
        <f t="shared" ca="1" si="3"/>
        <v>4.5474735088646412E-13</v>
      </c>
      <c r="V23" s="13"/>
      <c r="W23" s="13"/>
      <c r="X23" s="13"/>
      <c r="Y23" s="13"/>
      <c r="Z23" s="13"/>
      <c r="AA23" s="13"/>
      <c r="AB23" s="13"/>
      <c r="AC23" s="13"/>
    </row>
    <row r="24" spans="1:29" x14ac:dyDescent="0.25">
      <c r="A24" s="13"/>
      <c r="B24" s="57">
        <f t="shared" ca="1" si="4"/>
        <v>7</v>
      </c>
      <c r="C24" s="71">
        <f t="shared" ca="1" si="8"/>
        <v>52</v>
      </c>
      <c r="D24" s="72">
        <f t="shared" ca="1" si="9"/>
        <v>0.05</v>
      </c>
      <c r="E24" s="73">
        <f t="shared" ca="1" si="10"/>
        <v>102744.05483266278</v>
      </c>
      <c r="F24" s="62">
        <f t="shared" ca="1" si="11"/>
        <v>1.1257768431897297E-2</v>
      </c>
      <c r="G24" s="62">
        <f t="shared" ca="1" si="12"/>
        <v>0.05</v>
      </c>
      <c r="H24" s="63">
        <f t="shared" ca="1" si="1"/>
        <v>3.8430674500757336E-2</v>
      </c>
      <c r="I24" s="64">
        <f t="shared" ca="1" si="5"/>
        <v>3992.9748894384193</v>
      </c>
      <c r="J24" s="64">
        <f t="shared" ca="1" si="6"/>
        <v>26619.832596256132</v>
      </c>
      <c r="K24" s="65">
        <f t="shared" ca="1" si="7"/>
        <v>26619.832596256132</v>
      </c>
      <c r="L24" s="66"/>
      <c r="M24" s="67">
        <f ca="1">IF($C24="",0,
I24*'1.c Decrements'!D18+(M23-N23-O23)*(1+G23))</f>
        <v>23222.619739768539</v>
      </c>
      <c r="N24" s="68">
        <f ca="1">K24*'1.a Assumptions'!$C$13*'1.c Decrements'!E18</f>
        <v>776.80642499239468</v>
      </c>
      <c r="O24" s="68">
        <f ca="1">J25*('1.c Decrements'!F18+'1.c Decrements'!G18)</f>
        <v>0</v>
      </c>
      <c r="P24" s="68">
        <f ca="1">M24-J25*'1.c Decrements'!D18</f>
        <v>2507.7817399713495</v>
      </c>
      <c r="Q24" s="68">
        <f ca="1">IF(B25&lt;=$Q$15,OFFSET('1.c Decrements'!$J$11,0,$Q$15-B24),"")</f>
        <v>14.399999999999999</v>
      </c>
      <c r="S24" s="13"/>
      <c r="T24" s="69">
        <f t="shared" ca="1" si="2"/>
        <v>3992.9748894384174</v>
      </c>
      <c r="U24" s="70">
        <f t="shared" ca="1" si="3"/>
        <v>-1.8189894035458565E-12</v>
      </c>
      <c r="V24" s="13"/>
      <c r="W24" s="13"/>
      <c r="X24" s="13"/>
      <c r="Y24" s="13"/>
      <c r="Z24" s="13"/>
      <c r="AA24" s="13"/>
      <c r="AB24" s="13"/>
      <c r="AC24" s="13"/>
    </row>
    <row r="25" spans="1:29" x14ac:dyDescent="0.25">
      <c r="A25" s="13"/>
      <c r="B25" s="57">
        <f t="shared" ca="1" si="4"/>
        <v>8</v>
      </c>
      <c r="C25" s="71">
        <f t="shared" ca="1" si="8"/>
        <v>53</v>
      </c>
      <c r="D25" s="72">
        <f t="shared" ca="1" si="9"/>
        <v>0.05</v>
      </c>
      <c r="E25" s="73">
        <f t="shared" ca="1" si="10"/>
        <v>103900.72360972305</v>
      </c>
      <c r="F25" s="62">
        <f t="shared" ca="1" si="11"/>
        <v>1.1257768431897297E-2</v>
      </c>
      <c r="G25" s="62">
        <f t="shared" ca="1" si="12"/>
        <v>0.05</v>
      </c>
      <c r="H25" s="63">
        <f t="shared" ca="1" si="1"/>
        <v>3.9902989609036266E-2</v>
      </c>
      <c r="I25" s="64">
        <f t="shared" ca="1" si="5"/>
        <v>4192.6236339103398</v>
      </c>
      <c r="J25" s="64">
        <f t="shared" ca="1" si="6"/>
        <v>31943.799115507358</v>
      </c>
      <c r="K25" s="65">
        <f t="shared" ca="1" si="7"/>
        <v>31943.799115507358</v>
      </c>
      <c r="L25" s="66"/>
      <c r="M25" s="67">
        <f ca="1">IF($C25="",0,
I25*'1.c Decrements'!D19+(M24-N24-O24)*(1+G24))</f>
        <v>26123.797118739931</v>
      </c>
      <c r="N25" s="68">
        <f ca="1">K25*'1.a Assumptions'!$C$13*'1.c Decrements'!E19</f>
        <v>876.23764739142109</v>
      </c>
      <c r="O25" s="68">
        <f ca="1">J26*('1.c Decrements'!F19+'1.c Decrements'!G19)</f>
        <v>0</v>
      </c>
      <c r="P25" s="68">
        <f ca="1">M25-J26*'1.c Decrements'!D19</f>
        <v>3122.5588747151269</v>
      </c>
      <c r="Q25" s="68">
        <f ca="1">IF(B26&lt;=$Q$15,OFFSET('1.c Decrements'!$J$11,0,$Q$15-B25),"")</f>
        <v>14.399999999999999</v>
      </c>
      <c r="S25" s="13"/>
      <c r="T25" s="69">
        <f t="shared" ca="1" si="2"/>
        <v>4192.6236339103416</v>
      </c>
      <c r="U25" s="70">
        <f t="shared" ca="1" si="3"/>
        <v>1.8189894035458565E-12</v>
      </c>
      <c r="V25" s="13"/>
      <c r="W25" s="13"/>
      <c r="X25" s="13"/>
      <c r="Y25" s="13"/>
      <c r="Z25" s="13"/>
      <c r="AA25" s="13"/>
      <c r="AB25" s="13"/>
      <c r="AC25" s="13"/>
    </row>
    <row r="26" spans="1:29" x14ac:dyDescent="0.25">
      <c r="A26" s="13"/>
      <c r="B26" s="57">
        <f t="shared" ca="1" si="4"/>
        <v>9</v>
      </c>
      <c r="C26" s="71">
        <f t="shared" ca="1" si="8"/>
        <v>54</v>
      </c>
      <c r="D26" s="72">
        <f t="shared" ca="1" si="9"/>
        <v>0.05</v>
      </c>
      <c r="E26" s="73">
        <f t="shared" ca="1" si="10"/>
        <v>105070.41389602788</v>
      </c>
      <c r="F26" s="62">
        <f t="shared" ca="1" si="11"/>
        <v>1.1257768431897297E-2</v>
      </c>
      <c r="G26" s="62">
        <f t="shared" ca="1" si="12"/>
        <v>0.05</v>
      </c>
      <c r="H26" s="63">
        <f t="shared" ca="1" si="1"/>
        <v>4.1431710487087048E-2</v>
      </c>
      <c r="I26" s="64">
        <f t="shared" ca="1" si="5"/>
        <v>4402.2548156058583</v>
      </c>
      <c r="J26" s="64">
        <f t="shared" ca="1" si="6"/>
        <v>37733.612705193067</v>
      </c>
      <c r="K26" s="65">
        <f t="shared" ca="1" si="7"/>
        <v>37733.612705193067</v>
      </c>
      <c r="L26" s="66"/>
      <c r="M26" s="67">
        <f ca="1">IF($C26="",0,
I26*'1.c Decrements'!D20+(M25-N25-O25)*(1+G25))</f>
        <v>29032.406572343985</v>
      </c>
      <c r="N26" s="68">
        <f ca="1">K26*'1.a Assumptions'!$C$13*'1.c Decrements'!E20</f>
        <v>972.95237772224914</v>
      </c>
      <c r="O26" s="68">
        <f ca="1">J27*('1.c Decrements'!F20+'1.c Decrements'!G20)</f>
        <v>0</v>
      </c>
      <c r="P26" s="68">
        <f ca="1">M26-J27*'1.c Decrements'!D20</f>
        <v>3807.7152980634528</v>
      </c>
      <c r="Q26" s="68">
        <f ca="1">IF(B27&lt;=$Q$15,OFFSET('1.c Decrements'!$J$11,0,$Q$15-B26),"")</f>
        <v>14.399999999999999</v>
      </c>
      <c r="S26" s="13"/>
      <c r="T26" s="69">
        <f t="shared" ca="1" si="2"/>
        <v>4402.2548156058474</v>
      </c>
      <c r="U26" s="70">
        <f t="shared" ca="1" si="3"/>
        <v>-1.0913936421275139E-11</v>
      </c>
      <c r="V26" s="13"/>
      <c r="W26" s="13"/>
      <c r="X26" s="13"/>
      <c r="Y26" s="13"/>
      <c r="Z26" s="13"/>
      <c r="AA26" s="13"/>
      <c r="AB26" s="13"/>
      <c r="AC26" s="13"/>
    </row>
    <row r="27" spans="1:29" x14ac:dyDescent="0.25">
      <c r="A27" s="13"/>
      <c r="B27" s="57">
        <f t="shared" ca="1" si="4"/>
        <v>10</v>
      </c>
      <c r="C27" s="71">
        <f t="shared" ca="1" si="8"/>
        <v>55</v>
      </c>
      <c r="D27" s="72">
        <f t="shared" ca="1" si="9"/>
        <v>0.05</v>
      </c>
      <c r="E27" s="73">
        <f t="shared" ca="1" si="10"/>
        <v>106253.27228471296</v>
      </c>
      <c r="F27" s="62">
        <f t="shared" ca="1" si="11"/>
        <v>1.1257768431897297E-2</v>
      </c>
      <c r="G27" s="62">
        <f t="shared" ca="1" si="12"/>
        <v>0.05</v>
      </c>
      <c r="H27" s="63">
        <f ca="1">IF($C27="","",
IF(C27&gt;=$D$5,D27*(B27*(F27-G27)+1+F27)/(1+F27),
D27*((1+F27)/(1+G27))^($D$5-C27-1)))</f>
        <v>4.3018998092741088E-2</v>
      </c>
      <c r="I27" s="64">
        <f t="shared" ca="1" si="5"/>
        <v>4622.3675563861507</v>
      </c>
      <c r="J27" s="64">
        <f t="shared" ca="1" si="6"/>
        <v>44022.548156058569</v>
      </c>
      <c r="K27" s="65">
        <f t="shared" ca="1" si="7"/>
        <v>44022.548156058569</v>
      </c>
      <c r="L27" s="66"/>
      <c r="M27" s="67">
        <f ca="1">IF($C27="",0,
I27*'1.c Decrements'!D21+(M26-N26-O26)*(1+G26))</f>
        <v>31952.103933124316</v>
      </c>
      <c r="N27" s="68">
        <f ca="1">K27*'1.a Assumptions'!$C$13*'1.c Decrements'!E21</f>
        <v>1067.0044409020666</v>
      </c>
      <c r="O27" s="68">
        <f ca="1">J28*('1.c Decrements'!F21+'1.c Decrements'!G21)</f>
        <v>0</v>
      </c>
      <c r="P27" s="68">
        <f ca="1">M27-J28*'1.c Decrements'!D21</f>
        <v>4565.6566166379307</v>
      </c>
      <c r="Q27" s="68">
        <f ca="1">IF(B28&lt;=$Q$15,OFFSET('1.c Decrements'!$J$11,0,$Q$15-B27),"")</f>
        <v>14.399999999999999</v>
      </c>
      <c r="S27" s="13"/>
      <c r="T27" s="69">
        <f t="shared" ca="1" si="2"/>
        <v>4622.3675563861616</v>
      </c>
      <c r="U27" s="70">
        <f t="shared" ca="1" si="3"/>
        <v>1.0913936421275139E-11</v>
      </c>
      <c r="V27" s="13"/>
      <c r="W27" s="13"/>
      <c r="X27" s="13"/>
      <c r="Y27" s="13"/>
      <c r="Z27" s="13"/>
      <c r="AA27" s="13"/>
      <c r="AB27" s="13"/>
      <c r="AC27" s="13"/>
    </row>
    <row r="28" spans="1:29" x14ac:dyDescent="0.25">
      <c r="A28" s="13"/>
      <c r="B28" s="57">
        <f t="shared" ca="1" si="4"/>
        <v>11</v>
      </c>
      <c r="C28" s="71">
        <f t="shared" ca="1" si="8"/>
        <v>56</v>
      </c>
      <c r="D28" s="72">
        <f t="shared" ca="1" si="9"/>
        <v>0.05</v>
      </c>
      <c r="E28" s="73">
        <f t="shared" ca="1" si="10"/>
        <v>107449.4470192256</v>
      </c>
      <c r="F28" s="62">
        <f t="shared" ca="1" si="11"/>
        <v>1.1257768431897297E-2</v>
      </c>
      <c r="G28" s="62">
        <f t="shared" ca="1" si="12"/>
        <v>0.05</v>
      </c>
      <c r="H28" s="63">
        <f t="shared" ref="H28:H87" ca="1" si="13">IF($C28="","",
IF(C28&gt;=$D$5,D28*(B28*(F28-G28)+1+F28)/(1+F28),
D28*((1+F28)/(1+G28))^($D$5-C28-1)))</f>
        <v>4.4667096172146821E-2</v>
      </c>
      <c r="I28" s="64">
        <f t="shared" ca="1" si="5"/>
        <v>4853.4859342054569</v>
      </c>
      <c r="J28" s="64">
        <f t="shared" ca="1" si="6"/>
        <v>50846.043120247661</v>
      </c>
      <c r="K28" s="65">
        <f t="shared" ca="1" si="7"/>
        <v>50846.043120247661</v>
      </c>
      <c r="L28" s="66"/>
      <c r="M28" s="67">
        <f ca="1">IF($C28="",0,
I28*'1.c Decrements'!D22+(M27-N27-O27)*(1+G27))</f>
        <v>34886.665694230825</v>
      </c>
      <c r="N28" s="68">
        <f ca="1">K28*'1.a Assumptions'!$C$13*'1.c Decrements'!E22</f>
        <v>1158.4467214873739</v>
      </c>
      <c r="O28" s="68">
        <f ca="1">J29*('1.c Decrements'!F22+'1.c Decrements'!G22)</f>
        <v>0</v>
      </c>
      <c r="P28" s="68">
        <f ca="1">M28-J29*'1.c Decrements'!D22</f>
        <v>5398.9309654613098</v>
      </c>
      <c r="Q28" s="68">
        <f ca="1">IF(B29&lt;=$Q$15,OFFSET('1.c Decrements'!$J$11,0,$Q$15-B28),"")</f>
        <v>14.399999999999999</v>
      </c>
      <c r="S28" s="13"/>
      <c r="T28" s="69">
        <f t="shared" ca="1" si="2"/>
        <v>4853.4859342054406</v>
      </c>
      <c r="U28" s="70">
        <f t="shared" ca="1" si="3"/>
        <v>-1.6370904631912708E-11</v>
      </c>
      <c r="V28" s="13"/>
      <c r="W28" s="13"/>
      <c r="X28" s="13"/>
      <c r="Y28" s="13"/>
      <c r="Z28" s="13"/>
      <c r="AA28" s="13"/>
      <c r="AB28" s="13"/>
      <c r="AC28" s="13"/>
    </row>
    <row r="29" spans="1:29" x14ac:dyDescent="0.25">
      <c r="A29" s="13"/>
      <c r="B29" s="57">
        <f t="shared" ca="1" si="4"/>
        <v>12</v>
      </c>
      <c r="C29" s="71">
        <f t="shared" ca="1" si="8"/>
        <v>57</v>
      </c>
      <c r="D29" s="72">
        <f t="shared" ca="1" si="9"/>
        <v>0.05</v>
      </c>
      <c r="E29" s="73">
        <f t="shared" ca="1" si="10"/>
        <v>108659.08801190346</v>
      </c>
      <c r="F29" s="62">
        <f t="shared" ca="1" si="11"/>
        <v>1.1257768431897297E-2</v>
      </c>
      <c r="G29" s="62">
        <f t="shared" ca="1" si="12"/>
        <v>0.05</v>
      </c>
      <c r="H29" s="63">
        <f t="shared" ca="1" si="13"/>
        <v>4.6378334431467612E-2</v>
      </c>
      <c r="I29" s="64">
        <f t="shared" ca="1" si="5"/>
        <v>5096.1602309157297</v>
      </c>
      <c r="J29" s="64">
        <f t="shared" ca="1" si="6"/>
        <v>58241.831210465491</v>
      </c>
      <c r="K29" s="65">
        <f t="shared" ca="1" si="7"/>
        <v>58241.831210465491</v>
      </c>
      <c r="L29" s="66"/>
      <c r="M29" s="67">
        <f ca="1">IF($C29="",0,
I29*'1.c Decrements'!D23+(M28-N28-O28)*(1+G28))</f>
        <v>37839.996102821919</v>
      </c>
      <c r="N29" s="68">
        <f ca="1">K29*'1.a Assumptions'!$C$13*'1.c Decrements'!E23</f>
        <v>1247.3311790269504</v>
      </c>
      <c r="O29" s="68">
        <f ca="1">J30*('1.c Decrements'!F23+'1.c Decrements'!G23)</f>
        <v>0</v>
      </c>
      <c r="P29" s="68">
        <f ca="1">M29-J30*'1.c Decrements'!D23</f>
        <v>6310.2357440851156</v>
      </c>
      <c r="Q29" s="68">
        <f ca="1">IF(B30&lt;=$Q$15,OFFSET('1.c Decrements'!$J$11,0,$Q$15-B29),"")</f>
        <v>14.399999999999999</v>
      </c>
      <c r="S29" s="13"/>
      <c r="T29" s="69">
        <f t="shared" ca="1" si="2"/>
        <v>5096.1602309157242</v>
      </c>
      <c r="U29" s="70">
        <f t="shared" ca="1" si="3"/>
        <v>-5.4569682106375694E-12</v>
      </c>
      <c r="V29" s="13"/>
      <c r="W29" s="13"/>
      <c r="X29" s="13"/>
      <c r="Y29" s="13"/>
      <c r="Z29" s="13"/>
      <c r="AA29" s="13"/>
      <c r="AB29" s="13"/>
      <c r="AC29" s="13"/>
    </row>
    <row r="30" spans="1:29" x14ac:dyDescent="0.25">
      <c r="A30" s="13"/>
      <c r="B30" s="57">
        <f t="shared" ca="1" si="4"/>
        <v>13</v>
      </c>
      <c r="C30" s="71">
        <f t="shared" ca="1" si="8"/>
        <v>58</v>
      </c>
      <c r="D30" s="72">
        <f t="shared" ca="1" si="9"/>
        <v>0.05</v>
      </c>
      <c r="E30" s="73">
        <f t="shared" ca="1" si="10"/>
        <v>109882.34686276261</v>
      </c>
      <c r="F30" s="62">
        <f t="shared" ca="1" si="11"/>
        <v>1.1257768431897297E-2</v>
      </c>
      <c r="G30" s="62">
        <f t="shared" ca="1" si="12"/>
        <v>0.05</v>
      </c>
      <c r="H30" s="63">
        <f t="shared" ca="1" si="13"/>
        <v>4.8155131830090347E-2</v>
      </c>
      <c r="I30" s="64">
        <f t="shared" ca="1" si="5"/>
        <v>5350.9682424615166</v>
      </c>
      <c r="J30" s="64">
        <f t="shared" ca="1" si="6"/>
        <v>66250.083001904495</v>
      </c>
      <c r="K30" s="65">
        <f t="shared" ca="1" si="7"/>
        <v>66250.083001904495</v>
      </c>
      <c r="L30" s="66"/>
      <c r="M30" s="67">
        <f ca="1">IF($C30="",0,
I30*'1.c Decrements'!D24+(M29-N29-O29)*(1+G29))</f>
        <v>40816.134591067268</v>
      </c>
      <c r="N30" s="68">
        <f ca="1">K30*'1.a Assumptions'!$C$13*'1.c Decrements'!E24</f>
        <v>1333.7088631745667</v>
      </c>
      <c r="O30" s="68">
        <f ca="1">J31*('1.c Decrements'!F24+'1.c Decrements'!G24)</f>
        <v>0</v>
      </c>
      <c r="P30" s="68">
        <f ca="1">M30-J31*'1.c Decrements'!D24</f>
        <v>7302.4246959114826</v>
      </c>
      <c r="Q30" s="68">
        <f ca="1">IF(B31&lt;=$Q$15,OFFSET('1.c Decrements'!$J$11,0,$Q$15-B30),"")</f>
        <v>14.399999999999999</v>
      </c>
      <c r="S30" s="13"/>
      <c r="T30" s="69">
        <f t="shared" ca="1" si="2"/>
        <v>5350.9682424615312</v>
      </c>
      <c r="U30" s="70">
        <f t="shared" ca="1" si="3"/>
        <v>1.4551915228366852E-11</v>
      </c>
      <c r="V30" s="13"/>
      <c r="W30" s="13"/>
      <c r="X30" s="13"/>
      <c r="Y30" s="13"/>
      <c r="Z30" s="13"/>
      <c r="AA30" s="13"/>
      <c r="AB30" s="13"/>
      <c r="AC30" s="13"/>
    </row>
    <row r="31" spans="1:29" x14ac:dyDescent="0.25">
      <c r="A31" s="13"/>
      <c r="B31" s="57">
        <f t="shared" ca="1" si="4"/>
        <v>14</v>
      </c>
      <c r="C31" s="71">
        <f t="shared" ca="1" si="8"/>
        <v>59</v>
      </c>
      <c r="D31" s="72">
        <f t="shared" ca="1" si="9"/>
        <v>0.05</v>
      </c>
      <c r="E31" s="73">
        <f t="shared" ca="1" si="10"/>
        <v>111119.37687849702</v>
      </c>
      <c r="F31" s="62">
        <f t="shared" ca="1" si="11"/>
        <v>1.1257768431897297E-2</v>
      </c>
      <c r="G31" s="62">
        <f t="shared" ca="1" si="12"/>
        <v>0.05</v>
      </c>
      <c r="H31" s="63">
        <f t="shared" ca="1" si="13"/>
        <v>0.05</v>
      </c>
      <c r="I31" s="64">
        <f t="shared" ca="1" si="5"/>
        <v>5618.5166545845932</v>
      </c>
      <c r="J31" s="64">
        <f t="shared" ca="1" si="6"/>
        <v>74913.555394461247</v>
      </c>
      <c r="K31" s="65">
        <f t="shared" ca="1" si="7"/>
        <v>74913.555394461247</v>
      </c>
      <c r="L31" s="66"/>
      <c r="M31" s="67">
        <f ca="1">IF($C31="",0,
I31*'1.c Decrements'!D25+(M30-N30-O30)*(1+G30))</f>
        <v>43819.263561895823</v>
      </c>
      <c r="N31" s="68">
        <f ca="1">K31*'1.a Assumptions'!$C$13*'1.c Decrements'!E25</f>
        <v>0</v>
      </c>
      <c r="O31" s="68">
        <f ca="1">J32*('1.c Decrements'!F25+'1.c Decrements'!G25)</f>
        <v>35440.748214127241</v>
      </c>
      <c r="P31" s="68">
        <f ca="1">M31-J32*'1.c Decrements'!D25</f>
        <v>8378.5153477685817</v>
      </c>
      <c r="Q31" s="68">
        <f ca="1">IF(B32&lt;=$Q$15,OFFSET('1.c Decrements'!$J$11,0,$Q$15-B31),"")</f>
        <v>240</v>
      </c>
      <c r="R31" s="120"/>
      <c r="S31" s="13"/>
      <c r="T31" s="69">
        <f t="shared" ca="1" si="2"/>
        <v>5618.5166545845859</v>
      </c>
      <c r="U31" s="70">
        <f t="shared" ca="1" si="3"/>
        <v>-7.2759576141834259E-12</v>
      </c>
      <c r="V31" s="13"/>
      <c r="W31" s="13"/>
      <c r="X31" s="13"/>
      <c r="Y31" s="13"/>
      <c r="Z31" s="13"/>
      <c r="AA31" s="13"/>
      <c r="AB31" s="13"/>
      <c r="AC31" s="13"/>
    </row>
    <row r="32" spans="1:29" x14ac:dyDescent="0.25">
      <c r="A32" s="13"/>
      <c r="B32" s="57">
        <f t="shared" ca="1" si="4"/>
        <v>15</v>
      </c>
      <c r="C32" s="71">
        <f t="shared" ca="1" si="8"/>
        <v>60</v>
      </c>
      <c r="D32" s="72">
        <f t="shared" ca="1" si="9"/>
        <v>0.05</v>
      </c>
      <c r="E32" s="73">
        <f t="shared" ca="1" si="10"/>
        <v>112370.33309169186</v>
      </c>
      <c r="F32" s="62">
        <f t="shared" ca="1" si="11"/>
        <v>1.1257768431897297E-2</v>
      </c>
      <c r="G32" s="62">
        <f t="shared" ca="1" si="12"/>
        <v>0.05</v>
      </c>
      <c r="H32" s="63">
        <f t="shared" ca="1" si="13"/>
        <v>2.1266798057696368E-2</v>
      </c>
      <c r="I32" s="64">
        <f t="shared" ca="1" si="5"/>
        <v>0</v>
      </c>
      <c r="J32" s="64">
        <f t="shared" ca="1" si="6"/>
        <v>84277.749818768905</v>
      </c>
      <c r="K32" s="65">
        <f t="shared" ca="1" si="7"/>
        <v>84277.749818768905</v>
      </c>
      <c r="L32" s="66"/>
      <c r="M32" s="67">
        <f ca="1">IF($C32="",0,
I32*'1.c Decrements'!D26+(M31-N31-O31)*(1+G31))</f>
        <v>8797.4411151570112</v>
      </c>
      <c r="N32" s="68">
        <f ca="1">K32*'1.a Assumptions'!$C$13*'1.c Decrements'!E26</f>
        <v>0</v>
      </c>
      <c r="O32" s="68">
        <f ca="1">J33*('1.c Decrements'!F26+'1.c Decrements'!G26)</f>
        <v>0</v>
      </c>
      <c r="P32" s="68">
        <f ca="1">M32-J33*'1.c Decrements'!D26</f>
        <v>8797.4411151570112</v>
      </c>
      <c r="Q32" s="68" t="str">
        <f ca="1">IF(B33&lt;=$Q$15,OFFSET('1.c Decrements'!$J$11,0,$Q$15-B32),"")</f>
        <v/>
      </c>
      <c r="S32" s="13"/>
      <c r="T32" s="69" t="str">
        <f t="shared" ca="1" si="2"/>
        <v/>
      </c>
      <c r="U32" s="70" t="str">
        <f t="shared" ca="1" si="3"/>
        <v/>
      </c>
      <c r="V32" s="13"/>
      <c r="W32" s="13"/>
      <c r="X32" s="13"/>
      <c r="Y32" s="13"/>
      <c r="Z32" s="13"/>
      <c r="AA32" s="13"/>
      <c r="AB32" s="13"/>
      <c r="AC32" s="13"/>
    </row>
    <row r="33" spans="1:29" x14ac:dyDescent="0.25">
      <c r="A33" s="13"/>
      <c r="B33" s="57" t="str">
        <f t="shared" ca="1" si="4"/>
        <v/>
      </c>
      <c r="C33" s="71" t="str">
        <f t="shared" ca="1" si="8"/>
        <v/>
      </c>
      <c r="D33" s="72" t="str">
        <f t="shared" ca="1" si="9"/>
        <v/>
      </c>
      <c r="E33" s="73" t="str">
        <f t="shared" ca="1" si="10"/>
        <v/>
      </c>
      <c r="F33" s="62" t="str">
        <f t="shared" ca="1" si="11"/>
        <v/>
      </c>
      <c r="G33" s="62" t="str">
        <f t="shared" ca="1" si="12"/>
        <v/>
      </c>
      <c r="H33" s="63" t="str">
        <f t="shared" ca="1" si="13"/>
        <v/>
      </c>
      <c r="I33" s="64">
        <f t="shared" ca="1" si="5"/>
        <v>0</v>
      </c>
      <c r="J33" s="64">
        <f t="shared" ca="1" si="6"/>
        <v>0</v>
      </c>
      <c r="K33" s="65">
        <f t="shared" ca="1" si="7"/>
        <v>0</v>
      </c>
      <c r="L33" s="66"/>
      <c r="M33" s="67">
        <f ca="1">IF($C33="",0,
I33*'1.c Decrements'!D27+(M32-N32-O32)*(1+G32))</f>
        <v>0</v>
      </c>
      <c r="N33" s="68">
        <f ca="1">K33*'1.a Assumptions'!$C$13*'1.c Decrements'!E27</f>
        <v>0</v>
      </c>
      <c r="O33" s="68">
        <f ca="1">J34*('1.c Decrements'!F27+'1.c Decrements'!G27)</f>
        <v>0</v>
      </c>
      <c r="P33" s="68">
        <f ca="1">M33-J34*'1.c Decrements'!D27</f>
        <v>0</v>
      </c>
      <c r="Q33" s="68" t="str">
        <f ca="1">IF(B34&lt;=$Q$15,OFFSET('1.c Decrements'!$J$11,0,$Q$15-B33),"")</f>
        <v/>
      </c>
      <c r="R33" s="13"/>
      <c r="S33" s="13"/>
      <c r="T33" s="69" t="str">
        <f t="shared" ca="1" si="2"/>
        <v/>
      </c>
      <c r="U33" s="70" t="str">
        <f t="shared" ca="1" si="3"/>
        <v/>
      </c>
      <c r="V33" s="13"/>
      <c r="W33" s="13"/>
      <c r="X33" s="13"/>
      <c r="Y33" s="13"/>
      <c r="Z33" s="13"/>
      <c r="AA33" s="13"/>
      <c r="AB33" s="13"/>
      <c r="AC33" s="13"/>
    </row>
    <row r="34" spans="1:29" x14ac:dyDescent="0.25">
      <c r="A34" s="13"/>
      <c r="B34" s="57" t="str">
        <f t="shared" ca="1" si="4"/>
        <v/>
      </c>
      <c r="C34" s="71" t="str">
        <f t="shared" ca="1" si="8"/>
        <v/>
      </c>
      <c r="D34" s="72" t="str">
        <f t="shared" ca="1" si="9"/>
        <v/>
      </c>
      <c r="E34" s="73" t="str">
        <f t="shared" ca="1" si="10"/>
        <v/>
      </c>
      <c r="F34" s="62" t="str">
        <f t="shared" ca="1" si="11"/>
        <v/>
      </c>
      <c r="G34" s="62" t="str">
        <f t="shared" ca="1" si="12"/>
        <v/>
      </c>
      <c r="H34" s="63" t="str">
        <f t="shared" ca="1" si="13"/>
        <v/>
      </c>
      <c r="I34" s="64">
        <f t="shared" ca="1" si="5"/>
        <v>0</v>
      </c>
      <c r="J34" s="64">
        <f t="shared" ca="1" si="6"/>
        <v>0</v>
      </c>
      <c r="K34" s="65">
        <f t="shared" ca="1" si="7"/>
        <v>0</v>
      </c>
      <c r="L34" s="66"/>
      <c r="M34" s="67">
        <f ca="1">IF($C34="",0,
I34*'1.c Decrements'!D28+(M33-N33-O33)*(1+G33))</f>
        <v>0</v>
      </c>
      <c r="N34" s="68">
        <f ca="1">K34*'1.a Assumptions'!$C$13*'1.c Decrements'!E28</f>
        <v>0</v>
      </c>
      <c r="O34" s="68">
        <f ca="1">J35*('1.c Decrements'!F28+'1.c Decrements'!G28)</f>
        <v>0</v>
      </c>
      <c r="P34" s="68">
        <f ca="1">M34-J35*'1.c Decrements'!D28</f>
        <v>0</v>
      </c>
      <c r="Q34" s="68" t="str">
        <f ca="1">IF(B35&lt;=$Q$15,OFFSET('1.c Decrements'!$J$11,0,$Q$15-B34),"")</f>
        <v/>
      </c>
      <c r="R34" s="74"/>
      <c r="S34" s="74"/>
      <c r="T34" s="69" t="str">
        <f t="shared" ca="1" si="2"/>
        <v/>
      </c>
      <c r="U34" s="70" t="str">
        <f t="shared" ca="1" si="3"/>
        <v/>
      </c>
      <c r="V34" s="13"/>
      <c r="W34" s="74"/>
      <c r="X34" s="74"/>
      <c r="Y34" s="74"/>
      <c r="Z34" s="74"/>
      <c r="AA34" s="74"/>
      <c r="AB34" s="74"/>
      <c r="AC34" s="74"/>
    </row>
    <row r="35" spans="1:29" x14ac:dyDescent="0.25">
      <c r="A35" s="13"/>
      <c r="B35" s="57" t="str">
        <f t="shared" ca="1" si="4"/>
        <v/>
      </c>
      <c r="C35" s="71" t="str">
        <f t="shared" ca="1" si="8"/>
        <v/>
      </c>
      <c r="D35" s="72" t="str">
        <f t="shared" ca="1" si="9"/>
        <v/>
      </c>
      <c r="E35" s="73" t="str">
        <f t="shared" ca="1" si="10"/>
        <v/>
      </c>
      <c r="F35" s="62" t="str">
        <f t="shared" ca="1" si="11"/>
        <v/>
      </c>
      <c r="G35" s="62" t="str">
        <f t="shared" ca="1" si="12"/>
        <v/>
      </c>
      <c r="H35" s="63" t="str">
        <f t="shared" ca="1" si="13"/>
        <v/>
      </c>
      <c r="I35" s="64">
        <f t="shared" ca="1" si="5"/>
        <v>0</v>
      </c>
      <c r="J35" s="64">
        <f t="shared" ca="1" si="6"/>
        <v>0</v>
      </c>
      <c r="K35" s="65">
        <f t="shared" ca="1" si="7"/>
        <v>0</v>
      </c>
      <c r="L35" s="66"/>
      <c r="M35" s="67">
        <f ca="1">IF($C35="",0,
I35*'1.c Decrements'!D29+(M34-N34-O34)*(1+G34))</f>
        <v>0</v>
      </c>
      <c r="N35" s="68">
        <f ca="1">K35*'1.a Assumptions'!$C$13*'1.c Decrements'!E29</f>
        <v>0</v>
      </c>
      <c r="O35" s="68">
        <f ca="1">J36*('1.c Decrements'!F29+'1.c Decrements'!G29)</f>
        <v>0</v>
      </c>
      <c r="P35" s="68">
        <f ca="1">M35-J36*'1.c Decrements'!D29</f>
        <v>0</v>
      </c>
      <c r="Q35" s="68" t="str">
        <f ca="1">IF(B36&lt;=$Q$15,OFFSET('1.c Decrements'!$J$11,0,$Q$15-B35),"")</f>
        <v/>
      </c>
      <c r="R35" s="74"/>
      <c r="S35" s="74"/>
      <c r="T35" s="69" t="str">
        <f t="shared" ca="1" si="2"/>
        <v/>
      </c>
      <c r="U35" s="70" t="str">
        <f t="shared" ca="1" si="3"/>
        <v/>
      </c>
      <c r="V35" s="13"/>
      <c r="W35" s="74"/>
      <c r="X35" s="74"/>
      <c r="Y35" s="74"/>
      <c r="Z35" s="74"/>
      <c r="AA35" s="74"/>
      <c r="AB35" s="74"/>
      <c r="AC35" s="74"/>
    </row>
    <row r="36" spans="1:29" x14ac:dyDescent="0.25">
      <c r="A36" s="13"/>
      <c r="B36" s="57" t="str">
        <f t="shared" ca="1" si="4"/>
        <v/>
      </c>
      <c r="C36" s="71" t="str">
        <f t="shared" ca="1" si="8"/>
        <v/>
      </c>
      <c r="D36" s="72" t="str">
        <f t="shared" ca="1" si="9"/>
        <v/>
      </c>
      <c r="E36" s="73" t="str">
        <f t="shared" ca="1" si="10"/>
        <v/>
      </c>
      <c r="F36" s="62" t="str">
        <f t="shared" ca="1" si="11"/>
        <v/>
      </c>
      <c r="G36" s="62" t="str">
        <f t="shared" ca="1" si="12"/>
        <v/>
      </c>
      <c r="H36" s="63" t="str">
        <f t="shared" ca="1" si="13"/>
        <v/>
      </c>
      <c r="I36" s="64">
        <f t="shared" ca="1" si="5"/>
        <v>0</v>
      </c>
      <c r="J36" s="64">
        <f t="shared" ca="1" si="6"/>
        <v>0</v>
      </c>
      <c r="K36" s="65">
        <f t="shared" ca="1" si="7"/>
        <v>0</v>
      </c>
      <c r="L36" s="66"/>
      <c r="M36" s="67">
        <f ca="1">IF($C36="",0,
I36*'1.c Decrements'!D30+(M35-N35-O35)*(1+G35))</f>
        <v>0</v>
      </c>
      <c r="N36" s="68">
        <f ca="1">K36*'1.a Assumptions'!$C$13*'1.c Decrements'!E30</f>
        <v>0</v>
      </c>
      <c r="O36" s="68">
        <f ca="1">J37*('1.c Decrements'!F30+'1.c Decrements'!G30)</f>
        <v>0</v>
      </c>
      <c r="P36" s="68">
        <f ca="1">M36-J37*'1.c Decrements'!D30</f>
        <v>0</v>
      </c>
      <c r="Q36" s="68" t="str">
        <f ca="1">IF(B37&lt;=$Q$15,OFFSET('1.c Decrements'!$J$11,0,$Q$15-B36),"")</f>
        <v/>
      </c>
      <c r="R36" s="74"/>
      <c r="S36" s="74"/>
      <c r="T36" s="69" t="str">
        <f t="shared" ca="1" si="2"/>
        <v/>
      </c>
      <c r="U36" s="70" t="str">
        <f t="shared" ca="1" si="3"/>
        <v/>
      </c>
      <c r="V36" s="13"/>
      <c r="W36" s="13"/>
      <c r="X36" s="13"/>
      <c r="Y36" s="13"/>
      <c r="Z36" s="13"/>
      <c r="AA36" s="13"/>
      <c r="AB36" s="13"/>
      <c r="AC36" s="13"/>
    </row>
    <row r="37" spans="1:29" x14ac:dyDescent="0.25">
      <c r="A37" s="13"/>
      <c r="B37" s="57" t="str">
        <f t="shared" ca="1" si="4"/>
        <v/>
      </c>
      <c r="C37" s="71" t="str">
        <f t="shared" ca="1" si="8"/>
        <v/>
      </c>
      <c r="D37" s="72" t="str">
        <f t="shared" ca="1" si="9"/>
        <v/>
      </c>
      <c r="E37" s="73" t="str">
        <f t="shared" ca="1" si="10"/>
        <v/>
      </c>
      <c r="F37" s="62" t="str">
        <f t="shared" ca="1" si="11"/>
        <v/>
      </c>
      <c r="G37" s="62" t="str">
        <f t="shared" ca="1" si="12"/>
        <v/>
      </c>
      <c r="H37" s="63" t="str">
        <f t="shared" ca="1" si="13"/>
        <v/>
      </c>
      <c r="I37" s="64">
        <f t="shared" ca="1" si="5"/>
        <v>0</v>
      </c>
      <c r="J37" s="64">
        <f t="shared" ca="1" si="6"/>
        <v>0</v>
      </c>
      <c r="K37" s="65">
        <f t="shared" ca="1" si="7"/>
        <v>0</v>
      </c>
      <c r="L37" s="66"/>
      <c r="M37" s="67">
        <f ca="1">IF($C37="",0,
I37*'1.c Decrements'!D31+(M36-N36-O36)*(1+G36))</f>
        <v>0</v>
      </c>
      <c r="N37" s="68">
        <f ca="1">K37*'1.a Assumptions'!$C$13*'1.c Decrements'!E31</f>
        <v>0</v>
      </c>
      <c r="O37" s="68">
        <f ca="1">J38*('1.c Decrements'!F31+'1.c Decrements'!G31)</f>
        <v>0</v>
      </c>
      <c r="P37" s="68">
        <f ca="1">M37-J38*'1.c Decrements'!D31</f>
        <v>0</v>
      </c>
      <c r="Q37" s="68" t="str">
        <f ca="1">IF(B38&lt;=$Q$15,OFFSET('1.c Decrements'!$J$11,0,$Q$15-B37),"")</f>
        <v/>
      </c>
      <c r="R37" s="74"/>
      <c r="S37" s="74"/>
      <c r="T37" s="69" t="str">
        <f t="shared" ca="1" si="2"/>
        <v/>
      </c>
      <c r="U37" s="70" t="str">
        <f t="shared" ca="1" si="3"/>
        <v/>
      </c>
      <c r="V37" s="13"/>
      <c r="W37" s="13"/>
      <c r="X37" s="13"/>
      <c r="Y37" s="13"/>
      <c r="Z37" s="13"/>
      <c r="AA37" s="13"/>
      <c r="AB37" s="13"/>
      <c r="AC37" s="13"/>
    </row>
    <row r="38" spans="1:29" x14ac:dyDescent="0.25">
      <c r="A38" s="13"/>
      <c r="B38" s="57" t="str">
        <f t="shared" ca="1" si="4"/>
        <v/>
      </c>
      <c r="C38" s="71" t="str">
        <f t="shared" ca="1" si="8"/>
        <v/>
      </c>
      <c r="D38" s="72" t="str">
        <f t="shared" ca="1" si="9"/>
        <v/>
      </c>
      <c r="E38" s="73" t="str">
        <f t="shared" ca="1" si="10"/>
        <v/>
      </c>
      <c r="F38" s="62" t="str">
        <f t="shared" ca="1" si="11"/>
        <v/>
      </c>
      <c r="G38" s="62" t="str">
        <f t="shared" ca="1" si="12"/>
        <v/>
      </c>
      <c r="H38" s="63" t="str">
        <f t="shared" ca="1" si="13"/>
        <v/>
      </c>
      <c r="I38" s="64">
        <f t="shared" ca="1" si="5"/>
        <v>0</v>
      </c>
      <c r="J38" s="64">
        <f t="shared" ca="1" si="6"/>
        <v>0</v>
      </c>
      <c r="K38" s="65">
        <f t="shared" ca="1" si="7"/>
        <v>0</v>
      </c>
      <c r="L38" s="66"/>
      <c r="M38" s="67">
        <f ca="1">IF($C38="",0,
I38*'1.c Decrements'!D32+(M37-N37-O37)*(1+G37))</f>
        <v>0</v>
      </c>
      <c r="N38" s="68">
        <f ca="1">K38*'1.a Assumptions'!$C$13*'1.c Decrements'!E32</f>
        <v>0</v>
      </c>
      <c r="O38" s="68">
        <f ca="1">J39*('1.c Decrements'!F32+'1.c Decrements'!G32)</f>
        <v>0</v>
      </c>
      <c r="P38" s="68">
        <f ca="1">M38-J39*'1.c Decrements'!D32</f>
        <v>0</v>
      </c>
      <c r="Q38" s="68" t="str">
        <f ca="1">IF(B39&lt;=$Q$15,OFFSET('1.c Decrements'!$J$11,0,$Q$15-B38),"")</f>
        <v/>
      </c>
      <c r="R38" s="75"/>
      <c r="S38" s="75"/>
      <c r="T38" s="69" t="str">
        <f t="shared" ca="1" si="2"/>
        <v/>
      </c>
      <c r="U38" s="70" t="str">
        <f t="shared" ca="1" si="3"/>
        <v/>
      </c>
      <c r="V38" s="13"/>
      <c r="W38" s="13"/>
      <c r="X38" s="13"/>
      <c r="Y38" s="13"/>
      <c r="Z38" s="13"/>
      <c r="AA38" s="13"/>
      <c r="AB38" s="13"/>
      <c r="AC38" s="13"/>
    </row>
    <row r="39" spans="1:29" x14ac:dyDescent="0.25">
      <c r="A39" s="13"/>
      <c r="B39" s="57" t="str">
        <f t="shared" ca="1" si="4"/>
        <v/>
      </c>
      <c r="C39" s="71" t="str">
        <f t="shared" ca="1" si="8"/>
        <v/>
      </c>
      <c r="D39" s="72" t="str">
        <f t="shared" ca="1" si="9"/>
        <v/>
      </c>
      <c r="E39" s="73" t="str">
        <f t="shared" ca="1" si="10"/>
        <v/>
      </c>
      <c r="F39" s="62" t="str">
        <f t="shared" ca="1" si="11"/>
        <v/>
      </c>
      <c r="G39" s="62" t="str">
        <f t="shared" ca="1" si="12"/>
        <v/>
      </c>
      <c r="H39" s="63" t="str">
        <f t="shared" ca="1" si="13"/>
        <v/>
      </c>
      <c r="I39" s="64">
        <f t="shared" ca="1" si="5"/>
        <v>0</v>
      </c>
      <c r="J39" s="64">
        <f t="shared" ca="1" si="6"/>
        <v>0</v>
      </c>
      <c r="K39" s="65">
        <f t="shared" ca="1" si="7"/>
        <v>0</v>
      </c>
      <c r="L39" s="66"/>
      <c r="M39" s="67">
        <f ca="1">IF($C39="",0,
I39*'1.c Decrements'!D33+(M38-N38-O38)*(1+G38))</f>
        <v>0</v>
      </c>
      <c r="N39" s="68">
        <f ca="1">K39*'1.a Assumptions'!$C$13*'1.c Decrements'!E33</f>
        <v>0</v>
      </c>
      <c r="O39" s="68">
        <f ca="1">J40*('1.c Decrements'!F33+'1.c Decrements'!G33)</f>
        <v>0</v>
      </c>
      <c r="P39" s="68">
        <f ca="1">M39-J40*'1.c Decrements'!D33</f>
        <v>0</v>
      </c>
      <c r="Q39" s="68" t="str">
        <f ca="1">IF(B40&lt;=$Q$15,OFFSET('1.c Decrements'!$J$11,0,$Q$15-B39),"")</f>
        <v/>
      </c>
      <c r="R39" s="13"/>
      <c r="S39" s="13"/>
      <c r="T39" s="69" t="str">
        <f t="shared" ca="1" si="2"/>
        <v/>
      </c>
      <c r="U39" s="70" t="str">
        <f t="shared" ca="1" si="3"/>
        <v/>
      </c>
      <c r="V39" s="13"/>
      <c r="W39" s="13"/>
      <c r="X39" s="13"/>
      <c r="Y39" s="13"/>
      <c r="Z39" s="13"/>
      <c r="AA39" s="13"/>
      <c r="AB39" s="13"/>
      <c r="AC39" s="13"/>
    </row>
    <row r="40" spans="1:29" x14ac:dyDescent="0.25">
      <c r="A40" s="13"/>
      <c r="B40" s="57" t="str">
        <f t="shared" ca="1" si="4"/>
        <v/>
      </c>
      <c r="C40" s="71" t="str">
        <f t="shared" ca="1" si="8"/>
        <v/>
      </c>
      <c r="D40" s="72" t="str">
        <f t="shared" ca="1" si="9"/>
        <v/>
      </c>
      <c r="E40" s="73" t="str">
        <f t="shared" ca="1" si="10"/>
        <v/>
      </c>
      <c r="F40" s="62" t="str">
        <f t="shared" ca="1" si="11"/>
        <v/>
      </c>
      <c r="G40" s="62" t="str">
        <f t="shared" ca="1" si="12"/>
        <v/>
      </c>
      <c r="H40" s="63" t="str">
        <f t="shared" ca="1" si="13"/>
        <v/>
      </c>
      <c r="I40" s="64">
        <f t="shared" ca="1" si="5"/>
        <v>0</v>
      </c>
      <c r="J40" s="64">
        <f t="shared" ca="1" si="6"/>
        <v>0</v>
      </c>
      <c r="K40" s="65">
        <f t="shared" ca="1" si="7"/>
        <v>0</v>
      </c>
      <c r="L40" s="66"/>
      <c r="M40" s="67">
        <f ca="1">IF($C40="",0,
I40*'1.c Decrements'!D34+(M39-N39-O39)*(1+G39))</f>
        <v>0</v>
      </c>
      <c r="N40" s="68">
        <f ca="1">K40*'1.a Assumptions'!$C$13*'1.c Decrements'!E34</f>
        <v>0</v>
      </c>
      <c r="O40" s="68">
        <f ca="1">J41*('1.c Decrements'!F34+'1.c Decrements'!G34)</f>
        <v>0</v>
      </c>
      <c r="P40" s="68">
        <f ca="1">M40-J41*'1.c Decrements'!D34</f>
        <v>0</v>
      </c>
      <c r="Q40" s="68" t="str">
        <f ca="1">IF(B41&lt;=$Q$15,OFFSET('1.c Decrements'!$J$11,0,$Q$15-B40),"")</f>
        <v/>
      </c>
      <c r="R40" s="13"/>
      <c r="S40" s="13"/>
      <c r="T40" s="69" t="str">
        <f t="shared" ca="1" si="2"/>
        <v/>
      </c>
      <c r="U40" s="70" t="str">
        <f t="shared" ca="1" si="3"/>
        <v/>
      </c>
      <c r="V40" s="13"/>
      <c r="W40" s="13"/>
      <c r="X40" s="13"/>
      <c r="Y40" s="13"/>
      <c r="Z40" s="13"/>
      <c r="AA40" s="13"/>
      <c r="AB40" s="13"/>
      <c r="AC40" s="13"/>
    </row>
    <row r="41" spans="1:29" x14ac:dyDescent="0.25">
      <c r="A41" s="13"/>
      <c r="B41" s="57" t="str">
        <f t="shared" ca="1" si="4"/>
        <v/>
      </c>
      <c r="C41" s="71" t="str">
        <f t="shared" ca="1" si="8"/>
        <v/>
      </c>
      <c r="D41" s="72" t="str">
        <f t="shared" ca="1" si="9"/>
        <v/>
      </c>
      <c r="E41" s="73" t="str">
        <f t="shared" ca="1" si="10"/>
        <v/>
      </c>
      <c r="F41" s="62" t="str">
        <f t="shared" ca="1" si="11"/>
        <v/>
      </c>
      <c r="G41" s="62" t="str">
        <f t="shared" ca="1" si="12"/>
        <v/>
      </c>
      <c r="H41" s="63" t="str">
        <f t="shared" ca="1" si="13"/>
        <v/>
      </c>
      <c r="I41" s="64">
        <f t="shared" ca="1" si="5"/>
        <v>0</v>
      </c>
      <c r="J41" s="64">
        <f t="shared" ca="1" si="6"/>
        <v>0</v>
      </c>
      <c r="K41" s="65">
        <f t="shared" ca="1" si="7"/>
        <v>0</v>
      </c>
      <c r="L41" s="66"/>
      <c r="M41" s="67">
        <f ca="1">IF($C41="",0,
I41*'1.c Decrements'!D35+(M40-N40-O40)*(1+G40))</f>
        <v>0</v>
      </c>
      <c r="N41" s="68">
        <f ca="1">K41*'1.a Assumptions'!$C$13*'1.c Decrements'!E35</f>
        <v>0</v>
      </c>
      <c r="O41" s="68">
        <f ca="1">J42*('1.c Decrements'!F35+'1.c Decrements'!G35)</f>
        <v>0</v>
      </c>
      <c r="P41" s="68">
        <f ca="1">M41-J42*'1.c Decrements'!D35</f>
        <v>0</v>
      </c>
      <c r="Q41" s="68" t="str">
        <f ca="1">IF(B42&lt;=$Q$15,OFFSET('1.c Decrements'!$J$11,0,$Q$15-B41),"")</f>
        <v/>
      </c>
      <c r="R41" s="13"/>
      <c r="S41" s="13"/>
      <c r="T41" s="69" t="str">
        <f t="shared" ca="1" si="2"/>
        <v/>
      </c>
      <c r="U41" s="70" t="str">
        <f t="shared" ca="1" si="3"/>
        <v/>
      </c>
      <c r="V41" s="13"/>
      <c r="W41" s="13"/>
      <c r="X41" s="13"/>
      <c r="Y41" s="13"/>
      <c r="Z41" s="13"/>
      <c r="AA41" s="13"/>
      <c r="AB41" s="13"/>
      <c r="AC41" s="13"/>
    </row>
    <row r="42" spans="1:29" x14ac:dyDescent="0.25">
      <c r="A42" s="13"/>
      <c r="B42" s="57" t="str">
        <f t="shared" ca="1" si="4"/>
        <v/>
      </c>
      <c r="C42" s="71" t="str">
        <f t="shared" ca="1" si="8"/>
        <v/>
      </c>
      <c r="D42" s="72" t="str">
        <f t="shared" ca="1" si="9"/>
        <v/>
      </c>
      <c r="E42" s="73" t="str">
        <f t="shared" ca="1" si="10"/>
        <v/>
      </c>
      <c r="F42" s="62" t="str">
        <f t="shared" ca="1" si="11"/>
        <v/>
      </c>
      <c r="G42" s="62" t="str">
        <f t="shared" ca="1" si="12"/>
        <v/>
      </c>
      <c r="H42" s="63" t="str">
        <f t="shared" ca="1" si="13"/>
        <v/>
      </c>
      <c r="I42" s="64">
        <f t="shared" ca="1" si="5"/>
        <v>0</v>
      </c>
      <c r="J42" s="64">
        <f t="shared" ca="1" si="6"/>
        <v>0</v>
      </c>
      <c r="K42" s="65">
        <f t="shared" ca="1" si="7"/>
        <v>0</v>
      </c>
      <c r="L42" s="66"/>
      <c r="M42" s="67">
        <f ca="1">IF($C42="",0,
I42*'1.c Decrements'!D36+(M41-N41-O41)*(1+G41))</f>
        <v>0</v>
      </c>
      <c r="N42" s="68">
        <f ca="1">K42*'1.a Assumptions'!$C$13*'1.c Decrements'!E36</f>
        <v>0</v>
      </c>
      <c r="O42" s="68">
        <f ca="1">J43*('1.c Decrements'!F36+'1.c Decrements'!G36)</f>
        <v>0</v>
      </c>
      <c r="P42" s="68">
        <f ca="1">M42-J43*'1.c Decrements'!D36</f>
        <v>0</v>
      </c>
      <c r="Q42" s="68" t="str">
        <f ca="1">IF(B43&lt;=$Q$15,OFFSET('1.c Decrements'!$J$11,0,$Q$15-B42),"")</f>
        <v/>
      </c>
      <c r="R42" s="13"/>
      <c r="S42" s="13"/>
      <c r="T42" s="69" t="str">
        <f t="shared" ca="1" si="2"/>
        <v/>
      </c>
      <c r="U42" s="70" t="str">
        <f t="shared" ca="1" si="3"/>
        <v/>
      </c>
      <c r="V42" s="13"/>
      <c r="W42" s="13"/>
      <c r="X42" s="13"/>
      <c r="Y42" s="13"/>
      <c r="Z42" s="13"/>
      <c r="AA42" s="13"/>
      <c r="AB42" s="13"/>
      <c r="AC42" s="13"/>
    </row>
    <row r="43" spans="1:29" x14ac:dyDescent="0.25">
      <c r="A43" s="13"/>
      <c r="B43" s="57" t="str">
        <f t="shared" ca="1" si="4"/>
        <v/>
      </c>
      <c r="C43" s="71" t="str">
        <f t="shared" ca="1" si="8"/>
        <v/>
      </c>
      <c r="D43" s="72" t="str">
        <f t="shared" ca="1" si="9"/>
        <v/>
      </c>
      <c r="E43" s="73" t="str">
        <f t="shared" ca="1" si="10"/>
        <v/>
      </c>
      <c r="F43" s="62" t="str">
        <f t="shared" ca="1" si="11"/>
        <v/>
      </c>
      <c r="G43" s="62" t="str">
        <f t="shared" ca="1" si="12"/>
        <v/>
      </c>
      <c r="H43" s="63" t="str">
        <f t="shared" ca="1" si="13"/>
        <v/>
      </c>
      <c r="I43" s="64">
        <f t="shared" ca="1" si="5"/>
        <v>0</v>
      </c>
      <c r="J43" s="64">
        <f t="shared" ca="1" si="6"/>
        <v>0</v>
      </c>
      <c r="K43" s="65">
        <f t="shared" ca="1" si="7"/>
        <v>0</v>
      </c>
      <c r="L43" s="66"/>
      <c r="M43" s="67">
        <f ca="1">IF($C43="",0,
I43*'1.c Decrements'!D37+(M42-N42-O42)*(1+G42))</f>
        <v>0</v>
      </c>
      <c r="N43" s="68">
        <f ca="1">K43*'1.a Assumptions'!$C$13*'1.c Decrements'!E37</f>
        <v>0</v>
      </c>
      <c r="O43" s="68">
        <f ca="1">J44*('1.c Decrements'!F37+'1.c Decrements'!G37)</f>
        <v>0</v>
      </c>
      <c r="P43" s="68">
        <f ca="1">M43-J44*'1.c Decrements'!D37</f>
        <v>0</v>
      </c>
      <c r="Q43" s="68" t="str">
        <f ca="1">IF(B44&lt;=$Q$15,OFFSET('1.c Decrements'!$J$11,0,$Q$15-B43),"")</f>
        <v/>
      </c>
      <c r="R43" s="13"/>
      <c r="S43" s="13"/>
      <c r="T43" s="69" t="str">
        <f t="shared" ca="1" si="2"/>
        <v/>
      </c>
      <c r="U43" s="70" t="str">
        <f t="shared" ca="1" si="3"/>
        <v/>
      </c>
      <c r="V43" s="13"/>
      <c r="W43" s="13"/>
      <c r="X43" s="13"/>
      <c r="Y43" s="13"/>
      <c r="Z43" s="13"/>
      <c r="AA43" s="13"/>
      <c r="AB43" s="13"/>
      <c r="AC43" s="13"/>
    </row>
    <row r="44" spans="1:29" x14ac:dyDescent="0.25">
      <c r="A44" s="13"/>
      <c r="B44" s="57" t="str">
        <f t="shared" ca="1" si="4"/>
        <v/>
      </c>
      <c r="C44" s="71" t="str">
        <f t="shared" ca="1" si="8"/>
        <v/>
      </c>
      <c r="D44" s="72" t="str">
        <f t="shared" ca="1" si="9"/>
        <v/>
      </c>
      <c r="E44" s="73" t="str">
        <f t="shared" ca="1" si="10"/>
        <v/>
      </c>
      <c r="F44" s="62" t="str">
        <f t="shared" ca="1" si="11"/>
        <v/>
      </c>
      <c r="G44" s="62" t="str">
        <f t="shared" ca="1" si="12"/>
        <v/>
      </c>
      <c r="H44" s="63" t="str">
        <f t="shared" ca="1" si="13"/>
        <v/>
      </c>
      <c r="I44" s="64">
        <f t="shared" ca="1" si="5"/>
        <v>0</v>
      </c>
      <c r="J44" s="64">
        <f t="shared" ca="1" si="6"/>
        <v>0</v>
      </c>
      <c r="K44" s="65">
        <f t="shared" ca="1" si="7"/>
        <v>0</v>
      </c>
      <c r="L44" s="66"/>
      <c r="M44" s="67">
        <f ca="1">IF($C44="",0,
I44*'1.c Decrements'!D38+(M43-N43-O43)*(1+G43))</f>
        <v>0</v>
      </c>
      <c r="N44" s="68">
        <f ca="1">K44*'1.a Assumptions'!$C$13*'1.c Decrements'!E38</f>
        <v>0</v>
      </c>
      <c r="O44" s="68">
        <f ca="1">J45*('1.c Decrements'!F38+'1.c Decrements'!G38)</f>
        <v>0</v>
      </c>
      <c r="P44" s="68">
        <f ca="1">M44-J45*'1.c Decrements'!D38</f>
        <v>0</v>
      </c>
      <c r="Q44" s="68" t="str">
        <f ca="1">IF(B45&lt;=$Q$15,OFFSET('1.c Decrements'!$J$11,0,$Q$15-B44),"")</f>
        <v/>
      </c>
      <c r="R44" s="13"/>
      <c r="S44" s="13"/>
      <c r="T44" s="69" t="str">
        <f t="shared" ca="1" si="2"/>
        <v/>
      </c>
      <c r="U44" s="70" t="str">
        <f t="shared" ca="1" si="3"/>
        <v/>
      </c>
      <c r="V44" s="13"/>
      <c r="W44" s="13"/>
      <c r="X44" s="13"/>
      <c r="Y44" s="13"/>
      <c r="Z44" s="13"/>
      <c r="AA44" s="13"/>
      <c r="AB44" s="13"/>
      <c r="AC44" s="13"/>
    </row>
    <row r="45" spans="1:29" x14ac:dyDescent="0.25">
      <c r="A45" s="13"/>
      <c r="B45" s="57" t="str">
        <f t="shared" ca="1" si="4"/>
        <v/>
      </c>
      <c r="C45" s="71" t="str">
        <f t="shared" ca="1" si="8"/>
        <v/>
      </c>
      <c r="D45" s="72" t="str">
        <f t="shared" ca="1" si="9"/>
        <v/>
      </c>
      <c r="E45" s="73" t="str">
        <f t="shared" ca="1" si="10"/>
        <v/>
      </c>
      <c r="F45" s="62" t="str">
        <f t="shared" ca="1" si="11"/>
        <v/>
      </c>
      <c r="G45" s="62" t="str">
        <f t="shared" ca="1" si="12"/>
        <v/>
      </c>
      <c r="H45" s="63" t="str">
        <f t="shared" ca="1" si="13"/>
        <v/>
      </c>
      <c r="I45" s="64">
        <f t="shared" ca="1" si="5"/>
        <v>0</v>
      </c>
      <c r="J45" s="64">
        <f t="shared" ca="1" si="6"/>
        <v>0</v>
      </c>
      <c r="K45" s="65">
        <f t="shared" ca="1" si="7"/>
        <v>0</v>
      </c>
      <c r="L45" s="66"/>
      <c r="M45" s="67">
        <f ca="1">IF($C45="",0,
I45*'1.c Decrements'!D39+(M44-N44-O44)*(1+G44))</f>
        <v>0</v>
      </c>
      <c r="N45" s="68">
        <f ca="1">K45*'1.a Assumptions'!$C$13*'1.c Decrements'!E39</f>
        <v>0</v>
      </c>
      <c r="O45" s="68">
        <f ca="1">J46*('1.c Decrements'!F39+'1.c Decrements'!G39)</f>
        <v>0</v>
      </c>
      <c r="P45" s="68">
        <f ca="1">M45-J46*'1.c Decrements'!D39</f>
        <v>0</v>
      </c>
      <c r="Q45" s="68" t="str">
        <f ca="1">IF(B46&lt;=$Q$15,OFFSET('1.c Decrements'!$J$11,0,$Q$15-B45),"")</f>
        <v/>
      </c>
      <c r="R45" s="13"/>
      <c r="S45" s="13"/>
      <c r="T45" s="69" t="str">
        <f t="shared" ca="1" si="2"/>
        <v/>
      </c>
      <c r="U45" s="70" t="str">
        <f t="shared" ca="1" si="3"/>
        <v/>
      </c>
      <c r="V45" s="13"/>
      <c r="W45" s="13"/>
      <c r="X45" s="13"/>
      <c r="Y45" s="13"/>
      <c r="Z45" s="13"/>
      <c r="AA45" s="13"/>
      <c r="AB45" s="13"/>
      <c r="AC45" s="13"/>
    </row>
    <row r="46" spans="1:29" x14ac:dyDescent="0.25">
      <c r="A46" s="13"/>
      <c r="B46" s="57" t="str">
        <f t="shared" ca="1" si="4"/>
        <v/>
      </c>
      <c r="C46" s="71" t="str">
        <f t="shared" ca="1" si="8"/>
        <v/>
      </c>
      <c r="D46" s="72" t="str">
        <f t="shared" ca="1" si="9"/>
        <v/>
      </c>
      <c r="E46" s="73" t="str">
        <f t="shared" ca="1" si="10"/>
        <v/>
      </c>
      <c r="F46" s="62" t="str">
        <f t="shared" ca="1" si="11"/>
        <v/>
      </c>
      <c r="G46" s="62" t="str">
        <f t="shared" ca="1" si="12"/>
        <v/>
      </c>
      <c r="H46" s="63" t="str">
        <f t="shared" ca="1" si="13"/>
        <v/>
      </c>
      <c r="I46" s="64">
        <f t="shared" ca="1" si="5"/>
        <v>0</v>
      </c>
      <c r="J46" s="64">
        <f t="shared" ca="1" si="6"/>
        <v>0</v>
      </c>
      <c r="K46" s="65">
        <f t="shared" ca="1" si="7"/>
        <v>0</v>
      </c>
      <c r="L46" s="66"/>
      <c r="M46" s="67">
        <f ca="1">IF($C46="",0,
I46*'1.c Decrements'!D40+(M45-N45-O45)*(1+G45))</f>
        <v>0</v>
      </c>
      <c r="N46" s="68">
        <f ca="1">K46*'1.a Assumptions'!$C$13*'1.c Decrements'!E40</f>
        <v>0</v>
      </c>
      <c r="O46" s="68">
        <f ca="1">J47*('1.c Decrements'!F40+'1.c Decrements'!G40)</f>
        <v>0</v>
      </c>
      <c r="P46" s="68">
        <f ca="1">M46-J47*'1.c Decrements'!D40</f>
        <v>0</v>
      </c>
      <c r="Q46" s="68" t="str">
        <f ca="1">IF(B47&lt;=$Q$15,OFFSET('1.c Decrements'!$J$11,0,$Q$15-B46),"")</f>
        <v/>
      </c>
      <c r="R46" s="13"/>
      <c r="S46" s="13"/>
      <c r="T46" s="69" t="str">
        <f t="shared" ca="1" si="2"/>
        <v/>
      </c>
      <c r="U46" s="70" t="str">
        <f t="shared" ca="1" si="3"/>
        <v/>
      </c>
      <c r="V46" s="13"/>
      <c r="W46" s="13"/>
      <c r="X46" s="13"/>
      <c r="Y46" s="13"/>
      <c r="Z46" s="13"/>
      <c r="AA46" s="13"/>
      <c r="AB46" s="13"/>
      <c r="AC46" s="13"/>
    </row>
    <row r="47" spans="1:29" x14ac:dyDescent="0.25">
      <c r="A47" s="13"/>
      <c r="B47" s="57" t="str">
        <f t="shared" ca="1" si="4"/>
        <v/>
      </c>
      <c r="C47" s="71" t="str">
        <f t="shared" ca="1" si="8"/>
        <v/>
      </c>
      <c r="D47" s="72" t="str">
        <f t="shared" ca="1" si="9"/>
        <v/>
      </c>
      <c r="E47" s="73" t="str">
        <f t="shared" ca="1" si="10"/>
        <v/>
      </c>
      <c r="F47" s="62" t="str">
        <f t="shared" ca="1" si="11"/>
        <v/>
      </c>
      <c r="G47" s="62" t="str">
        <f t="shared" ca="1" si="12"/>
        <v/>
      </c>
      <c r="H47" s="63" t="str">
        <f t="shared" ca="1" si="13"/>
        <v/>
      </c>
      <c r="I47" s="64">
        <f t="shared" ca="1" si="5"/>
        <v>0</v>
      </c>
      <c r="J47" s="64">
        <f t="shared" ca="1" si="6"/>
        <v>0</v>
      </c>
      <c r="K47" s="65">
        <f t="shared" ca="1" si="7"/>
        <v>0</v>
      </c>
      <c r="L47" s="66"/>
      <c r="M47" s="67">
        <f ca="1">IF($C47="",0,
I47*'1.c Decrements'!D41+(M46-N46-O46)*(1+G46))</f>
        <v>0</v>
      </c>
      <c r="N47" s="68">
        <f ca="1">K47*'1.a Assumptions'!$C$13*'1.c Decrements'!E41</f>
        <v>0</v>
      </c>
      <c r="O47" s="68">
        <f ca="1">J48*('1.c Decrements'!F41+'1.c Decrements'!G41)</f>
        <v>0</v>
      </c>
      <c r="P47" s="68">
        <f ca="1">M47-J48*'1.c Decrements'!D41</f>
        <v>0</v>
      </c>
      <c r="Q47" s="68" t="str">
        <f ca="1">IF(B48&lt;=$Q$15,OFFSET('1.c Decrements'!$J$11,0,$Q$15-B47),"")</f>
        <v/>
      </c>
      <c r="R47" s="13"/>
      <c r="S47" s="13"/>
      <c r="T47" s="69" t="str">
        <f t="shared" ca="1" si="2"/>
        <v/>
      </c>
      <c r="U47" s="70" t="str">
        <f t="shared" ca="1" si="3"/>
        <v/>
      </c>
      <c r="V47" s="13"/>
      <c r="W47" s="13"/>
      <c r="X47" s="13"/>
      <c r="Y47" s="13"/>
      <c r="Z47" s="13"/>
      <c r="AA47" s="13"/>
      <c r="AB47" s="13"/>
      <c r="AC47" s="13"/>
    </row>
    <row r="48" spans="1:29" x14ac:dyDescent="0.25">
      <c r="A48" s="13"/>
      <c r="B48" s="57" t="str">
        <f t="shared" ca="1" si="4"/>
        <v/>
      </c>
      <c r="C48" s="71" t="str">
        <f t="shared" ca="1" si="8"/>
        <v/>
      </c>
      <c r="D48" s="72" t="str">
        <f t="shared" ca="1" si="9"/>
        <v/>
      </c>
      <c r="E48" s="73" t="str">
        <f t="shared" ca="1" si="10"/>
        <v/>
      </c>
      <c r="F48" s="62" t="str">
        <f t="shared" ca="1" si="11"/>
        <v/>
      </c>
      <c r="G48" s="62" t="str">
        <f t="shared" ca="1" si="12"/>
        <v/>
      </c>
      <c r="H48" s="63" t="str">
        <f t="shared" ca="1" si="13"/>
        <v/>
      </c>
      <c r="I48" s="64">
        <f t="shared" ca="1" si="5"/>
        <v>0</v>
      </c>
      <c r="J48" s="64">
        <f t="shared" ca="1" si="6"/>
        <v>0</v>
      </c>
      <c r="K48" s="65">
        <f t="shared" ca="1" si="7"/>
        <v>0</v>
      </c>
      <c r="L48" s="66"/>
      <c r="M48" s="67">
        <f ca="1">IF($C48="",0,
I48*'1.c Decrements'!D42+(M47-N47-O47)*(1+G47))</f>
        <v>0</v>
      </c>
      <c r="N48" s="68">
        <f ca="1">K48*'1.a Assumptions'!$C$13*'1.c Decrements'!E42</f>
        <v>0</v>
      </c>
      <c r="O48" s="68">
        <f ca="1">J49*('1.c Decrements'!F42+'1.c Decrements'!G42)</f>
        <v>0</v>
      </c>
      <c r="P48" s="68">
        <f ca="1">M48-J49*'1.c Decrements'!D42</f>
        <v>0</v>
      </c>
      <c r="Q48" s="68" t="str">
        <f ca="1">IF(B49&lt;=$Q$15,OFFSET('1.c Decrements'!$J$11,0,$Q$15-B48),"")</f>
        <v/>
      </c>
      <c r="R48" s="13"/>
      <c r="S48" s="13"/>
      <c r="T48" s="69" t="str">
        <f t="shared" ca="1" si="2"/>
        <v/>
      </c>
      <c r="U48" s="70" t="str">
        <f t="shared" ca="1" si="3"/>
        <v/>
      </c>
      <c r="V48" s="13"/>
      <c r="W48" s="13"/>
      <c r="X48" s="13"/>
      <c r="Y48" s="13"/>
      <c r="Z48" s="13"/>
      <c r="AA48" s="13"/>
      <c r="AB48" s="13"/>
      <c r="AC48" s="13"/>
    </row>
    <row r="49" spans="1:29" x14ac:dyDescent="0.25">
      <c r="A49" s="13"/>
      <c r="B49" s="57" t="str">
        <f t="shared" ca="1" si="4"/>
        <v/>
      </c>
      <c r="C49" s="71" t="str">
        <f t="shared" ca="1" si="8"/>
        <v/>
      </c>
      <c r="D49" s="72" t="str">
        <f t="shared" ca="1" si="9"/>
        <v/>
      </c>
      <c r="E49" s="73" t="str">
        <f t="shared" ca="1" si="10"/>
        <v/>
      </c>
      <c r="F49" s="62" t="str">
        <f t="shared" ca="1" si="11"/>
        <v/>
      </c>
      <c r="G49" s="62" t="str">
        <f t="shared" ca="1" si="12"/>
        <v/>
      </c>
      <c r="H49" s="63" t="str">
        <f t="shared" ca="1" si="13"/>
        <v/>
      </c>
      <c r="I49" s="64">
        <f t="shared" ca="1" si="5"/>
        <v>0</v>
      </c>
      <c r="J49" s="64">
        <f t="shared" ca="1" si="6"/>
        <v>0</v>
      </c>
      <c r="K49" s="65">
        <f t="shared" ca="1" si="7"/>
        <v>0</v>
      </c>
      <c r="L49" s="66"/>
      <c r="M49" s="67">
        <f ca="1">IF($C49="",0,
I49*'1.c Decrements'!D43+(M48-N48-O48)*(1+G48))</f>
        <v>0</v>
      </c>
      <c r="N49" s="68">
        <f ca="1">K49*'1.a Assumptions'!$C$13*'1.c Decrements'!E43</f>
        <v>0</v>
      </c>
      <c r="O49" s="68">
        <f ca="1">J50*('1.c Decrements'!F43+'1.c Decrements'!G43)</f>
        <v>0</v>
      </c>
      <c r="P49" s="68">
        <f ca="1">M49-J50*'1.c Decrements'!D43</f>
        <v>0</v>
      </c>
      <c r="Q49" s="68" t="str">
        <f ca="1">IF(B50&lt;=$Q$15,OFFSET('1.c Decrements'!$J$11,0,$Q$15-B49),"")</f>
        <v/>
      </c>
      <c r="R49" s="13"/>
      <c r="S49" s="13"/>
      <c r="T49" s="69" t="str">
        <f t="shared" ref="T49:T80" ca="1" si="14">IF($C50="","",J50-J49*(1+i))</f>
        <v/>
      </c>
      <c r="U49" s="70" t="str">
        <f t="shared" ref="U49:U80" ca="1" si="15">IFERROR(T49-I49,"")</f>
        <v/>
      </c>
      <c r="V49" s="13"/>
      <c r="W49" s="13"/>
      <c r="X49" s="13"/>
      <c r="Y49" s="13"/>
      <c r="Z49" s="13"/>
      <c r="AA49" s="13"/>
      <c r="AB49" s="13"/>
      <c r="AC49" s="13"/>
    </row>
    <row r="50" spans="1:29" x14ac:dyDescent="0.25">
      <c r="A50" s="13"/>
      <c r="B50" s="57" t="str">
        <f t="shared" ca="1" si="4"/>
        <v/>
      </c>
      <c r="C50" s="71" t="str">
        <f t="shared" ca="1" si="8"/>
        <v/>
      </c>
      <c r="D50" s="72" t="str">
        <f t="shared" ca="1" si="9"/>
        <v/>
      </c>
      <c r="E50" s="73" t="str">
        <f t="shared" ca="1" si="10"/>
        <v/>
      </c>
      <c r="F50" s="62" t="str">
        <f t="shared" ca="1" si="11"/>
        <v/>
      </c>
      <c r="G50" s="62" t="str">
        <f t="shared" ca="1" si="12"/>
        <v/>
      </c>
      <c r="H50" s="63" t="str">
        <f t="shared" ca="1" si="13"/>
        <v/>
      </c>
      <c r="I50" s="64">
        <f t="shared" ca="1" si="5"/>
        <v>0</v>
      </c>
      <c r="J50" s="64">
        <f t="shared" ca="1" si="6"/>
        <v>0</v>
      </c>
      <c r="K50" s="65">
        <f t="shared" ca="1" si="7"/>
        <v>0</v>
      </c>
      <c r="L50" s="66"/>
      <c r="M50" s="67">
        <f ca="1">IF($C50="",0,
I50*'1.c Decrements'!D44+(M49-N49-O49)*(1+G49))</f>
        <v>0</v>
      </c>
      <c r="N50" s="68">
        <f ca="1">K50*'1.a Assumptions'!$C$13*'1.c Decrements'!E44</f>
        <v>0</v>
      </c>
      <c r="O50" s="68">
        <f ca="1">J51*('1.c Decrements'!F44+'1.c Decrements'!G44)</f>
        <v>0</v>
      </c>
      <c r="P50" s="68">
        <f ca="1">M50-J51*'1.c Decrements'!D44</f>
        <v>0</v>
      </c>
      <c r="Q50" s="68" t="str">
        <f ca="1">IF(B51&lt;=$Q$15,OFFSET('1.c Decrements'!$J$11,0,$Q$15-B50),"")</f>
        <v/>
      </c>
      <c r="R50" s="13"/>
      <c r="S50" s="13"/>
      <c r="T50" s="69" t="str">
        <f t="shared" ca="1" si="14"/>
        <v/>
      </c>
      <c r="U50" s="70" t="str">
        <f t="shared" ca="1" si="15"/>
        <v/>
      </c>
      <c r="V50" s="13"/>
      <c r="W50" s="13"/>
      <c r="X50" s="13"/>
      <c r="Y50" s="13"/>
      <c r="Z50" s="13"/>
      <c r="AA50" s="13"/>
      <c r="AB50" s="13"/>
      <c r="AC50" s="13"/>
    </row>
    <row r="51" spans="1:29" x14ac:dyDescent="0.25">
      <c r="A51" s="13"/>
      <c r="B51" s="57" t="str">
        <f t="shared" ca="1" si="4"/>
        <v/>
      </c>
      <c r="C51" s="71" t="str">
        <f t="shared" ca="1" si="8"/>
        <v/>
      </c>
      <c r="D51" s="72" t="str">
        <f t="shared" ca="1" si="9"/>
        <v/>
      </c>
      <c r="E51" s="73" t="str">
        <f t="shared" ca="1" si="10"/>
        <v/>
      </c>
      <c r="F51" s="62" t="str">
        <f t="shared" ca="1" si="11"/>
        <v/>
      </c>
      <c r="G51" s="62" t="str">
        <f t="shared" ca="1" si="12"/>
        <v/>
      </c>
      <c r="H51" s="63" t="str">
        <f t="shared" ca="1" si="13"/>
        <v/>
      </c>
      <c r="I51" s="64">
        <f t="shared" ca="1" si="5"/>
        <v>0</v>
      </c>
      <c r="J51" s="64">
        <f t="shared" ca="1" si="6"/>
        <v>0</v>
      </c>
      <c r="K51" s="65">
        <f t="shared" ca="1" si="7"/>
        <v>0</v>
      </c>
      <c r="L51" s="66"/>
      <c r="M51" s="67">
        <f ca="1">IF($C51="",0,
I51*'1.c Decrements'!D45+(M50-N50-O50)*(1+G50))</f>
        <v>0</v>
      </c>
      <c r="N51" s="68">
        <f ca="1">K51*'1.a Assumptions'!$C$13*'1.c Decrements'!E45</f>
        <v>0</v>
      </c>
      <c r="O51" s="68">
        <f ca="1">J52*('1.c Decrements'!F45+'1.c Decrements'!G45)</f>
        <v>0</v>
      </c>
      <c r="P51" s="68">
        <f ca="1">M51-J52*'1.c Decrements'!D45</f>
        <v>0</v>
      </c>
      <c r="Q51" s="68" t="str">
        <f ca="1">IF(B52&lt;=$Q$15,OFFSET('1.c Decrements'!$J$11,0,$Q$15-B51),"")</f>
        <v/>
      </c>
      <c r="R51" s="13"/>
      <c r="S51" s="13"/>
      <c r="T51" s="69" t="str">
        <f t="shared" ca="1" si="14"/>
        <v/>
      </c>
      <c r="U51" s="70" t="str">
        <f t="shared" ca="1" si="15"/>
        <v/>
      </c>
      <c r="V51" s="13"/>
      <c r="W51" s="13"/>
      <c r="X51" s="13"/>
      <c r="Y51" s="13"/>
      <c r="Z51" s="13"/>
      <c r="AA51" s="13"/>
      <c r="AB51" s="13"/>
      <c r="AC51" s="13"/>
    </row>
    <row r="52" spans="1:29" x14ac:dyDescent="0.25">
      <c r="A52" s="13"/>
      <c r="B52" s="57" t="str">
        <f t="shared" ca="1" si="4"/>
        <v/>
      </c>
      <c r="C52" s="71" t="str">
        <f t="shared" ca="1" si="8"/>
        <v/>
      </c>
      <c r="D52" s="72" t="str">
        <f t="shared" ca="1" si="9"/>
        <v/>
      </c>
      <c r="E52" s="73" t="str">
        <f t="shared" ca="1" si="10"/>
        <v/>
      </c>
      <c r="F52" s="62" t="str">
        <f t="shared" ca="1" si="11"/>
        <v/>
      </c>
      <c r="G52" s="62" t="str">
        <f t="shared" ca="1" si="12"/>
        <v/>
      </c>
      <c r="H52" s="63" t="str">
        <f t="shared" ca="1" si="13"/>
        <v/>
      </c>
      <c r="I52" s="64">
        <f t="shared" ca="1" si="5"/>
        <v>0</v>
      </c>
      <c r="J52" s="64">
        <f t="shared" ca="1" si="6"/>
        <v>0</v>
      </c>
      <c r="K52" s="65">
        <f t="shared" ca="1" si="7"/>
        <v>0</v>
      </c>
      <c r="L52" s="66"/>
      <c r="M52" s="67">
        <f ca="1">IF($C52="",0,
I52*'1.c Decrements'!D46+(M51-N51-O51)*(1+G51))</f>
        <v>0</v>
      </c>
      <c r="N52" s="68">
        <f ca="1">K52*'1.a Assumptions'!$C$13*'1.c Decrements'!E46</f>
        <v>0</v>
      </c>
      <c r="O52" s="68">
        <f ca="1">J53*('1.c Decrements'!F46+'1.c Decrements'!G46)</f>
        <v>0</v>
      </c>
      <c r="P52" s="68">
        <f ca="1">M52-J53*'1.c Decrements'!D46</f>
        <v>0</v>
      </c>
      <c r="Q52" s="68" t="str">
        <f ca="1">IF(B53&lt;=$Q$15,OFFSET('1.c Decrements'!$J$11,0,$Q$15-B52),"")</f>
        <v/>
      </c>
      <c r="R52" s="13"/>
      <c r="S52" s="13"/>
      <c r="T52" s="69" t="str">
        <f t="shared" ca="1" si="14"/>
        <v/>
      </c>
      <c r="U52" s="70" t="str">
        <f t="shared" ca="1" si="15"/>
        <v/>
      </c>
      <c r="V52" s="13"/>
      <c r="W52" s="13"/>
      <c r="X52" s="13"/>
      <c r="Y52" s="13"/>
      <c r="Z52" s="13"/>
      <c r="AA52" s="13"/>
      <c r="AB52" s="13"/>
      <c r="AC52" s="13"/>
    </row>
    <row r="53" spans="1:29" x14ac:dyDescent="0.25">
      <c r="A53" s="13"/>
      <c r="B53" s="57" t="str">
        <f t="shared" ca="1" si="4"/>
        <v/>
      </c>
      <c r="C53" s="71" t="str">
        <f t="shared" ca="1" si="8"/>
        <v/>
      </c>
      <c r="D53" s="72" t="str">
        <f t="shared" ca="1" si="9"/>
        <v/>
      </c>
      <c r="E53" s="73" t="str">
        <f t="shared" ca="1" si="10"/>
        <v/>
      </c>
      <c r="F53" s="62" t="str">
        <f t="shared" ca="1" si="11"/>
        <v/>
      </c>
      <c r="G53" s="62" t="str">
        <f t="shared" ca="1" si="12"/>
        <v/>
      </c>
      <c r="H53" s="63" t="str">
        <f t="shared" ca="1" si="13"/>
        <v/>
      </c>
      <c r="I53" s="64">
        <f t="shared" ca="1" si="5"/>
        <v>0</v>
      </c>
      <c r="J53" s="64">
        <f t="shared" ca="1" si="6"/>
        <v>0</v>
      </c>
      <c r="K53" s="65">
        <f t="shared" ca="1" si="7"/>
        <v>0</v>
      </c>
      <c r="L53" s="66"/>
      <c r="M53" s="67">
        <f ca="1">IF($C53="",0,
I53*'1.c Decrements'!D47+(M52-N52-O52)*(1+G52))</f>
        <v>0</v>
      </c>
      <c r="N53" s="68">
        <f ca="1">K53*'1.a Assumptions'!$C$13*'1.c Decrements'!E47</f>
        <v>0</v>
      </c>
      <c r="O53" s="68">
        <f ca="1">J54*('1.c Decrements'!F47+'1.c Decrements'!G47)</f>
        <v>0</v>
      </c>
      <c r="P53" s="68">
        <f ca="1">M53-J54*'1.c Decrements'!D47</f>
        <v>0</v>
      </c>
      <c r="Q53" s="68" t="str">
        <f ca="1">IF(B54&lt;=$Q$15,OFFSET('1.c Decrements'!$J$11,0,$Q$15-B53),"")</f>
        <v/>
      </c>
      <c r="R53" s="13"/>
      <c r="S53" s="13"/>
      <c r="T53" s="69" t="str">
        <f t="shared" ca="1" si="14"/>
        <v/>
      </c>
      <c r="U53" s="70" t="str">
        <f t="shared" ca="1" si="15"/>
        <v/>
      </c>
      <c r="V53" s="13"/>
      <c r="W53" s="13"/>
      <c r="X53" s="13"/>
      <c r="Y53" s="13"/>
      <c r="Z53" s="13"/>
      <c r="AA53" s="13"/>
      <c r="AB53" s="13"/>
      <c r="AC53" s="13"/>
    </row>
    <row r="54" spans="1:29" x14ac:dyDescent="0.25">
      <c r="A54" s="13"/>
      <c r="B54" s="57" t="str">
        <f t="shared" ca="1" si="4"/>
        <v/>
      </c>
      <c r="C54" s="71" t="str">
        <f t="shared" ca="1" si="8"/>
        <v/>
      </c>
      <c r="D54" s="72" t="str">
        <f t="shared" ca="1" si="9"/>
        <v/>
      </c>
      <c r="E54" s="73" t="str">
        <f t="shared" ca="1" si="10"/>
        <v/>
      </c>
      <c r="F54" s="62" t="str">
        <f t="shared" ca="1" si="11"/>
        <v/>
      </c>
      <c r="G54" s="62" t="str">
        <f t="shared" ca="1" si="12"/>
        <v/>
      </c>
      <c r="H54" s="63" t="str">
        <f t="shared" ca="1" si="13"/>
        <v/>
      </c>
      <c r="I54" s="64">
        <f t="shared" ca="1" si="5"/>
        <v>0</v>
      </c>
      <c r="J54" s="64">
        <f t="shared" ca="1" si="6"/>
        <v>0</v>
      </c>
      <c r="K54" s="65">
        <f t="shared" ca="1" si="7"/>
        <v>0</v>
      </c>
      <c r="L54" s="66"/>
      <c r="M54" s="67">
        <f ca="1">IF($C54="",0,
I54*'1.c Decrements'!D48+(M53-N53-O53)*(1+G53))</f>
        <v>0</v>
      </c>
      <c r="N54" s="68">
        <f ca="1">K54*'1.a Assumptions'!$C$13*'1.c Decrements'!E48</f>
        <v>0</v>
      </c>
      <c r="O54" s="68">
        <f ca="1">J55*('1.c Decrements'!F48+'1.c Decrements'!G48)</f>
        <v>0</v>
      </c>
      <c r="P54" s="68">
        <f ca="1">M54-J55*'1.c Decrements'!D48</f>
        <v>0</v>
      </c>
      <c r="Q54" s="68" t="str">
        <f ca="1">IF(B55&lt;=$Q$15,OFFSET('1.c Decrements'!$J$11,0,$Q$15-B54),"")</f>
        <v/>
      </c>
      <c r="R54" s="13"/>
      <c r="S54" s="13"/>
      <c r="T54" s="69" t="str">
        <f t="shared" ca="1" si="14"/>
        <v/>
      </c>
      <c r="U54" s="70" t="str">
        <f t="shared" ca="1" si="15"/>
        <v/>
      </c>
      <c r="V54" s="13"/>
      <c r="W54" s="13"/>
      <c r="X54" s="13"/>
      <c r="Y54" s="13"/>
      <c r="Z54" s="13"/>
      <c r="AA54" s="13"/>
      <c r="AB54" s="13"/>
      <c r="AC54" s="13"/>
    </row>
    <row r="55" spans="1:29" x14ac:dyDescent="0.25">
      <c r="A55" s="13"/>
      <c r="B55" s="57" t="str">
        <f t="shared" ca="1" si="4"/>
        <v/>
      </c>
      <c r="C55" s="71" t="str">
        <f t="shared" ca="1" si="8"/>
        <v/>
      </c>
      <c r="D55" s="72" t="str">
        <f t="shared" ca="1" si="9"/>
        <v/>
      </c>
      <c r="E55" s="73" t="str">
        <f t="shared" ca="1" si="10"/>
        <v/>
      </c>
      <c r="F55" s="62" t="str">
        <f t="shared" ca="1" si="11"/>
        <v/>
      </c>
      <c r="G55" s="62" t="str">
        <f t="shared" ca="1" si="12"/>
        <v/>
      </c>
      <c r="H55" s="63" t="str">
        <f t="shared" ca="1" si="13"/>
        <v/>
      </c>
      <c r="I55" s="64">
        <f t="shared" ca="1" si="5"/>
        <v>0</v>
      </c>
      <c r="J55" s="64">
        <f t="shared" ca="1" si="6"/>
        <v>0</v>
      </c>
      <c r="K55" s="65">
        <f t="shared" ca="1" si="7"/>
        <v>0</v>
      </c>
      <c r="L55" s="66"/>
      <c r="M55" s="67">
        <f ca="1">IF($C55="",0,
I55*'1.c Decrements'!D49+(M54-N54-O54)*(1+G54))</f>
        <v>0</v>
      </c>
      <c r="N55" s="68">
        <f ca="1">K55*'1.a Assumptions'!$C$13*'1.c Decrements'!E49</f>
        <v>0</v>
      </c>
      <c r="O55" s="68">
        <f ca="1">J56*('1.c Decrements'!F49+'1.c Decrements'!G49)</f>
        <v>0</v>
      </c>
      <c r="P55" s="68">
        <f ca="1">M55-J56*'1.c Decrements'!D49</f>
        <v>0</v>
      </c>
      <c r="Q55" s="68" t="str">
        <f ca="1">IF(B56&lt;=$Q$15,OFFSET('1.c Decrements'!$J$11,0,$Q$15-B55),"")</f>
        <v/>
      </c>
      <c r="R55" s="13"/>
      <c r="S55" s="13"/>
      <c r="T55" s="69" t="str">
        <f t="shared" ca="1" si="14"/>
        <v/>
      </c>
      <c r="U55" s="70" t="str">
        <f t="shared" ca="1" si="15"/>
        <v/>
      </c>
      <c r="V55" s="13"/>
      <c r="W55" s="13"/>
      <c r="X55" s="13"/>
      <c r="Y55" s="13"/>
      <c r="Z55" s="13"/>
      <c r="AA55" s="13"/>
      <c r="AB55" s="13"/>
      <c r="AC55" s="13"/>
    </row>
    <row r="56" spans="1:29" x14ac:dyDescent="0.25">
      <c r="A56" s="13"/>
      <c r="B56" s="57" t="str">
        <f t="shared" ca="1" si="4"/>
        <v/>
      </c>
      <c r="C56" s="71" t="str">
        <f t="shared" ca="1" si="8"/>
        <v/>
      </c>
      <c r="D56" s="72" t="str">
        <f t="shared" ca="1" si="9"/>
        <v/>
      </c>
      <c r="E56" s="73" t="str">
        <f t="shared" ca="1" si="10"/>
        <v/>
      </c>
      <c r="F56" s="62" t="str">
        <f t="shared" ca="1" si="11"/>
        <v/>
      </c>
      <c r="G56" s="62" t="str">
        <f t="shared" ca="1" si="12"/>
        <v/>
      </c>
      <c r="H56" s="63" t="str">
        <f t="shared" ca="1" si="13"/>
        <v/>
      </c>
      <c r="I56" s="64">
        <f t="shared" ca="1" si="5"/>
        <v>0</v>
      </c>
      <c r="J56" s="64">
        <f t="shared" ca="1" si="6"/>
        <v>0</v>
      </c>
      <c r="K56" s="65">
        <f t="shared" ca="1" si="7"/>
        <v>0</v>
      </c>
      <c r="L56" s="66"/>
      <c r="M56" s="67">
        <f ca="1">IF($C56="",0,
I56*'1.c Decrements'!D50+(M55-N55-O55)*(1+G55))</f>
        <v>0</v>
      </c>
      <c r="N56" s="68">
        <f ca="1">K56*'1.a Assumptions'!$C$13*'1.c Decrements'!E50</f>
        <v>0</v>
      </c>
      <c r="O56" s="68">
        <f ca="1">J57*('1.c Decrements'!F50+'1.c Decrements'!G50)</f>
        <v>0</v>
      </c>
      <c r="P56" s="68">
        <f ca="1">M56-J57*'1.c Decrements'!D50</f>
        <v>0</v>
      </c>
      <c r="Q56" s="68" t="str">
        <f ca="1">IF(B57&lt;=$Q$15,OFFSET('1.c Decrements'!$J$11,0,$Q$15-B56),"")</f>
        <v/>
      </c>
      <c r="R56" s="13"/>
      <c r="S56" s="13"/>
      <c r="T56" s="69" t="str">
        <f t="shared" ca="1" si="14"/>
        <v/>
      </c>
      <c r="U56" s="70" t="str">
        <f t="shared" ca="1" si="15"/>
        <v/>
      </c>
      <c r="V56" s="13"/>
      <c r="W56" s="13"/>
      <c r="X56" s="13"/>
      <c r="Y56" s="13"/>
      <c r="Z56" s="13"/>
      <c r="AA56" s="13"/>
      <c r="AB56" s="13"/>
      <c r="AC56" s="13"/>
    </row>
    <row r="57" spans="1:29" x14ac:dyDescent="0.25">
      <c r="A57" s="13"/>
      <c r="B57" s="57" t="str">
        <f t="shared" ca="1" si="4"/>
        <v/>
      </c>
      <c r="C57" s="71" t="str">
        <f t="shared" ca="1" si="8"/>
        <v/>
      </c>
      <c r="D57" s="72" t="str">
        <f t="shared" ca="1" si="9"/>
        <v/>
      </c>
      <c r="E57" s="73" t="str">
        <f t="shared" ca="1" si="10"/>
        <v/>
      </c>
      <c r="F57" s="62" t="str">
        <f t="shared" ca="1" si="11"/>
        <v/>
      </c>
      <c r="G57" s="62" t="str">
        <f t="shared" ca="1" si="12"/>
        <v/>
      </c>
      <c r="H57" s="63" t="str">
        <f t="shared" ca="1" si="13"/>
        <v/>
      </c>
      <c r="I57" s="64">
        <f t="shared" ca="1" si="5"/>
        <v>0</v>
      </c>
      <c r="J57" s="64">
        <f t="shared" ca="1" si="6"/>
        <v>0</v>
      </c>
      <c r="K57" s="65">
        <f t="shared" ca="1" si="7"/>
        <v>0</v>
      </c>
      <c r="L57" s="66"/>
      <c r="M57" s="67">
        <f ca="1">IF($C57="",0,
I57*'1.c Decrements'!D51+(M56-N56-O56)*(1+G56))</f>
        <v>0</v>
      </c>
      <c r="N57" s="68">
        <f ca="1">K57*'1.a Assumptions'!$C$13*'1.c Decrements'!E51</f>
        <v>0</v>
      </c>
      <c r="O57" s="68">
        <f ca="1">J58*('1.c Decrements'!F51+'1.c Decrements'!G51)</f>
        <v>0</v>
      </c>
      <c r="P57" s="68">
        <f ca="1">M57-J58*'1.c Decrements'!D51</f>
        <v>0</v>
      </c>
      <c r="Q57" s="68" t="str">
        <f ca="1">IF(B58&lt;=$Q$15,OFFSET('1.c Decrements'!$J$11,0,$Q$15-B57),"")</f>
        <v/>
      </c>
      <c r="R57" s="13"/>
      <c r="S57" s="13"/>
      <c r="T57" s="69" t="str">
        <f t="shared" ca="1" si="14"/>
        <v/>
      </c>
      <c r="U57" s="70" t="str">
        <f t="shared" ca="1" si="15"/>
        <v/>
      </c>
      <c r="V57" s="13"/>
      <c r="W57" s="13"/>
      <c r="X57" s="13"/>
      <c r="Y57" s="13"/>
      <c r="Z57" s="13"/>
      <c r="AA57" s="13"/>
      <c r="AB57" s="13"/>
      <c r="AC57" s="13"/>
    </row>
    <row r="58" spans="1:29" x14ac:dyDescent="0.25">
      <c r="A58" s="13"/>
      <c r="B58" s="57" t="str">
        <f t="shared" ca="1" si="4"/>
        <v/>
      </c>
      <c r="C58" s="71" t="str">
        <f t="shared" ca="1" si="8"/>
        <v/>
      </c>
      <c r="D58" s="72" t="str">
        <f t="shared" ca="1" si="9"/>
        <v/>
      </c>
      <c r="E58" s="73" t="str">
        <f t="shared" ca="1" si="10"/>
        <v/>
      </c>
      <c r="F58" s="62" t="str">
        <f t="shared" ca="1" si="11"/>
        <v/>
      </c>
      <c r="G58" s="62" t="str">
        <f t="shared" ca="1" si="12"/>
        <v/>
      </c>
      <c r="H58" s="63" t="str">
        <f t="shared" ca="1" si="13"/>
        <v/>
      </c>
      <c r="I58" s="64">
        <f t="shared" ca="1" si="5"/>
        <v>0</v>
      </c>
      <c r="J58" s="64">
        <f t="shared" ca="1" si="6"/>
        <v>0</v>
      </c>
      <c r="K58" s="65">
        <f t="shared" ca="1" si="7"/>
        <v>0</v>
      </c>
      <c r="L58" s="66"/>
      <c r="M58" s="67">
        <f ca="1">IF($C58="",0,
I58*'1.c Decrements'!D52+(M57-N57-O57)*(1+G57))</f>
        <v>0</v>
      </c>
      <c r="N58" s="68">
        <f ca="1">K58*'1.a Assumptions'!$C$13*'1.c Decrements'!E52</f>
        <v>0</v>
      </c>
      <c r="O58" s="68">
        <f ca="1">J59*('1.c Decrements'!F52+'1.c Decrements'!G52)</f>
        <v>0</v>
      </c>
      <c r="P58" s="68">
        <f ca="1">M58-J59*'1.c Decrements'!D52</f>
        <v>0</v>
      </c>
      <c r="Q58" s="68" t="str">
        <f ca="1">IF(B59&lt;=$Q$15,OFFSET('1.c Decrements'!$J$11,0,$Q$15-B58),"")</f>
        <v/>
      </c>
      <c r="R58" s="13"/>
      <c r="S58" s="13"/>
      <c r="T58" s="69" t="str">
        <f t="shared" ca="1" si="14"/>
        <v/>
      </c>
      <c r="U58" s="70" t="str">
        <f t="shared" ca="1" si="15"/>
        <v/>
      </c>
      <c r="V58" s="13"/>
      <c r="W58" s="13"/>
      <c r="X58" s="13"/>
      <c r="Y58" s="13"/>
      <c r="Z58" s="13"/>
      <c r="AA58" s="13"/>
      <c r="AB58" s="13"/>
      <c r="AC58" s="13"/>
    </row>
    <row r="59" spans="1:29" x14ac:dyDescent="0.25">
      <c r="A59" s="13"/>
      <c r="B59" s="57" t="str">
        <f t="shared" ca="1" si="4"/>
        <v/>
      </c>
      <c r="C59" s="71" t="str">
        <f t="shared" ca="1" si="8"/>
        <v/>
      </c>
      <c r="D59" s="72" t="str">
        <f t="shared" ca="1" si="9"/>
        <v/>
      </c>
      <c r="E59" s="73" t="str">
        <f t="shared" ca="1" si="10"/>
        <v/>
      </c>
      <c r="F59" s="62" t="str">
        <f t="shared" ca="1" si="11"/>
        <v/>
      </c>
      <c r="G59" s="62" t="str">
        <f t="shared" ca="1" si="12"/>
        <v/>
      </c>
      <c r="H59" s="63" t="str">
        <f t="shared" ca="1" si="13"/>
        <v/>
      </c>
      <c r="I59" s="64">
        <f t="shared" ca="1" si="5"/>
        <v>0</v>
      </c>
      <c r="J59" s="64">
        <f t="shared" ca="1" si="6"/>
        <v>0</v>
      </c>
      <c r="K59" s="65">
        <f t="shared" ca="1" si="7"/>
        <v>0</v>
      </c>
      <c r="L59" s="66"/>
      <c r="M59" s="67">
        <f ca="1">IF($C59="",0,
I59*'1.c Decrements'!D53+(M58-N58-O58)*(1+G58))</f>
        <v>0</v>
      </c>
      <c r="N59" s="68">
        <f ca="1">K59*'1.a Assumptions'!$C$13*'1.c Decrements'!E53</f>
        <v>0</v>
      </c>
      <c r="O59" s="68">
        <f ca="1">J60*('1.c Decrements'!F53+'1.c Decrements'!G53)</f>
        <v>0</v>
      </c>
      <c r="P59" s="68">
        <f ca="1">M59-J60*'1.c Decrements'!D53</f>
        <v>0</v>
      </c>
      <c r="Q59" s="68" t="str">
        <f ca="1">IF(B60&lt;=$Q$15,OFFSET('1.c Decrements'!$J$11,0,$Q$15-B59),"")</f>
        <v/>
      </c>
      <c r="R59" s="13"/>
      <c r="S59" s="13"/>
      <c r="T59" s="69" t="str">
        <f t="shared" ca="1" si="14"/>
        <v/>
      </c>
      <c r="U59" s="70" t="str">
        <f t="shared" ca="1" si="15"/>
        <v/>
      </c>
      <c r="V59" s="13"/>
      <c r="W59" s="13"/>
      <c r="X59" s="13"/>
      <c r="Y59" s="13"/>
      <c r="Z59" s="13"/>
      <c r="AA59" s="13"/>
      <c r="AB59" s="13"/>
      <c r="AC59" s="13"/>
    </row>
    <row r="60" spans="1:29" x14ac:dyDescent="0.25">
      <c r="A60" s="13"/>
      <c r="B60" s="57" t="str">
        <f t="shared" ca="1" si="4"/>
        <v/>
      </c>
      <c r="C60" s="71" t="str">
        <f t="shared" ca="1" si="8"/>
        <v/>
      </c>
      <c r="D60" s="72" t="str">
        <f t="shared" ca="1" si="9"/>
        <v/>
      </c>
      <c r="E60" s="73" t="str">
        <f t="shared" ca="1" si="10"/>
        <v/>
      </c>
      <c r="F60" s="62" t="str">
        <f t="shared" ca="1" si="11"/>
        <v/>
      </c>
      <c r="G60" s="62" t="str">
        <f t="shared" ca="1" si="12"/>
        <v/>
      </c>
      <c r="H60" s="63" t="str">
        <f t="shared" ca="1" si="13"/>
        <v/>
      </c>
      <c r="I60" s="64">
        <f t="shared" ca="1" si="5"/>
        <v>0</v>
      </c>
      <c r="J60" s="64">
        <f t="shared" ca="1" si="6"/>
        <v>0</v>
      </c>
      <c r="K60" s="65">
        <f t="shared" ca="1" si="7"/>
        <v>0</v>
      </c>
      <c r="L60" s="66"/>
      <c r="M60" s="67">
        <f ca="1">IF($C60="",0,
I60*'1.c Decrements'!D54+(M59-N59-O59)*(1+G59))</f>
        <v>0</v>
      </c>
      <c r="N60" s="68">
        <f ca="1">K60*'1.a Assumptions'!$C$13*'1.c Decrements'!E54</f>
        <v>0</v>
      </c>
      <c r="O60" s="68">
        <f ca="1">J61*('1.c Decrements'!F54+'1.c Decrements'!G54)</f>
        <v>0</v>
      </c>
      <c r="P60" s="68">
        <f ca="1">M60-J61*'1.c Decrements'!D54</f>
        <v>0</v>
      </c>
      <c r="Q60" s="68" t="str">
        <f ca="1">IF(B61&lt;=$Q$15,OFFSET('1.c Decrements'!$J$11,0,$Q$15-B60),"")</f>
        <v/>
      </c>
      <c r="R60" s="13"/>
      <c r="S60" s="13"/>
      <c r="T60" s="69" t="str">
        <f t="shared" ca="1" si="14"/>
        <v/>
      </c>
      <c r="U60" s="70" t="str">
        <f t="shared" ca="1" si="15"/>
        <v/>
      </c>
      <c r="V60" s="13"/>
      <c r="W60" s="13"/>
      <c r="X60" s="13"/>
      <c r="Y60" s="13"/>
      <c r="Z60" s="13"/>
      <c r="AA60" s="13"/>
      <c r="AB60" s="13"/>
      <c r="AC60" s="13"/>
    </row>
    <row r="61" spans="1:29" x14ac:dyDescent="0.25">
      <c r="A61" s="13"/>
      <c r="B61" s="57" t="str">
        <f t="shared" ca="1" si="4"/>
        <v/>
      </c>
      <c r="C61" s="71" t="str">
        <f t="shared" ca="1" si="8"/>
        <v/>
      </c>
      <c r="D61" s="72" t="str">
        <f t="shared" ca="1" si="9"/>
        <v/>
      </c>
      <c r="E61" s="73" t="str">
        <f t="shared" ca="1" si="10"/>
        <v/>
      </c>
      <c r="F61" s="62" t="str">
        <f t="shared" ca="1" si="11"/>
        <v/>
      </c>
      <c r="G61" s="62" t="str">
        <f t="shared" ca="1" si="12"/>
        <v/>
      </c>
      <c r="H61" s="63" t="str">
        <f t="shared" ca="1" si="13"/>
        <v/>
      </c>
      <c r="I61" s="64">
        <f t="shared" ca="1" si="5"/>
        <v>0</v>
      </c>
      <c r="J61" s="64">
        <f t="shared" ca="1" si="6"/>
        <v>0</v>
      </c>
      <c r="K61" s="65">
        <f t="shared" ca="1" si="7"/>
        <v>0</v>
      </c>
      <c r="L61" s="66"/>
      <c r="M61" s="67">
        <f ca="1">IF($C61="",0,
I61*'1.c Decrements'!D55+(M60-N60-O60)*(1+G60))</f>
        <v>0</v>
      </c>
      <c r="N61" s="68">
        <f ca="1">K61*'1.a Assumptions'!$C$13*'1.c Decrements'!E55</f>
        <v>0</v>
      </c>
      <c r="O61" s="68">
        <f ca="1">J62*('1.c Decrements'!F55+'1.c Decrements'!G55)</f>
        <v>0</v>
      </c>
      <c r="P61" s="68">
        <f ca="1">M61-J62*'1.c Decrements'!D55</f>
        <v>0</v>
      </c>
      <c r="Q61" s="68" t="str">
        <f ca="1">IF(B62&lt;=$Q$15,OFFSET('1.c Decrements'!$J$11,0,$Q$15-B61),"")</f>
        <v/>
      </c>
      <c r="R61" s="13"/>
      <c r="S61" s="13"/>
      <c r="T61" s="69" t="str">
        <f t="shared" ca="1" si="14"/>
        <v/>
      </c>
      <c r="U61" s="70" t="str">
        <f t="shared" ca="1" si="15"/>
        <v/>
      </c>
      <c r="V61" s="13"/>
      <c r="W61" s="13"/>
      <c r="X61" s="13"/>
      <c r="Y61" s="13"/>
      <c r="Z61" s="13"/>
      <c r="AA61" s="13"/>
      <c r="AB61" s="13"/>
      <c r="AC61" s="13"/>
    </row>
    <row r="62" spans="1:29" x14ac:dyDescent="0.25">
      <c r="A62" s="13"/>
      <c r="B62" s="57" t="str">
        <f t="shared" ca="1" si="4"/>
        <v/>
      </c>
      <c r="C62" s="71" t="str">
        <f t="shared" ca="1" si="8"/>
        <v/>
      </c>
      <c r="D62" s="72" t="str">
        <f t="shared" ca="1" si="9"/>
        <v/>
      </c>
      <c r="E62" s="73" t="str">
        <f t="shared" ca="1" si="10"/>
        <v/>
      </c>
      <c r="F62" s="62" t="str">
        <f t="shared" ca="1" si="11"/>
        <v/>
      </c>
      <c r="G62" s="62" t="str">
        <f t="shared" ca="1" si="12"/>
        <v/>
      </c>
      <c r="H62" s="63" t="str">
        <f t="shared" ca="1" si="13"/>
        <v/>
      </c>
      <c r="I62" s="64">
        <f t="shared" ca="1" si="5"/>
        <v>0</v>
      </c>
      <c r="J62" s="64">
        <f t="shared" ca="1" si="6"/>
        <v>0</v>
      </c>
      <c r="K62" s="65">
        <f t="shared" ca="1" si="7"/>
        <v>0</v>
      </c>
      <c r="L62" s="66"/>
      <c r="M62" s="67">
        <f ca="1">IF($C62="",0,
I62*'1.c Decrements'!D56+(M61-N61-O61)*(1+G61))</f>
        <v>0</v>
      </c>
      <c r="N62" s="68">
        <f ca="1">K62*'1.a Assumptions'!$C$13*'1.c Decrements'!E56</f>
        <v>0</v>
      </c>
      <c r="O62" s="68">
        <f ca="1">J63*('1.c Decrements'!F56+'1.c Decrements'!G56)</f>
        <v>0</v>
      </c>
      <c r="P62" s="68">
        <f ca="1">M62-J63*'1.c Decrements'!D56</f>
        <v>0</v>
      </c>
      <c r="Q62" s="68" t="str">
        <f ca="1">IF(B63&lt;=$Q$15,OFFSET('1.c Decrements'!$J$11,0,$Q$15-B62),"")</f>
        <v/>
      </c>
      <c r="R62" s="13"/>
      <c r="S62" s="13"/>
      <c r="T62" s="69" t="str">
        <f t="shared" ca="1" si="14"/>
        <v/>
      </c>
      <c r="U62" s="70" t="str">
        <f t="shared" ca="1" si="15"/>
        <v/>
      </c>
      <c r="V62" s="13"/>
      <c r="W62" s="13"/>
      <c r="X62" s="13"/>
      <c r="Y62" s="13"/>
      <c r="Z62" s="13"/>
      <c r="AA62" s="13"/>
      <c r="AB62" s="13"/>
      <c r="AC62" s="13"/>
    </row>
    <row r="63" spans="1:29" x14ac:dyDescent="0.25">
      <c r="A63" s="13"/>
      <c r="B63" s="57" t="str">
        <f t="shared" ca="1" si="4"/>
        <v/>
      </c>
      <c r="C63" s="71" t="str">
        <f t="shared" ca="1" si="8"/>
        <v/>
      </c>
      <c r="D63" s="72" t="str">
        <f t="shared" ca="1" si="9"/>
        <v/>
      </c>
      <c r="E63" s="73" t="str">
        <f t="shared" ca="1" si="10"/>
        <v/>
      </c>
      <c r="F63" s="62" t="str">
        <f t="shared" ca="1" si="11"/>
        <v/>
      </c>
      <c r="G63" s="62" t="str">
        <f t="shared" ca="1" si="12"/>
        <v/>
      </c>
      <c r="H63" s="63" t="str">
        <f t="shared" ca="1" si="13"/>
        <v/>
      </c>
      <c r="I63" s="64">
        <f t="shared" ca="1" si="5"/>
        <v>0</v>
      </c>
      <c r="J63" s="64">
        <f t="shared" ca="1" si="6"/>
        <v>0</v>
      </c>
      <c r="K63" s="65">
        <f t="shared" ca="1" si="7"/>
        <v>0</v>
      </c>
      <c r="L63" s="66"/>
      <c r="M63" s="67">
        <f ca="1">IF($C63="",0,
I63*'1.c Decrements'!D57+(M62-N62-O62)*(1+G62))</f>
        <v>0</v>
      </c>
      <c r="N63" s="68">
        <f ca="1">K63*'1.a Assumptions'!$C$13*'1.c Decrements'!E57</f>
        <v>0</v>
      </c>
      <c r="O63" s="68">
        <f ca="1">J64*('1.c Decrements'!F57+'1.c Decrements'!G57)</f>
        <v>0</v>
      </c>
      <c r="P63" s="68">
        <f ca="1">M63-J64*'1.c Decrements'!D57</f>
        <v>0</v>
      </c>
      <c r="Q63" s="68" t="str">
        <f ca="1">IF(B64&lt;=$Q$15,OFFSET('1.c Decrements'!$J$11,0,$Q$15-B63),"")</f>
        <v/>
      </c>
      <c r="R63" s="13"/>
      <c r="S63" s="13"/>
      <c r="T63" s="69" t="str">
        <f t="shared" ca="1" si="14"/>
        <v/>
      </c>
      <c r="U63" s="70" t="str">
        <f t="shared" ca="1" si="15"/>
        <v/>
      </c>
      <c r="V63" s="13"/>
      <c r="W63" s="13"/>
      <c r="X63" s="13"/>
      <c r="Y63" s="13"/>
      <c r="Z63" s="13"/>
      <c r="AA63" s="13"/>
      <c r="AB63" s="13"/>
      <c r="AC63" s="13"/>
    </row>
    <row r="64" spans="1:29" x14ac:dyDescent="0.25">
      <c r="A64" s="13"/>
      <c r="B64" s="57" t="str">
        <f t="shared" ca="1" si="4"/>
        <v/>
      </c>
      <c r="C64" s="71" t="str">
        <f t="shared" ca="1" si="8"/>
        <v/>
      </c>
      <c r="D64" s="72" t="str">
        <f t="shared" ca="1" si="9"/>
        <v/>
      </c>
      <c r="E64" s="73" t="str">
        <f t="shared" ca="1" si="10"/>
        <v/>
      </c>
      <c r="F64" s="62" t="str">
        <f t="shared" ca="1" si="11"/>
        <v/>
      </c>
      <c r="G64" s="62" t="str">
        <f t="shared" ca="1" si="12"/>
        <v/>
      </c>
      <c r="H64" s="63" t="str">
        <f t="shared" ca="1" si="13"/>
        <v/>
      </c>
      <c r="I64" s="64">
        <f t="shared" ca="1" si="5"/>
        <v>0</v>
      </c>
      <c r="J64" s="64">
        <f t="shared" ca="1" si="6"/>
        <v>0</v>
      </c>
      <c r="K64" s="65">
        <f t="shared" ca="1" si="7"/>
        <v>0</v>
      </c>
      <c r="L64" s="66"/>
      <c r="M64" s="67">
        <f ca="1">IF($C64="",0,
I64*'1.c Decrements'!D58+(M63-N63-O63)*(1+G63))</f>
        <v>0</v>
      </c>
      <c r="N64" s="68">
        <f ca="1">K64*'1.a Assumptions'!$C$13*'1.c Decrements'!E58</f>
        <v>0</v>
      </c>
      <c r="O64" s="68">
        <f ca="1">J65*('1.c Decrements'!F58+'1.c Decrements'!G58)</f>
        <v>0</v>
      </c>
      <c r="P64" s="68">
        <f ca="1">M64-J65*'1.c Decrements'!D58</f>
        <v>0</v>
      </c>
      <c r="Q64" s="68" t="str">
        <f ca="1">IF(B65&lt;=$Q$15,OFFSET('1.c Decrements'!$J$11,0,$Q$15-B64),"")</f>
        <v/>
      </c>
      <c r="R64" s="13"/>
      <c r="S64" s="13"/>
      <c r="T64" s="69" t="str">
        <f t="shared" ca="1" si="14"/>
        <v/>
      </c>
      <c r="U64" s="70" t="str">
        <f t="shared" ca="1" si="15"/>
        <v/>
      </c>
      <c r="V64" s="13"/>
      <c r="W64" s="13"/>
      <c r="X64" s="13"/>
      <c r="Y64" s="13"/>
      <c r="Z64" s="13"/>
      <c r="AA64" s="13"/>
      <c r="AB64" s="13"/>
      <c r="AC64" s="13"/>
    </row>
    <row r="65" spans="1:29" x14ac:dyDescent="0.25">
      <c r="A65" s="13"/>
      <c r="B65" s="57" t="str">
        <f t="shared" ref="B65:B72" ca="1" si="16">IF($C65="","",B64+1)</f>
        <v/>
      </c>
      <c r="C65" s="71" t="str">
        <f t="shared" ca="1" si="8"/>
        <v/>
      </c>
      <c r="D65" s="72" t="str">
        <f t="shared" ref="D65:D72" ca="1" si="17">IF($C65="","",D64)</f>
        <v/>
      </c>
      <c r="E65" s="73" t="str">
        <f t="shared" ca="1" si="10"/>
        <v/>
      </c>
      <c r="F65" s="62" t="str">
        <f t="shared" ref="F65:F72" ca="1" si="18">IF($C65="","",F64)</f>
        <v/>
      </c>
      <c r="G65" s="62" t="str">
        <f t="shared" ref="G65:G72" ca="1" si="19">IF($C65="","",G64)</f>
        <v/>
      </c>
      <c r="H65" s="63" t="str">
        <f t="shared" ca="1" si="13"/>
        <v/>
      </c>
      <c r="I65" s="64">
        <f t="shared" ca="1" si="5"/>
        <v>0</v>
      </c>
      <c r="J65" s="64">
        <f t="shared" ca="1" si="6"/>
        <v>0</v>
      </c>
      <c r="K65" s="65">
        <f t="shared" ca="1" si="7"/>
        <v>0</v>
      </c>
      <c r="L65" s="66"/>
      <c r="M65" s="67">
        <f ca="1">IF($C65="",0,
I65*'1.c Decrements'!D59+(M64-N64-O64)*(1+G64))</f>
        <v>0</v>
      </c>
      <c r="N65" s="68">
        <f ca="1">K65*'1.a Assumptions'!$C$13*'1.c Decrements'!E59</f>
        <v>0</v>
      </c>
      <c r="O65" s="68">
        <f ca="1">J66*('1.c Decrements'!F59+'1.c Decrements'!G59)</f>
        <v>0</v>
      </c>
      <c r="P65" s="68">
        <f ca="1">M65-J66*'1.c Decrements'!D59</f>
        <v>0</v>
      </c>
      <c r="Q65" s="68" t="str">
        <f ca="1">IF(B66&lt;=$Q$15,OFFSET('1.c Decrements'!$J$11,0,$Q$15-B65),"")</f>
        <v/>
      </c>
      <c r="R65" s="13"/>
      <c r="S65" s="13"/>
      <c r="T65" s="69" t="str">
        <f t="shared" ca="1" si="14"/>
        <v/>
      </c>
      <c r="U65" s="70" t="str">
        <f t="shared" ca="1" si="15"/>
        <v/>
      </c>
      <c r="V65" s="13"/>
      <c r="W65" s="13"/>
      <c r="X65" s="13"/>
      <c r="Y65" s="13"/>
      <c r="Z65" s="13"/>
      <c r="AA65" s="13"/>
      <c r="AB65" s="13"/>
      <c r="AC65" s="13"/>
    </row>
    <row r="66" spans="1:29" x14ac:dyDescent="0.25">
      <c r="A66" s="13"/>
      <c r="B66" s="57" t="str">
        <f t="shared" ca="1" si="16"/>
        <v/>
      </c>
      <c r="C66" s="71" t="str">
        <f t="shared" ca="1" si="8"/>
        <v/>
      </c>
      <c r="D66" s="72" t="str">
        <f t="shared" ca="1" si="17"/>
        <v/>
      </c>
      <c r="E66" s="73" t="str">
        <f t="shared" ca="1" si="10"/>
        <v/>
      </c>
      <c r="F66" s="62" t="str">
        <f t="shared" ca="1" si="18"/>
        <v/>
      </c>
      <c r="G66" s="62" t="str">
        <f t="shared" ca="1" si="19"/>
        <v/>
      </c>
      <c r="H66" s="63" t="str">
        <f t="shared" ca="1" si="13"/>
        <v/>
      </c>
      <c r="I66" s="64">
        <f t="shared" ca="1" si="5"/>
        <v>0</v>
      </c>
      <c r="J66" s="64">
        <f t="shared" ca="1" si="6"/>
        <v>0</v>
      </c>
      <c r="K66" s="65">
        <f t="shared" ca="1" si="7"/>
        <v>0</v>
      </c>
      <c r="L66" s="66"/>
      <c r="M66" s="67">
        <f ca="1">IF($C66="",0,
I66*'1.c Decrements'!D60+(M65-N65-O65)*(1+G65))</f>
        <v>0</v>
      </c>
      <c r="N66" s="68">
        <f ca="1">K66*'1.a Assumptions'!$C$13*'1.c Decrements'!E60</f>
        <v>0</v>
      </c>
      <c r="O66" s="68">
        <f ca="1">J67*('1.c Decrements'!F60+'1.c Decrements'!G60)</f>
        <v>0</v>
      </c>
      <c r="P66" s="68">
        <f ca="1">M66-J67*'1.c Decrements'!D60</f>
        <v>0</v>
      </c>
      <c r="Q66" s="68" t="str">
        <f ca="1">IF(B67&lt;=$Q$15,OFFSET('1.c Decrements'!$J$11,0,$Q$15-B66),"")</f>
        <v/>
      </c>
      <c r="R66" s="13"/>
      <c r="S66" s="13"/>
      <c r="T66" s="69" t="str">
        <f t="shared" ca="1" si="14"/>
        <v/>
      </c>
      <c r="U66" s="70" t="str">
        <f t="shared" ca="1" si="15"/>
        <v/>
      </c>
      <c r="V66" s="13"/>
      <c r="W66" s="13"/>
      <c r="X66" s="13"/>
      <c r="Y66" s="13"/>
      <c r="Z66" s="13"/>
      <c r="AA66" s="13"/>
      <c r="AB66" s="13"/>
      <c r="AC66" s="13"/>
    </row>
    <row r="67" spans="1:29" x14ac:dyDescent="0.25">
      <c r="A67" s="13"/>
      <c r="B67" s="57" t="str">
        <f t="shared" ca="1" si="16"/>
        <v/>
      </c>
      <c r="C67" s="71" t="str">
        <f t="shared" ca="1" si="8"/>
        <v/>
      </c>
      <c r="D67" s="72" t="str">
        <f t="shared" ca="1" si="17"/>
        <v/>
      </c>
      <c r="E67" s="73" t="str">
        <f t="shared" ca="1" si="10"/>
        <v/>
      </c>
      <c r="F67" s="62" t="str">
        <f t="shared" ca="1" si="18"/>
        <v/>
      </c>
      <c r="G67" s="62" t="str">
        <f t="shared" ca="1" si="19"/>
        <v/>
      </c>
      <c r="H67" s="63" t="str">
        <f t="shared" ca="1" si="13"/>
        <v/>
      </c>
      <c r="I67" s="64">
        <f t="shared" ca="1" si="5"/>
        <v>0</v>
      </c>
      <c r="J67" s="64">
        <f t="shared" ca="1" si="6"/>
        <v>0</v>
      </c>
      <c r="K67" s="65">
        <f t="shared" ca="1" si="7"/>
        <v>0</v>
      </c>
      <c r="L67" s="66"/>
      <c r="M67" s="67">
        <f ca="1">IF($C67="",0,
I67*'1.c Decrements'!D61+(M66-N66-O66)*(1+G66))</f>
        <v>0</v>
      </c>
      <c r="N67" s="68">
        <f ca="1">K67*'1.a Assumptions'!$C$13*'1.c Decrements'!E61</f>
        <v>0</v>
      </c>
      <c r="O67" s="68">
        <f ca="1">J68*('1.c Decrements'!F61+'1.c Decrements'!G61)</f>
        <v>0</v>
      </c>
      <c r="P67" s="68">
        <f ca="1">M67-J68*'1.c Decrements'!D61</f>
        <v>0</v>
      </c>
      <c r="Q67" s="68" t="str">
        <f ca="1">IF(B68&lt;=$Q$15,OFFSET('1.c Decrements'!$J$11,0,$Q$15-B67),"")</f>
        <v/>
      </c>
      <c r="R67" s="13"/>
      <c r="S67" s="13"/>
      <c r="T67" s="69" t="str">
        <f t="shared" ca="1" si="14"/>
        <v/>
      </c>
      <c r="U67" s="70" t="str">
        <f t="shared" ca="1" si="15"/>
        <v/>
      </c>
      <c r="V67" s="13"/>
      <c r="W67" s="13"/>
      <c r="X67" s="13"/>
      <c r="Y67" s="13"/>
      <c r="Z67" s="13"/>
      <c r="AA67" s="13"/>
      <c r="AB67" s="13"/>
      <c r="AC67" s="13"/>
    </row>
    <row r="68" spans="1:29" x14ac:dyDescent="0.25">
      <c r="A68" s="13"/>
      <c r="B68" s="57" t="str">
        <f t="shared" ca="1" si="16"/>
        <v/>
      </c>
      <c r="C68" s="71" t="str">
        <f t="shared" ca="1" si="8"/>
        <v/>
      </c>
      <c r="D68" s="72" t="str">
        <f t="shared" ca="1" si="17"/>
        <v/>
      </c>
      <c r="E68" s="73" t="str">
        <f t="shared" ca="1" si="10"/>
        <v/>
      </c>
      <c r="F68" s="62" t="str">
        <f t="shared" ca="1" si="18"/>
        <v/>
      </c>
      <c r="G68" s="62" t="str">
        <f t="shared" ca="1" si="19"/>
        <v/>
      </c>
      <c r="H68" s="63" t="str">
        <f t="shared" ca="1" si="13"/>
        <v/>
      </c>
      <c r="I68" s="64">
        <f t="shared" ca="1" si="5"/>
        <v>0</v>
      </c>
      <c r="J68" s="64">
        <f t="shared" ca="1" si="6"/>
        <v>0</v>
      </c>
      <c r="K68" s="65">
        <f t="shared" ca="1" si="7"/>
        <v>0</v>
      </c>
      <c r="L68" s="66"/>
      <c r="M68" s="67">
        <f ca="1">IF($C68="",0,
I68*'1.c Decrements'!D62+(M67-N67-O67)*(1+G67))</f>
        <v>0</v>
      </c>
      <c r="N68" s="68">
        <f ca="1">K68*'1.a Assumptions'!$C$13*'1.c Decrements'!E62</f>
        <v>0</v>
      </c>
      <c r="O68" s="68">
        <f ca="1">J69*('1.c Decrements'!F62+'1.c Decrements'!G62)</f>
        <v>0</v>
      </c>
      <c r="P68" s="68">
        <f ca="1">M68-J69*'1.c Decrements'!D62</f>
        <v>0</v>
      </c>
      <c r="Q68" s="68" t="str">
        <f ca="1">IF(B69&lt;=$Q$15,OFFSET('1.c Decrements'!$J$11,0,$Q$15-B68),"")</f>
        <v/>
      </c>
      <c r="R68" s="13"/>
      <c r="S68" s="13"/>
      <c r="T68" s="69" t="str">
        <f t="shared" ca="1" si="14"/>
        <v/>
      </c>
      <c r="U68" s="70" t="str">
        <f t="shared" ca="1" si="15"/>
        <v/>
      </c>
      <c r="V68" s="13"/>
      <c r="W68" s="13"/>
      <c r="X68" s="13"/>
      <c r="Y68" s="13"/>
      <c r="Z68" s="13"/>
      <c r="AA68" s="13"/>
      <c r="AB68" s="13"/>
      <c r="AC68" s="13"/>
    </row>
    <row r="69" spans="1:29" x14ac:dyDescent="0.25">
      <c r="A69" s="13"/>
      <c r="B69" s="57" t="str">
        <f t="shared" ca="1" si="16"/>
        <v/>
      </c>
      <c r="C69" s="71" t="str">
        <f t="shared" ca="1" si="8"/>
        <v/>
      </c>
      <c r="D69" s="72" t="str">
        <f t="shared" ca="1" si="17"/>
        <v/>
      </c>
      <c r="E69" s="73" t="str">
        <f t="shared" ca="1" si="10"/>
        <v/>
      </c>
      <c r="F69" s="62" t="str">
        <f t="shared" ca="1" si="18"/>
        <v/>
      </c>
      <c r="G69" s="62" t="str">
        <f t="shared" ca="1" si="19"/>
        <v/>
      </c>
      <c r="H69" s="63" t="str">
        <f t="shared" ca="1" si="13"/>
        <v/>
      </c>
      <c r="I69" s="64">
        <f t="shared" ca="1" si="5"/>
        <v>0</v>
      </c>
      <c r="J69" s="64">
        <f t="shared" ca="1" si="6"/>
        <v>0</v>
      </c>
      <c r="K69" s="65">
        <f t="shared" ca="1" si="7"/>
        <v>0</v>
      </c>
      <c r="L69" s="66"/>
      <c r="M69" s="67">
        <f ca="1">IF($C69="",0,
I69*'1.c Decrements'!D63+(M68-N68-O68)*(1+G68))</f>
        <v>0</v>
      </c>
      <c r="N69" s="68">
        <f ca="1">K69*'1.a Assumptions'!$C$13*'1.c Decrements'!E63</f>
        <v>0</v>
      </c>
      <c r="O69" s="68">
        <f ca="1">J70*('1.c Decrements'!F63+'1.c Decrements'!G63)</f>
        <v>0</v>
      </c>
      <c r="P69" s="68">
        <f ca="1">M69-J70*'1.c Decrements'!D63</f>
        <v>0</v>
      </c>
      <c r="Q69" s="68" t="str">
        <f ca="1">IF(B70&lt;=$Q$15,OFFSET('1.c Decrements'!$J$11,0,$Q$15-B69),"")</f>
        <v/>
      </c>
      <c r="R69" s="13"/>
      <c r="S69" s="13"/>
      <c r="T69" s="69" t="str">
        <f t="shared" ca="1" si="14"/>
        <v/>
      </c>
      <c r="U69" s="70" t="str">
        <f t="shared" ca="1" si="15"/>
        <v/>
      </c>
      <c r="V69" s="13"/>
      <c r="W69" s="13"/>
      <c r="X69" s="13"/>
      <c r="Y69" s="13"/>
      <c r="Z69" s="13"/>
      <c r="AA69" s="13"/>
      <c r="AB69" s="13"/>
      <c r="AC69" s="13"/>
    </row>
    <row r="70" spans="1:29" x14ac:dyDescent="0.25">
      <c r="A70" s="13"/>
      <c r="B70" s="57" t="str">
        <f t="shared" ca="1" si="16"/>
        <v/>
      </c>
      <c r="C70" s="71" t="str">
        <f t="shared" ca="1" si="8"/>
        <v/>
      </c>
      <c r="D70" s="72" t="str">
        <f t="shared" ca="1" si="17"/>
        <v/>
      </c>
      <c r="E70" s="73" t="str">
        <f t="shared" ca="1" si="10"/>
        <v/>
      </c>
      <c r="F70" s="62" t="str">
        <f t="shared" ca="1" si="18"/>
        <v/>
      </c>
      <c r="G70" s="62" t="str">
        <f t="shared" ca="1" si="19"/>
        <v/>
      </c>
      <c r="H70" s="63" t="str">
        <f t="shared" ca="1" si="13"/>
        <v/>
      </c>
      <c r="I70" s="64">
        <f t="shared" ca="1" si="5"/>
        <v>0</v>
      </c>
      <c r="J70" s="64">
        <f t="shared" ca="1" si="6"/>
        <v>0</v>
      </c>
      <c r="K70" s="65">
        <f t="shared" ca="1" si="7"/>
        <v>0</v>
      </c>
      <c r="L70" s="66"/>
      <c r="M70" s="67">
        <f ca="1">IF($C70="",0,
I70*'1.c Decrements'!D64+(M69-N69-O69)*(1+G69))</f>
        <v>0</v>
      </c>
      <c r="N70" s="68">
        <f ca="1">K70*'1.a Assumptions'!$C$13*'1.c Decrements'!E64</f>
        <v>0</v>
      </c>
      <c r="O70" s="68">
        <f ca="1">J71*('1.c Decrements'!F64+'1.c Decrements'!G64)</f>
        <v>0</v>
      </c>
      <c r="P70" s="68">
        <f ca="1">M70-J71*'1.c Decrements'!D64</f>
        <v>0</v>
      </c>
      <c r="Q70" s="68" t="str">
        <f ca="1">IF(B71&lt;=$Q$15,OFFSET('1.c Decrements'!$J$11,0,$Q$15-B70),"")</f>
        <v/>
      </c>
      <c r="R70" s="13"/>
      <c r="S70" s="13"/>
      <c r="T70" s="69" t="str">
        <f t="shared" ca="1" si="14"/>
        <v/>
      </c>
      <c r="U70" s="70" t="str">
        <f t="shared" ca="1" si="15"/>
        <v/>
      </c>
      <c r="V70" s="13"/>
      <c r="W70" s="13"/>
      <c r="X70" s="13"/>
      <c r="Y70" s="13"/>
      <c r="Z70" s="13"/>
      <c r="AA70" s="13"/>
      <c r="AB70" s="13"/>
      <c r="AC70" s="13"/>
    </row>
    <row r="71" spans="1:29" x14ac:dyDescent="0.25">
      <c r="A71" s="13"/>
      <c r="B71" s="57" t="str">
        <f t="shared" ca="1" si="16"/>
        <v/>
      </c>
      <c r="C71" s="71" t="str">
        <f t="shared" ca="1" si="8"/>
        <v/>
      </c>
      <c r="D71" s="72" t="str">
        <f t="shared" ca="1" si="17"/>
        <v/>
      </c>
      <c r="E71" s="73" t="str">
        <f t="shared" ca="1" si="10"/>
        <v/>
      </c>
      <c r="F71" s="62" t="str">
        <f t="shared" ca="1" si="18"/>
        <v/>
      </c>
      <c r="G71" s="62" t="str">
        <f t="shared" ca="1" si="19"/>
        <v/>
      </c>
      <c r="H71" s="63" t="str">
        <f t="shared" ca="1" si="13"/>
        <v/>
      </c>
      <c r="I71" s="64">
        <f t="shared" ca="1" si="5"/>
        <v>0</v>
      </c>
      <c r="J71" s="64">
        <f t="shared" ca="1" si="6"/>
        <v>0</v>
      </c>
      <c r="K71" s="65">
        <f t="shared" ca="1" si="7"/>
        <v>0</v>
      </c>
      <c r="L71" s="66"/>
      <c r="M71" s="67">
        <f ca="1">IF($C71="",0,
I71*'1.c Decrements'!D65+(M70-N70-O70)*(1+G70))</f>
        <v>0</v>
      </c>
      <c r="N71" s="68">
        <f ca="1">K71*'1.a Assumptions'!$C$13*'1.c Decrements'!E65</f>
        <v>0</v>
      </c>
      <c r="O71" s="68">
        <f ca="1">J72*('1.c Decrements'!F65+'1.c Decrements'!G65)</f>
        <v>0</v>
      </c>
      <c r="P71" s="68">
        <f ca="1">M71-J72*'1.c Decrements'!D65</f>
        <v>0</v>
      </c>
      <c r="Q71" s="68" t="str">
        <f ca="1">IF(B72&lt;=$Q$15,OFFSET('1.c Decrements'!$J$11,0,$Q$15-B71),"")</f>
        <v/>
      </c>
      <c r="R71" s="13"/>
      <c r="S71" s="13"/>
      <c r="T71" s="69" t="str">
        <f t="shared" ca="1" si="14"/>
        <v/>
      </c>
      <c r="U71" s="70" t="str">
        <f t="shared" ca="1" si="15"/>
        <v/>
      </c>
      <c r="V71" s="13"/>
      <c r="W71" s="13"/>
      <c r="X71" s="13"/>
      <c r="Y71" s="13"/>
      <c r="Z71" s="13"/>
      <c r="AA71" s="13"/>
      <c r="AB71" s="13"/>
      <c r="AC71" s="13"/>
    </row>
    <row r="72" spans="1:29" x14ac:dyDescent="0.25">
      <c r="A72" s="13"/>
      <c r="B72" s="57" t="str">
        <f t="shared" ca="1" si="16"/>
        <v/>
      </c>
      <c r="C72" s="71" t="str">
        <f t="shared" ca="1" si="8"/>
        <v/>
      </c>
      <c r="D72" s="72" t="str">
        <f t="shared" ca="1" si="17"/>
        <v/>
      </c>
      <c r="E72" s="73" t="str">
        <f t="shared" ca="1" si="10"/>
        <v/>
      </c>
      <c r="F72" s="62" t="str">
        <f t="shared" ca="1" si="18"/>
        <v/>
      </c>
      <c r="G72" s="62" t="str">
        <f t="shared" ca="1" si="19"/>
        <v/>
      </c>
      <c r="H72" s="63" t="str">
        <f t="shared" ca="1" si="13"/>
        <v/>
      </c>
      <c r="I72" s="64">
        <f t="shared" ca="1" si="5"/>
        <v>0</v>
      </c>
      <c r="J72" s="64">
        <f t="shared" ca="1" si="6"/>
        <v>0</v>
      </c>
      <c r="K72" s="65">
        <f t="shared" ca="1" si="7"/>
        <v>0</v>
      </c>
      <c r="L72" s="66"/>
      <c r="M72" s="67">
        <f ca="1">IF($C72="",0,
I72*'1.c Decrements'!D66+(M71-N71-O71)*(1+G71))</f>
        <v>0</v>
      </c>
      <c r="N72" s="68">
        <f ca="1">K72*'1.a Assumptions'!$C$13*'1.c Decrements'!E66</f>
        <v>0</v>
      </c>
      <c r="O72" s="68">
        <f ca="1">J73*('1.c Decrements'!F66+'1.c Decrements'!G66)</f>
        <v>0</v>
      </c>
      <c r="P72" s="68">
        <f ca="1">M72-J73*'1.c Decrements'!D66</f>
        <v>0</v>
      </c>
      <c r="Q72" s="68" t="str">
        <f ca="1">IF(B73&lt;=$Q$15,OFFSET('1.c Decrements'!$J$11,0,$Q$15-B72),"")</f>
        <v/>
      </c>
      <c r="R72" s="13"/>
      <c r="S72" s="13"/>
      <c r="T72" s="69" t="str">
        <f t="shared" ca="1" si="14"/>
        <v/>
      </c>
      <c r="U72" s="70" t="str">
        <f t="shared" ca="1" si="15"/>
        <v/>
      </c>
      <c r="V72" s="13"/>
      <c r="W72" s="13"/>
      <c r="X72" s="13"/>
      <c r="Y72" s="13"/>
      <c r="Z72" s="13"/>
      <c r="AA72" s="13"/>
      <c r="AB72" s="13"/>
      <c r="AC72" s="13"/>
    </row>
    <row r="73" spans="1:29" x14ac:dyDescent="0.25">
      <c r="A73" s="13"/>
      <c r="B73" s="57" t="str">
        <f t="shared" ref="B73:B87" ca="1" si="20">IF($C73="","",B72+1)</f>
        <v/>
      </c>
      <c r="C73" s="71" t="str">
        <f t="shared" ca="1" si="8"/>
        <v/>
      </c>
      <c r="D73" s="72" t="str">
        <f t="shared" ref="D73:D87" ca="1" si="21">IF($C73="","",D72)</f>
        <v/>
      </c>
      <c r="E73" s="73" t="str">
        <f t="shared" ca="1" si="10"/>
        <v/>
      </c>
      <c r="F73" s="62" t="str">
        <f t="shared" ref="F73:F87" ca="1" si="22">IF($C73="","",F72)</f>
        <v/>
      </c>
      <c r="G73" s="62" t="str">
        <f t="shared" ref="G73:G87" ca="1" si="23">IF($C73="","",G72)</f>
        <v/>
      </c>
      <c r="H73" s="63" t="str">
        <f t="shared" ca="1" si="13"/>
        <v/>
      </c>
      <c r="I73" s="64">
        <f t="shared" ca="1" si="5"/>
        <v>0</v>
      </c>
      <c r="J73" s="64">
        <f t="shared" ca="1" si="6"/>
        <v>0</v>
      </c>
      <c r="K73" s="65">
        <f t="shared" ca="1" si="7"/>
        <v>0</v>
      </c>
      <c r="L73" s="66"/>
      <c r="M73" s="67">
        <f ca="1">IF($C73="",0,
I73*'1.c Decrements'!D67+(M72-N72-O72)*(1+G72))</f>
        <v>0</v>
      </c>
      <c r="N73" s="68">
        <f ca="1">K73*'1.a Assumptions'!$C$13*'1.c Decrements'!E67</f>
        <v>0</v>
      </c>
      <c r="O73" s="68">
        <f ca="1">J74*('1.c Decrements'!F67+'1.c Decrements'!G67)</f>
        <v>0</v>
      </c>
      <c r="P73" s="68">
        <f ca="1">M73-J74*'1.c Decrements'!D67</f>
        <v>0</v>
      </c>
      <c r="Q73" s="68" t="str">
        <f ca="1">IF(B74&lt;=$Q$15,OFFSET('1.c Decrements'!$J$11,0,$Q$15-B73),"")</f>
        <v/>
      </c>
      <c r="R73" s="13"/>
      <c r="S73" s="13"/>
      <c r="T73" s="69" t="str">
        <f t="shared" ca="1" si="14"/>
        <v/>
      </c>
      <c r="U73" s="70" t="str">
        <f t="shared" ca="1" si="15"/>
        <v/>
      </c>
      <c r="V73" s="13"/>
      <c r="W73" s="13"/>
      <c r="X73" s="13"/>
      <c r="Y73" s="13"/>
      <c r="Z73" s="13"/>
      <c r="AA73" s="13"/>
      <c r="AB73" s="13"/>
      <c r="AC73" s="13"/>
    </row>
    <row r="74" spans="1:29" x14ac:dyDescent="0.25">
      <c r="A74" s="13"/>
      <c r="B74" s="57" t="str">
        <f t="shared" ca="1" si="20"/>
        <v/>
      </c>
      <c r="C74" s="71" t="str">
        <f t="shared" ca="1" si="8"/>
        <v/>
      </c>
      <c r="D74" s="72" t="str">
        <f t="shared" ca="1" si="21"/>
        <v/>
      </c>
      <c r="E74" s="73" t="str">
        <f t="shared" ca="1" si="10"/>
        <v/>
      </c>
      <c r="F74" s="62" t="str">
        <f t="shared" ca="1" si="22"/>
        <v/>
      </c>
      <c r="G74" s="62" t="str">
        <f t="shared" ca="1" si="23"/>
        <v/>
      </c>
      <c r="H74" s="63" t="str">
        <f t="shared" ca="1" si="13"/>
        <v/>
      </c>
      <c r="I74" s="64">
        <f t="shared" ca="1" si="5"/>
        <v>0</v>
      </c>
      <c r="J74" s="64">
        <f t="shared" ca="1" si="6"/>
        <v>0</v>
      </c>
      <c r="K74" s="65">
        <f t="shared" ca="1" si="7"/>
        <v>0</v>
      </c>
      <c r="L74" s="66"/>
      <c r="M74" s="67">
        <f ca="1">IF($C74="",0,
I74*'1.c Decrements'!D68+(M73-N73-O73)*(1+G73))</f>
        <v>0</v>
      </c>
      <c r="N74" s="68">
        <f ca="1">K74*'1.a Assumptions'!$C$13*'1.c Decrements'!E68</f>
        <v>0</v>
      </c>
      <c r="O74" s="68">
        <f ca="1">J75*('1.c Decrements'!F68+'1.c Decrements'!G68)</f>
        <v>0</v>
      </c>
      <c r="P74" s="68">
        <f ca="1">M74-J75*'1.c Decrements'!D68</f>
        <v>0</v>
      </c>
      <c r="Q74" s="68" t="str">
        <f ca="1">IF(B75&lt;=$Q$15,OFFSET('1.c Decrements'!$J$11,0,$Q$15-B74),"")</f>
        <v/>
      </c>
      <c r="R74" s="13"/>
      <c r="S74" s="13"/>
      <c r="T74" s="69" t="str">
        <f t="shared" ca="1" si="14"/>
        <v/>
      </c>
      <c r="U74" s="70" t="str">
        <f t="shared" ca="1" si="15"/>
        <v/>
      </c>
      <c r="V74" s="13"/>
      <c r="W74" s="13"/>
      <c r="X74" s="13"/>
      <c r="Y74" s="13"/>
      <c r="Z74" s="13"/>
      <c r="AA74" s="13"/>
      <c r="AB74" s="13"/>
      <c r="AC74" s="13"/>
    </row>
    <row r="75" spans="1:29" x14ac:dyDescent="0.25">
      <c r="A75" s="13"/>
      <c r="B75" s="57" t="str">
        <f t="shared" ca="1" si="20"/>
        <v/>
      </c>
      <c r="C75" s="71" t="str">
        <f t="shared" ca="1" si="8"/>
        <v/>
      </c>
      <c r="D75" s="72" t="str">
        <f t="shared" ca="1" si="21"/>
        <v/>
      </c>
      <c r="E75" s="73" t="str">
        <f t="shared" ca="1" si="10"/>
        <v/>
      </c>
      <c r="F75" s="62" t="str">
        <f t="shared" ca="1" si="22"/>
        <v/>
      </c>
      <c r="G75" s="62" t="str">
        <f t="shared" ca="1" si="23"/>
        <v/>
      </c>
      <c r="H75" s="63" t="str">
        <f t="shared" ca="1" si="13"/>
        <v/>
      </c>
      <c r="I75" s="64">
        <f t="shared" ca="1" si="5"/>
        <v>0</v>
      </c>
      <c r="J75" s="64">
        <f t="shared" ca="1" si="6"/>
        <v>0</v>
      </c>
      <c r="K75" s="65">
        <f t="shared" ca="1" si="7"/>
        <v>0</v>
      </c>
      <c r="L75" s="66"/>
      <c r="M75" s="67">
        <f ca="1">IF($C75="",0,
I75*'1.c Decrements'!D69+(M74-N74-O74)*(1+G74))</f>
        <v>0</v>
      </c>
      <c r="N75" s="68">
        <f ca="1">K75*'1.a Assumptions'!$C$13*'1.c Decrements'!E69</f>
        <v>0</v>
      </c>
      <c r="O75" s="68">
        <f ca="1">J76*('1.c Decrements'!F69+'1.c Decrements'!G69)</f>
        <v>0</v>
      </c>
      <c r="P75" s="68">
        <f ca="1">M75-J76*'1.c Decrements'!D69</f>
        <v>0</v>
      </c>
      <c r="Q75" s="68" t="str">
        <f ca="1">IF(B76&lt;=$Q$15,OFFSET('1.c Decrements'!$J$11,0,$Q$15-B75),"")</f>
        <v/>
      </c>
      <c r="R75" s="13"/>
      <c r="S75" s="13"/>
      <c r="T75" s="69" t="str">
        <f t="shared" ca="1" si="14"/>
        <v/>
      </c>
      <c r="U75" s="70" t="str">
        <f t="shared" ca="1" si="15"/>
        <v/>
      </c>
      <c r="V75" s="13"/>
      <c r="W75" s="13"/>
      <c r="X75" s="13"/>
      <c r="Y75" s="13"/>
      <c r="Z75" s="13"/>
      <c r="AA75" s="13"/>
      <c r="AB75" s="13"/>
      <c r="AC75" s="13"/>
    </row>
    <row r="76" spans="1:29" x14ac:dyDescent="0.25">
      <c r="A76" s="13"/>
      <c r="B76" s="57" t="str">
        <f t="shared" ca="1" si="20"/>
        <v/>
      </c>
      <c r="C76" s="71" t="str">
        <f t="shared" ca="1" si="8"/>
        <v/>
      </c>
      <c r="D76" s="72" t="str">
        <f t="shared" ca="1" si="21"/>
        <v/>
      </c>
      <c r="E76" s="73" t="str">
        <f t="shared" ca="1" si="10"/>
        <v/>
      </c>
      <c r="F76" s="62" t="str">
        <f t="shared" ca="1" si="22"/>
        <v/>
      </c>
      <c r="G76" s="62" t="str">
        <f t="shared" ca="1" si="23"/>
        <v/>
      </c>
      <c r="H76" s="63" t="str">
        <f t="shared" ca="1" si="13"/>
        <v/>
      </c>
      <c r="I76" s="64">
        <f t="shared" ca="1" si="5"/>
        <v>0</v>
      </c>
      <c r="J76" s="64">
        <f t="shared" ca="1" si="6"/>
        <v>0</v>
      </c>
      <c r="K76" s="65">
        <f t="shared" ca="1" si="7"/>
        <v>0</v>
      </c>
      <c r="L76" s="66"/>
      <c r="M76" s="67">
        <f ca="1">IF($C76="",0,
I76*'1.c Decrements'!D70+(M75-N75-O75)*(1+G75))</f>
        <v>0</v>
      </c>
      <c r="N76" s="68">
        <f ca="1">K76*'1.a Assumptions'!$C$13*'1.c Decrements'!E70</f>
        <v>0</v>
      </c>
      <c r="O76" s="68">
        <f ca="1">J77*('1.c Decrements'!F70+'1.c Decrements'!G70)</f>
        <v>0</v>
      </c>
      <c r="P76" s="68">
        <f ca="1">M76-J77*'1.c Decrements'!D70</f>
        <v>0</v>
      </c>
      <c r="Q76" s="68" t="str">
        <f ca="1">IF(B77&lt;=$Q$15,OFFSET('1.c Decrements'!$J$11,0,$Q$15-B76),"")</f>
        <v/>
      </c>
      <c r="R76" s="13"/>
      <c r="S76" s="13"/>
      <c r="T76" s="69" t="str">
        <f t="shared" ca="1" si="14"/>
        <v/>
      </c>
      <c r="U76" s="70" t="str">
        <f t="shared" ca="1" si="15"/>
        <v/>
      </c>
      <c r="V76" s="13"/>
      <c r="W76" s="13"/>
      <c r="X76" s="13"/>
      <c r="Y76" s="13"/>
      <c r="Z76" s="13"/>
      <c r="AA76" s="13"/>
      <c r="AB76" s="13"/>
      <c r="AC76" s="13"/>
    </row>
    <row r="77" spans="1:29" x14ac:dyDescent="0.25">
      <c r="A77" s="13"/>
      <c r="B77" s="57" t="str">
        <f t="shared" ca="1" si="20"/>
        <v/>
      </c>
      <c r="C77" s="71" t="str">
        <f t="shared" ca="1" si="8"/>
        <v/>
      </c>
      <c r="D77" s="72" t="str">
        <f t="shared" ca="1" si="21"/>
        <v/>
      </c>
      <c r="E77" s="73" t="str">
        <f t="shared" ca="1" si="10"/>
        <v/>
      </c>
      <c r="F77" s="62" t="str">
        <f t="shared" ca="1" si="22"/>
        <v/>
      </c>
      <c r="G77" s="62" t="str">
        <f t="shared" ca="1" si="23"/>
        <v/>
      </c>
      <c r="H77" s="63" t="str">
        <f t="shared" ca="1" si="13"/>
        <v/>
      </c>
      <c r="I77" s="64">
        <f t="shared" ca="1" si="5"/>
        <v>0</v>
      </c>
      <c r="J77" s="64">
        <f t="shared" ca="1" si="6"/>
        <v>0</v>
      </c>
      <c r="K77" s="65">
        <f t="shared" ca="1" si="7"/>
        <v>0</v>
      </c>
      <c r="L77" s="66"/>
      <c r="M77" s="67">
        <f ca="1">IF($C77="",0,
I77*'1.c Decrements'!D71+(M76-N76-O76)*(1+G76))</f>
        <v>0</v>
      </c>
      <c r="N77" s="68">
        <f ca="1">K77*'1.a Assumptions'!$C$13*'1.c Decrements'!E71</f>
        <v>0</v>
      </c>
      <c r="O77" s="68">
        <f ca="1">J78*('1.c Decrements'!F71+'1.c Decrements'!G71)</f>
        <v>0</v>
      </c>
      <c r="P77" s="68">
        <f ca="1">M77-J78*'1.c Decrements'!D71</f>
        <v>0</v>
      </c>
      <c r="Q77" s="68" t="str">
        <f ca="1">IF(B78&lt;=$Q$15,OFFSET('1.c Decrements'!$J$11,0,$Q$15-B77),"")</f>
        <v/>
      </c>
      <c r="R77" s="13"/>
      <c r="S77" s="13"/>
      <c r="T77" s="69" t="str">
        <f t="shared" ca="1" si="14"/>
        <v/>
      </c>
      <c r="U77" s="70" t="str">
        <f t="shared" ca="1" si="15"/>
        <v/>
      </c>
      <c r="V77" s="13"/>
      <c r="W77" s="13"/>
      <c r="X77" s="13"/>
      <c r="Y77" s="13"/>
      <c r="Z77" s="13"/>
      <c r="AA77" s="13"/>
      <c r="AB77" s="13"/>
      <c r="AC77" s="13"/>
    </row>
    <row r="78" spans="1:29" x14ac:dyDescent="0.25">
      <c r="A78" s="13"/>
      <c r="B78" s="57" t="str">
        <f t="shared" ca="1" si="20"/>
        <v/>
      </c>
      <c r="C78" s="71" t="str">
        <f t="shared" ca="1" si="8"/>
        <v/>
      </c>
      <c r="D78" s="72" t="str">
        <f t="shared" ca="1" si="21"/>
        <v/>
      </c>
      <c r="E78" s="73" t="str">
        <f t="shared" ca="1" si="10"/>
        <v/>
      </c>
      <c r="F78" s="62" t="str">
        <f t="shared" ca="1" si="22"/>
        <v/>
      </c>
      <c r="G78" s="62" t="str">
        <f t="shared" ca="1" si="23"/>
        <v/>
      </c>
      <c r="H78" s="63" t="str">
        <f t="shared" ca="1" si="13"/>
        <v/>
      </c>
      <c r="I78" s="64">
        <f t="shared" ca="1" si="5"/>
        <v>0</v>
      </c>
      <c r="J78" s="64">
        <f t="shared" ca="1" si="6"/>
        <v>0</v>
      </c>
      <c r="K78" s="65">
        <f t="shared" ca="1" si="7"/>
        <v>0</v>
      </c>
      <c r="L78" s="66"/>
      <c r="M78" s="67">
        <f ca="1">IF($C78="",0,
I78*'1.c Decrements'!D72+(M77-N77-O77)*(1+G77))</f>
        <v>0</v>
      </c>
      <c r="N78" s="68">
        <f ca="1">K78*'1.a Assumptions'!$C$13*'1.c Decrements'!E72</f>
        <v>0</v>
      </c>
      <c r="O78" s="68">
        <f ca="1">J79*('1.c Decrements'!F72+'1.c Decrements'!G72)</f>
        <v>0</v>
      </c>
      <c r="P78" s="68">
        <f ca="1">M78-J79*'1.c Decrements'!D72</f>
        <v>0</v>
      </c>
      <c r="Q78" s="68" t="str">
        <f ca="1">IF(B79&lt;=$Q$15,OFFSET('1.c Decrements'!$J$11,0,$Q$15-B78),"")</f>
        <v/>
      </c>
      <c r="R78" s="13"/>
      <c r="S78" s="13"/>
      <c r="T78" s="69" t="str">
        <f t="shared" ca="1" si="14"/>
        <v/>
      </c>
      <c r="U78" s="70" t="str">
        <f t="shared" ca="1" si="15"/>
        <v/>
      </c>
      <c r="V78" s="13"/>
      <c r="W78" s="13"/>
      <c r="X78" s="13"/>
      <c r="Y78" s="13"/>
      <c r="Z78" s="13"/>
      <c r="AA78" s="13"/>
      <c r="AB78" s="13"/>
      <c r="AC78" s="13"/>
    </row>
    <row r="79" spans="1:29" x14ac:dyDescent="0.25">
      <c r="A79" s="13"/>
      <c r="B79" s="57" t="str">
        <f t="shared" ca="1" si="20"/>
        <v/>
      </c>
      <c r="C79" s="71" t="str">
        <f t="shared" ca="1" si="8"/>
        <v/>
      </c>
      <c r="D79" s="72" t="str">
        <f t="shared" ca="1" si="21"/>
        <v/>
      </c>
      <c r="E79" s="73" t="str">
        <f t="shared" ca="1" si="10"/>
        <v/>
      </c>
      <c r="F79" s="62" t="str">
        <f t="shared" ca="1" si="22"/>
        <v/>
      </c>
      <c r="G79" s="62" t="str">
        <f t="shared" ca="1" si="23"/>
        <v/>
      </c>
      <c r="H79" s="63" t="str">
        <f t="shared" ca="1" si="13"/>
        <v/>
      </c>
      <c r="I79" s="64">
        <f t="shared" ca="1" si="5"/>
        <v>0</v>
      </c>
      <c r="J79" s="64">
        <f t="shared" ca="1" si="6"/>
        <v>0</v>
      </c>
      <c r="K79" s="65">
        <f t="shared" ca="1" si="7"/>
        <v>0</v>
      </c>
      <c r="L79" s="66"/>
      <c r="M79" s="67">
        <f ca="1">IF($C79="",0,
I79*'1.c Decrements'!D73+(M78-N78-O78)*(1+G78))</f>
        <v>0</v>
      </c>
      <c r="N79" s="68">
        <f ca="1">K79*'1.a Assumptions'!$C$13*'1.c Decrements'!E73</f>
        <v>0</v>
      </c>
      <c r="O79" s="68">
        <f ca="1">J80*('1.c Decrements'!F73+'1.c Decrements'!G73)</f>
        <v>0</v>
      </c>
      <c r="P79" s="68">
        <f ca="1">M79-J80*'1.c Decrements'!D73</f>
        <v>0</v>
      </c>
      <c r="Q79" s="68" t="str">
        <f ca="1">IF(B80&lt;=$Q$15,OFFSET('1.c Decrements'!$J$11,0,$Q$15-B79),"")</f>
        <v/>
      </c>
      <c r="R79" s="13"/>
      <c r="S79" s="13"/>
      <c r="T79" s="69" t="str">
        <f t="shared" ca="1" si="14"/>
        <v/>
      </c>
      <c r="U79" s="70" t="str">
        <f t="shared" ca="1" si="15"/>
        <v/>
      </c>
      <c r="V79" s="13"/>
      <c r="W79" s="13"/>
      <c r="X79" s="13"/>
      <c r="Y79" s="13"/>
      <c r="Z79" s="13"/>
      <c r="AA79" s="13"/>
      <c r="AB79" s="13"/>
      <c r="AC79" s="13"/>
    </row>
    <row r="80" spans="1:29" x14ac:dyDescent="0.25">
      <c r="A80" s="13"/>
      <c r="B80" s="57" t="str">
        <f t="shared" ca="1" si="20"/>
        <v/>
      </c>
      <c r="C80" s="71" t="str">
        <f t="shared" ca="1" si="8"/>
        <v/>
      </c>
      <c r="D80" s="72" t="str">
        <f t="shared" ca="1" si="21"/>
        <v/>
      </c>
      <c r="E80" s="73" t="str">
        <f t="shared" ca="1" si="10"/>
        <v/>
      </c>
      <c r="F80" s="62" t="str">
        <f t="shared" ca="1" si="22"/>
        <v/>
      </c>
      <c r="G80" s="62" t="str">
        <f t="shared" ca="1" si="23"/>
        <v/>
      </c>
      <c r="H80" s="63" t="str">
        <f t="shared" ca="1" si="13"/>
        <v/>
      </c>
      <c r="I80" s="64">
        <f t="shared" ca="1" si="5"/>
        <v>0</v>
      </c>
      <c r="J80" s="64">
        <f t="shared" ca="1" si="6"/>
        <v>0</v>
      </c>
      <c r="K80" s="65">
        <f t="shared" ca="1" si="7"/>
        <v>0</v>
      </c>
      <c r="L80" s="66"/>
      <c r="M80" s="67">
        <f ca="1">IF($C80="",0,
I80*'1.c Decrements'!D74+(M79-N79-O79)*(1+G79))</f>
        <v>0</v>
      </c>
      <c r="N80" s="68">
        <f ca="1">K80*'1.a Assumptions'!$C$13*'1.c Decrements'!E74</f>
        <v>0</v>
      </c>
      <c r="O80" s="68">
        <f ca="1">J81*('1.c Decrements'!F74+'1.c Decrements'!G74)</f>
        <v>0</v>
      </c>
      <c r="P80" s="68">
        <f ca="1">M80-J81*'1.c Decrements'!D74</f>
        <v>0</v>
      </c>
      <c r="Q80" s="68" t="str">
        <f ca="1">IF(B81&lt;=$Q$15,OFFSET('1.c Decrements'!$J$11,0,$Q$15-B80),"")</f>
        <v/>
      </c>
      <c r="R80" s="13"/>
      <c r="S80" s="13"/>
      <c r="T80" s="69" t="str">
        <f t="shared" ca="1" si="14"/>
        <v/>
      </c>
      <c r="U80" s="70" t="str">
        <f t="shared" ca="1" si="15"/>
        <v/>
      </c>
      <c r="V80" s="13"/>
      <c r="W80" s="13"/>
      <c r="X80" s="13"/>
      <c r="Y80" s="13"/>
      <c r="Z80" s="13"/>
      <c r="AA80" s="13"/>
      <c r="AB80" s="13"/>
      <c r="AC80" s="13"/>
    </row>
    <row r="81" spans="1:29" x14ac:dyDescent="0.25">
      <c r="A81" s="13"/>
      <c r="B81" s="57" t="str">
        <f t="shared" ca="1" si="20"/>
        <v/>
      </c>
      <c r="C81" s="71" t="str">
        <f t="shared" ca="1" si="8"/>
        <v/>
      </c>
      <c r="D81" s="72" t="str">
        <f t="shared" ca="1" si="21"/>
        <v/>
      </c>
      <c r="E81" s="73" t="str">
        <f t="shared" ca="1" si="10"/>
        <v/>
      </c>
      <c r="F81" s="62" t="str">
        <f t="shared" ca="1" si="22"/>
        <v/>
      </c>
      <c r="G81" s="62" t="str">
        <f t="shared" ca="1" si="23"/>
        <v/>
      </c>
      <c r="H81" s="63" t="str">
        <f t="shared" ca="1" si="13"/>
        <v/>
      </c>
      <c r="I81" s="64">
        <f t="shared" ca="1" si="5"/>
        <v>0</v>
      </c>
      <c r="J81" s="64">
        <f t="shared" ca="1" si="6"/>
        <v>0</v>
      </c>
      <c r="K81" s="65">
        <f t="shared" ca="1" si="7"/>
        <v>0</v>
      </c>
      <c r="L81" s="66"/>
      <c r="M81" s="67">
        <f ca="1">IF($C81="",0,
I81*'1.c Decrements'!D75+(M80-N80-O80)*(1+G80))</f>
        <v>0</v>
      </c>
      <c r="N81" s="68">
        <f ca="1">K81*'1.a Assumptions'!$C$13*'1.c Decrements'!E75</f>
        <v>0</v>
      </c>
      <c r="O81" s="68">
        <f ca="1">J82*('1.c Decrements'!F75+'1.c Decrements'!G75)</f>
        <v>0</v>
      </c>
      <c r="P81" s="68">
        <f ca="1">M81-J82*'1.c Decrements'!D75</f>
        <v>0</v>
      </c>
      <c r="Q81" s="68" t="str">
        <f ca="1">IF(B82&lt;=$Q$15,OFFSET('1.c Decrements'!$J$11,0,$Q$15-B81),"")</f>
        <v/>
      </c>
      <c r="R81" s="13"/>
      <c r="S81" s="13"/>
      <c r="T81" s="69" t="str">
        <f t="shared" ref="T81:T87" ca="1" si="24">IF($C82="","",J82-J81*(1+i))</f>
        <v/>
      </c>
      <c r="U81" s="70" t="str">
        <f t="shared" ref="U81:U87" ca="1" si="25">IFERROR(T81-I81,"")</f>
        <v/>
      </c>
      <c r="V81" s="13"/>
      <c r="W81" s="13"/>
      <c r="X81" s="13"/>
      <c r="Y81" s="13"/>
      <c r="Z81" s="13"/>
      <c r="AA81" s="13"/>
      <c r="AB81" s="13"/>
      <c r="AC81" s="13"/>
    </row>
    <row r="82" spans="1:29" x14ac:dyDescent="0.25">
      <c r="A82" s="13"/>
      <c r="B82" s="57" t="str">
        <f t="shared" ca="1" si="20"/>
        <v/>
      </c>
      <c r="C82" s="71" t="str">
        <f t="shared" ca="1" si="8"/>
        <v/>
      </c>
      <c r="D82" s="72" t="str">
        <f t="shared" ca="1" si="21"/>
        <v/>
      </c>
      <c r="E82" s="73" t="str">
        <f t="shared" ca="1" si="10"/>
        <v/>
      </c>
      <c r="F82" s="62" t="str">
        <f t="shared" ca="1" si="22"/>
        <v/>
      </c>
      <c r="G82" s="62" t="str">
        <f t="shared" ca="1" si="23"/>
        <v/>
      </c>
      <c r="H82" s="63" t="str">
        <f t="shared" ca="1" si="13"/>
        <v/>
      </c>
      <c r="I82" s="64">
        <f t="shared" ref="I82:I87" ca="1" si="26">IF($C83="",0,
H82*E82*(1+F82))</f>
        <v>0</v>
      </c>
      <c r="J82" s="64">
        <f t="shared" ref="J82:J87" ca="1" si="27">IF($C82="",0,
D82*E82*B82*((1+F82)/(1+G82))^MAX(0,$D$5-C82))</f>
        <v>0</v>
      </c>
      <c r="K82" s="65">
        <f t="shared" ref="K82:K87" ca="1" si="28">J82</f>
        <v>0</v>
      </c>
      <c r="L82" s="66"/>
      <c r="M82" s="67">
        <f ca="1">IF($C82="",0,
I82*'1.c Decrements'!D76+(M81-N81-O81)*(1+G81))</f>
        <v>0</v>
      </c>
      <c r="N82" s="68">
        <f ca="1">K82*'1.a Assumptions'!$C$13*'1.c Decrements'!E76</f>
        <v>0</v>
      </c>
      <c r="O82" s="68">
        <f ca="1">J83*('1.c Decrements'!F76+'1.c Decrements'!G76)</f>
        <v>0</v>
      </c>
      <c r="P82" s="68">
        <f ca="1">M82-J83*'1.c Decrements'!D76</f>
        <v>0</v>
      </c>
      <c r="Q82" s="68" t="str">
        <f ca="1">IF(B83&lt;=$Q$15,OFFSET('1.c Decrements'!$J$11,0,$Q$15-B82),"")</f>
        <v/>
      </c>
      <c r="R82" s="13"/>
      <c r="S82" s="13"/>
      <c r="T82" s="69" t="str">
        <f t="shared" ca="1" si="24"/>
        <v/>
      </c>
      <c r="U82" s="70" t="str">
        <f t="shared" ca="1" si="25"/>
        <v/>
      </c>
      <c r="V82" s="13"/>
      <c r="W82" s="13"/>
      <c r="X82" s="13"/>
      <c r="Y82" s="13"/>
      <c r="Z82" s="13"/>
      <c r="AA82" s="13"/>
      <c r="AB82" s="13"/>
      <c r="AC82" s="13"/>
    </row>
    <row r="83" spans="1:29" x14ac:dyDescent="0.25">
      <c r="A83" s="13"/>
      <c r="B83" s="57" t="str">
        <f t="shared" ca="1" si="20"/>
        <v/>
      </c>
      <c r="C83" s="71" t="str">
        <f t="shared" ref="C83:C87" ca="1" si="29">IF(C82="","",IF($D$2="A",IF(C82+1&gt;$D$5+15,"",C82+1),IF(C82+1&gt;$D$5,"",C82+1)))</f>
        <v/>
      </c>
      <c r="D83" s="72" t="str">
        <f t="shared" ca="1" si="21"/>
        <v/>
      </c>
      <c r="E83" s="73" t="str">
        <f t="shared" ref="E83:E87" ca="1" si="30">IF($C83="","",E82*(1+F82))</f>
        <v/>
      </c>
      <c r="F83" s="62" t="str">
        <f t="shared" ca="1" si="22"/>
        <v/>
      </c>
      <c r="G83" s="62" t="str">
        <f t="shared" ca="1" si="23"/>
        <v/>
      </c>
      <c r="H83" s="63" t="str">
        <f t="shared" ca="1" si="13"/>
        <v/>
      </c>
      <c r="I83" s="64">
        <f t="shared" ca="1" si="26"/>
        <v>0</v>
      </c>
      <c r="J83" s="64">
        <f t="shared" ca="1" si="27"/>
        <v>0</v>
      </c>
      <c r="K83" s="65">
        <f t="shared" ca="1" si="28"/>
        <v>0</v>
      </c>
      <c r="L83" s="66"/>
      <c r="M83" s="67">
        <f ca="1">IF($C83="",0,
I83*'1.c Decrements'!D77+(M82-N82-O82)*(1+G82))</f>
        <v>0</v>
      </c>
      <c r="N83" s="68">
        <f ca="1">K83*'1.a Assumptions'!$C$13*'1.c Decrements'!E77</f>
        <v>0</v>
      </c>
      <c r="O83" s="68">
        <f ca="1">J84*('1.c Decrements'!F77+'1.c Decrements'!G77)</f>
        <v>0</v>
      </c>
      <c r="P83" s="68">
        <f ca="1">M83-J84*'1.c Decrements'!D77</f>
        <v>0</v>
      </c>
      <c r="Q83" s="68" t="str">
        <f ca="1">IF(B84&lt;=$Q$15,OFFSET('1.c Decrements'!$J$11,0,$Q$15-B83),"")</f>
        <v/>
      </c>
      <c r="R83" s="13"/>
      <c r="S83" s="13"/>
      <c r="T83" s="69" t="str">
        <f t="shared" ca="1" si="24"/>
        <v/>
      </c>
      <c r="U83" s="70" t="str">
        <f t="shared" ca="1" si="25"/>
        <v/>
      </c>
      <c r="V83" s="13"/>
      <c r="W83" s="13"/>
      <c r="X83" s="13"/>
      <c r="Y83" s="13"/>
      <c r="Z83" s="13"/>
      <c r="AA83" s="13"/>
      <c r="AB83" s="13"/>
      <c r="AC83" s="13"/>
    </row>
    <row r="84" spans="1:29" x14ac:dyDescent="0.25">
      <c r="A84" s="13"/>
      <c r="B84" s="57" t="str">
        <f t="shared" ca="1" si="20"/>
        <v/>
      </c>
      <c r="C84" s="71" t="str">
        <f t="shared" ca="1" si="29"/>
        <v/>
      </c>
      <c r="D84" s="72" t="str">
        <f t="shared" ca="1" si="21"/>
        <v/>
      </c>
      <c r="E84" s="73" t="str">
        <f t="shared" ca="1" si="30"/>
        <v/>
      </c>
      <c r="F84" s="62" t="str">
        <f t="shared" ca="1" si="22"/>
        <v/>
      </c>
      <c r="G84" s="62" t="str">
        <f t="shared" ca="1" si="23"/>
        <v/>
      </c>
      <c r="H84" s="63" t="str">
        <f t="shared" ca="1" si="13"/>
        <v/>
      </c>
      <c r="I84" s="64">
        <f t="shared" ca="1" si="26"/>
        <v>0</v>
      </c>
      <c r="J84" s="64">
        <f t="shared" ca="1" si="27"/>
        <v>0</v>
      </c>
      <c r="K84" s="65">
        <f t="shared" ca="1" si="28"/>
        <v>0</v>
      </c>
      <c r="L84" s="66"/>
      <c r="M84" s="67">
        <f ca="1">IF($C84="",0,
I84*'1.c Decrements'!D78+(M83-N83-O83)*(1+G83))</f>
        <v>0</v>
      </c>
      <c r="N84" s="68">
        <f ca="1">K84*'1.a Assumptions'!$C$13*'1.c Decrements'!E78</f>
        <v>0</v>
      </c>
      <c r="O84" s="68">
        <f ca="1">J85*('1.c Decrements'!F78+'1.c Decrements'!G78)</f>
        <v>0</v>
      </c>
      <c r="P84" s="68">
        <f ca="1">M84-J85*'1.c Decrements'!D78</f>
        <v>0</v>
      </c>
      <c r="Q84" s="68" t="str">
        <f ca="1">IF(B85&lt;=$Q$15,OFFSET('1.c Decrements'!$J$11,0,$Q$15-B84),"")</f>
        <v/>
      </c>
      <c r="R84" s="13"/>
      <c r="S84" s="13"/>
      <c r="T84" s="69" t="str">
        <f t="shared" ca="1" si="24"/>
        <v/>
      </c>
      <c r="U84" s="70" t="str">
        <f t="shared" ca="1" si="25"/>
        <v/>
      </c>
      <c r="V84" s="13"/>
      <c r="W84" s="13"/>
      <c r="X84" s="13"/>
      <c r="Y84" s="13"/>
      <c r="Z84" s="13"/>
      <c r="AA84" s="13"/>
      <c r="AB84" s="13"/>
      <c r="AC84" s="13"/>
    </row>
    <row r="85" spans="1:29" x14ac:dyDescent="0.25">
      <c r="A85" s="13"/>
      <c r="B85" s="57" t="str">
        <f t="shared" ca="1" si="20"/>
        <v/>
      </c>
      <c r="C85" s="71" t="str">
        <f t="shared" ca="1" si="29"/>
        <v/>
      </c>
      <c r="D85" s="72" t="str">
        <f t="shared" ca="1" si="21"/>
        <v/>
      </c>
      <c r="E85" s="73" t="str">
        <f t="shared" ca="1" si="30"/>
        <v/>
      </c>
      <c r="F85" s="62" t="str">
        <f t="shared" ca="1" si="22"/>
        <v/>
      </c>
      <c r="G85" s="62" t="str">
        <f t="shared" ca="1" si="23"/>
        <v/>
      </c>
      <c r="H85" s="63" t="str">
        <f t="shared" ca="1" si="13"/>
        <v/>
      </c>
      <c r="I85" s="64">
        <f t="shared" ca="1" si="26"/>
        <v>0</v>
      </c>
      <c r="J85" s="64">
        <f t="shared" ca="1" si="27"/>
        <v>0</v>
      </c>
      <c r="K85" s="65">
        <f t="shared" ca="1" si="28"/>
        <v>0</v>
      </c>
      <c r="L85" s="66"/>
      <c r="M85" s="67">
        <f ca="1">IF($C85="",0,
I85*'1.c Decrements'!D79+(M84-N84-O84)*(1+G84))</f>
        <v>0</v>
      </c>
      <c r="N85" s="68">
        <f ca="1">K85*'1.a Assumptions'!$C$13*'1.c Decrements'!E79</f>
        <v>0</v>
      </c>
      <c r="O85" s="68">
        <f ca="1">J86*('1.c Decrements'!F79+'1.c Decrements'!G79)</f>
        <v>0</v>
      </c>
      <c r="P85" s="68">
        <f ca="1">M85-J86*'1.c Decrements'!D79</f>
        <v>0</v>
      </c>
      <c r="Q85" s="68" t="str">
        <f ca="1">IF(B86&lt;=$Q$15,OFFSET('1.c Decrements'!$J$11,0,$Q$15-B85),"")</f>
        <v/>
      </c>
      <c r="R85" s="13"/>
      <c r="S85" s="13"/>
      <c r="T85" s="69" t="str">
        <f t="shared" ca="1" si="24"/>
        <v/>
      </c>
      <c r="U85" s="70" t="str">
        <f t="shared" ca="1" si="25"/>
        <v/>
      </c>
      <c r="V85" s="13"/>
      <c r="W85" s="13"/>
      <c r="X85" s="13"/>
      <c r="Y85" s="13"/>
      <c r="Z85" s="13"/>
      <c r="AA85" s="13"/>
      <c r="AB85" s="13"/>
      <c r="AC85" s="13"/>
    </row>
    <row r="86" spans="1:29" x14ac:dyDescent="0.25">
      <c r="A86" s="13"/>
      <c r="B86" s="57" t="str">
        <f t="shared" ca="1" si="20"/>
        <v/>
      </c>
      <c r="C86" s="71" t="str">
        <f t="shared" ca="1" si="29"/>
        <v/>
      </c>
      <c r="D86" s="72" t="str">
        <f t="shared" ca="1" si="21"/>
        <v/>
      </c>
      <c r="E86" s="73" t="str">
        <f t="shared" ca="1" si="30"/>
        <v/>
      </c>
      <c r="F86" s="62" t="str">
        <f t="shared" ca="1" si="22"/>
        <v/>
      </c>
      <c r="G86" s="62" t="str">
        <f t="shared" ca="1" si="23"/>
        <v/>
      </c>
      <c r="H86" s="63" t="str">
        <f t="shared" ca="1" si="13"/>
        <v/>
      </c>
      <c r="I86" s="64">
        <f t="shared" ca="1" si="26"/>
        <v>0</v>
      </c>
      <c r="J86" s="64">
        <f t="shared" ca="1" si="27"/>
        <v>0</v>
      </c>
      <c r="K86" s="65">
        <f t="shared" ca="1" si="28"/>
        <v>0</v>
      </c>
      <c r="L86" s="66"/>
      <c r="M86" s="67">
        <f ca="1">IF($C86="",0,
I86*'1.c Decrements'!D80+(M85-N85-O85)*(1+G85))</f>
        <v>0</v>
      </c>
      <c r="N86" s="68">
        <f ca="1">K86*'1.a Assumptions'!$C$13*'1.c Decrements'!E80</f>
        <v>0</v>
      </c>
      <c r="O86" s="68">
        <f ca="1">J87*('1.c Decrements'!F80+'1.c Decrements'!G80)</f>
        <v>0</v>
      </c>
      <c r="P86" s="68">
        <f ca="1">M86-J87*'1.c Decrements'!D80</f>
        <v>0</v>
      </c>
      <c r="Q86" s="68" t="str">
        <f ca="1">IF(B87&lt;=$Q$15,OFFSET('1.c Decrements'!$J$11,0,$Q$15-B86),"")</f>
        <v/>
      </c>
      <c r="R86" s="13"/>
      <c r="S86" s="13"/>
      <c r="T86" s="69" t="str">
        <f t="shared" ca="1" si="24"/>
        <v/>
      </c>
      <c r="U86" s="70" t="str">
        <f t="shared" ca="1" si="25"/>
        <v/>
      </c>
      <c r="V86" s="13"/>
      <c r="W86" s="13"/>
      <c r="X86" s="13"/>
      <c r="Y86" s="13"/>
      <c r="Z86" s="13"/>
      <c r="AA86" s="13"/>
      <c r="AB86" s="13"/>
      <c r="AC86" s="13"/>
    </row>
    <row r="87" spans="1:29" x14ac:dyDescent="0.25">
      <c r="A87" s="13"/>
      <c r="B87" s="57" t="str">
        <f t="shared" ca="1" si="20"/>
        <v/>
      </c>
      <c r="C87" s="71" t="str">
        <f t="shared" ca="1" si="29"/>
        <v/>
      </c>
      <c r="D87" s="72" t="str">
        <f t="shared" ca="1" si="21"/>
        <v/>
      </c>
      <c r="E87" s="73" t="str">
        <f t="shared" ca="1" si="30"/>
        <v/>
      </c>
      <c r="F87" s="62" t="str">
        <f t="shared" ca="1" si="22"/>
        <v/>
      </c>
      <c r="G87" s="62" t="str">
        <f t="shared" ca="1" si="23"/>
        <v/>
      </c>
      <c r="H87" s="63" t="str">
        <f t="shared" ca="1" si="13"/>
        <v/>
      </c>
      <c r="I87" s="64">
        <f t="shared" si="26"/>
        <v>0</v>
      </c>
      <c r="J87" s="64">
        <f t="shared" ca="1" si="27"/>
        <v>0</v>
      </c>
      <c r="K87" s="65">
        <f t="shared" ca="1" si="28"/>
        <v>0</v>
      </c>
      <c r="L87" s="66"/>
      <c r="M87" s="67">
        <f ca="1">IF($C87="",0,
I87*'1.c Decrements'!D81+(M86-N86-O86)*(1+G86))</f>
        <v>0</v>
      </c>
      <c r="N87" s="68">
        <f ca="1">K87*'1.a Assumptions'!$C$13*'1.c Decrements'!E81</f>
        <v>0</v>
      </c>
      <c r="O87" s="68">
        <f ca="1">J88*('1.c Decrements'!F81+'1.c Decrements'!G81)</f>
        <v>0</v>
      </c>
      <c r="P87" s="68">
        <f ca="1">M87-J88*'1.c Decrements'!D81</f>
        <v>0</v>
      </c>
      <c r="Q87" s="68"/>
      <c r="R87" s="13"/>
      <c r="S87" s="13"/>
      <c r="T87" s="69" t="str">
        <f t="shared" si="24"/>
        <v/>
      </c>
      <c r="U87" s="70" t="str">
        <f t="shared" si="25"/>
        <v/>
      </c>
      <c r="V87" s="13"/>
      <c r="W87" s="13"/>
      <c r="X87" s="13"/>
      <c r="Y87" s="13"/>
      <c r="Z87" s="13"/>
      <c r="AA87" s="13"/>
      <c r="AB87" s="13"/>
      <c r="AC87" s="13"/>
    </row>
  </sheetData>
  <conditionalFormatting sqref="U16">
    <cfRule type="cellIs" dxfId="39" priority="5" operator="equal">
      <formula>"Pass"</formula>
    </cfRule>
    <cfRule type="cellIs" dxfId="38" priority="6" operator="equal">
      <formula>"Check!"</formula>
    </cfRule>
  </conditionalFormatting>
  <conditionalFormatting sqref="H8">
    <cfRule type="cellIs" dxfId="37" priority="3" operator="equal">
      <formula>"Pass"</formula>
    </cfRule>
    <cfRule type="cellIs" dxfId="36" priority="4" operator="equal">
      <formula>"Check!"</formula>
    </cfRule>
  </conditionalFormatting>
  <conditionalFormatting sqref="I8:Q8">
    <cfRule type="cellIs" dxfId="35" priority="1" operator="equal">
      <formula>"Pass"</formula>
    </cfRule>
    <cfRule type="cellIs" dxfId="34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AA88"/>
  <sheetViews>
    <sheetView zoomScale="85" zoomScaleNormal="85" workbookViewId="0"/>
  </sheetViews>
  <sheetFormatPr defaultRowHeight="13.5" x14ac:dyDescent="0.25"/>
  <cols>
    <col min="1" max="1" width="3" style="13" customWidth="1"/>
    <col min="2" max="2" width="14.85546875" style="13" customWidth="1"/>
    <col min="3" max="3" width="17.85546875" style="13" bestFit="1" customWidth="1"/>
    <col min="4" max="4" width="11.140625" style="13" customWidth="1"/>
    <col min="5" max="5" width="16.28515625" style="13" customWidth="1"/>
    <col min="6" max="6" width="17.7109375" style="13" bestFit="1" customWidth="1"/>
    <col min="7" max="7" width="12.140625" style="13" customWidth="1"/>
    <col min="8" max="8" width="16.85546875" style="13" customWidth="1"/>
    <col min="9" max="9" width="15.7109375" style="13" customWidth="1"/>
    <col min="10" max="10" width="16.7109375" style="13" customWidth="1"/>
    <col min="11" max="20" width="15.7109375" style="13" customWidth="1"/>
    <col min="21" max="21" width="2.28515625" style="13" customWidth="1"/>
    <col min="22" max="22" width="13.5703125" style="13" customWidth="1"/>
    <col min="23" max="23" width="14.28515625" style="13" customWidth="1"/>
    <col min="24" max="24" width="2" style="13" customWidth="1"/>
    <col min="25" max="25" width="14.7109375" style="13" customWidth="1"/>
    <col min="26" max="26" width="14.140625" style="13" customWidth="1"/>
    <col min="27" max="27" width="13.42578125" style="13" customWidth="1"/>
    <col min="28" max="28" width="11.5703125" style="13" bestFit="1" customWidth="1"/>
    <col min="29" max="16384" width="9.140625" style="13"/>
  </cols>
  <sheetData>
    <row r="1" spans="1:19" ht="15" customHeight="1" thickBot="1" x14ac:dyDescent="0.3">
      <c r="A1" s="103" t="s">
        <v>33</v>
      </c>
    </row>
    <row r="2" spans="1:19" ht="15" customHeight="1" thickBot="1" x14ac:dyDescent="0.3">
      <c r="B2" s="15" t="s">
        <v>12</v>
      </c>
      <c r="C2" s="16" t="s">
        <v>19</v>
      </c>
      <c r="D2" s="114" t="str">
        <f>RIGHT($B$3,1)</f>
        <v>B</v>
      </c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</row>
    <row r="3" spans="1:19" ht="15" customHeight="1" thickBot="1" x14ac:dyDescent="0.3">
      <c r="B3" s="20" t="str">
        <f>'2.a PUC_Projection'!B3</f>
        <v>45B</v>
      </c>
      <c r="C3" s="16" t="s">
        <v>49</v>
      </c>
      <c r="D3" s="114">
        <f>VLOOKUP($B$3,'opening demographics'!$A$1:$E$11,3,FALSE)</f>
        <v>240</v>
      </c>
      <c r="F3" s="21" t="s">
        <v>46</v>
      </c>
      <c r="G3" s="83" t="str">
        <f>B3</f>
        <v>45B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</row>
    <row r="4" spans="1:19" ht="15" customHeight="1" x14ac:dyDescent="0.25">
      <c r="C4" s="16" t="s">
        <v>20</v>
      </c>
      <c r="D4" s="114">
        <f>VALUE(LEFT($B$3,2))</f>
        <v>45</v>
      </c>
      <c r="F4" s="28" t="s">
        <v>47</v>
      </c>
      <c r="G4" s="84">
        <f>D3</f>
        <v>240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</row>
    <row r="5" spans="1:19" ht="15" customHeight="1" x14ac:dyDescent="0.25">
      <c r="C5" s="16" t="s">
        <v>21</v>
      </c>
      <c r="D5" s="114">
        <f ca="1">INDIRECT("NRA_"&amp;$D$2)</f>
        <v>60</v>
      </c>
      <c r="F5" s="28" t="s">
        <v>79</v>
      </c>
      <c r="G5" s="85">
        <f ca="1">K18</f>
        <v>3412.156440499406</v>
      </c>
      <c r="H5" s="30">
        <v>9999.1803748249495</v>
      </c>
      <c r="I5" s="31">
        <v>14998.770562237423</v>
      </c>
      <c r="J5" s="31">
        <v>17498.565655943661</v>
      </c>
      <c r="K5" s="31">
        <v>18498.483693426158</v>
      </c>
      <c r="L5" s="32">
        <v>24997.950937062371</v>
      </c>
      <c r="M5" s="33">
        <v>2801.5600248310916</v>
      </c>
      <c r="N5" s="31">
        <v>3124.8169507731404</v>
      </c>
      <c r="O5" s="31">
        <v>3412.156440499406</v>
      </c>
      <c r="P5" s="31">
        <v>3699.4959302256716</v>
      </c>
      <c r="Q5" s="34">
        <v>3699.4959302256716</v>
      </c>
    </row>
    <row r="6" spans="1:19" ht="15" customHeight="1" x14ac:dyDescent="0.25">
      <c r="C6" s="16" t="s">
        <v>22</v>
      </c>
      <c r="D6" s="115">
        <f ca="1">INDIRECT("accrual_rate_"&amp;$D$2)</f>
        <v>0.05</v>
      </c>
      <c r="F6" s="28" t="s">
        <v>486</v>
      </c>
      <c r="G6" s="85">
        <f ca="1">E19</f>
        <v>96069.488001030244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</row>
    <row r="7" spans="1:19" ht="25.5" x14ac:dyDescent="0.25">
      <c r="C7" s="16" t="s">
        <v>23</v>
      </c>
      <c r="D7" s="116">
        <f>VLOOKUP($B$3,'opening demographics'!$A$1:$E$11,4,FALSE)</f>
        <v>95000</v>
      </c>
      <c r="F7" s="113" t="str">
        <f>"Total surplus / deficit at EOY "&amp;$S$16</f>
        <v>Total surplus / deficit at EOY 15</v>
      </c>
      <c r="G7" s="85">
        <f ca="1">T18</f>
        <v>1861134.6892151122</v>
      </c>
      <c r="H7" s="30">
        <v>1264319.2607208104</v>
      </c>
      <c r="I7" s="31">
        <v>690297.57303008321</v>
      </c>
      <c r="J7" s="31">
        <v>651215.3061604976</v>
      </c>
      <c r="K7" s="31">
        <v>26555.858201984003</v>
      </c>
      <c r="L7" s="32">
        <v>-5429.0275121353279</v>
      </c>
      <c r="M7" s="31">
        <v>7160893.0461405786</v>
      </c>
      <c r="N7" s="31">
        <v>3579522.7332704589</v>
      </c>
      <c r="O7" s="31">
        <v>1861134.6892151122</v>
      </c>
      <c r="P7" s="31">
        <v>-397316.83587046369</v>
      </c>
      <c r="Q7" s="34">
        <v>-68502.257896698284</v>
      </c>
      <c r="R7" s="122"/>
    </row>
    <row r="8" spans="1:19" ht="15" customHeight="1" thickBot="1" x14ac:dyDescent="0.3">
      <c r="C8" s="16" t="s">
        <v>24</v>
      </c>
      <c r="D8" s="117">
        <f ca="1">INDIRECT("e_"&amp;$D$2)</f>
        <v>1.1257768431897297E-2</v>
      </c>
      <c r="F8" s="38" t="s">
        <v>18</v>
      </c>
      <c r="G8" s="86" t="str">
        <f ca="1">W17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</row>
    <row r="9" spans="1:19" ht="15" customHeight="1" thickBot="1" x14ac:dyDescent="0.3">
      <c r="C9" s="16" t="s">
        <v>25</v>
      </c>
      <c r="D9" s="129">
        <f ca="1">INDIRECT("EA_"&amp;$D$2)</f>
        <v>41.833333333333336</v>
      </c>
      <c r="G9" s="87" t="s">
        <v>45</v>
      </c>
      <c r="H9" s="88">
        <f>H5/H6</f>
        <v>9.647208558714504E-2</v>
      </c>
      <c r="I9" s="89">
        <f t="shared" ref="I9:Q9" si="0">I5/I6</f>
        <v>9.6472085587145026E-2</v>
      </c>
      <c r="J9" s="89">
        <f t="shared" si="0"/>
        <v>9.647208558714504E-2</v>
      </c>
      <c r="K9" s="89">
        <f t="shared" si="0"/>
        <v>9.647208558714504E-2</v>
      </c>
      <c r="L9" s="90">
        <f t="shared" si="0"/>
        <v>9.6472085587145026E-2</v>
      </c>
      <c r="M9" s="91">
        <f t="shared" si="0"/>
        <v>3.5517587441111532E-2</v>
      </c>
      <c r="N9" s="89">
        <f t="shared" si="0"/>
        <v>3.5517587441111526E-2</v>
      </c>
      <c r="O9" s="89">
        <f t="shared" si="0"/>
        <v>3.5517587441111526E-2</v>
      </c>
      <c r="P9" s="89">
        <f t="shared" si="0"/>
        <v>3.5517587441111526E-2</v>
      </c>
      <c r="Q9" s="92">
        <f t="shared" si="0"/>
        <v>3.5517587441111526E-2</v>
      </c>
    </row>
    <row r="10" spans="1:19" ht="15" customHeight="1" x14ac:dyDescent="0.25">
      <c r="C10" s="16" t="s">
        <v>52</v>
      </c>
      <c r="D10" s="117">
        <f ca="1">(1+G18)/(1+D8)-1</f>
        <v>3.8310935923071554E-2</v>
      </c>
      <c r="E10" s="93"/>
      <c r="M10" s="157" t="s">
        <v>483</v>
      </c>
      <c r="N10" s="142"/>
      <c r="O10" s="142"/>
      <c r="P10" s="142"/>
    </row>
    <row r="11" spans="1:19" ht="15" customHeight="1" x14ac:dyDescent="0.25">
      <c r="E11" s="93"/>
      <c r="M11" s="142" t="s">
        <v>51</v>
      </c>
      <c r="N11" s="142" t="s">
        <v>6</v>
      </c>
      <c r="O11" s="142" t="s">
        <v>5</v>
      </c>
      <c r="P11" s="142" t="s">
        <v>484</v>
      </c>
    </row>
    <row r="12" spans="1:19" ht="15" customHeight="1" x14ac:dyDescent="0.25">
      <c r="E12" s="93"/>
      <c r="M12" s="142"/>
      <c r="N12" s="156">
        <f>SUM(H7:L7)</f>
        <v>2626958.9706012397</v>
      </c>
      <c r="O12" s="156">
        <f>SUM(M7:Q7)</f>
        <v>12135731.374858987</v>
      </c>
      <c r="P12" s="156">
        <f>SUM(N12:O12)</f>
        <v>14762690.345460227</v>
      </c>
    </row>
    <row r="13" spans="1:19" ht="15" customHeight="1" x14ac:dyDescent="0.25">
      <c r="E13" s="93"/>
      <c r="M13" s="47"/>
      <c r="N13" s="47"/>
      <c r="O13" s="47"/>
      <c r="P13" s="47"/>
    </row>
    <row r="14" spans="1:19" ht="15" customHeight="1" x14ac:dyDescent="0.25"/>
    <row r="15" spans="1:19" ht="15" customHeight="1" x14ac:dyDescent="0.25">
      <c r="S15" s="112" t="s">
        <v>77</v>
      </c>
    </row>
    <row r="16" spans="1:19" ht="15" customHeight="1" x14ac:dyDescent="0.25">
      <c r="S16" s="111">
        <v>15</v>
      </c>
    </row>
    <row r="17" spans="2:27" ht="51.75" customHeight="1" x14ac:dyDescent="0.25">
      <c r="B17" s="99" t="s">
        <v>48</v>
      </c>
      <c r="C17" s="99" t="s">
        <v>16</v>
      </c>
      <c r="D17" s="99" t="s">
        <v>14</v>
      </c>
      <c r="E17" s="99" t="s">
        <v>17</v>
      </c>
      <c r="F17" s="99" t="s">
        <v>55</v>
      </c>
      <c r="G17" s="99" t="s">
        <v>15</v>
      </c>
      <c r="H17" s="99" t="s">
        <v>62</v>
      </c>
      <c r="I17" s="99" t="s">
        <v>63</v>
      </c>
      <c r="J17" s="99" t="s">
        <v>64</v>
      </c>
      <c r="K17" s="99" t="s">
        <v>31</v>
      </c>
      <c r="L17" s="99" t="s">
        <v>56</v>
      </c>
      <c r="M17" s="99" t="s">
        <v>53</v>
      </c>
      <c r="N17" s="100" t="s">
        <v>57</v>
      </c>
      <c r="O17" s="99" t="s">
        <v>54</v>
      </c>
      <c r="P17" s="99" t="s">
        <v>58</v>
      </c>
      <c r="Q17" s="99" t="s">
        <v>59</v>
      </c>
      <c r="R17" s="105" t="s">
        <v>74</v>
      </c>
      <c r="S17" s="141" t="str">
        <f>"No. of NEW entrants for the last "&amp;$S$16&amp;" years"</f>
        <v>No. of NEW entrants for the last 15 years</v>
      </c>
      <c r="T17" s="141" t="str">
        <f>"Total surplus/deficit at EOY "&amp;$S$16</f>
        <v>Total surplus/deficit at EOY 15</v>
      </c>
      <c r="V17" s="98" t="s">
        <v>50</v>
      </c>
      <c r="W17" s="56" t="str">
        <f ca="1">IF(ABS(SUM(W18:W88))&lt;0.0001,"Pass","Check!")</f>
        <v>Pass</v>
      </c>
      <c r="Y17" s="98" t="s">
        <v>60</v>
      </c>
      <c r="Z17" s="98" t="s">
        <v>61</v>
      </c>
      <c r="AA17" s="56" t="str">
        <f ca="1">IF(ABS(SUM(AA18:AA88))&lt;0.0001,"Pass","Check!")</f>
        <v>Pass</v>
      </c>
    </row>
    <row r="18" spans="2:27" ht="15" customHeight="1" x14ac:dyDescent="0.25">
      <c r="B18" s="57">
        <v>0</v>
      </c>
      <c r="C18" s="58">
        <f>D4</f>
        <v>45</v>
      </c>
      <c r="D18" s="59">
        <f ca="1">D6</f>
        <v>0.05</v>
      </c>
      <c r="E18" s="60">
        <f>D7</f>
        <v>95000</v>
      </c>
      <c r="F18" s="61">
        <f ca="1">D8</f>
        <v>1.1257768431897297E-2</v>
      </c>
      <c r="G18" s="62">
        <f t="shared" ref="G18" si="1">i</f>
        <v>0.05</v>
      </c>
      <c r="H18" s="94">
        <f ca="1">(1-(1+$D$10)^-($D$5-$D$9))/$D$10</f>
        <v>12.917749181702275</v>
      </c>
      <c r="I18" s="94">
        <f t="shared" ref="I18:I49" ca="1" si="2">IFERROR((1-(1+$D$10)^-($D$5-$C18))/$D$10,0)</f>
        <v>11.250861564338566</v>
      </c>
      <c r="J18" s="63">
        <f t="shared" ref="J18:J49" ca="1" si="3">IF($C18="","",
D18*($D$5-$D$9)*((1+F18)/(1+G18))^($D$5-$D$9)/$H$18)</f>
        <v>3.5517587441111526E-2</v>
      </c>
      <c r="K18" s="65">
        <f t="shared" ref="K18:K49" ca="1" si="4">IF($C19="",0,
J18*E18*(1+F18))</f>
        <v>3412.156440499406</v>
      </c>
      <c r="L18" s="64">
        <f ca="1">IF($C18="",0,
IF($C18&gt;$D$5,D18*B18*E18,
D18*($D$5-$D$4)*E18*((1+F18)/(1+G18))^($D$5-C18)-J18*E18*I18))</f>
        <v>2576.7100085336206</v>
      </c>
      <c r="M18" s="65">
        <f ca="1">IF($C18="",0,
D18*B18*E18*((1+F18)/(1+G18))^MAX(0,$D$5-C18))</f>
        <v>0</v>
      </c>
      <c r="N18" s="66"/>
      <c r="O18" s="67">
        <f ca="1">IF($C18="",0,
(K18)*'1.c Decrements'!D11)</f>
        <v>3412.156440499406</v>
      </c>
      <c r="P18" s="68">
        <f ca="1">M18*'1.a Assumptions'!$C$13*'1.c Decrements'!E11</f>
        <v>0</v>
      </c>
      <c r="Q18" s="68">
        <f ca="1">L19*('1.c Decrements'!F11+'1.c Decrements'!G11)</f>
        <v>0</v>
      </c>
      <c r="R18" s="68">
        <f ca="1">O18-L19*'1.c Decrements'!D11</f>
        <v>-2705.5455089602983</v>
      </c>
      <c r="S18" s="68">
        <f ca="1">IF(B19&lt;=$S$16,OFFSET('1.c Decrements'!$J$11,0,$S$16-B18),"")</f>
        <v>14.399999999999999</v>
      </c>
      <c r="T18" s="110">
        <f ca="1">SUMPRODUCT(S18:S88,R18:R88)</f>
        <v>1861134.6892151122</v>
      </c>
      <c r="V18" s="69">
        <f t="shared" ref="V18:V49" ca="1" si="5">IF($C19&lt;=$D$5,L19-L18*(1+i),"")</f>
        <v>3412.1564404994028</v>
      </c>
      <c r="W18" s="70">
        <f t="shared" ref="W18:W49" ca="1" si="6">IF(V18="","",V18-K18)</f>
        <v>-3.1832314562052488E-12</v>
      </c>
      <c r="X18" s="95"/>
      <c r="Y18" s="96">
        <f ca="1">IF(V18="","",J18/'1.c PUC_Projection'!H17)</f>
        <v>1.2024234818744921</v>
      </c>
      <c r="Z18" s="96">
        <f t="shared" ref="Z18:Z49" ca="1" si="7">IF(V18="","",($D$5-$D$9)/$H$18*(1+$D$10)^-(C18-$D$9+1))</f>
        <v>1.2024234818744921</v>
      </c>
      <c r="AA18" s="97">
        <f ca="1">IF(V18="","",Y18-Z18)</f>
        <v>0</v>
      </c>
    </row>
    <row r="19" spans="2:27" ht="15" customHeight="1" x14ac:dyDescent="0.25">
      <c r="B19" s="57">
        <f ca="1">IF($C19="","",B18+1)</f>
        <v>1</v>
      </c>
      <c r="C19" s="71">
        <f ca="1">IF(C18="","",IF($D$2="A",IF(C18+1&gt;$D$5+15,"",C18+1),IF(C18+1&gt;$D$5,"",C18+1)))</f>
        <v>46</v>
      </c>
      <c r="D19" s="72">
        <f ca="1">IF($C19="","",D18)</f>
        <v>0.05</v>
      </c>
      <c r="E19" s="73">
        <f ca="1">IF($C19="","",E18*(1+F18))</f>
        <v>96069.488001030244</v>
      </c>
      <c r="F19" s="62">
        <f ca="1">IF($C19="","",F18)</f>
        <v>1.1257768431897297E-2</v>
      </c>
      <c r="G19" s="62">
        <f ca="1">IF($C19="","",G18)</f>
        <v>0.05</v>
      </c>
      <c r="I19" s="94">
        <f t="shared" ca="1" si="2"/>
        <v>10.68189260080929</v>
      </c>
      <c r="J19" s="63">
        <f t="shared" ca="1" si="3"/>
        <v>3.5517587441111526E-2</v>
      </c>
      <c r="K19" s="65">
        <f t="shared" ca="1" si="4"/>
        <v>3450.5697075599551</v>
      </c>
      <c r="L19" s="64">
        <f t="shared" ref="L19:L82" ca="1" si="8">IF($C19="",0,
IF($C19&gt;$D$5,D19*B19*E19,
D19*($D$5-$D$4)*E19*((1+F19)/(1+G19))^($D$5-C19)-J19*E19*I19))</f>
        <v>6117.7019494597043</v>
      </c>
      <c r="M19" s="65">
        <f t="shared" ref="M19:M82" ca="1" si="9">IF($C19="",0,
D19*B19*E19*((1+F19)/(1+G19))^MAX(0,$D$5-C19))</f>
        <v>2837.7327056022714</v>
      </c>
      <c r="N19" s="66"/>
      <c r="O19" s="67">
        <f ca="1">IF($C19="",0,
K19*'1.c Decrements'!D12+(O18-P18-Q18)*(1+G18))</f>
        <v>6826.2997876307345</v>
      </c>
      <c r="P19" s="68">
        <f ca="1">M19*'1.a Assumptions'!$C$13*'1.c Decrements'!E12</f>
        <v>120.03609344697607</v>
      </c>
      <c r="Q19" s="68">
        <f ca="1">L20*('1.c Decrements'!F12+'1.c Decrements'!G12)</f>
        <v>0</v>
      </c>
      <c r="R19" s="68">
        <f ca="1">O19-L20*'1.c Decrements'!D12</f>
        <v>-2455.4075615923502</v>
      </c>
      <c r="S19" s="68">
        <f ca="1">IF(B20&lt;=$S$16,OFFSET('1.c Decrements'!$J$11,0,$S$16-B19),"")</f>
        <v>14.399999999999999</v>
      </c>
      <c r="V19" s="69">
        <f t="shared" ca="1" si="5"/>
        <v>3450.5697075599537</v>
      </c>
      <c r="W19" s="70">
        <f t="shared" ca="1" si="6"/>
        <v>-1.3642420526593924E-12</v>
      </c>
      <c r="X19" s="95"/>
      <c r="Y19" s="96">
        <f ca="1">IF(V19="","",J19/'1.c PUC_Projection'!H18)</f>
        <v>1.1580572257052484</v>
      </c>
      <c r="Z19" s="96">
        <f t="shared" ca="1" si="7"/>
        <v>1.1580572257052486</v>
      </c>
      <c r="AA19" s="97">
        <f t="shared" ref="AA19:AA82" ca="1" si="10">IF(V19="","",Y19-Z19)</f>
        <v>-2.2204460492503131E-16</v>
      </c>
    </row>
    <row r="20" spans="2:27" ht="15" customHeight="1" x14ac:dyDescent="0.25">
      <c r="B20" s="57">
        <f t="shared" ref="B20:B83" ca="1" si="11">IF($C20="","",B19+1)</f>
        <v>2</v>
      </c>
      <c r="C20" s="71">
        <f t="shared" ref="C20:C83" ca="1" si="12">IF(C19="","",IF($D$2="A",IF(C19+1&gt;$D$5+15,"",C19+1),IF(C19+1&gt;$D$5,"",C19+1)))</f>
        <v>47</v>
      </c>
      <c r="D20" s="72">
        <f t="shared" ref="D20:D83" ca="1" si="13">IF($C20="","",D19)</f>
        <v>0.05</v>
      </c>
      <c r="E20" s="73">
        <f t="shared" ref="E20:E83" ca="1" si="14">IF($C20="","",E19*(1+F19))</f>
        <v>97151.016050316772</v>
      </c>
      <c r="F20" s="62">
        <f t="shared" ref="F20:G35" ca="1" si="15">IF($C20="","",F19)</f>
        <v>1.1257768431897297E-2</v>
      </c>
      <c r="G20" s="62">
        <f t="shared" ca="1" si="15"/>
        <v>0.05</v>
      </c>
      <c r="I20" s="94">
        <f t="shared" ca="1" si="2"/>
        <v>10.091125903776026</v>
      </c>
      <c r="J20" s="63">
        <f t="shared" ca="1" si="3"/>
        <v>3.5517587441111526E-2</v>
      </c>
      <c r="K20" s="65">
        <f t="shared" ca="1" si="4"/>
        <v>3489.4154222857846</v>
      </c>
      <c r="L20" s="64">
        <f t="shared" ca="1" si="8"/>
        <v>9874.1567544926438</v>
      </c>
      <c r="M20" s="65">
        <f t="shared" ca="1" si="9"/>
        <v>5959.2386817647694</v>
      </c>
      <c r="N20" s="66"/>
      <c r="O20" s="67">
        <f ca="1">IF($C20="",0,
K20*'1.c Decrements'!D13+(O19-P19-Q19)*(1+G19))</f>
        <v>10124.824346024665</v>
      </c>
      <c r="P20" s="68">
        <f ca="1">M20*'1.a Assumptions'!$C$13*'1.c Decrements'!E13</f>
        <v>236.95124846433072</v>
      </c>
      <c r="Q20" s="68">
        <f ca="1">L21*('1.c Decrements'!F13+'1.c Decrements'!G13)</f>
        <v>0</v>
      </c>
      <c r="R20" s="68">
        <f ca="1">O20-L21*'1.c Decrements'!D13</f>
        <v>-2119.4682747902352</v>
      </c>
      <c r="S20" s="68">
        <f ca="1">IF(B21&lt;=$S$16,OFFSET('1.c Decrements'!$J$11,0,$S$16-B20),"")</f>
        <v>14.399999999999999</v>
      </c>
      <c r="V20" s="69">
        <f t="shared" ca="1" si="5"/>
        <v>3489.4154222857796</v>
      </c>
      <c r="W20" s="70">
        <f t="shared" ca="1" si="6"/>
        <v>-5.0022208597511053E-12</v>
      </c>
      <c r="X20" s="95"/>
      <c r="Y20" s="96">
        <f ca="1">IF(V20="","",J20/'1.c PUC_Projection'!H19)</f>
        <v>1.1153279674124985</v>
      </c>
      <c r="Z20" s="96">
        <f t="shared" ca="1" si="7"/>
        <v>1.1153279674124985</v>
      </c>
      <c r="AA20" s="97">
        <f t="shared" ca="1" si="10"/>
        <v>0</v>
      </c>
    </row>
    <row r="21" spans="2:27" ht="15" customHeight="1" x14ac:dyDescent="0.25">
      <c r="B21" s="57">
        <f t="shared" ca="1" si="11"/>
        <v>3</v>
      </c>
      <c r="C21" s="71">
        <f t="shared" ca="1" si="12"/>
        <v>48</v>
      </c>
      <c r="D21" s="72">
        <f t="shared" ca="1" si="13"/>
        <v>0.05</v>
      </c>
      <c r="E21" s="73">
        <f t="shared" ca="1" si="14"/>
        <v>98244.719691934777</v>
      </c>
      <c r="F21" s="62">
        <f t="shared" ca="1" si="15"/>
        <v>1.1257768431897297E-2</v>
      </c>
      <c r="G21" s="62">
        <f t="shared" ca="1" si="15"/>
        <v>0.05</v>
      </c>
      <c r="I21" s="94">
        <f t="shared" ca="1" si="2"/>
        <v>9.477726381667237</v>
      </c>
      <c r="J21" s="63">
        <f t="shared" ca="1" si="3"/>
        <v>3.5517587441111526E-2</v>
      </c>
      <c r="K21" s="65">
        <f t="shared" ca="1" si="4"/>
        <v>3528.698453072569</v>
      </c>
      <c r="L21" s="64">
        <f t="shared" ca="1" si="8"/>
        <v>13857.280014503056</v>
      </c>
      <c r="M21" s="65">
        <f t="shared" ca="1" si="9"/>
        <v>9385.8009237795141</v>
      </c>
      <c r="N21" s="66"/>
      <c r="O21" s="67">
        <f ca="1">IF($C21="",0,
K21*'1.c Decrements'!D14+(O20-P20-Q20)*(1+G20))</f>
        <v>13313.147228385176</v>
      </c>
      <c r="P21" s="68">
        <f ca="1">M21*'1.a Assumptions'!$C$13*'1.c Decrements'!E14</f>
        <v>350.80632335144179</v>
      </c>
      <c r="Q21" s="68">
        <f ca="1">L22*('1.c Decrements'!F14+'1.c Decrements'!G14)</f>
        <v>0</v>
      </c>
      <c r="R21" s="68">
        <f ca="1">O21-L22*'1.c Decrements'!D14</f>
        <v>-1702.8500643059579</v>
      </c>
      <c r="S21" s="68">
        <f ca="1">IF(B22&lt;=$S$16,OFFSET('1.c Decrements'!$J$11,0,$S$16-B21),"")</f>
        <v>14.399999999999999</v>
      </c>
      <c r="V21" s="69">
        <f t="shared" ca="1" si="5"/>
        <v>3528.6984530725695</v>
      </c>
      <c r="W21" s="70">
        <f t="shared" ca="1" si="6"/>
        <v>4.5474735088646412E-13</v>
      </c>
      <c r="X21" s="95"/>
      <c r="Y21" s="96">
        <f ca="1">IF(V21="","",J21/'1.c PUC_Projection'!H20)</f>
        <v>1.0741753060907115</v>
      </c>
      <c r="Z21" s="96">
        <f t="shared" ca="1" si="7"/>
        <v>1.0741753060907115</v>
      </c>
      <c r="AA21" s="97">
        <f t="shared" ca="1" si="10"/>
        <v>0</v>
      </c>
    </row>
    <row r="22" spans="2:27" ht="15" customHeight="1" x14ac:dyDescent="0.25">
      <c r="B22" s="57">
        <f t="shared" ca="1" si="11"/>
        <v>4</v>
      </c>
      <c r="C22" s="71">
        <f t="shared" ca="1" si="12"/>
        <v>49</v>
      </c>
      <c r="D22" s="72">
        <f t="shared" ca="1" si="13"/>
        <v>0.05</v>
      </c>
      <c r="E22" s="73">
        <f t="shared" ca="1" si="14"/>
        <v>99350.735995883239</v>
      </c>
      <c r="F22" s="62">
        <f t="shared" ca="1" si="15"/>
        <v>1.1257768431897297E-2</v>
      </c>
      <c r="G22" s="62">
        <f t="shared" ca="1" si="15"/>
        <v>0.05</v>
      </c>
      <c r="I22" s="94">
        <f t="shared" ca="1" si="2"/>
        <v>8.8408269497716923</v>
      </c>
      <c r="J22" s="63">
        <f t="shared" ca="1" si="3"/>
        <v>3.5517587441111526E-2</v>
      </c>
      <c r="K22" s="65">
        <f t="shared" ca="1" si="4"/>
        <v>3568.4237231232546</v>
      </c>
      <c r="L22" s="64">
        <f t="shared" ca="1" si="8"/>
        <v>18078.84246830078</v>
      </c>
      <c r="M22" s="65">
        <f t="shared" ca="1" si="9"/>
        <v>13140.121293291317</v>
      </c>
      <c r="N22" s="66"/>
      <c r="O22" s="67">
        <f ca="1">IF($C22="",0,
K22*'1.c Decrements'!D15+(O21-P21-Q21)*(1+G21))</f>
        <v>16396.501060953229</v>
      </c>
      <c r="P22" s="68">
        <f ca="1">M22*'1.a Assumptions'!$C$13*'1.c Decrements'!E15</f>
        <v>461.66112153049721</v>
      </c>
      <c r="Q22" s="68">
        <f ca="1">L23*('1.c Decrements'!F15+'1.c Decrements'!G15)</f>
        <v>0</v>
      </c>
      <c r="R22" s="68">
        <f ca="1">O22-L23*'1.c Decrements'!D15</f>
        <v>-1210.3313776007271</v>
      </c>
      <c r="S22" s="68">
        <f ca="1">IF(B23&lt;=$S$16,OFFSET('1.c Decrements'!$J$11,0,$S$16-B22),"")</f>
        <v>14.399999999999999</v>
      </c>
      <c r="V22" s="69">
        <f t="shared" ca="1" si="5"/>
        <v>3568.4237231232546</v>
      </c>
      <c r="W22" s="70">
        <f t="shared" ca="1" si="6"/>
        <v>0</v>
      </c>
      <c r="X22" s="95"/>
      <c r="Y22" s="96">
        <f ca="1">IF(V22="","",J22/'1.c PUC_Projection'!H21)</f>
        <v>1.0345410694685173</v>
      </c>
      <c r="Z22" s="96">
        <f t="shared" ca="1" si="7"/>
        <v>1.0345410694685173</v>
      </c>
      <c r="AA22" s="97">
        <f t="shared" ca="1" si="10"/>
        <v>0</v>
      </c>
    </row>
    <row r="23" spans="2:27" ht="15" customHeight="1" x14ac:dyDescent="0.25">
      <c r="B23" s="57">
        <f t="shared" ca="1" si="11"/>
        <v>5</v>
      </c>
      <c r="C23" s="71">
        <f t="shared" ca="1" si="12"/>
        <v>50</v>
      </c>
      <c r="D23" s="72">
        <f t="shared" ca="1" si="13"/>
        <v>0.05</v>
      </c>
      <c r="E23" s="73">
        <f t="shared" ca="1" si="14"/>
        <v>100469.20357526345</v>
      </c>
      <c r="F23" s="62">
        <f t="shared" ca="1" si="15"/>
        <v>1.1257768431897297E-2</v>
      </c>
      <c r="G23" s="62">
        <f t="shared" ca="1" si="15"/>
        <v>0.05</v>
      </c>
      <c r="I23" s="94">
        <f t="shared" ca="1" si="2"/>
        <v>8.1795273045513603</v>
      </c>
      <c r="J23" s="63">
        <f t="shared" ca="1" si="3"/>
        <v>3.5517587441111526E-2</v>
      </c>
      <c r="K23" s="65">
        <f t="shared" ca="1" si="4"/>
        <v>3608.5962110650648</v>
      </c>
      <c r="L23" s="64">
        <f t="shared" ca="1" si="8"/>
        <v>22551.208314839074</v>
      </c>
      <c r="M23" s="65">
        <f t="shared" ca="1" si="9"/>
        <v>17246.409197444853</v>
      </c>
      <c r="N23" s="66"/>
      <c r="O23" s="67">
        <f ca="1">IF($C23="",0,
K23*'1.c Decrements'!D16+(O22-P22-Q22)*(1+G22))</f>
        <v>19379.945210911923</v>
      </c>
      <c r="P23" s="68">
        <f ca="1">M23*'1.a Assumptions'!$C$13*'1.c Decrements'!E16</f>
        <v>569.57440868825097</v>
      </c>
      <c r="Q23" s="68">
        <f ca="1">L24*('1.c Decrements'!F16+'1.c Decrements'!G16)</f>
        <v>0</v>
      </c>
      <c r="R23" s="68">
        <f ca="1">O23-L24*'1.c Decrements'!D16</f>
        <v>-646.36168045888917</v>
      </c>
      <c r="S23" s="68">
        <f ca="1">IF(B24&lt;=$S$16,OFFSET('1.c Decrements'!$J$11,0,$S$16-B23),"")</f>
        <v>14.399999999999999</v>
      </c>
      <c r="V23" s="69">
        <f t="shared" ca="1" si="5"/>
        <v>3608.5962110650689</v>
      </c>
      <c r="W23" s="70">
        <f t="shared" ca="1" si="6"/>
        <v>4.0927261579781771E-12</v>
      </c>
      <c r="X23" s="95"/>
      <c r="Y23" s="96">
        <f ca="1">IF(V23="","",J23/'1.c PUC_Projection'!H22)</f>
        <v>0.9963692316779823</v>
      </c>
      <c r="Z23" s="96">
        <f t="shared" ca="1" si="7"/>
        <v>0.99636923167798197</v>
      </c>
      <c r="AA23" s="97">
        <f t="shared" ca="1" si="10"/>
        <v>3.3306690738754696E-16</v>
      </c>
    </row>
    <row r="24" spans="2:27" ht="15" customHeight="1" x14ac:dyDescent="0.25">
      <c r="B24" s="57">
        <f t="shared" ca="1" si="11"/>
        <v>6</v>
      </c>
      <c r="C24" s="71">
        <f t="shared" ca="1" si="12"/>
        <v>51</v>
      </c>
      <c r="D24" s="72">
        <f t="shared" ca="1" si="13"/>
        <v>0.05</v>
      </c>
      <c r="E24" s="73">
        <f t="shared" ca="1" si="14"/>
        <v>101600.26260365092</v>
      </c>
      <c r="F24" s="62">
        <f t="shared" ca="1" si="15"/>
        <v>1.1257768431897297E-2</v>
      </c>
      <c r="G24" s="62">
        <f t="shared" ca="1" si="15"/>
        <v>0.05</v>
      </c>
      <c r="I24" s="94">
        <f t="shared" ca="1" si="2"/>
        <v>7.4928926509970397</v>
      </c>
      <c r="J24" s="63">
        <f t="shared" ca="1" si="3"/>
        <v>3.5517587441111526E-2</v>
      </c>
      <c r="K24" s="65">
        <f t="shared" ca="1" si="4"/>
        <v>3649.2209515734571</v>
      </c>
      <c r="L24" s="64">
        <f t="shared" ca="1" si="8"/>
        <v>27287.364941646098</v>
      </c>
      <c r="M24" s="65">
        <f t="shared" ca="1" si="9"/>
        <v>21730.475588780515</v>
      </c>
      <c r="N24" s="66"/>
      <c r="O24" s="67">
        <f ca="1">IF($C24="",0,
K24*'1.c Decrements'!D17+(O23-P23-Q23)*(1+G23))</f>
        <v>22268.376601221804</v>
      </c>
      <c r="P24" s="68">
        <f ca="1">M24*'1.a Assumptions'!$C$13*'1.c Decrements'!E17</f>
        <v>674.60392965036442</v>
      </c>
      <c r="Q24" s="68">
        <f ca="1">L25*('1.c Decrements'!F17+'1.c Decrements'!G17)</f>
        <v>0</v>
      </c>
      <c r="R24" s="68">
        <f ca="1">O24-L25*'1.c Decrements'!D17</f>
        <v>-15.075559448130662</v>
      </c>
      <c r="S24" s="68">
        <f ca="1">IF(B25&lt;=$S$16,OFFSET('1.c Decrements'!$J$11,0,$S$16-B24),"")</f>
        <v>14.399999999999999</v>
      </c>
      <c r="V24" s="69">
        <f t="shared" ca="1" si="5"/>
        <v>3649.2209515734467</v>
      </c>
      <c r="W24" s="70">
        <f t="shared" ca="1" si="6"/>
        <v>-1.0459189070388675E-11</v>
      </c>
      <c r="X24" s="95"/>
      <c r="Y24" s="96">
        <f ca="1">IF(V24="","",J24/'1.c PUC_Projection'!H23)</f>
        <v>0.95960583405798139</v>
      </c>
      <c r="Z24" s="96">
        <f t="shared" ca="1" si="7"/>
        <v>0.95960583405798106</v>
      </c>
      <c r="AA24" s="97">
        <f t="shared" ca="1" si="10"/>
        <v>3.3306690738754696E-16</v>
      </c>
    </row>
    <row r="25" spans="2:27" ht="15" customHeight="1" x14ac:dyDescent="0.25">
      <c r="B25" s="57">
        <f t="shared" ca="1" si="11"/>
        <v>7</v>
      </c>
      <c r="C25" s="71">
        <f t="shared" ca="1" si="12"/>
        <v>52</v>
      </c>
      <c r="D25" s="72">
        <f t="shared" ca="1" si="13"/>
        <v>0.05</v>
      </c>
      <c r="E25" s="73">
        <f t="shared" ca="1" si="14"/>
        <v>102744.05483266278</v>
      </c>
      <c r="F25" s="62">
        <f t="shared" ca="1" si="15"/>
        <v>1.1257768431897297E-2</v>
      </c>
      <c r="G25" s="62">
        <f t="shared" ca="1" si="15"/>
        <v>0.05</v>
      </c>
      <c r="I25" s="94">
        <f t="shared" ca="1" si="2"/>
        <v>6.7799523812278411</v>
      </c>
      <c r="J25" s="63">
        <f t="shared" ca="1" si="3"/>
        <v>3.5517587441111526E-2</v>
      </c>
      <c r="K25" s="65">
        <f t="shared" ca="1" si="4"/>
        <v>3690.3030360030994</v>
      </c>
      <c r="L25" s="64">
        <f t="shared" ca="1" si="8"/>
        <v>32300.954140301852</v>
      </c>
      <c r="M25" s="65">
        <f t="shared" ca="1" si="9"/>
        <v>26619.832596256132</v>
      </c>
      <c r="N25" s="66"/>
      <c r="O25" s="67">
        <f ca="1">IF($C25="",0,
K25*'1.c Decrements'!D18+(O24-P24-Q24)*(1+G24))</f>
        <v>25066.540139779096</v>
      </c>
      <c r="P25" s="68">
        <f ca="1">M25*'1.a Assumptions'!$C$13*'1.c Decrements'!E18</f>
        <v>776.80642499239468</v>
      </c>
      <c r="Q25" s="68">
        <f ca="1">L26*('1.c Decrements'!F18+'1.c Decrements'!G18)</f>
        <v>0</v>
      </c>
      <c r="R25" s="68">
        <f ca="1">O25-L26*'1.c Decrements'!D18</f>
        <v>679.69402256877584</v>
      </c>
      <c r="S25" s="68">
        <f ca="1">IF(B26&lt;=$S$16,OFFSET('1.c Decrements'!$J$11,0,$S$16-B25),"")</f>
        <v>14.399999999999999</v>
      </c>
      <c r="V25" s="69">
        <f t="shared" ca="1" si="5"/>
        <v>3690.3030360031116</v>
      </c>
      <c r="W25" s="70">
        <f t="shared" ca="1" si="6"/>
        <v>1.2278178473934531E-11</v>
      </c>
      <c r="X25" s="95"/>
      <c r="Y25" s="96">
        <f ca="1">IF(V25="","",J25/'1.c PUC_Projection'!H24)</f>
        <v>0.9241989088797179</v>
      </c>
      <c r="Z25" s="96">
        <f t="shared" ca="1" si="7"/>
        <v>0.92419890887971756</v>
      </c>
      <c r="AA25" s="97">
        <f t="shared" ca="1" si="10"/>
        <v>3.3306690738754696E-16</v>
      </c>
    </row>
    <row r="26" spans="2:27" ht="15" customHeight="1" x14ac:dyDescent="0.25">
      <c r="B26" s="57">
        <f t="shared" ca="1" si="11"/>
        <v>8</v>
      </c>
      <c r="C26" s="71">
        <f t="shared" ca="1" si="12"/>
        <v>53</v>
      </c>
      <c r="D26" s="72">
        <f t="shared" ca="1" si="13"/>
        <v>0.05</v>
      </c>
      <c r="E26" s="73">
        <f t="shared" ca="1" si="14"/>
        <v>103900.72360972305</v>
      </c>
      <c r="F26" s="62">
        <f t="shared" ca="1" si="15"/>
        <v>1.1257768431897297E-2</v>
      </c>
      <c r="G26" s="62">
        <f t="shared" ca="1" si="15"/>
        <v>0.05</v>
      </c>
      <c r="I26" s="94">
        <f t="shared" ca="1" si="2"/>
        <v>6.0396987024665334</v>
      </c>
      <c r="J26" s="63">
        <f t="shared" ca="1" si="3"/>
        <v>3.5517587441111526E-2</v>
      </c>
      <c r="K26" s="65">
        <f t="shared" ca="1" si="4"/>
        <v>3731.8476130259496</v>
      </c>
      <c r="L26" s="64">
        <f t="shared" ca="1" si="8"/>
        <v>37606.304883320059</v>
      </c>
      <c r="M26" s="65">
        <f t="shared" ca="1" si="9"/>
        <v>31943.799115507358</v>
      </c>
      <c r="N26" s="66"/>
      <c r="O26" s="67">
        <f ca="1">IF($C26="",0,
K26*'1.c Decrements'!D19+(O25-P25-Q25)*(1+G25))</f>
        <v>27779.038788795333</v>
      </c>
      <c r="P26" s="68">
        <f ca="1">M26*'1.a Assumptions'!$C$13*'1.c Decrements'!E19</f>
        <v>876.23764739142109</v>
      </c>
      <c r="Q26" s="68">
        <f ca="1">L27*('1.c Decrements'!F19+'1.c Decrements'!G19)</f>
        <v>0</v>
      </c>
      <c r="R26" s="68">
        <f ca="1">O26-L27*'1.c Decrements'!D19</f>
        <v>1434.403282839452</v>
      </c>
      <c r="S26" s="68">
        <f ca="1">IF(B27&lt;=$S$16,OFFSET('1.c Decrements'!$J$11,0,$S$16-B26),"")</f>
        <v>14.399999999999999</v>
      </c>
      <c r="V26" s="69">
        <f t="shared" ca="1" si="5"/>
        <v>3731.8476130259442</v>
      </c>
      <c r="W26" s="70">
        <f t="shared" ca="1" si="6"/>
        <v>-5.4569682106375694E-12</v>
      </c>
      <c r="X26" s="95"/>
      <c r="Y26" s="96">
        <f ca="1">IF(V26="","",J26/'1.c PUC_Projection'!H25)</f>
        <v>0.89009840588656941</v>
      </c>
      <c r="Z26" s="96">
        <f t="shared" ca="1" si="7"/>
        <v>0.89009840588656897</v>
      </c>
      <c r="AA26" s="97">
        <f t="shared" ca="1" si="10"/>
        <v>4.4408920985006262E-16</v>
      </c>
    </row>
    <row r="27" spans="2:27" ht="15" customHeight="1" x14ac:dyDescent="0.25">
      <c r="B27" s="57">
        <f t="shared" ca="1" si="11"/>
        <v>9</v>
      </c>
      <c r="C27" s="71">
        <f t="shared" ca="1" si="12"/>
        <v>54</v>
      </c>
      <c r="D27" s="72">
        <f t="shared" ca="1" si="13"/>
        <v>0.05</v>
      </c>
      <c r="E27" s="73">
        <f t="shared" ca="1" si="14"/>
        <v>105070.41389602788</v>
      </c>
      <c r="F27" s="62">
        <f t="shared" ca="1" si="15"/>
        <v>1.1257768431897297E-2</v>
      </c>
      <c r="G27" s="62">
        <f t="shared" ca="1" si="15"/>
        <v>0.05</v>
      </c>
      <c r="I27" s="94">
        <f t="shared" ca="1" si="2"/>
        <v>5.2710852124513883</v>
      </c>
      <c r="J27" s="63">
        <f t="shared" ca="1" si="3"/>
        <v>3.5517587441111526E-2</v>
      </c>
      <c r="K27" s="65">
        <f t="shared" ca="1" si="4"/>
        <v>3773.8598892765244</v>
      </c>
      <c r="L27" s="64">
        <f t="shared" ca="1" si="8"/>
        <v>43218.467740512009</v>
      </c>
      <c r="M27" s="65">
        <f t="shared" ca="1" si="9"/>
        <v>37733.61270519306</v>
      </c>
      <c r="N27" s="66"/>
      <c r="O27" s="67">
        <f ca="1">IF($C27="",0,
K27*'1.c Decrements'!D20+(O26-P26-Q26)*(1+G26))</f>
        <v>30410.343299368615</v>
      </c>
      <c r="P27" s="68">
        <f ca="1">M27*'1.a Assumptions'!$C$13*'1.c Decrements'!E20</f>
        <v>972.95237772224903</v>
      </c>
      <c r="Q27" s="68">
        <f ca="1">L28*('1.c Decrements'!F20+'1.c Decrements'!G20)</f>
        <v>0</v>
      </c>
      <c r="R27" s="68">
        <f ca="1">O27-L28*'1.c Decrements'!D20</f>
        <v>2245.7859540956524</v>
      </c>
      <c r="S27" s="68">
        <f ca="1">IF(B28&lt;=$S$16,OFFSET('1.c Decrements'!$J$11,0,$S$16-B27),"")</f>
        <v>14.399999999999999</v>
      </c>
      <c r="V27" s="69">
        <f t="shared" ca="1" si="5"/>
        <v>3773.8598892765222</v>
      </c>
      <c r="W27" s="70">
        <f t="shared" ca="1" si="6"/>
        <v>-2.2737367544323206E-12</v>
      </c>
      <c r="X27" s="95"/>
      <c r="Y27" s="96">
        <f ca="1">IF(V27="","",J27/'1.c PUC_Projection'!H26)</f>
        <v>0.85725612154442021</v>
      </c>
      <c r="Z27" s="96">
        <f t="shared" ca="1" si="7"/>
        <v>0.85725612154441999</v>
      </c>
      <c r="AA27" s="97">
        <f t="shared" ca="1" si="10"/>
        <v>2.2204460492503131E-16</v>
      </c>
    </row>
    <row r="28" spans="2:27" ht="15" customHeight="1" x14ac:dyDescent="0.25">
      <c r="B28" s="57">
        <f t="shared" ca="1" si="11"/>
        <v>10</v>
      </c>
      <c r="C28" s="71">
        <f t="shared" ca="1" si="12"/>
        <v>55</v>
      </c>
      <c r="D28" s="72">
        <f t="shared" ca="1" si="13"/>
        <v>0.05</v>
      </c>
      <c r="E28" s="73">
        <f t="shared" ca="1" si="14"/>
        <v>106253.27228471296</v>
      </c>
      <c r="F28" s="62">
        <f t="shared" ca="1" si="15"/>
        <v>1.1257768431897297E-2</v>
      </c>
      <c r="G28" s="62">
        <f t="shared" ca="1" si="15"/>
        <v>0.05</v>
      </c>
      <c r="I28" s="94">
        <f t="shared" ca="1" si="2"/>
        <v>4.4730254202706634</v>
      </c>
      <c r="J28" s="63">
        <f t="shared" ca="1" si="3"/>
        <v>3.5517587441111526E-2</v>
      </c>
      <c r="K28" s="65">
        <f t="shared" ca="1" si="4"/>
        <v>3816.3451300044253</v>
      </c>
      <c r="L28" s="64">
        <f t="shared" ca="1" si="8"/>
        <v>49153.251016814131</v>
      </c>
      <c r="M28" s="65">
        <f t="shared" ca="1" si="9"/>
        <v>44022.548156058569</v>
      </c>
      <c r="N28" s="66"/>
      <c r="O28" s="67">
        <f ca="1">IF($C28="",0,
K28*'1.c Decrements'!D21+(O27-P27-Q27)*(1+G27))</f>
        <v>32964.801635351534</v>
      </c>
      <c r="P28" s="68">
        <f ca="1">M28*'1.a Assumptions'!$C$13*'1.c Decrements'!E21</f>
        <v>1067.0044409020666</v>
      </c>
      <c r="Q28" s="68">
        <f ca="1">L29*('1.c Decrements'!F21+'1.c Decrements'!G21)</f>
        <v>0</v>
      </c>
      <c r="R28" s="68">
        <f ca="1">O28-L29*'1.c Decrements'!D21</f>
        <v>3110.842367944264</v>
      </c>
      <c r="S28" s="68">
        <f ca="1">IF(B29&lt;=$S$16,OFFSET('1.c Decrements'!$J$11,0,$S$16-B28),"")</f>
        <v>14.399999999999999</v>
      </c>
      <c r="V28" s="69">
        <f t="shared" ca="1" si="5"/>
        <v>3816.3451300044326</v>
      </c>
      <c r="W28" s="70">
        <f t="shared" ca="1" si="6"/>
        <v>7.2759576141834259E-12</v>
      </c>
      <c r="X28" s="95"/>
      <c r="Y28" s="96">
        <f ca="1">IF(V28="","",J28/'1.c PUC_Projection'!H27)</f>
        <v>0.82562563090247021</v>
      </c>
      <c r="Z28" s="96">
        <f t="shared" ca="1" si="7"/>
        <v>0.82562563090246988</v>
      </c>
      <c r="AA28" s="97">
        <f t="shared" ca="1" si="10"/>
        <v>3.3306690738754696E-16</v>
      </c>
    </row>
    <row r="29" spans="2:27" ht="15" customHeight="1" x14ac:dyDescent="0.25">
      <c r="B29" s="57">
        <f t="shared" ca="1" si="11"/>
        <v>11</v>
      </c>
      <c r="C29" s="71">
        <f t="shared" ca="1" si="12"/>
        <v>56</v>
      </c>
      <c r="D29" s="72">
        <f t="shared" ca="1" si="13"/>
        <v>0.05</v>
      </c>
      <c r="E29" s="73">
        <f t="shared" ca="1" si="14"/>
        <v>107449.4470192256</v>
      </c>
      <c r="F29" s="62">
        <f t="shared" ca="1" si="15"/>
        <v>1.1257768431897297E-2</v>
      </c>
      <c r="G29" s="62">
        <f t="shared" ca="1" si="15"/>
        <v>0.05</v>
      </c>
      <c r="I29" s="94">
        <f t="shared" ca="1" si="2"/>
        <v>3.6443912105289233</v>
      </c>
      <c r="J29" s="63">
        <f t="shared" ca="1" si="3"/>
        <v>3.5517587441111526E-2</v>
      </c>
      <c r="K29" s="65">
        <f t="shared" ca="1" si="4"/>
        <v>3859.308659734214</v>
      </c>
      <c r="L29" s="64">
        <f t="shared" ca="1" si="8"/>
        <v>55427.258697659272</v>
      </c>
      <c r="M29" s="65">
        <f t="shared" ca="1" si="9"/>
        <v>50846.043120247654</v>
      </c>
      <c r="N29" s="66"/>
      <c r="O29" s="67">
        <f ca="1">IF($C29="",0,
K29*'1.c Decrements'!D22+(O28-P28-Q28)*(1+G28))</f>
        <v>35446.648109816706</v>
      </c>
      <c r="P29" s="68">
        <f ca="1">M29*'1.a Assumptions'!$C$13*'1.c Decrements'!E22</f>
        <v>1158.4467214873737</v>
      </c>
      <c r="Q29" s="68">
        <f ca="1">L30*('1.c Decrements'!F22+'1.c Decrements'!G22)</f>
        <v>0</v>
      </c>
      <c r="R29" s="68">
        <f ca="1">O29-L30*'1.c Decrements'!D22</f>
        <v>4026.8292572409591</v>
      </c>
      <c r="S29" s="68">
        <f ca="1">IF(B30&lt;=$S$16,OFFSET('1.c Decrements'!$J$11,0,$S$16-B29),"")</f>
        <v>14.399999999999999</v>
      </c>
      <c r="V29" s="69">
        <f t="shared" ca="1" si="5"/>
        <v>3859.308659734219</v>
      </c>
      <c r="W29" s="70">
        <f t="shared" ca="1" si="6"/>
        <v>5.0022208597511053E-12</v>
      </c>
      <c r="X29" s="95"/>
      <c r="Y29" s="96">
        <f ca="1">IF(V29="","",J29/'1.c PUC_Projection'!H28)</f>
        <v>0.79516222196819952</v>
      </c>
      <c r="Z29" s="96">
        <f t="shared" ca="1" si="7"/>
        <v>0.79516222196819919</v>
      </c>
      <c r="AA29" s="97">
        <f t="shared" ca="1" si="10"/>
        <v>3.3306690738754696E-16</v>
      </c>
    </row>
    <row r="30" spans="2:27" ht="15" customHeight="1" x14ac:dyDescent="0.25">
      <c r="B30" s="57">
        <f t="shared" ca="1" si="11"/>
        <v>12</v>
      </c>
      <c r="C30" s="71">
        <f t="shared" ca="1" si="12"/>
        <v>57</v>
      </c>
      <c r="D30" s="72">
        <f t="shared" ca="1" si="13"/>
        <v>0.05</v>
      </c>
      <c r="E30" s="73">
        <f t="shared" ca="1" si="14"/>
        <v>108659.08801190346</v>
      </c>
      <c r="F30" s="62">
        <f t="shared" ca="1" si="15"/>
        <v>1.1257768431897297E-2</v>
      </c>
      <c r="G30" s="62">
        <f t="shared" ca="1" si="15"/>
        <v>0.05</v>
      </c>
      <c r="I30" s="94">
        <f t="shared" ca="1" si="2"/>
        <v>2.784011248674096</v>
      </c>
      <c r="J30" s="63">
        <f t="shared" ca="1" si="3"/>
        <v>3.5517587441111526E-2</v>
      </c>
      <c r="K30" s="65">
        <f t="shared" ca="1" si="4"/>
        <v>3902.7558629327177</v>
      </c>
      <c r="L30" s="64">
        <f t="shared" ca="1" si="8"/>
        <v>62057.930292276455</v>
      </c>
      <c r="M30" s="65">
        <f t="shared" ca="1" si="9"/>
        <v>58241.831210465498</v>
      </c>
      <c r="N30" s="66"/>
      <c r="O30" s="67">
        <f ca="1">IF($C30="",0,
K30*'1.c Decrements'!D23+(O29-P29-Q29)*(1+G29))</f>
        <v>37860.012256675909</v>
      </c>
      <c r="P30" s="68">
        <f ca="1">M30*'1.a Assumptions'!$C$13*'1.c Decrements'!E23</f>
        <v>1247.3311790269504</v>
      </c>
      <c r="Q30" s="68">
        <f ca="1">L31*('1.c Decrements'!F23+'1.c Decrements'!G23)</f>
        <v>0</v>
      </c>
      <c r="R30" s="68">
        <f ca="1">O30-L31*'1.c Decrements'!D23</f>
        <v>4991.2502502535281</v>
      </c>
      <c r="S30" s="68">
        <f ca="1">IF(B31&lt;=$S$16,OFFSET('1.c Decrements'!$J$11,0,$S$16-B30),"")</f>
        <v>14.399999999999999</v>
      </c>
      <c r="V30" s="69">
        <f t="shared" ca="1" si="5"/>
        <v>3902.755862932725</v>
      </c>
      <c r="W30" s="70">
        <f t="shared" ca="1" si="6"/>
        <v>7.2759576141834259E-12</v>
      </c>
      <c r="X30" s="95"/>
      <c r="Y30" s="96">
        <f ca="1">IF(V30="","",J30/'1.c PUC_Projection'!H29)</f>
        <v>0.76582283250372418</v>
      </c>
      <c r="Z30" s="96">
        <f t="shared" ca="1" si="7"/>
        <v>0.76582283250372374</v>
      </c>
      <c r="AA30" s="97">
        <f t="shared" ca="1" si="10"/>
        <v>4.4408920985006262E-16</v>
      </c>
    </row>
    <row r="31" spans="2:27" ht="15" customHeight="1" x14ac:dyDescent="0.25">
      <c r="B31" s="57">
        <f t="shared" ca="1" si="11"/>
        <v>13</v>
      </c>
      <c r="C31" s="71">
        <f t="shared" ca="1" si="12"/>
        <v>58</v>
      </c>
      <c r="D31" s="72">
        <f t="shared" ca="1" si="13"/>
        <v>0.05</v>
      </c>
      <c r="E31" s="73">
        <f t="shared" ca="1" si="14"/>
        <v>109882.34686276261</v>
      </c>
      <c r="F31" s="62">
        <f t="shared" ca="1" si="15"/>
        <v>1.1257768431897297E-2</v>
      </c>
      <c r="G31" s="62">
        <f t="shared" ca="1" si="15"/>
        <v>0.05</v>
      </c>
      <c r="I31" s="94">
        <f t="shared" ca="1" si="2"/>
        <v>1.8906693252311599</v>
      </c>
      <c r="J31" s="63">
        <f t="shared" ca="1" si="3"/>
        <v>3.5517587441111526E-2</v>
      </c>
      <c r="K31" s="65">
        <f t="shared" ca="1" si="4"/>
        <v>3946.6921846838436</v>
      </c>
      <c r="L31" s="64">
        <f t="shared" ca="1" si="8"/>
        <v>69063.582669823008</v>
      </c>
      <c r="M31" s="65">
        <f t="shared" ca="1" si="9"/>
        <v>66250.083001904495</v>
      </c>
      <c r="N31" s="66"/>
      <c r="O31" s="67">
        <f ca="1">IF($C31="",0,
K31*'1.c Decrements'!D24+(O30-P30-Q30)*(1+G30))</f>
        <v>40208.927459320519</v>
      </c>
      <c r="P31" s="68">
        <f ca="1">M31*'1.a Assumptions'!$C$13*'1.c Decrements'!E24</f>
        <v>1333.7088631745667</v>
      </c>
      <c r="Q31" s="68">
        <f ca="1">L32*('1.c Decrements'!F24+'1.c Decrements'!G24)</f>
        <v>0</v>
      </c>
      <c r="R31" s="68">
        <f ca="1">O31-L32*'1.c Decrements'!D24</f>
        <v>6001.8470311925266</v>
      </c>
      <c r="S31" s="68">
        <f ca="1">IF(B32&lt;=$S$16,OFFSET('1.c Decrements'!$J$11,0,$S$16-B31),"")</f>
        <v>14.399999999999999</v>
      </c>
      <c r="V31" s="69">
        <f t="shared" ca="1" si="5"/>
        <v>3946.6921846838377</v>
      </c>
      <c r="W31" s="70">
        <f t="shared" ca="1" si="6"/>
        <v>-5.9117155615240335E-12</v>
      </c>
      <c r="X31" s="95"/>
      <c r="Y31" s="96">
        <f ca="1">IF(V31="","",J31/'1.c PUC_Projection'!H30)</f>
        <v>0.7375659891542008</v>
      </c>
      <c r="Z31" s="96">
        <f t="shared" ca="1" si="7"/>
        <v>0.73756598915420035</v>
      </c>
      <c r="AA31" s="97">
        <f t="shared" ca="1" si="10"/>
        <v>4.4408920985006262E-16</v>
      </c>
    </row>
    <row r="32" spans="2:27" ht="15" customHeight="1" x14ac:dyDescent="0.25">
      <c r="B32" s="57">
        <f t="shared" ca="1" si="11"/>
        <v>14</v>
      </c>
      <c r="C32" s="71">
        <f t="shared" ca="1" si="12"/>
        <v>59</v>
      </c>
      <c r="D32" s="72">
        <f t="shared" ca="1" si="13"/>
        <v>0.05</v>
      </c>
      <c r="E32" s="73">
        <f t="shared" ca="1" si="14"/>
        <v>111119.37687849702</v>
      </c>
      <c r="F32" s="62">
        <f t="shared" ca="1" si="15"/>
        <v>1.1257768431897297E-2</v>
      </c>
      <c r="G32" s="62">
        <f t="shared" ca="1" si="15"/>
        <v>0.05</v>
      </c>
      <c r="I32" s="94">
        <f t="shared" ca="1" si="2"/>
        <v>0.96310263660180584</v>
      </c>
      <c r="J32" s="63">
        <f t="shared" ca="1" si="3"/>
        <v>3.5517587441111526E-2</v>
      </c>
      <c r="K32" s="65">
        <f t="shared" ca="1" si="4"/>
        <v>3991.1231313709936</v>
      </c>
      <c r="L32" s="64">
        <f t="shared" ca="1" si="8"/>
        <v>76463.453987998</v>
      </c>
      <c r="M32" s="65">
        <f t="shared" ca="1" si="9"/>
        <v>74913.555394461247</v>
      </c>
      <c r="N32" s="66"/>
      <c r="O32" s="67">
        <f ca="1">IF($C32="",0,
K32*'1.c Decrements'!D25+(O31-P31-Q31)*(1+G31))</f>
        <v>42497.339357518162</v>
      </c>
      <c r="P32" s="68">
        <f ca="1">M32*'1.a Assumptions'!$C$13*'1.c Decrements'!E25</f>
        <v>0</v>
      </c>
      <c r="Q32" s="68">
        <f ca="1">L33*('1.c Decrements'!F25+'1.c Decrements'!G25)</f>
        <v>35440.748214127241</v>
      </c>
      <c r="R32" s="68">
        <f ca="1">O32-L33*'1.c Decrements'!D25</f>
        <v>7056.5911433909205</v>
      </c>
      <c r="S32" s="68">
        <f ca="1">IF(B33&lt;=$S$16,OFFSET('1.c Decrements'!$J$11,0,$S$16-B32),"")</f>
        <v>240</v>
      </c>
      <c r="V32" s="69">
        <f t="shared" ca="1" si="5"/>
        <v>3991.1231313710014</v>
      </c>
      <c r="W32" s="70">
        <f t="shared" ca="1" si="6"/>
        <v>7.73070496506989E-12</v>
      </c>
      <c r="X32" s="95"/>
      <c r="Y32" s="96">
        <f ca="1">IF(V32="","",J32/'1.c PUC_Projection'!H31)</f>
        <v>0.71035174882223051</v>
      </c>
      <c r="Z32" s="96">
        <f t="shared" ca="1" si="7"/>
        <v>0.71035174882223007</v>
      </c>
      <c r="AA32" s="97">
        <f t="shared" ca="1" si="10"/>
        <v>4.4408920985006262E-16</v>
      </c>
    </row>
    <row r="33" spans="2:27" ht="15" customHeight="1" x14ac:dyDescent="0.25">
      <c r="B33" s="57">
        <f t="shared" ca="1" si="11"/>
        <v>15</v>
      </c>
      <c r="C33" s="71">
        <f t="shared" ca="1" si="12"/>
        <v>60</v>
      </c>
      <c r="D33" s="72">
        <f t="shared" ca="1" si="13"/>
        <v>0.05</v>
      </c>
      <c r="E33" s="73">
        <f t="shared" ca="1" si="14"/>
        <v>112370.33309169186</v>
      </c>
      <c r="F33" s="62">
        <f t="shared" ca="1" si="15"/>
        <v>1.1257768431897297E-2</v>
      </c>
      <c r="G33" s="62">
        <f t="shared" ca="1" si="15"/>
        <v>0.05</v>
      </c>
      <c r="I33" s="94">
        <f t="shared" ca="1" si="2"/>
        <v>0</v>
      </c>
      <c r="J33" s="63">
        <f t="shared" ca="1" si="3"/>
        <v>3.5517587441111526E-2</v>
      </c>
      <c r="K33" s="65">
        <f t="shared" ca="1" si="4"/>
        <v>0</v>
      </c>
      <c r="L33" s="64">
        <f t="shared" ca="1" si="8"/>
        <v>84277.749818768905</v>
      </c>
      <c r="M33" s="65">
        <f t="shared" ca="1" si="9"/>
        <v>84277.749818768905</v>
      </c>
      <c r="N33" s="66"/>
      <c r="O33" s="67">
        <f ca="1">IF($C33="",0,
K33*'1.c Decrements'!D26+(O32-P32-Q32)*(1+G32))</f>
        <v>7409.4207005604667</v>
      </c>
      <c r="P33" s="68">
        <f ca="1">M33*'1.a Assumptions'!$C$13*'1.c Decrements'!E26</f>
        <v>0</v>
      </c>
      <c r="Q33" s="68">
        <f ca="1">L34*('1.c Decrements'!F26+'1.c Decrements'!G26)</f>
        <v>0</v>
      </c>
      <c r="R33" s="68">
        <f ca="1">O33-L34*'1.c Decrements'!D26</f>
        <v>7409.4207005604667</v>
      </c>
      <c r="S33" s="68" t="str">
        <f ca="1">IF(B34&lt;=$S$16,OFFSET('1.c Decrements'!$J$11,0,$S$16-B33),"")</f>
        <v/>
      </c>
      <c r="V33" s="69" t="str">
        <f t="shared" ca="1" si="5"/>
        <v/>
      </c>
      <c r="W33" s="70" t="str">
        <f t="shared" ca="1" si="6"/>
        <v/>
      </c>
      <c r="X33" s="95"/>
      <c r="Y33" s="96" t="str">
        <f ca="1">IF(V33="","",J33/'1.c PUC_Projection'!H32)</f>
        <v/>
      </c>
      <c r="Z33" s="96" t="str">
        <f t="shared" ca="1" si="7"/>
        <v/>
      </c>
      <c r="AA33" s="97" t="str">
        <f t="shared" ca="1" si="10"/>
        <v/>
      </c>
    </row>
    <row r="34" spans="2:27" ht="15" customHeight="1" x14ac:dyDescent="0.25">
      <c r="B34" s="57" t="str">
        <f t="shared" ca="1" si="11"/>
        <v/>
      </c>
      <c r="C34" s="71" t="str">
        <f t="shared" ca="1" si="12"/>
        <v/>
      </c>
      <c r="D34" s="72" t="str">
        <f t="shared" ca="1" si="13"/>
        <v/>
      </c>
      <c r="E34" s="73" t="str">
        <f t="shared" ca="1" si="14"/>
        <v/>
      </c>
      <c r="F34" s="62" t="str">
        <f t="shared" ca="1" si="15"/>
        <v/>
      </c>
      <c r="G34" s="62" t="str">
        <f t="shared" ca="1" si="15"/>
        <v/>
      </c>
      <c r="I34" s="94">
        <f t="shared" ca="1" si="2"/>
        <v>0</v>
      </c>
      <c r="J34" s="63" t="str">
        <f t="shared" ca="1" si="3"/>
        <v/>
      </c>
      <c r="K34" s="65">
        <f t="shared" ca="1" si="4"/>
        <v>0</v>
      </c>
      <c r="L34" s="64">
        <f t="shared" ca="1" si="8"/>
        <v>0</v>
      </c>
      <c r="M34" s="65">
        <f t="shared" ca="1" si="9"/>
        <v>0</v>
      </c>
      <c r="N34" s="66"/>
      <c r="O34" s="67">
        <f ca="1">IF($C34="",0,
K34*'1.c Decrements'!D27+(O33-P33-Q33)*(1+G33))</f>
        <v>0</v>
      </c>
      <c r="P34" s="68">
        <f ca="1">M34*'1.a Assumptions'!$C$13*'1.c Decrements'!E27</f>
        <v>0</v>
      </c>
      <c r="Q34" s="68">
        <f ca="1">L35*('1.c Decrements'!F27+'1.c Decrements'!G27)</f>
        <v>0</v>
      </c>
      <c r="R34" s="68">
        <f ca="1">O34-L35*'1.c Decrements'!D27</f>
        <v>0</v>
      </c>
      <c r="S34" s="68" t="str">
        <f ca="1">IF(B35&lt;=$S$16,OFFSET('1.c Decrements'!$J$11,0,$S$16-B34),"")</f>
        <v/>
      </c>
      <c r="V34" s="69" t="str">
        <f t="shared" ca="1" si="5"/>
        <v/>
      </c>
      <c r="W34" s="70" t="str">
        <f t="shared" ca="1" si="6"/>
        <v/>
      </c>
      <c r="X34" s="95"/>
      <c r="Y34" s="96" t="str">
        <f ca="1">IF(V34="","",J34/'1.c PUC_Projection'!H33)</f>
        <v/>
      </c>
      <c r="Z34" s="96" t="str">
        <f t="shared" ca="1" si="7"/>
        <v/>
      </c>
      <c r="AA34" s="97" t="str">
        <f t="shared" ca="1" si="10"/>
        <v/>
      </c>
    </row>
    <row r="35" spans="2:27" ht="15" customHeight="1" x14ac:dyDescent="0.25">
      <c r="B35" s="57" t="str">
        <f t="shared" ca="1" si="11"/>
        <v/>
      </c>
      <c r="C35" s="71" t="str">
        <f t="shared" ca="1" si="12"/>
        <v/>
      </c>
      <c r="D35" s="72" t="str">
        <f t="shared" ca="1" si="13"/>
        <v/>
      </c>
      <c r="E35" s="73" t="str">
        <f t="shared" ca="1" si="14"/>
        <v/>
      </c>
      <c r="F35" s="62" t="str">
        <f t="shared" ca="1" si="15"/>
        <v/>
      </c>
      <c r="G35" s="62" t="str">
        <f t="shared" ca="1" si="15"/>
        <v/>
      </c>
      <c r="I35" s="94">
        <f t="shared" ca="1" si="2"/>
        <v>0</v>
      </c>
      <c r="J35" s="63" t="str">
        <f t="shared" ca="1" si="3"/>
        <v/>
      </c>
      <c r="K35" s="65">
        <f t="shared" ca="1" si="4"/>
        <v>0</v>
      </c>
      <c r="L35" s="64">
        <f t="shared" ca="1" si="8"/>
        <v>0</v>
      </c>
      <c r="M35" s="65">
        <f t="shared" ca="1" si="9"/>
        <v>0</v>
      </c>
      <c r="N35" s="66"/>
      <c r="O35" s="67">
        <f ca="1">IF($C35="",0,
K35*'1.c Decrements'!D28+(O34-P34-Q34)*(1+G34))</f>
        <v>0</v>
      </c>
      <c r="P35" s="68">
        <f ca="1">M35*'1.a Assumptions'!$C$13*'1.c Decrements'!E28</f>
        <v>0</v>
      </c>
      <c r="Q35" s="68">
        <f ca="1">L36*('1.c Decrements'!F28+'1.c Decrements'!G28)</f>
        <v>0</v>
      </c>
      <c r="R35" s="68">
        <f ca="1">O35-L36*'1.c Decrements'!D28</f>
        <v>0</v>
      </c>
      <c r="S35" s="68" t="str">
        <f ca="1">IF(B36&lt;=$S$16,OFFSET('1.c Decrements'!$J$11,0,$S$16-B35),"")</f>
        <v/>
      </c>
      <c r="V35" s="69" t="str">
        <f t="shared" ca="1" si="5"/>
        <v/>
      </c>
      <c r="W35" s="70" t="str">
        <f t="shared" ca="1" si="6"/>
        <v/>
      </c>
      <c r="X35" s="95"/>
      <c r="Y35" s="96" t="str">
        <f ca="1">IF(V35="","",J35/'1.c PUC_Projection'!H34)</f>
        <v/>
      </c>
      <c r="Z35" s="96" t="str">
        <f t="shared" ca="1" si="7"/>
        <v/>
      </c>
      <c r="AA35" s="97" t="str">
        <f t="shared" ca="1" si="10"/>
        <v/>
      </c>
    </row>
    <row r="36" spans="2:27" ht="15" customHeight="1" x14ac:dyDescent="0.25">
      <c r="B36" s="57" t="str">
        <f t="shared" ca="1" si="11"/>
        <v/>
      </c>
      <c r="C36" s="71" t="str">
        <f t="shared" ca="1" si="12"/>
        <v/>
      </c>
      <c r="D36" s="72" t="str">
        <f t="shared" ca="1" si="13"/>
        <v/>
      </c>
      <c r="E36" s="73" t="str">
        <f t="shared" ca="1" si="14"/>
        <v/>
      </c>
      <c r="F36" s="62" t="str">
        <f t="shared" ref="F36:G51" ca="1" si="16">IF($C36="","",F35)</f>
        <v/>
      </c>
      <c r="G36" s="62" t="str">
        <f t="shared" ca="1" si="16"/>
        <v/>
      </c>
      <c r="I36" s="94">
        <f t="shared" ca="1" si="2"/>
        <v>0</v>
      </c>
      <c r="J36" s="63" t="str">
        <f t="shared" ca="1" si="3"/>
        <v/>
      </c>
      <c r="K36" s="65">
        <f t="shared" ca="1" si="4"/>
        <v>0</v>
      </c>
      <c r="L36" s="64">
        <f t="shared" ca="1" si="8"/>
        <v>0</v>
      </c>
      <c r="M36" s="65">
        <f t="shared" ca="1" si="9"/>
        <v>0</v>
      </c>
      <c r="N36" s="66"/>
      <c r="O36" s="67">
        <f ca="1">IF($C36="",0,
K36*'1.c Decrements'!D29+(O35-P35-Q35)*(1+G35))</f>
        <v>0</v>
      </c>
      <c r="P36" s="68">
        <f ca="1">M36*'1.a Assumptions'!$C$13*'1.c Decrements'!E29</f>
        <v>0</v>
      </c>
      <c r="Q36" s="68">
        <f ca="1">L37*('1.c Decrements'!F29+'1.c Decrements'!G29)</f>
        <v>0</v>
      </c>
      <c r="R36" s="68">
        <f ca="1">O36-L37*'1.c Decrements'!D29</f>
        <v>0</v>
      </c>
      <c r="S36" s="68" t="str">
        <f ca="1">IF(B37&lt;=$S$16,OFFSET('1.c Decrements'!$J$11,0,$S$16-B36),"")</f>
        <v/>
      </c>
      <c r="V36" s="69" t="str">
        <f t="shared" ca="1" si="5"/>
        <v/>
      </c>
      <c r="W36" s="70" t="str">
        <f t="shared" ca="1" si="6"/>
        <v/>
      </c>
      <c r="X36" s="95"/>
      <c r="Y36" s="96" t="str">
        <f ca="1">IF(V36="","",J36/'1.c PUC_Projection'!H35)</f>
        <v/>
      </c>
      <c r="Z36" s="96" t="str">
        <f t="shared" ca="1" si="7"/>
        <v/>
      </c>
      <c r="AA36" s="97" t="str">
        <f t="shared" ca="1" si="10"/>
        <v/>
      </c>
    </row>
    <row r="37" spans="2:27" ht="15" customHeight="1" x14ac:dyDescent="0.25">
      <c r="B37" s="57" t="str">
        <f t="shared" ca="1" si="11"/>
        <v/>
      </c>
      <c r="C37" s="71" t="str">
        <f t="shared" ca="1" si="12"/>
        <v/>
      </c>
      <c r="D37" s="72" t="str">
        <f t="shared" ca="1" si="13"/>
        <v/>
      </c>
      <c r="E37" s="73" t="str">
        <f t="shared" ca="1" si="14"/>
        <v/>
      </c>
      <c r="F37" s="62" t="str">
        <f t="shared" ca="1" si="16"/>
        <v/>
      </c>
      <c r="G37" s="62" t="str">
        <f t="shared" ca="1" si="16"/>
        <v/>
      </c>
      <c r="I37" s="94">
        <f t="shared" ca="1" si="2"/>
        <v>0</v>
      </c>
      <c r="J37" s="63" t="str">
        <f t="shared" ca="1" si="3"/>
        <v/>
      </c>
      <c r="K37" s="65">
        <f t="shared" ca="1" si="4"/>
        <v>0</v>
      </c>
      <c r="L37" s="64">
        <f t="shared" ca="1" si="8"/>
        <v>0</v>
      </c>
      <c r="M37" s="65">
        <f t="shared" ca="1" si="9"/>
        <v>0</v>
      </c>
      <c r="N37" s="66"/>
      <c r="O37" s="67">
        <f ca="1">IF($C37="",0,
K37*'1.c Decrements'!D30+(O36-P36-Q36)*(1+G36))</f>
        <v>0</v>
      </c>
      <c r="P37" s="68">
        <f ca="1">M37*'1.a Assumptions'!$C$13*'1.c Decrements'!E30</f>
        <v>0</v>
      </c>
      <c r="Q37" s="68">
        <f ca="1">L38*('1.c Decrements'!F30+'1.c Decrements'!G30)</f>
        <v>0</v>
      </c>
      <c r="R37" s="68">
        <f ca="1">O37-L38*'1.c Decrements'!D30</f>
        <v>0</v>
      </c>
      <c r="S37" s="68" t="str">
        <f ca="1">IF(B38&lt;=$S$16,OFFSET('1.c Decrements'!$J$11,0,$S$16-B37),"")</f>
        <v/>
      </c>
      <c r="V37" s="69" t="str">
        <f t="shared" ca="1" si="5"/>
        <v/>
      </c>
      <c r="W37" s="70" t="str">
        <f t="shared" ca="1" si="6"/>
        <v/>
      </c>
      <c r="X37" s="95"/>
      <c r="Y37" s="96" t="str">
        <f ca="1">IF(V37="","",J37/'1.c PUC_Projection'!H36)</f>
        <v/>
      </c>
      <c r="Z37" s="96" t="str">
        <f t="shared" ca="1" si="7"/>
        <v/>
      </c>
      <c r="AA37" s="97" t="str">
        <f t="shared" ca="1" si="10"/>
        <v/>
      </c>
    </row>
    <row r="38" spans="2:27" ht="15" customHeight="1" x14ac:dyDescent="0.25">
      <c r="B38" s="57" t="str">
        <f t="shared" ca="1" si="11"/>
        <v/>
      </c>
      <c r="C38" s="71" t="str">
        <f t="shared" ca="1" si="12"/>
        <v/>
      </c>
      <c r="D38" s="72" t="str">
        <f t="shared" ca="1" si="13"/>
        <v/>
      </c>
      <c r="E38" s="73" t="str">
        <f t="shared" ca="1" si="14"/>
        <v/>
      </c>
      <c r="F38" s="62" t="str">
        <f t="shared" ca="1" si="16"/>
        <v/>
      </c>
      <c r="G38" s="62" t="str">
        <f t="shared" ca="1" si="16"/>
        <v/>
      </c>
      <c r="I38" s="94">
        <f t="shared" ca="1" si="2"/>
        <v>0</v>
      </c>
      <c r="J38" s="63" t="str">
        <f t="shared" ca="1" si="3"/>
        <v/>
      </c>
      <c r="K38" s="65">
        <f t="shared" ca="1" si="4"/>
        <v>0</v>
      </c>
      <c r="L38" s="64">
        <f t="shared" ca="1" si="8"/>
        <v>0</v>
      </c>
      <c r="M38" s="65">
        <f t="shared" ca="1" si="9"/>
        <v>0</v>
      </c>
      <c r="N38" s="66"/>
      <c r="O38" s="67">
        <f ca="1">IF($C38="",0,
K38*'1.c Decrements'!D31+(O37-P37-Q37)*(1+G37))</f>
        <v>0</v>
      </c>
      <c r="P38" s="68">
        <f ca="1">M38*'1.a Assumptions'!$C$13*'1.c Decrements'!E31</f>
        <v>0</v>
      </c>
      <c r="Q38" s="68">
        <f ca="1">L39*('1.c Decrements'!F31+'1.c Decrements'!G31)</f>
        <v>0</v>
      </c>
      <c r="R38" s="68">
        <f ca="1">O38-L39*'1.c Decrements'!D31</f>
        <v>0</v>
      </c>
      <c r="S38" s="68" t="str">
        <f ca="1">IF(B39&lt;=$S$16,OFFSET('1.c Decrements'!$J$11,0,$S$16-B38),"")</f>
        <v/>
      </c>
      <c r="V38" s="69" t="str">
        <f t="shared" ca="1" si="5"/>
        <v/>
      </c>
      <c r="W38" s="70" t="str">
        <f t="shared" ca="1" si="6"/>
        <v/>
      </c>
      <c r="X38" s="95"/>
      <c r="Y38" s="96" t="str">
        <f ca="1">IF(V38="","",J38/'1.c PUC_Projection'!H37)</f>
        <v/>
      </c>
      <c r="Z38" s="96" t="str">
        <f t="shared" ca="1" si="7"/>
        <v/>
      </c>
      <c r="AA38" s="97" t="str">
        <f t="shared" ca="1" si="10"/>
        <v/>
      </c>
    </row>
    <row r="39" spans="2:27" ht="15" customHeight="1" x14ac:dyDescent="0.25">
      <c r="B39" s="57" t="str">
        <f t="shared" ca="1" si="11"/>
        <v/>
      </c>
      <c r="C39" s="71" t="str">
        <f t="shared" ca="1" si="12"/>
        <v/>
      </c>
      <c r="D39" s="72" t="str">
        <f t="shared" ca="1" si="13"/>
        <v/>
      </c>
      <c r="E39" s="73" t="str">
        <f t="shared" ca="1" si="14"/>
        <v/>
      </c>
      <c r="F39" s="62" t="str">
        <f t="shared" ca="1" si="16"/>
        <v/>
      </c>
      <c r="G39" s="62" t="str">
        <f t="shared" ca="1" si="16"/>
        <v/>
      </c>
      <c r="I39" s="94">
        <f t="shared" ca="1" si="2"/>
        <v>0</v>
      </c>
      <c r="J39" s="63" t="str">
        <f t="shared" ca="1" si="3"/>
        <v/>
      </c>
      <c r="K39" s="65">
        <f t="shared" ca="1" si="4"/>
        <v>0</v>
      </c>
      <c r="L39" s="64">
        <f t="shared" ca="1" si="8"/>
        <v>0</v>
      </c>
      <c r="M39" s="65">
        <f t="shared" ca="1" si="9"/>
        <v>0</v>
      </c>
      <c r="N39" s="66"/>
      <c r="O39" s="67">
        <f ca="1">IF($C39="",0,
K39*'1.c Decrements'!D32+(O38-P38-Q38)*(1+G38))</f>
        <v>0</v>
      </c>
      <c r="P39" s="68">
        <f ca="1">M39*'1.a Assumptions'!$C$13*'1.c Decrements'!E32</f>
        <v>0</v>
      </c>
      <c r="Q39" s="68">
        <f ca="1">L40*('1.c Decrements'!F32+'1.c Decrements'!G32)</f>
        <v>0</v>
      </c>
      <c r="R39" s="68">
        <f ca="1">O39-L40*'1.c Decrements'!D32</f>
        <v>0</v>
      </c>
      <c r="S39" s="68" t="str">
        <f ca="1">IF(B40&lt;=$S$16,OFFSET('1.c Decrements'!$J$11,0,$S$16-B39),"")</f>
        <v/>
      </c>
      <c r="V39" s="69" t="str">
        <f t="shared" ca="1" si="5"/>
        <v/>
      </c>
      <c r="W39" s="70" t="str">
        <f t="shared" ca="1" si="6"/>
        <v/>
      </c>
      <c r="X39" s="95"/>
      <c r="Y39" s="96" t="str">
        <f ca="1">IF(V39="","",J39/'1.c PUC_Projection'!H38)</f>
        <v/>
      </c>
      <c r="Z39" s="96" t="str">
        <f t="shared" ca="1" si="7"/>
        <v/>
      </c>
      <c r="AA39" s="97" t="str">
        <f t="shared" ca="1" si="10"/>
        <v/>
      </c>
    </row>
    <row r="40" spans="2:27" ht="15" customHeight="1" x14ac:dyDescent="0.25">
      <c r="B40" s="57" t="str">
        <f t="shared" ca="1" si="11"/>
        <v/>
      </c>
      <c r="C40" s="71" t="str">
        <f t="shared" ca="1" si="12"/>
        <v/>
      </c>
      <c r="D40" s="72" t="str">
        <f t="shared" ca="1" si="13"/>
        <v/>
      </c>
      <c r="E40" s="73" t="str">
        <f t="shared" ca="1" si="14"/>
        <v/>
      </c>
      <c r="F40" s="62" t="str">
        <f t="shared" ca="1" si="16"/>
        <v/>
      </c>
      <c r="G40" s="62" t="str">
        <f t="shared" ca="1" si="16"/>
        <v/>
      </c>
      <c r="I40" s="94">
        <f t="shared" ca="1" si="2"/>
        <v>0</v>
      </c>
      <c r="J40" s="63" t="str">
        <f t="shared" ca="1" si="3"/>
        <v/>
      </c>
      <c r="K40" s="65">
        <f t="shared" ca="1" si="4"/>
        <v>0</v>
      </c>
      <c r="L40" s="64">
        <f t="shared" ca="1" si="8"/>
        <v>0</v>
      </c>
      <c r="M40" s="65">
        <f t="shared" ca="1" si="9"/>
        <v>0</v>
      </c>
      <c r="N40" s="66"/>
      <c r="O40" s="67">
        <f ca="1">IF($C40="",0,
K40*'1.c Decrements'!D33+(O39-P39-Q39)*(1+G39))</f>
        <v>0</v>
      </c>
      <c r="P40" s="68">
        <f ca="1">M40*'1.a Assumptions'!$C$13*'1.c Decrements'!E33</f>
        <v>0</v>
      </c>
      <c r="Q40" s="68">
        <f ca="1">L41*('1.c Decrements'!F33+'1.c Decrements'!G33)</f>
        <v>0</v>
      </c>
      <c r="R40" s="68">
        <f ca="1">O40-L41*'1.c Decrements'!D33</f>
        <v>0</v>
      </c>
      <c r="S40" s="68" t="str">
        <f ca="1">IF(B41&lt;=$S$16,OFFSET('1.c Decrements'!$J$11,0,$S$16-B40),"")</f>
        <v/>
      </c>
      <c r="V40" s="69" t="str">
        <f t="shared" ca="1" si="5"/>
        <v/>
      </c>
      <c r="W40" s="70" t="str">
        <f t="shared" ca="1" si="6"/>
        <v/>
      </c>
      <c r="X40" s="95"/>
      <c r="Y40" s="96" t="str">
        <f ca="1">IF(V40="","",J40/'1.c PUC_Projection'!H39)</f>
        <v/>
      </c>
      <c r="Z40" s="96" t="str">
        <f t="shared" ca="1" si="7"/>
        <v/>
      </c>
      <c r="AA40" s="97" t="str">
        <f t="shared" ca="1" si="10"/>
        <v/>
      </c>
    </row>
    <row r="41" spans="2:27" ht="15" customHeight="1" x14ac:dyDescent="0.25">
      <c r="B41" s="57" t="str">
        <f t="shared" ca="1" si="11"/>
        <v/>
      </c>
      <c r="C41" s="71" t="str">
        <f t="shared" ca="1" si="12"/>
        <v/>
      </c>
      <c r="D41" s="72" t="str">
        <f t="shared" ca="1" si="13"/>
        <v/>
      </c>
      <c r="E41" s="73" t="str">
        <f t="shared" ca="1" si="14"/>
        <v/>
      </c>
      <c r="F41" s="62" t="str">
        <f t="shared" ca="1" si="16"/>
        <v/>
      </c>
      <c r="G41" s="62" t="str">
        <f t="shared" ca="1" si="16"/>
        <v/>
      </c>
      <c r="I41" s="94">
        <f t="shared" ca="1" si="2"/>
        <v>0</v>
      </c>
      <c r="J41" s="63" t="str">
        <f t="shared" ca="1" si="3"/>
        <v/>
      </c>
      <c r="K41" s="65">
        <f t="shared" ca="1" si="4"/>
        <v>0</v>
      </c>
      <c r="L41" s="64">
        <f t="shared" ca="1" si="8"/>
        <v>0</v>
      </c>
      <c r="M41" s="65">
        <f t="shared" ca="1" si="9"/>
        <v>0</v>
      </c>
      <c r="N41" s="66"/>
      <c r="O41" s="67">
        <f ca="1">IF($C41="",0,
K41*'1.c Decrements'!D34+(O40-P40-Q40)*(1+G40))</f>
        <v>0</v>
      </c>
      <c r="P41" s="68">
        <f ca="1">M41*'1.a Assumptions'!$C$13*'1.c Decrements'!E34</f>
        <v>0</v>
      </c>
      <c r="Q41" s="68">
        <f ca="1">L42*('1.c Decrements'!F34+'1.c Decrements'!G34)</f>
        <v>0</v>
      </c>
      <c r="R41" s="68">
        <f ca="1">O41-L42*'1.c Decrements'!D34</f>
        <v>0</v>
      </c>
      <c r="S41" s="68" t="str">
        <f ca="1">IF(B42&lt;=$S$16,OFFSET('1.c Decrements'!$J$11,0,$S$16-B41),"")</f>
        <v/>
      </c>
      <c r="V41" s="69" t="str">
        <f t="shared" ca="1" si="5"/>
        <v/>
      </c>
      <c r="W41" s="70" t="str">
        <f t="shared" ca="1" si="6"/>
        <v/>
      </c>
      <c r="X41" s="95"/>
      <c r="Y41" s="96" t="str">
        <f ca="1">IF(V41="","",J41/'1.c PUC_Projection'!H40)</f>
        <v/>
      </c>
      <c r="Z41" s="96" t="str">
        <f t="shared" ca="1" si="7"/>
        <v/>
      </c>
      <c r="AA41" s="97" t="str">
        <f t="shared" ca="1" si="10"/>
        <v/>
      </c>
    </row>
    <row r="42" spans="2:27" ht="15" customHeight="1" x14ac:dyDescent="0.25">
      <c r="B42" s="57" t="str">
        <f t="shared" ca="1" si="11"/>
        <v/>
      </c>
      <c r="C42" s="71" t="str">
        <f t="shared" ca="1" si="12"/>
        <v/>
      </c>
      <c r="D42" s="72" t="str">
        <f t="shared" ca="1" si="13"/>
        <v/>
      </c>
      <c r="E42" s="73" t="str">
        <f t="shared" ca="1" si="14"/>
        <v/>
      </c>
      <c r="F42" s="62" t="str">
        <f t="shared" ca="1" si="16"/>
        <v/>
      </c>
      <c r="G42" s="62" t="str">
        <f t="shared" ca="1" si="16"/>
        <v/>
      </c>
      <c r="I42" s="94">
        <f t="shared" ca="1" si="2"/>
        <v>0</v>
      </c>
      <c r="J42" s="63" t="str">
        <f t="shared" ca="1" si="3"/>
        <v/>
      </c>
      <c r="K42" s="65">
        <f t="shared" ca="1" si="4"/>
        <v>0</v>
      </c>
      <c r="L42" s="64">
        <f t="shared" ca="1" si="8"/>
        <v>0</v>
      </c>
      <c r="M42" s="65">
        <f t="shared" ca="1" si="9"/>
        <v>0</v>
      </c>
      <c r="N42" s="66"/>
      <c r="O42" s="67">
        <f ca="1">IF($C42="",0,
K42*'1.c Decrements'!D35+(O41-P41-Q41)*(1+G41))</f>
        <v>0</v>
      </c>
      <c r="P42" s="68">
        <f ca="1">M42*'1.a Assumptions'!$C$13*'1.c Decrements'!E35</f>
        <v>0</v>
      </c>
      <c r="Q42" s="68">
        <f ca="1">L43*('1.c Decrements'!F35+'1.c Decrements'!G35)</f>
        <v>0</v>
      </c>
      <c r="R42" s="68">
        <f ca="1">O42-L43*'1.c Decrements'!D35</f>
        <v>0</v>
      </c>
      <c r="S42" s="68" t="str">
        <f ca="1">IF(B43&lt;=$S$16,OFFSET('1.c Decrements'!$J$11,0,$S$16-B42),"")</f>
        <v/>
      </c>
      <c r="V42" s="69" t="str">
        <f t="shared" ca="1" si="5"/>
        <v/>
      </c>
      <c r="W42" s="70" t="str">
        <f t="shared" ca="1" si="6"/>
        <v/>
      </c>
      <c r="X42" s="95"/>
      <c r="Y42" s="96" t="str">
        <f ca="1">IF(V42="","",J42/'1.c PUC_Projection'!H41)</f>
        <v/>
      </c>
      <c r="Z42" s="96" t="str">
        <f t="shared" ca="1" si="7"/>
        <v/>
      </c>
      <c r="AA42" s="97" t="str">
        <f t="shared" ca="1" si="10"/>
        <v/>
      </c>
    </row>
    <row r="43" spans="2:27" ht="15" customHeight="1" x14ac:dyDescent="0.25">
      <c r="B43" s="57" t="str">
        <f t="shared" ca="1" si="11"/>
        <v/>
      </c>
      <c r="C43" s="71" t="str">
        <f t="shared" ca="1" si="12"/>
        <v/>
      </c>
      <c r="D43" s="72" t="str">
        <f t="shared" ca="1" si="13"/>
        <v/>
      </c>
      <c r="E43" s="73" t="str">
        <f t="shared" ca="1" si="14"/>
        <v/>
      </c>
      <c r="F43" s="62" t="str">
        <f t="shared" ca="1" si="16"/>
        <v/>
      </c>
      <c r="G43" s="62" t="str">
        <f t="shared" ca="1" si="16"/>
        <v/>
      </c>
      <c r="I43" s="94">
        <f t="shared" ca="1" si="2"/>
        <v>0</v>
      </c>
      <c r="J43" s="63" t="str">
        <f t="shared" ca="1" si="3"/>
        <v/>
      </c>
      <c r="K43" s="65">
        <f t="shared" ca="1" si="4"/>
        <v>0</v>
      </c>
      <c r="L43" s="64">
        <f t="shared" ca="1" si="8"/>
        <v>0</v>
      </c>
      <c r="M43" s="65">
        <f t="shared" ca="1" si="9"/>
        <v>0</v>
      </c>
      <c r="N43" s="66"/>
      <c r="O43" s="67">
        <f ca="1">IF($C43="",0,
K43*'1.c Decrements'!D36+(O42-P42-Q42)*(1+G42))</f>
        <v>0</v>
      </c>
      <c r="P43" s="68">
        <f ca="1">M43*'1.a Assumptions'!$C$13*'1.c Decrements'!E36</f>
        <v>0</v>
      </c>
      <c r="Q43" s="68">
        <f ca="1">L44*('1.c Decrements'!F36+'1.c Decrements'!G36)</f>
        <v>0</v>
      </c>
      <c r="R43" s="68">
        <f ca="1">O43-L44*'1.c Decrements'!D36</f>
        <v>0</v>
      </c>
      <c r="S43" s="68" t="str">
        <f ca="1">IF(B44&lt;=$S$16,OFFSET('1.c Decrements'!$J$11,0,$S$16-B43),"")</f>
        <v/>
      </c>
      <c r="V43" s="69" t="str">
        <f t="shared" ca="1" si="5"/>
        <v/>
      </c>
      <c r="W43" s="70" t="str">
        <f t="shared" ca="1" si="6"/>
        <v/>
      </c>
      <c r="X43" s="95"/>
      <c r="Y43" s="96" t="str">
        <f ca="1">IF(V43="","",J43/'1.c PUC_Projection'!H42)</f>
        <v/>
      </c>
      <c r="Z43" s="96" t="str">
        <f t="shared" ca="1" si="7"/>
        <v/>
      </c>
      <c r="AA43" s="97" t="str">
        <f t="shared" ca="1" si="10"/>
        <v/>
      </c>
    </row>
    <row r="44" spans="2:27" ht="15" customHeight="1" x14ac:dyDescent="0.25">
      <c r="B44" s="57" t="str">
        <f t="shared" ca="1" si="11"/>
        <v/>
      </c>
      <c r="C44" s="71" t="str">
        <f t="shared" ca="1" si="12"/>
        <v/>
      </c>
      <c r="D44" s="72" t="str">
        <f t="shared" ca="1" si="13"/>
        <v/>
      </c>
      <c r="E44" s="73" t="str">
        <f t="shared" ca="1" si="14"/>
        <v/>
      </c>
      <c r="F44" s="62" t="str">
        <f t="shared" ca="1" si="16"/>
        <v/>
      </c>
      <c r="G44" s="62" t="str">
        <f t="shared" ca="1" si="16"/>
        <v/>
      </c>
      <c r="I44" s="94">
        <f t="shared" ca="1" si="2"/>
        <v>0</v>
      </c>
      <c r="J44" s="63" t="str">
        <f t="shared" ca="1" si="3"/>
        <v/>
      </c>
      <c r="K44" s="65">
        <f t="shared" ca="1" si="4"/>
        <v>0</v>
      </c>
      <c r="L44" s="64">
        <f t="shared" ca="1" si="8"/>
        <v>0</v>
      </c>
      <c r="M44" s="65">
        <f t="shared" ca="1" si="9"/>
        <v>0</v>
      </c>
      <c r="N44" s="66"/>
      <c r="O44" s="67">
        <f ca="1">IF($C44="",0,
K44*'1.c Decrements'!D37+(O43-P43-Q43)*(1+G43))</f>
        <v>0</v>
      </c>
      <c r="P44" s="68">
        <f ca="1">M44*'1.a Assumptions'!$C$13*'1.c Decrements'!E37</f>
        <v>0</v>
      </c>
      <c r="Q44" s="68">
        <f ca="1">L45*('1.c Decrements'!F37+'1.c Decrements'!G37)</f>
        <v>0</v>
      </c>
      <c r="R44" s="68">
        <f ca="1">O44-L45*'1.c Decrements'!D37</f>
        <v>0</v>
      </c>
      <c r="S44" s="68" t="str">
        <f ca="1">IF(B45&lt;=$S$16,OFFSET('1.c Decrements'!$J$11,0,$S$16-B44),"")</f>
        <v/>
      </c>
      <c r="V44" s="69" t="str">
        <f t="shared" ca="1" si="5"/>
        <v/>
      </c>
      <c r="W44" s="70" t="str">
        <f t="shared" ca="1" si="6"/>
        <v/>
      </c>
      <c r="X44" s="95"/>
      <c r="Y44" s="96" t="str">
        <f ca="1">IF(V44="","",J44/'1.c PUC_Projection'!H43)</f>
        <v/>
      </c>
      <c r="Z44" s="96" t="str">
        <f t="shared" ca="1" si="7"/>
        <v/>
      </c>
      <c r="AA44" s="97" t="str">
        <f t="shared" ca="1" si="10"/>
        <v/>
      </c>
    </row>
    <row r="45" spans="2:27" ht="15" customHeight="1" x14ac:dyDescent="0.25">
      <c r="B45" s="57" t="str">
        <f t="shared" ca="1" si="11"/>
        <v/>
      </c>
      <c r="C45" s="71" t="str">
        <f t="shared" ca="1" si="12"/>
        <v/>
      </c>
      <c r="D45" s="72" t="str">
        <f t="shared" ca="1" si="13"/>
        <v/>
      </c>
      <c r="E45" s="73" t="str">
        <f t="shared" ca="1" si="14"/>
        <v/>
      </c>
      <c r="F45" s="62" t="str">
        <f t="shared" ca="1" si="16"/>
        <v/>
      </c>
      <c r="G45" s="62" t="str">
        <f t="shared" ca="1" si="16"/>
        <v/>
      </c>
      <c r="I45" s="94">
        <f t="shared" ca="1" si="2"/>
        <v>0</v>
      </c>
      <c r="J45" s="63" t="str">
        <f t="shared" ca="1" si="3"/>
        <v/>
      </c>
      <c r="K45" s="65">
        <f t="shared" ca="1" si="4"/>
        <v>0</v>
      </c>
      <c r="L45" s="64">
        <f t="shared" ca="1" si="8"/>
        <v>0</v>
      </c>
      <c r="M45" s="65">
        <f t="shared" ca="1" si="9"/>
        <v>0</v>
      </c>
      <c r="N45" s="66"/>
      <c r="O45" s="67">
        <f ca="1">IF($C45="",0,
K45*'1.c Decrements'!D38+(O44-P44-Q44)*(1+G44))</f>
        <v>0</v>
      </c>
      <c r="P45" s="68">
        <f ca="1">M45*'1.a Assumptions'!$C$13*'1.c Decrements'!E38</f>
        <v>0</v>
      </c>
      <c r="Q45" s="68">
        <f ca="1">L46*('1.c Decrements'!F38+'1.c Decrements'!G38)</f>
        <v>0</v>
      </c>
      <c r="R45" s="68">
        <f ca="1">O45-L46*'1.c Decrements'!D38</f>
        <v>0</v>
      </c>
      <c r="S45" s="68" t="str">
        <f ca="1">IF(B46&lt;=$S$16,OFFSET('1.c Decrements'!$J$11,0,$S$16-B45),"")</f>
        <v/>
      </c>
      <c r="V45" s="69" t="str">
        <f t="shared" ca="1" si="5"/>
        <v/>
      </c>
      <c r="W45" s="70" t="str">
        <f t="shared" ca="1" si="6"/>
        <v/>
      </c>
      <c r="X45" s="95"/>
      <c r="Y45" s="96" t="str">
        <f ca="1">IF(V45="","",J45/'1.c PUC_Projection'!H44)</f>
        <v/>
      </c>
      <c r="Z45" s="96" t="str">
        <f t="shared" ca="1" si="7"/>
        <v/>
      </c>
      <c r="AA45" s="97" t="str">
        <f t="shared" ca="1" si="10"/>
        <v/>
      </c>
    </row>
    <row r="46" spans="2:27" ht="15" customHeight="1" x14ac:dyDescent="0.25">
      <c r="B46" s="57" t="str">
        <f t="shared" ca="1" si="11"/>
        <v/>
      </c>
      <c r="C46" s="71" t="str">
        <f t="shared" ca="1" si="12"/>
        <v/>
      </c>
      <c r="D46" s="72" t="str">
        <f t="shared" ca="1" si="13"/>
        <v/>
      </c>
      <c r="E46" s="73" t="str">
        <f t="shared" ca="1" si="14"/>
        <v/>
      </c>
      <c r="F46" s="62" t="str">
        <f t="shared" ca="1" si="16"/>
        <v/>
      </c>
      <c r="G46" s="62" t="str">
        <f t="shared" ca="1" si="16"/>
        <v/>
      </c>
      <c r="I46" s="94">
        <f t="shared" ca="1" si="2"/>
        <v>0</v>
      </c>
      <c r="J46" s="63" t="str">
        <f t="shared" ca="1" si="3"/>
        <v/>
      </c>
      <c r="K46" s="65">
        <f t="shared" ca="1" si="4"/>
        <v>0</v>
      </c>
      <c r="L46" s="64">
        <f t="shared" ca="1" si="8"/>
        <v>0</v>
      </c>
      <c r="M46" s="65">
        <f t="shared" ca="1" si="9"/>
        <v>0</v>
      </c>
      <c r="N46" s="66"/>
      <c r="O46" s="67">
        <f ca="1">IF($C46="",0,
K46*'1.c Decrements'!D39+(O45-P45-Q45)*(1+G45))</f>
        <v>0</v>
      </c>
      <c r="P46" s="68">
        <f ca="1">M46*'1.a Assumptions'!$C$13*'1.c Decrements'!E39</f>
        <v>0</v>
      </c>
      <c r="Q46" s="68">
        <f ca="1">L47*('1.c Decrements'!F39+'1.c Decrements'!G39)</f>
        <v>0</v>
      </c>
      <c r="R46" s="68">
        <f ca="1">O46-L47*'1.c Decrements'!D39</f>
        <v>0</v>
      </c>
      <c r="S46" s="68" t="str">
        <f ca="1">IF(B47&lt;=$S$16,OFFSET('1.c Decrements'!$J$11,0,$S$16-B46),"")</f>
        <v/>
      </c>
      <c r="V46" s="69" t="str">
        <f t="shared" ca="1" si="5"/>
        <v/>
      </c>
      <c r="W46" s="70" t="str">
        <f t="shared" ca="1" si="6"/>
        <v/>
      </c>
      <c r="X46" s="95"/>
      <c r="Y46" s="96" t="str">
        <f ca="1">IF(V46="","",J46/'1.c PUC_Projection'!H45)</f>
        <v/>
      </c>
      <c r="Z46" s="96" t="str">
        <f t="shared" ca="1" si="7"/>
        <v/>
      </c>
      <c r="AA46" s="97" t="str">
        <f t="shared" ca="1" si="10"/>
        <v/>
      </c>
    </row>
    <row r="47" spans="2:27" ht="15" customHeight="1" x14ac:dyDescent="0.25">
      <c r="B47" s="57" t="str">
        <f t="shared" ca="1" si="11"/>
        <v/>
      </c>
      <c r="C47" s="71" t="str">
        <f t="shared" ca="1" si="12"/>
        <v/>
      </c>
      <c r="D47" s="72" t="str">
        <f t="shared" ca="1" si="13"/>
        <v/>
      </c>
      <c r="E47" s="73" t="str">
        <f t="shared" ca="1" si="14"/>
        <v/>
      </c>
      <c r="F47" s="62" t="str">
        <f t="shared" ca="1" si="16"/>
        <v/>
      </c>
      <c r="G47" s="62" t="str">
        <f t="shared" ca="1" si="16"/>
        <v/>
      </c>
      <c r="I47" s="94">
        <f t="shared" ca="1" si="2"/>
        <v>0</v>
      </c>
      <c r="J47" s="63" t="str">
        <f t="shared" ca="1" si="3"/>
        <v/>
      </c>
      <c r="K47" s="65">
        <f t="shared" ca="1" si="4"/>
        <v>0</v>
      </c>
      <c r="L47" s="64">
        <f t="shared" ca="1" si="8"/>
        <v>0</v>
      </c>
      <c r="M47" s="65">
        <f t="shared" ca="1" si="9"/>
        <v>0</v>
      </c>
      <c r="N47" s="66"/>
      <c r="O47" s="67">
        <f ca="1">IF($C47="",0,
K47*'1.c Decrements'!D40+(O46-P46-Q46)*(1+G46))</f>
        <v>0</v>
      </c>
      <c r="P47" s="68">
        <f ca="1">M47*'1.a Assumptions'!$C$13*'1.c Decrements'!E40</f>
        <v>0</v>
      </c>
      <c r="Q47" s="68">
        <f ca="1">L48*('1.c Decrements'!F40+'1.c Decrements'!G40)</f>
        <v>0</v>
      </c>
      <c r="R47" s="68">
        <f ca="1">O47-L48*'1.c Decrements'!D40</f>
        <v>0</v>
      </c>
      <c r="S47" s="68" t="str">
        <f ca="1">IF(B48&lt;=$S$16,OFFSET('1.c Decrements'!$J$11,0,$S$16-B47),"")</f>
        <v/>
      </c>
      <c r="V47" s="69" t="str">
        <f t="shared" ca="1" si="5"/>
        <v/>
      </c>
      <c r="W47" s="70" t="str">
        <f t="shared" ca="1" si="6"/>
        <v/>
      </c>
      <c r="X47" s="95"/>
      <c r="Y47" s="96" t="str">
        <f ca="1">IF(V47="","",J47/'1.c PUC_Projection'!H46)</f>
        <v/>
      </c>
      <c r="Z47" s="96" t="str">
        <f t="shared" ca="1" si="7"/>
        <v/>
      </c>
      <c r="AA47" s="97" t="str">
        <f t="shared" ca="1" si="10"/>
        <v/>
      </c>
    </row>
    <row r="48" spans="2:27" ht="15" customHeight="1" x14ac:dyDescent="0.25">
      <c r="B48" s="57" t="str">
        <f t="shared" ca="1" si="11"/>
        <v/>
      </c>
      <c r="C48" s="71" t="str">
        <f t="shared" ca="1" si="12"/>
        <v/>
      </c>
      <c r="D48" s="72" t="str">
        <f t="shared" ca="1" si="13"/>
        <v/>
      </c>
      <c r="E48" s="73" t="str">
        <f t="shared" ca="1" si="14"/>
        <v/>
      </c>
      <c r="F48" s="62" t="str">
        <f t="shared" ca="1" si="16"/>
        <v/>
      </c>
      <c r="G48" s="62" t="str">
        <f t="shared" ca="1" si="16"/>
        <v/>
      </c>
      <c r="I48" s="94">
        <f t="shared" ca="1" si="2"/>
        <v>0</v>
      </c>
      <c r="J48" s="63" t="str">
        <f t="shared" ca="1" si="3"/>
        <v/>
      </c>
      <c r="K48" s="65">
        <f t="shared" ca="1" si="4"/>
        <v>0</v>
      </c>
      <c r="L48" s="64">
        <f t="shared" ca="1" si="8"/>
        <v>0</v>
      </c>
      <c r="M48" s="65">
        <f t="shared" ca="1" si="9"/>
        <v>0</v>
      </c>
      <c r="N48" s="66"/>
      <c r="O48" s="67">
        <f ca="1">IF($C48="",0,
K48*'1.c Decrements'!D41+(O47-P47-Q47)*(1+G47))</f>
        <v>0</v>
      </c>
      <c r="P48" s="68">
        <f ca="1">M48*'1.a Assumptions'!$C$13*'1.c Decrements'!E41</f>
        <v>0</v>
      </c>
      <c r="Q48" s="68">
        <f ca="1">L49*('1.c Decrements'!F41+'1.c Decrements'!G41)</f>
        <v>0</v>
      </c>
      <c r="R48" s="68">
        <f ca="1">O48-L49*'1.c Decrements'!D41</f>
        <v>0</v>
      </c>
      <c r="S48" s="68" t="str">
        <f ca="1">IF(B49&lt;=$S$16,OFFSET('1.c Decrements'!$J$11,0,$S$16-B48),"")</f>
        <v/>
      </c>
      <c r="V48" s="69" t="str">
        <f t="shared" ca="1" si="5"/>
        <v/>
      </c>
      <c r="W48" s="70" t="str">
        <f t="shared" ca="1" si="6"/>
        <v/>
      </c>
      <c r="X48" s="95"/>
      <c r="Y48" s="96" t="str">
        <f ca="1">IF(V48="","",J48/'1.c PUC_Projection'!H47)</f>
        <v/>
      </c>
      <c r="Z48" s="96" t="str">
        <f t="shared" ca="1" si="7"/>
        <v/>
      </c>
      <c r="AA48" s="97" t="str">
        <f t="shared" ca="1" si="10"/>
        <v/>
      </c>
    </row>
    <row r="49" spans="2:27" ht="15" customHeight="1" x14ac:dyDescent="0.25">
      <c r="B49" s="57" t="str">
        <f t="shared" ca="1" si="11"/>
        <v/>
      </c>
      <c r="C49" s="71" t="str">
        <f t="shared" ca="1" si="12"/>
        <v/>
      </c>
      <c r="D49" s="72" t="str">
        <f t="shared" ca="1" si="13"/>
        <v/>
      </c>
      <c r="E49" s="73" t="str">
        <f t="shared" ca="1" si="14"/>
        <v/>
      </c>
      <c r="F49" s="62" t="str">
        <f t="shared" ca="1" si="16"/>
        <v/>
      </c>
      <c r="G49" s="62" t="str">
        <f t="shared" ca="1" si="16"/>
        <v/>
      </c>
      <c r="I49" s="94">
        <f t="shared" ca="1" si="2"/>
        <v>0</v>
      </c>
      <c r="J49" s="63" t="str">
        <f t="shared" ca="1" si="3"/>
        <v/>
      </c>
      <c r="K49" s="65">
        <f t="shared" ca="1" si="4"/>
        <v>0</v>
      </c>
      <c r="L49" s="64">
        <f t="shared" ca="1" si="8"/>
        <v>0</v>
      </c>
      <c r="M49" s="65">
        <f t="shared" ca="1" si="9"/>
        <v>0</v>
      </c>
      <c r="N49" s="66"/>
      <c r="O49" s="67">
        <f ca="1">IF($C49="",0,
K49*'1.c Decrements'!D42+(O48-P48-Q48)*(1+G48))</f>
        <v>0</v>
      </c>
      <c r="P49" s="68">
        <f ca="1">M49*'1.a Assumptions'!$C$13*'1.c Decrements'!E42</f>
        <v>0</v>
      </c>
      <c r="Q49" s="68">
        <f ca="1">L50*('1.c Decrements'!F42+'1.c Decrements'!G42)</f>
        <v>0</v>
      </c>
      <c r="R49" s="68">
        <f ca="1">O49-L50*'1.c Decrements'!D42</f>
        <v>0</v>
      </c>
      <c r="S49" s="68" t="str">
        <f ca="1">IF(B50&lt;=$S$16,OFFSET('1.c Decrements'!$J$11,0,$S$16-B49),"")</f>
        <v/>
      </c>
      <c r="V49" s="69" t="str">
        <f t="shared" ca="1" si="5"/>
        <v/>
      </c>
      <c r="W49" s="70" t="str">
        <f t="shared" ca="1" si="6"/>
        <v/>
      </c>
      <c r="X49" s="95"/>
      <c r="Y49" s="96" t="str">
        <f ca="1">IF(V49="","",J49/'1.c PUC_Projection'!H48)</f>
        <v/>
      </c>
      <c r="Z49" s="96" t="str">
        <f t="shared" ca="1" si="7"/>
        <v/>
      </c>
      <c r="AA49" s="97" t="str">
        <f t="shared" ca="1" si="10"/>
        <v/>
      </c>
    </row>
    <row r="50" spans="2:27" ht="15" customHeight="1" x14ac:dyDescent="0.25">
      <c r="B50" s="57" t="str">
        <f t="shared" ca="1" si="11"/>
        <v/>
      </c>
      <c r="C50" s="71" t="str">
        <f t="shared" ca="1" si="12"/>
        <v/>
      </c>
      <c r="D50" s="72" t="str">
        <f t="shared" ca="1" si="13"/>
        <v/>
      </c>
      <c r="E50" s="73" t="str">
        <f t="shared" ca="1" si="14"/>
        <v/>
      </c>
      <c r="F50" s="62" t="str">
        <f t="shared" ca="1" si="16"/>
        <v/>
      </c>
      <c r="G50" s="62" t="str">
        <f t="shared" ca="1" si="16"/>
        <v/>
      </c>
      <c r="I50" s="94">
        <f t="shared" ref="I50:I81" ca="1" si="17">IFERROR((1-(1+$D$10)^-($D$5-$C50))/$D$10,0)</f>
        <v>0</v>
      </c>
      <c r="J50" s="63" t="str">
        <f t="shared" ref="J50:J81" ca="1" si="18">IF($C50="","",
D50*($D$5-$D$9)*((1+F50)/(1+G50))^($D$5-$D$9)/$H$18)</f>
        <v/>
      </c>
      <c r="K50" s="65">
        <f t="shared" ref="K50:K81" ca="1" si="19">IF($C51="",0,
J50*E50*(1+F50))</f>
        <v>0</v>
      </c>
      <c r="L50" s="64">
        <f t="shared" ca="1" si="8"/>
        <v>0</v>
      </c>
      <c r="M50" s="65">
        <f t="shared" ca="1" si="9"/>
        <v>0</v>
      </c>
      <c r="N50" s="66"/>
      <c r="O50" s="67">
        <f ca="1">IF($C50="",0,
K50*'1.c Decrements'!D43+(O49-P49-Q49)*(1+G49))</f>
        <v>0</v>
      </c>
      <c r="P50" s="68">
        <f ca="1">M50*'1.a Assumptions'!$C$13*'1.c Decrements'!E43</f>
        <v>0</v>
      </c>
      <c r="Q50" s="68">
        <f ca="1">L51*('1.c Decrements'!F43+'1.c Decrements'!G43)</f>
        <v>0</v>
      </c>
      <c r="R50" s="68">
        <f ca="1">O50-L51*'1.c Decrements'!D43</f>
        <v>0</v>
      </c>
      <c r="S50" s="68" t="str">
        <f ca="1">IF(B51&lt;=$S$16,OFFSET('1.c Decrements'!$J$11,0,$S$16-B50),"")</f>
        <v/>
      </c>
      <c r="V50" s="69" t="str">
        <f t="shared" ref="V50:V81" ca="1" si="20">IF($C51&lt;=$D$5,L51-L50*(1+i),"")</f>
        <v/>
      </c>
      <c r="W50" s="70" t="str">
        <f t="shared" ref="W50:W81" ca="1" si="21">IF(V50="","",V50-K50)</f>
        <v/>
      </c>
      <c r="X50" s="95"/>
      <c r="Y50" s="96" t="str">
        <f ca="1">IF(V50="","",J50/'1.c PUC_Projection'!H49)</f>
        <v/>
      </c>
      <c r="Z50" s="96" t="str">
        <f t="shared" ref="Z50:Z81" ca="1" si="22">IF(V50="","",($D$5-$D$9)/$H$18*(1+$D$10)^-(C50-$D$9+1))</f>
        <v/>
      </c>
      <c r="AA50" s="97" t="str">
        <f t="shared" ca="1" si="10"/>
        <v/>
      </c>
    </row>
    <row r="51" spans="2:27" ht="15" customHeight="1" x14ac:dyDescent="0.25">
      <c r="B51" s="57" t="str">
        <f t="shared" ca="1" si="11"/>
        <v/>
      </c>
      <c r="C51" s="71" t="str">
        <f t="shared" ca="1" si="12"/>
        <v/>
      </c>
      <c r="D51" s="72" t="str">
        <f t="shared" ca="1" si="13"/>
        <v/>
      </c>
      <c r="E51" s="73" t="str">
        <f t="shared" ca="1" si="14"/>
        <v/>
      </c>
      <c r="F51" s="62" t="str">
        <f t="shared" ca="1" si="16"/>
        <v/>
      </c>
      <c r="G51" s="62" t="str">
        <f t="shared" ca="1" si="16"/>
        <v/>
      </c>
      <c r="I51" s="94">
        <f t="shared" ca="1" si="17"/>
        <v>0</v>
      </c>
      <c r="J51" s="63" t="str">
        <f t="shared" ca="1" si="18"/>
        <v/>
      </c>
      <c r="K51" s="65">
        <f t="shared" ca="1" si="19"/>
        <v>0</v>
      </c>
      <c r="L51" s="64">
        <f t="shared" ca="1" si="8"/>
        <v>0</v>
      </c>
      <c r="M51" s="65">
        <f t="shared" ca="1" si="9"/>
        <v>0</v>
      </c>
      <c r="N51" s="66"/>
      <c r="O51" s="67">
        <f ca="1">IF($C51="",0,
K51*'1.c Decrements'!D44+(O50-P50-Q50)*(1+G50))</f>
        <v>0</v>
      </c>
      <c r="P51" s="68">
        <f ca="1">M51*'1.a Assumptions'!$C$13*'1.c Decrements'!E44</f>
        <v>0</v>
      </c>
      <c r="Q51" s="68">
        <f ca="1">L52*('1.c Decrements'!F44+'1.c Decrements'!G44)</f>
        <v>0</v>
      </c>
      <c r="R51" s="68">
        <f ca="1">O51-L52*'1.c Decrements'!D44</f>
        <v>0</v>
      </c>
      <c r="S51" s="68" t="str">
        <f ca="1">IF(B52&lt;=$S$16,OFFSET('1.c Decrements'!$J$11,0,$S$16-B51),"")</f>
        <v/>
      </c>
      <c r="V51" s="69" t="str">
        <f t="shared" ca="1" si="20"/>
        <v/>
      </c>
      <c r="W51" s="70" t="str">
        <f t="shared" ca="1" si="21"/>
        <v/>
      </c>
      <c r="X51" s="95"/>
      <c r="Y51" s="96" t="str">
        <f ca="1">IF(V51="","",J51/'1.c PUC_Projection'!H50)</f>
        <v/>
      </c>
      <c r="Z51" s="96" t="str">
        <f t="shared" ca="1" si="22"/>
        <v/>
      </c>
      <c r="AA51" s="97" t="str">
        <f t="shared" ca="1" si="10"/>
        <v/>
      </c>
    </row>
    <row r="52" spans="2:27" ht="15" customHeight="1" x14ac:dyDescent="0.25">
      <c r="B52" s="57" t="str">
        <f t="shared" ca="1" si="11"/>
        <v/>
      </c>
      <c r="C52" s="71" t="str">
        <f t="shared" ca="1" si="12"/>
        <v/>
      </c>
      <c r="D52" s="72" t="str">
        <f t="shared" ca="1" si="13"/>
        <v/>
      </c>
      <c r="E52" s="73" t="str">
        <f t="shared" ca="1" si="14"/>
        <v/>
      </c>
      <c r="F52" s="62" t="str">
        <f t="shared" ref="F52:G67" ca="1" si="23">IF($C52="","",F51)</f>
        <v/>
      </c>
      <c r="G52" s="62" t="str">
        <f t="shared" ca="1" si="23"/>
        <v/>
      </c>
      <c r="I52" s="94">
        <f t="shared" ca="1" si="17"/>
        <v>0</v>
      </c>
      <c r="J52" s="63" t="str">
        <f t="shared" ca="1" si="18"/>
        <v/>
      </c>
      <c r="K52" s="65">
        <f t="shared" ca="1" si="19"/>
        <v>0</v>
      </c>
      <c r="L52" s="64">
        <f t="shared" ca="1" si="8"/>
        <v>0</v>
      </c>
      <c r="M52" s="65">
        <f t="shared" ca="1" si="9"/>
        <v>0</v>
      </c>
      <c r="N52" s="66"/>
      <c r="O52" s="67">
        <f ca="1">IF($C52="",0,
K52*'1.c Decrements'!D45+(O51-P51-Q51)*(1+G51))</f>
        <v>0</v>
      </c>
      <c r="P52" s="68">
        <f ca="1">M52*'1.a Assumptions'!$C$13*'1.c Decrements'!E45</f>
        <v>0</v>
      </c>
      <c r="Q52" s="68">
        <f ca="1">L53*('1.c Decrements'!F45+'1.c Decrements'!G45)</f>
        <v>0</v>
      </c>
      <c r="R52" s="68">
        <f ca="1">O52-L53*'1.c Decrements'!D45</f>
        <v>0</v>
      </c>
      <c r="S52" s="68" t="str">
        <f ca="1">IF(B53&lt;=$S$16,OFFSET('1.c Decrements'!$J$11,0,$S$16-B52),"")</f>
        <v/>
      </c>
      <c r="V52" s="69" t="str">
        <f t="shared" ca="1" si="20"/>
        <v/>
      </c>
      <c r="W52" s="70" t="str">
        <f t="shared" ca="1" si="21"/>
        <v/>
      </c>
      <c r="X52" s="95"/>
      <c r="Y52" s="96" t="str">
        <f ca="1">IF(V52="","",J52/'1.c PUC_Projection'!H51)</f>
        <v/>
      </c>
      <c r="Z52" s="96" t="str">
        <f t="shared" ca="1" si="22"/>
        <v/>
      </c>
      <c r="AA52" s="97" t="str">
        <f t="shared" ca="1" si="10"/>
        <v/>
      </c>
    </row>
    <row r="53" spans="2:27" ht="15" customHeight="1" x14ac:dyDescent="0.25">
      <c r="B53" s="57" t="str">
        <f t="shared" ca="1" si="11"/>
        <v/>
      </c>
      <c r="C53" s="71" t="str">
        <f t="shared" ca="1" si="12"/>
        <v/>
      </c>
      <c r="D53" s="72" t="str">
        <f t="shared" ca="1" si="13"/>
        <v/>
      </c>
      <c r="E53" s="73" t="str">
        <f t="shared" ca="1" si="14"/>
        <v/>
      </c>
      <c r="F53" s="62" t="str">
        <f t="shared" ca="1" si="23"/>
        <v/>
      </c>
      <c r="G53" s="62" t="str">
        <f t="shared" ca="1" si="23"/>
        <v/>
      </c>
      <c r="I53" s="94">
        <f t="shared" ca="1" si="17"/>
        <v>0</v>
      </c>
      <c r="J53" s="63" t="str">
        <f t="shared" ca="1" si="18"/>
        <v/>
      </c>
      <c r="K53" s="65">
        <f t="shared" ca="1" si="19"/>
        <v>0</v>
      </c>
      <c r="L53" s="64">
        <f t="shared" ca="1" si="8"/>
        <v>0</v>
      </c>
      <c r="M53" s="65">
        <f t="shared" ca="1" si="9"/>
        <v>0</v>
      </c>
      <c r="N53" s="66"/>
      <c r="O53" s="67">
        <f ca="1">IF($C53="",0,
K53*'1.c Decrements'!D46+(O52-P52-Q52)*(1+G52))</f>
        <v>0</v>
      </c>
      <c r="P53" s="68">
        <f ca="1">M53*'1.a Assumptions'!$C$13*'1.c Decrements'!E46</f>
        <v>0</v>
      </c>
      <c r="Q53" s="68">
        <f ca="1">L54*('1.c Decrements'!F46+'1.c Decrements'!G46)</f>
        <v>0</v>
      </c>
      <c r="R53" s="68">
        <f ca="1">O53-L54*'1.c Decrements'!D46</f>
        <v>0</v>
      </c>
      <c r="S53" s="68" t="str">
        <f ca="1">IF(B54&lt;=$S$16,OFFSET('1.c Decrements'!$J$11,0,$S$16-B53),"")</f>
        <v/>
      </c>
      <c r="V53" s="69" t="str">
        <f t="shared" ca="1" si="20"/>
        <v/>
      </c>
      <c r="W53" s="70" t="str">
        <f t="shared" ca="1" si="21"/>
        <v/>
      </c>
      <c r="X53" s="95"/>
      <c r="Y53" s="96" t="str">
        <f ca="1">IF(V53="","",J53/'1.c PUC_Projection'!H52)</f>
        <v/>
      </c>
      <c r="Z53" s="96" t="str">
        <f t="shared" ca="1" si="22"/>
        <v/>
      </c>
      <c r="AA53" s="97" t="str">
        <f t="shared" ca="1" si="10"/>
        <v/>
      </c>
    </row>
    <row r="54" spans="2:27" ht="15" customHeight="1" x14ac:dyDescent="0.25">
      <c r="B54" s="57" t="str">
        <f t="shared" ca="1" si="11"/>
        <v/>
      </c>
      <c r="C54" s="71" t="str">
        <f t="shared" ca="1" si="12"/>
        <v/>
      </c>
      <c r="D54" s="72" t="str">
        <f t="shared" ca="1" si="13"/>
        <v/>
      </c>
      <c r="E54" s="73" t="str">
        <f t="shared" ca="1" si="14"/>
        <v/>
      </c>
      <c r="F54" s="62" t="str">
        <f t="shared" ca="1" si="23"/>
        <v/>
      </c>
      <c r="G54" s="62" t="str">
        <f t="shared" ca="1" si="23"/>
        <v/>
      </c>
      <c r="I54" s="94">
        <f t="shared" ca="1" si="17"/>
        <v>0</v>
      </c>
      <c r="J54" s="63" t="str">
        <f t="shared" ca="1" si="18"/>
        <v/>
      </c>
      <c r="K54" s="65">
        <f t="shared" ca="1" si="19"/>
        <v>0</v>
      </c>
      <c r="L54" s="64">
        <f t="shared" ca="1" si="8"/>
        <v>0</v>
      </c>
      <c r="M54" s="65">
        <f t="shared" ca="1" si="9"/>
        <v>0</v>
      </c>
      <c r="N54" s="66"/>
      <c r="O54" s="67">
        <f ca="1">IF($C54="",0,
K54*'1.c Decrements'!D47+(O53-P53-Q53)*(1+G53))</f>
        <v>0</v>
      </c>
      <c r="P54" s="68">
        <f ca="1">M54*'1.a Assumptions'!$C$13*'1.c Decrements'!E47</f>
        <v>0</v>
      </c>
      <c r="Q54" s="68">
        <f ca="1">L55*('1.c Decrements'!F47+'1.c Decrements'!G47)</f>
        <v>0</v>
      </c>
      <c r="R54" s="68">
        <f ca="1">O54-L55*'1.c Decrements'!D47</f>
        <v>0</v>
      </c>
      <c r="S54" s="68" t="str">
        <f ca="1">IF(B55&lt;=$S$16,OFFSET('1.c Decrements'!$J$11,0,$S$16-B54),"")</f>
        <v/>
      </c>
      <c r="V54" s="69" t="str">
        <f t="shared" ca="1" si="20"/>
        <v/>
      </c>
      <c r="W54" s="70" t="str">
        <f t="shared" ca="1" si="21"/>
        <v/>
      </c>
      <c r="X54" s="95"/>
      <c r="Y54" s="96" t="str">
        <f ca="1">IF(V54="","",J54/'1.c PUC_Projection'!H53)</f>
        <v/>
      </c>
      <c r="Z54" s="96" t="str">
        <f t="shared" ca="1" si="22"/>
        <v/>
      </c>
      <c r="AA54" s="97" t="str">
        <f t="shared" ca="1" si="10"/>
        <v/>
      </c>
    </row>
    <row r="55" spans="2:27" ht="15" customHeight="1" x14ac:dyDescent="0.25">
      <c r="B55" s="57" t="str">
        <f t="shared" ca="1" si="11"/>
        <v/>
      </c>
      <c r="C55" s="71" t="str">
        <f t="shared" ca="1" si="12"/>
        <v/>
      </c>
      <c r="D55" s="72" t="str">
        <f t="shared" ca="1" si="13"/>
        <v/>
      </c>
      <c r="E55" s="73" t="str">
        <f t="shared" ca="1" si="14"/>
        <v/>
      </c>
      <c r="F55" s="62" t="str">
        <f t="shared" ca="1" si="23"/>
        <v/>
      </c>
      <c r="G55" s="62" t="str">
        <f t="shared" ca="1" si="23"/>
        <v/>
      </c>
      <c r="I55" s="94">
        <f t="shared" ca="1" si="17"/>
        <v>0</v>
      </c>
      <c r="J55" s="63" t="str">
        <f t="shared" ca="1" si="18"/>
        <v/>
      </c>
      <c r="K55" s="65">
        <f t="shared" ca="1" si="19"/>
        <v>0</v>
      </c>
      <c r="L55" s="64">
        <f t="shared" ca="1" si="8"/>
        <v>0</v>
      </c>
      <c r="M55" s="65">
        <f t="shared" ca="1" si="9"/>
        <v>0</v>
      </c>
      <c r="N55" s="66"/>
      <c r="O55" s="67">
        <f ca="1">IF($C55="",0,
K55*'1.c Decrements'!D48+(O54-P54-Q54)*(1+G54))</f>
        <v>0</v>
      </c>
      <c r="P55" s="68">
        <f ca="1">M55*'1.a Assumptions'!$C$13*'1.c Decrements'!E48</f>
        <v>0</v>
      </c>
      <c r="Q55" s="68">
        <f ca="1">L56*('1.c Decrements'!F48+'1.c Decrements'!G48)</f>
        <v>0</v>
      </c>
      <c r="R55" s="68">
        <f ca="1">O55-L56*'1.c Decrements'!D48</f>
        <v>0</v>
      </c>
      <c r="S55" s="68" t="str">
        <f ca="1">IF(B56&lt;=$S$16,OFFSET('1.c Decrements'!$J$11,0,$S$16-B55),"")</f>
        <v/>
      </c>
      <c r="V55" s="69" t="str">
        <f t="shared" ca="1" si="20"/>
        <v/>
      </c>
      <c r="W55" s="70" t="str">
        <f t="shared" ca="1" si="21"/>
        <v/>
      </c>
      <c r="X55" s="95"/>
      <c r="Y55" s="96" t="str">
        <f ca="1">IF(V55="","",J55/'1.c PUC_Projection'!H54)</f>
        <v/>
      </c>
      <c r="Z55" s="96" t="str">
        <f t="shared" ca="1" si="22"/>
        <v/>
      </c>
      <c r="AA55" s="97" t="str">
        <f t="shared" ca="1" si="10"/>
        <v/>
      </c>
    </row>
    <row r="56" spans="2:27" ht="15" customHeight="1" x14ac:dyDescent="0.25">
      <c r="B56" s="57" t="str">
        <f t="shared" ca="1" si="11"/>
        <v/>
      </c>
      <c r="C56" s="71" t="str">
        <f t="shared" ca="1" si="12"/>
        <v/>
      </c>
      <c r="D56" s="72" t="str">
        <f t="shared" ca="1" si="13"/>
        <v/>
      </c>
      <c r="E56" s="73" t="str">
        <f t="shared" ca="1" si="14"/>
        <v/>
      </c>
      <c r="F56" s="62" t="str">
        <f t="shared" ca="1" si="23"/>
        <v/>
      </c>
      <c r="G56" s="62" t="str">
        <f t="shared" ca="1" si="23"/>
        <v/>
      </c>
      <c r="I56" s="94">
        <f t="shared" ca="1" si="17"/>
        <v>0</v>
      </c>
      <c r="J56" s="63" t="str">
        <f t="shared" ca="1" si="18"/>
        <v/>
      </c>
      <c r="K56" s="65">
        <f t="shared" ca="1" si="19"/>
        <v>0</v>
      </c>
      <c r="L56" s="64">
        <f t="shared" ca="1" si="8"/>
        <v>0</v>
      </c>
      <c r="M56" s="65">
        <f t="shared" ca="1" si="9"/>
        <v>0</v>
      </c>
      <c r="N56" s="66"/>
      <c r="O56" s="67">
        <f ca="1">IF($C56="",0,
K56*'1.c Decrements'!D49+(O55-P55-Q55)*(1+G55))</f>
        <v>0</v>
      </c>
      <c r="P56" s="68">
        <f ca="1">M56*'1.a Assumptions'!$C$13*'1.c Decrements'!E49</f>
        <v>0</v>
      </c>
      <c r="Q56" s="68">
        <f ca="1">L57*('1.c Decrements'!F49+'1.c Decrements'!G49)</f>
        <v>0</v>
      </c>
      <c r="R56" s="68">
        <f ca="1">O56-L57*'1.c Decrements'!D49</f>
        <v>0</v>
      </c>
      <c r="S56" s="68" t="str">
        <f ca="1">IF(B57&lt;=$S$16,OFFSET('1.c Decrements'!$J$11,0,$S$16-B56),"")</f>
        <v/>
      </c>
      <c r="V56" s="69" t="str">
        <f t="shared" ca="1" si="20"/>
        <v/>
      </c>
      <c r="W56" s="70" t="str">
        <f t="shared" ca="1" si="21"/>
        <v/>
      </c>
      <c r="X56" s="95"/>
      <c r="Y56" s="96" t="str">
        <f ca="1">IF(V56="","",J56/'1.c PUC_Projection'!H55)</f>
        <v/>
      </c>
      <c r="Z56" s="96" t="str">
        <f t="shared" ca="1" si="22"/>
        <v/>
      </c>
      <c r="AA56" s="97" t="str">
        <f t="shared" ca="1" si="10"/>
        <v/>
      </c>
    </row>
    <row r="57" spans="2:27" ht="15" customHeight="1" x14ac:dyDescent="0.25">
      <c r="B57" s="57" t="str">
        <f t="shared" ca="1" si="11"/>
        <v/>
      </c>
      <c r="C57" s="71" t="str">
        <f t="shared" ca="1" si="12"/>
        <v/>
      </c>
      <c r="D57" s="72" t="str">
        <f t="shared" ca="1" si="13"/>
        <v/>
      </c>
      <c r="E57" s="73" t="str">
        <f t="shared" ca="1" si="14"/>
        <v/>
      </c>
      <c r="F57" s="62" t="str">
        <f t="shared" ca="1" si="23"/>
        <v/>
      </c>
      <c r="G57" s="62" t="str">
        <f t="shared" ca="1" si="23"/>
        <v/>
      </c>
      <c r="I57" s="94">
        <f t="shared" ca="1" si="17"/>
        <v>0</v>
      </c>
      <c r="J57" s="63" t="str">
        <f t="shared" ca="1" si="18"/>
        <v/>
      </c>
      <c r="K57" s="65">
        <f t="shared" ca="1" si="19"/>
        <v>0</v>
      </c>
      <c r="L57" s="64">
        <f t="shared" ca="1" si="8"/>
        <v>0</v>
      </c>
      <c r="M57" s="65">
        <f t="shared" ca="1" si="9"/>
        <v>0</v>
      </c>
      <c r="N57" s="66"/>
      <c r="O57" s="67">
        <f ca="1">IF($C57="",0,
K57*'1.c Decrements'!D50+(O56-P56-Q56)*(1+G56))</f>
        <v>0</v>
      </c>
      <c r="P57" s="68">
        <f ca="1">M57*'1.a Assumptions'!$C$13*'1.c Decrements'!E50</f>
        <v>0</v>
      </c>
      <c r="Q57" s="68">
        <f ca="1">L58*('1.c Decrements'!F50+'1.c Decrements'!G50)</f>
        <v>0</v>
      </c>
      <c r="R57" s="68">
        <f ca="1">O57-L58*'1.c Decrements'!D50</f>
        <v>0</v>
      </c>
      <c r="S57" s="68" t="str">
        <f ca="1">IF(B58&lt;=$S$16,OFFSET('1.c Decrements'!$J$11,0,$S$16-B57),"")</f>
        <v/>
      </c>
      <c r="V57" s="69" t="str">
        <f t="shared" ca="1" si="20"/>
        <v/>
      </c>
      <c r="W57" s="70" t="str">
        <f t="shared" ca="1" si="21"/>
        <v/>
      </c>
      <c r="X57" s="95"/>
      <c r="Y57" s="96" t="str">
        <f ca="1">IF(V57="","",J57/'1.c PUC_Projection'!H56)</f>
        <v/>
      </c>
      <c r="Z57" s="96" t="str">
        <f t="shared" ca="1" si="22"/>
        <v/>
      </c>
      <c r="AA57" s="97" t="str">
        <f t="shared" ca="1" si="10"/>
        <v/>
      </c>
    </row>
    <row r="58" spans="2:27" ht="15" customHeight="1" x14ac:dyDescent="0.25">
      <c r="B58" s="57" t="str">
        <f t="shared" ca="1" si="11"/>
        <v/>
      </c>
      <c r="C58" s="71" t="str">
        <f t="shared" ca="1" si="12"/>
        <v/>
      </c>
      <c r="D58" s="72" t="str">
        <f t="shared" ca="1" si="13"/>
        <v/>
      </c>
      <c r="E58" s="73" t="str">
        <f t="shared" ca="1" si="14"/>
        <v/>
      </c>
      <c r="F58" s="62" t="str">
        <f t="shared" ca="1" si="23"/>
        <v/>
      </c>
      <c r="G58" s="62" t="str">
        <f t="shared" ca="1" si="23"/>
        <v/>
      </c>
      <c r="I58" s="94">
        <f t="shared" ca="1" si="17"/>
        <v>0</v>
      </c>
      <c r="J58" s="63" t="str">
        <f t="shared" ca="1" si="18"/>
        <v/>
      </c>
      <c r="K58" s="65">
        <f t="shared" ca="1" si="19"/>
        <v>0</v>
      </c>
      <c r="L58" s="64">
        <f t="shared" ca="1" si="8"/>
        <v>0</v>
      </c>
      <c r="M58" s="65">
        <f t="shared" ca="1" si="9"/>
        <v>0</v>
      </c>
      <c r="N58" s="66"/>
      <c r="O58" s="67">
        <f ca="1">IF($C58="",0,
K58*'1.c Decrements'!D51+(O57-P57-Q57)*(1+G57))</f>
        <v>0</v>
      </c>
      <c r="P58" s="68">
        <f ca="1">M58*'1.a Assumptions'!$C$13*'1.c Decrements'!E51</f>
        <v>0</v>
      </c>
      <c r="Q58" s="68">
        <f ca="1">L59*('1.c Decrements'!F51+'1.c Decrements'!G51)</f>
        <v>0</v>
      </c>
      <c r="R58" s="68">
        <f ca="1">O58-L59*'1.c Decrements'!D51</f>
        <v>0</v>
      </c>
      <c r="S58" s="68" t="str">
        <f ca="1">IF(B59&lt;=$S$16,OFFSET('1.c Decrements'!$J$11,0,$S$16-B58),"")</f>
        <v/>
      </c>
      <c r="V58" s="69" t="str">
        <f t="shared" ca="1" si="20"/>
        <v/>
      </c>
      <c r="W58" s="70" t="str">
        <f t="shared" ca="1" si="21"/>
        <v/>
      </c>
      <c r="X58" s="95"/>
      <c r="Y58" s="96" t="str">
        <f ca="1">IF(V58="","",J58/'1.c PUC_Projection'!H57)</f>
        <v/>
      </c>
      <c r="Z58" s="96" t="str">
        <f t="shared" ca="1" si="22"/>
        <v/>
      </c>
      <c r="AA58" s="97" t="str">
        <f t="shared" ca="1" si="10"/>
        <v/>
      </c>
    </row>
    <row r="59" spans="2:27" ht="15" customHeight="1" x14ac:dyDescent="0.25">
      <c r="B59" s="57" t="str">
        <f t="shared" ca="1" si="11"/>
        <v/>
      </c>
      <c r="C59" s="71" t="str">
        <f t="shared" ca="1" si="12"/>
        <v/>
      </c>
      <c r="D59" s="72" t="str">
        <f t="shared" ca="1" si="13"/>
        <v/>
      </c>
      <c r="E59" s="73" t="str">
        <f t="shared" ca="1" si="14"/>
        <v/>
      </c>
      <c r="F59" s="62" t="str">
        <f t="shared" ca="1" si="23"/>
        <v/>
      </c>
      <c r="G59" s="62" t="str">
        <f t="shared" ca="1" si="23"/>
        <v/>
      </c>
      <c r="I59" s="94">
        <f t="shared" ca="1" si="17"/>
        <v>0</v>
      </c>
      <c r="J59" s="63" t="str">
        <f t="shared" ca="1" si="18"/>
        <v/>
      </c>
      <c r="K59" s="65">
        <f t="shared" ca="1" si="19"/>
        <v>0</v>
      </c>
      <c r="L59" s="64">
        <f t="shared" ca="1" si="8"/>
        <v>0</v>
      </c>
      <c r="M59" s="65">
        <f t="shared" ca="1" si="9"/>
        <v>0</v>
      </c>
      <c r="N59" s="66"/>
      <c r="O59" s="67">
        <f ca="1">IF($C59="",0,
K59*'1.c Decrements'!D52+(O58-P58-Q58)*(1+G58))</f>
        <v>0</v>
      </c>
      <c r="P59" s="68">
        <f ca="1">M59*'1.a Assumptions'!$C$13*'1.c Decrements'!E52</f>
        <v>0</v>
      </c>
      <c r="Q59" s="68">
        <f ca="1">L60*('1.c Decrements'!F52+'1.c Decrements'!G52)</f>
        <v>0</v>
      </c>
      <c r="R59" s="68">
        <f ca="1">O59-L60*'1.c Decrements'!D52</f>
        <v>0</v>
      </c>
      <c r="S59" s="68" t="str">
        <f ca="1">IF(B60&lt;=$S$16,OFFSET('1.c Decrements'!$J$11,0,$S$16-B59),"")</f>
        <v/>
      </c>
      <c r="V59" s="69" t="str">
        <f t="shared" ca="1" si="20"/>
        <v/>
      </c>
      <c r="W59" s="70" t="str">
        <f t="shared" ca="1" si="21"/>
        <v/>
      </c>
      <c r="X59" s="95"/>
      <c r="Y59" s="96" t="str">
        <f ca="1">IF(V59="","",J59/'1.c PUC_Projection'!H58)</f>
        <v/>
      </c>
      <c r="Z59" s="96" t="str">
        <f t="shared" ca="1" si="22"/>
        <v/>
      </c>
      <c r="AA59" s="97" t="str">
        <f t="shared" ca="1" si="10"/>
        <v/>
      </c>
    </row>
    <row r="60" spans="2:27" ht="15" customHeight="1" x14ac:dyDescent="0.25">
      <c r="B60" s="57" t="str">
        <f t="shared" ca="1" si="11"/>
        <v/>
      </c>
      <c r="C60" s="71" t="str">
        <f t="shared" ca="1" si="12"/>
        <v/>
      </c>
      <c r="D60" s="72" t="str">
        <f t="shared" ca="1" si="13"/>
        <v/>
      </c>
      <c r="E60" s="73" t="str">
        <f t="shared" ca="1" si="14"/>
        <v/>
      </c>
      <c r="F60" s="62" t="str">
        <f t="shared" ca="1" si="23"/>
        <v/>
      </c>
      <c r="G60" s="62" t="str">
        <f t="shared" ca="1" si="23"/>
        <v/>
      </c>
      <c r="I60" s="94">
        <f t="shared" ca="1" si="17"/>
        <v>0</v>
      </c>
      <c r="J60" s="63" t="str">
        <f t="shared" ca="1" si="18"/>
        <v/>
      </c>
      <c r="K60" s="65">
        <f t="shared" ca="1" si="19"/>
        <v>0</v>
      </c>
      <c r="L60" s="64">
        <f t="shared" ca="1" si="8"/>
        <v>0</v>
      </c>
      <c r="M60" s="65">
        <f t="shared" ca="1" si="9"/>
        <v>0</v>
      </c>
      <c r="N60" s="66"/>
      <c r="O60" s="67">
        <f ca="1">IF($C60="",0,
K60*'1.c Decrements'!D53+(O59-P59-Q59)*(1+G59))</f>
        <v>0</v>
      </c>
      <c r="P60" s="68">
        <f ca="1">M60*'1.a Assumptions'!$C$13*'1.c Decrements'!E53</f>
        <v>0</v>
      </c>
      <c r="Q60" s="68">
        <f ca="1">L61*('1.c Decrements'!F53+'1.c Decrements'!G53)</f>
        <v>0</v>
      </c>
      <c r="R60" s="68">
        <f ca="1">O60-L61*'1.c Decrements'!D53</f>
        <v>0</v>
      </c>
      <c r="S60" s="68" t="str">
        <f ca="1">IF(B61&lt;=$S$16,OFFSET('1.c Decrements'!$J$11,0,$S$16-B60),"")</f>
        <v/>
      </c>
      <c r="V60" s="69" t="str">
        <f t="shared" ca="1" si="20"/>
        <v/>
      </c>
      <c r="W60" s="70" t="str">
        <f t="shared" ca="1" si="21"/>
        <v/>
      </c>
      <c r="X60" s="95"/>
      <c r="Y60" s="96" t="str">
        <f ca="1">IF(V60="","",J60/'1.c PUC_Projection'!H59)</f>
        <v/>
      </c>
      <c r="Z60" s="96" t="str">
        <f t="shared" ca="1" si="22"/>
        <v/>
      </c>
      <c r="AA60" s="97" t="str">
        <f t="shared" ca="1" si="10"/>
        <v/>
      </c>
    </row>
    <row r="61" spans="2:27" ht="15" customHeight="1" x14ac:dyDescent="0.25">
      <c r="B61" s="57" t="str">
        <f t="shared" ca="1" si="11"/>
        <v/>
      </c>
      <c r="C61" s="71" t="str">
        <f t="shared" ca="1" si="12"/>
        <v/>
      </c>
      <c r="D61" s="72" t="str">
        <f t="shared" ca="1" si="13"/>
        <v/>
      </c>
      <c r="E61" s="73" t="str">
        <f t="shared" ca="1" si="14"/>
        <v/>
      </c>
      <c r="F61" s="62" t="str">
        <f t="shared" ca="1" si="23"/>
        <v/>
      </c>
      <c r="G61" s="62" t="str">
        <f t="shared" ca="1" si="23"/>
        <v/>
      </c>
      <c r="I61" s="94">
        <f t="shared" ca="1" si="17"/>
        <v>0</v>
      </c>
      <c r="J61" s="63" t="str">
        <f t="shared" ca="1" si="18"/>
        <v/>
      </c>
      <c r="K61" s="65">
        <f t="shared" ca="1" si="19"/>
        <v>0</v>
      </c>
      <c r="L61" s="64">
        <f t="shared" ca="1" si="8"/>
        <v>0</v>
      </c>
      <c r="M61" s="65">
        <f t="shared" ca="1" si="9"/>
        <v>0</v>
      </c>
      <c r="N61" s="66"/>
      <c r="O61" s="67">
        <f ca="1">IF($C61="",0,
K61*'1.c Decrements'!D54+(O60-P60-Q60)*(1+G60))</f>
        <v>0</v>
      </c>
      <c r="P61" s="68">
        <f ca="1">M61*'1.a Assumptions'!$C$13*'1.c Decrements'!E54</f>
        <v>0</v>
      </c>
      <c r="Q61" s="68">
        <f ca="1">L62*('1.c Decrements'!F54+'1.c Decrements'!G54)</f>
        <v>0</v>
      </c>
      <c r="R61" s="68">
        <f ca="1">O61-L62*'1.c Decrements'!D54</f>
        <v>0</v>
      </c>
      <c r="S61" s="68" t="str">
        <f ca="1">IF(B62&lt;=$S$16,OFFSET('1.c Decrements'!$J$11,0,$S$16-B61),"")</f>
        <v/>
      </c>
      <c r="V61" s="69" t="str">
        <f t="shared" ca="1" si="20"/>
        <v/>
      </c>
      <c r="W61" s="70" t="str">
        <f t="shared" ca="1" si="21"/>
        <v/>
      </c>
      <c r="X61" s="95"/>
      <c r="Y61" s="96" t="str">
        <f ca="1">IF(V61="","",J61/'1.c PUC_Projection'!H60)</f>
        <v/>
      </c>
      <c r="Z61" s="96" t="str">
        <f t="shared" ca="1" si="22"/>
        <v/>
      </c>
      <c r="AA61" s="97" t="str">
        <f t="shared" ca="1" si="10"/>
        <v/>
      </c>
    </row>
    <row r="62" spans="2:27" ht="15" customHeight="1" x14ac:dyDescent="0.25">
      <c r="B62" s="57" t="str">
        <f t="shared" ca="1" si="11"/>
        <v/>
      </c>
      <c r="C62" s="71" t="str">
        <f t="shared" ca="1" si="12"/>
        <v/>
      </c>
      <c r="D62" s="72" t="str">
        <f t="shared" ca="1" si="13"/>
        <v/>
      </c>
      <c r="E62" s="73" t="str">
        <f t="shared" ca="1" si="14"/>
        <v/>
      </c>
      <c r="F62" s="62" t="str">
        <f t="shared" ca="1" si="23"/>
        <v/>
      </c>
      <c r="G62" s="62" t="str">
        <f t="shared" ca="1" si="23"/>
        <v/>
      </c>
      <c r="I62" s="94">
        <f t="shared" ca="1" si="17"/>
        <v>0</v>
      </c>
      <c r="J62" s="63" t="str">
        <f t="shared" ca="1" si="18"/>
        <v/>
      </c>
      <c r="K62" s="65">
        <f t="shared" ca="1" si="19"/>
        <v>0</v>
      </c>
      <c r="L62" s="64">
        <f t="shared" ca="1" si="8"/>
        <v>0</v>
      </c>
      <c r="M62" s="65">
        <f t="shared" ca="1" si="9"/>
        <v>0</v>
      </c>
      <c r="N62" s="66"/>
      <c r="O62" s="67">
        <f ca="1">IF($C62="",0,
K62*'1.c Decrements'!D55+(O61-P61-Q61)*(1+G61))</f>
        <v>0</v>
      </c>
      <c r="P62" s="68">
        <f ca="1">M62*'1.a Assumptions'!$C$13*'1.c Decrements'!E55</f>
        <v>0</v>
      </c>
      <c r="Q62" s="68">
        <f ca="1">L63*('1.c Decrements'!F55+'1.c Decrements'!G55)</f>
        <v>0</v>
      </c>
      <c r="R62" s="68">
        <f ca="1">O62-L63*'1.c Decrements'!D55</f>
        <v>0</v>
      </c>
      <c r="S62" s="68" t="str">
        <f ca="1">IF(B63&lt;=$S$16,OFFSET('1.c Decrements'!$J$11,0,$S$16-B62),"")</f>
        <v/>
      </c>
      <c r="V62" s="69" t="str">
        <f t="shared" ca="1" si="20"/>
        <v/>
      </c>
      <c r="W62" s="70" t="str">
        <f t="shared" ca="1" si="21"/>
        <v/>
      </c>
      <c r="X62" s="95"/>
      <c r="Y62" s="96" t="str">
        <f ca="1">IF(V62="","",J62/'1.c PUC_Projection'!H61)</f>
        <v/>
      </c>
      <c r="Z62" s="96" t="str">
        <f t="shared" ca="1" si="22"/>
        <v/>
      </c>
      <c r="AA62" s="97" t="str">
        <f t="shared" ca="1" si="10"/>
        <v/>
      </c>
    </row>
    <row r="63" spans="2:27" ht="15" customHeight="1" x14ac:dyDescent="0.25">
      <c r="B63" s="57" t="str">
        <f t="shared" ca="1" si="11"/>
        <v/>
      </c>
      <c r="C63" s="71" t="str">
        <f t="shared" ca="1" si="12"/>
        <v/>
      </c>
      <c r="D63" s="72" t="str">
        <f t="shared" ca="1" si="13"/>
        <v/>
      </c>
      <c r="E63" s="73" t="str">
        <f t="shared" ca="1" si="14"/>
        <v/>
      </c>
      <c r="F63" s="62" t="str">
        <f t="shared" ca="1" si="23"/>
        <v/>
      </c>
      <c r="G63" s="62" t="str">
        <f t="shared" ca="1" si="23"/>
        <v/>
      </c>
      <c r="I63" s="94">
        <f t="shared" ca="1" si="17"/>
        <v>0</v>
      </c>
      <c r="J63" s="63" t="str">
        <f t="shared" ca="1" si="18"/>
        <v/>
      </c>
      <c r="K63" s="65">
        <f t="shared" ca="1" si="19"/>
        <v>0</v>
      </c>
      <c r="L63" s="64">
        <f t="shared" ca="1" si="8"/>
        <v>0</v>
      </c>
      <c r="M63" s="65">
        <f t="shared" ca="1" si="9"/>
        <v>0</v>
      </c>
      <c r="N63" s="66"/>
      <c r="O63" s="67">
        <f ca="1">IF($C63="",0,
K63*'1.c Decrements'!D56+(O62-P62-Q62)*(1+G62))</f>
        <v>0</v>
      </c>
      <c r="P63" s="68">
        <f ca="1">M63*'1.a Assumptions'!$C$13*'1.c Decrements'!E56</f>
        <v>0</v>
      </c>
      <c r="Q63" s="68">
        <f ca="1">L64*('1.c Decrements'!F56+'1.c Decrements'!G56)</f>
        <v>0</v>
      </c>
      <c r="R63" s="68">
        <f ca="1">O63-L64*'1.c Decrements'!D56</f>
        <v>0</v>
      </c>
      <c r="S63" s="68" t="str">
        <f ca="1">IF(B64&lt;=$S$16,OFFSET('1.c Decrements'!$J$11,0,$S$16-B63),"")</f>
        <v/>
      </c>
      <c r="V63" s="69" t="str">
        <f t="shared" ca="1" si="20"/>
        <v/>
      </c>
      <c r="W63" s="70" t="str">
        <f t="shared" ca="1" si="21"/>
        <v/>
      </c>
      <c r="X63" s="95"/>
      <c r="Y63" s="96" t="str">
        <f ca="1">IF(V63="","",J63/'1.c PUC_Projection'!H62)</f>
        <v/>
      </c>
      <c r="Z63" s="96" t="str">
        <f t="shared" ca="1" si="22"/>
        <v/>
      </c>
      <c r="AA63" s="97" t="str">
        <f t="shared" ca="1" si="10"/>
        <v/>
      </c>
    </row>
    <row r="64" spans="2:27" ht="15" customHeight="1" x14ac:dyDescent="0.25">
      <c r="B64" s="57" t="str">
        <f t="shared" ca="1" si="11"/>
        <v/>
      </c>
      <c r="C64" s="71" t="str">
        <f t="shared" ca="1" si="12"/>
        <v/>
      </c>
      <c r="D64" s="72" t="str">
        <f t="shared" ca="1" si="13"/>
        <v/>
      </c>
      <c r="E64" s="73" t="str">
        <f t="shared" ca="1" si="14"/>
        <v/>
      </c>
      <c r="F64" s="62" t="str">
        <f t="shared" ca="1" si="23"/>
        <v/>
      </c>
      <c r="G64" s="62" t="str">
        <f t="shared" ca="1" si="23"/>
        <v/>
      </c>
      <c r="I64" s="94">
        <f t="shared" ca="1" si="17"/>
        <v>0</v>
      </c>
      <c r="J64" s="63" t="str">
        <f t="shared" ca="1" si="18"/>
        <v/>
      </c>
      <c r="K64" s="65">
        <f t="shared" ca="1" si="19"/>
        <v>0</v>
      </c>
      <c r="L64" s="64">
        <f t="shared" ca="1" si="8"/>
        <v>0</v>
      </c>
      <c r="M64" s="65">
        <f t="shared" ca="1" si="9"/>
        <v>0</v>
      </c>
      <c r="N64" s="66"/>
      <c r="O64" s="67">
        <f ca="1">IF($C64="",0,
K64*'1.c Decrements'!D57+(O63-P63-Q63)*(1+G63))</f>
        <v>0</v>
      </c>
      <c r="P64" s="68">
        <f ca="1">M64*'1.a Assumptions'!$C$13*'1.c Decrements'!E57</f>
        <v>0</v>
      </c>
      <c r="Q64" s="68">
        <f ca="1">L65*('1.c Decrements'!F57+'1.c Decrements'!G57)</f>
        <v>0</v>
      </c>
      <c r="R64" s="68">
        <f ca="1">O64-L65*'1.c Decrements'!D57</f>
        <v>0</v>
      </c>
      <c r="S64" s="68" t="str">
        <f ca="1">IF(B65&lt;=$S$16,OFFSET('1.c Decrements'!$J$11,0,$S$16-B64),"")</f>
        <v/>
      </c>
      <c r="V64" s="69" t="str">
        <f t="shared" ca="1" si="20"/>
        <v/>
      </c>
      <c r="W64" s="70" t="str">
        <f t="shared" ca="1" si="21"/>
        <v/>
      </c>
      <c r="X64" s="95"/>
      <c r="Y64" s="96" t="str">
        <f ca="1">IF(V64="","",J64/'1.c PUC_Projection'!H63)</f>
        <v/>
      </c>
      <c r="Z64" s="96" t="str">
        <f t="shared" ca="1" si="22"/>
        <v/>
      </c>
      <c r="AA64" s="97" t="str">
        <f t="shared" ca="1" si="10"/>
        <v/>
      </c>
    </row>
    <row r="65" spans="2:27" ht="15" customHeight="1" x14ac:dyDescent="0.25">
      <c r="B65" s="57" t="str">
        <f t="shared" ca="1" si="11"/>
        <v/>
      </c>
      <c r="C65" s="71" t="str">
        <f t="shared" ca="1" si="12"/>
        <v/>
      </c>
      <c r="D65" s="72" t="str">
        <f t="shared" ca="1" si="13"/>
        <v/>
      </c>
      <c r="E65" s="73" t="str">
        <f t="shared" ca="1" si="14"/>
        <v/>
      </c>
      <c r="F65" s="62" t="str">
        <f t="shared" ca="1" si="23"/>
        <v/>
      </c>
      <c r="G65" s="62" t="str">
        <f t="shared" ca="1" si="23"/>
        <v/>
      </c>
      <c r="I65" s="94">
        <f t="shared" ca="1" si="17"/>
        <v>0</v>
      </c>
      <c r="J65" s="63" t="str">
        <f t="shared" ca="1" si="18"/>
        <v/>
      </c>
      <c r="K65" s="65">
        <f t="shared" ca="1" si="19"/>
        <v>0</v>
      </c>
      <c r="L65" s="64">
        <f t="shared" ca="1" si="8"/>
        <v>0</v>
      </c>
      <c r="M65" s="65">
        <f t="shared" ca="1" si="9"/>
        <v>0</v>
      </c>
      <c r="N65" s="66"/>
      <c r="O65" s="67">
        <f ca="1">IF($C65="",0,
K65*'1.c Decrements'!D58+(O64-P64-Q64)*(1+G64))</f>
        <v>0</v>
      </c>
      <c r="P65" s="68">
        <f ca="1">M65*'1.a Assumptions'!$C$13*'1.c Decrements'!E58</f>
        <v>0</v>
      </c>
      <c r="Q65" s="68">
        <f ca="1">L66*('1.c Decrements'!F58+'1.c Decrements'!G58)</f>
        <v>0</v>
      </c>
      <c r="R65" s="68">
        <f ca="1">O65-L66*'1.c Decrements'!D58</f>
        <v>0</v>
      </c>
      <c r="S65" s="68" t="str">
        <f ca="1">IF(B66&lt;=$S$16,OFFSET('1.c Decrements'!$J$11,0,$S$16-B65),"")</f>
        <v/>
      </c>
      <c r="V65" s="69" t="str">
        <f t="shared" ca="1" si="20"/>
        <v/>
      </c>
      <c r="W65" s="70" t="str">
        <f t="shared" ca="1" si="21"/>
        <v/>
      </c>
      <c r="X65" s="95"/>
      <c r="Y65" s="96" t="str">
        <f ca="1">IF(V65="","",J65/'1.c PUC_Projection'!H64)</f>
        <v/>
      </c>
      <c r="Z65" s="96" t="str">
        <f t="shared" ca="1" si="22"/>
        <v/>
      </c>
      <c r="AA65" s="97" t="str">
        <f t="shared" ca="1" si="10"/>
        <v/>
      </c>
    </row>
    <row r="66" spans="2:27" ht="15" customHeight="1" x14ac:dyDescent="0.25">
      <c r="B66" s="57" t="str">
        <f t="shared" ca="1" si="11"/>
        <v/>
      </c>
      <c r="C66" s="71" t="str">
        <f t="shared" ca="1" si="12"/>
        <v/>
      </c>
      <c r="D66" s="72" t="str">
        <f t="shared" ca="1" si="13"/>
        <v/>
      </c>
      <c r="E66" s="73" t="str">
        <f t="shared" ca="1" si="14"/>
        <v/>
      </c>
      <c r="F66" s="62" t="str">
        <f t="shared" ca="1" si="23"/>
        <v/>
      </c>
      <c r="G66" s="62" t="str">
        <f t="shared" ca="1" si="23"/>
        <v/>
      </c>
      <c r="I66" s="94">
        <f t="shared" ca="1" si="17"/>
        <v>0</v>
      </c>
      <c r="J66" s="63" t="str">
        <f t="shared" ca="1" si="18"/>
        <v/>
      </c>
      <c r="K66" s="65">
        <f t="shared" ca="1" si="19"/>
        <v>0</v>
      </c>
      <c r="L66" s="64">
        <f t="shared" ca="1" si="8"/>
        <v>0</v>
      </c>
      <c r="M66" s="65">
        <f t="shared" ca="1" si="9"/>
        <v>0</v>
      </c>
      <c r="N66" s="66"/>
      <c r="O66" s="67">
        <f ca="1">IF($C66="",0,
K66*'1.c Decrements'!D59+(O65-P65-Q65)*(1+G65))</f>
        <v>0</v>
      </c>
      <c r="P66" s="68">
        <f ca="1">M66*'1.a Assumptions'!$C$13*'1.c Decrements'!E59</f>
        <v>0</v>
      </c>
      <c r="Q66" s="68">
        <f ca="1">L67*('1.c Decrements'!F59+'1.c Decrements'!G59)</f>
        <v>0</v>
      </c>
      <c r="R66" s="68">
        <f ca="1">O66-L67*'1.c Decrements'!D59</f>
        <v>0</v>
      </c>
      <c r="S66" s="68" t="str">
        <f ca="1">IF(B67&lt;=$S$16,OFFSET('1.c Decrements'!$J$11,0,$S$16-B66),"")</f>
        <v/>
      </c>
      <c r="V66" s="69" t="str">
        <f t="shared" ca="1" si="20"/>
        <v/>
      </c>
      <c r="W66" s="70" t="str">
        <f t="shared" ca="1" si="21"/>
        <v/>
      </c>
      <c r="X66" s="95"/>
      <c r="Y66" s="96" t="str">
        <f ca="1">IF(V66="","",J66/'1.c PUC_Projection'!H65)</f>
        <v/>
      </c>
      <c r="Z66" s="96" t="str">
        <f t="shared" ca="1" si="22"/>
        <v/>
      </c>
      <c r="AA66" s="97" t="str">
        <f t="shared" ca="1" si="10"/>
        <v/>
      </c>
    </row>
    <row r="67" spans="2:27" ht="15" customHeight="1" x14ac:dyDescent="0.25">
      <c r="B67" s="57" t="str">
        <f t="shared" ca="1" si="11"/>
        <v/>
      </c>
      <c r="C67" s="71" t="str">
        <f t="shared" ca="1" si="12"/>
        <v/>
      </c>
      <c r="D67" s="72" t="str">
        <f t="shared" ca="1" si="13"/>
        <v/>
      </c>
      <c r="E67" s="73" t="str">
        <f t="shared" ca="1" si="14"/>
        <v/>
      </c>
      <c r="F67" s="62" t="str">
        <f t="shared" ca="1" si="23"/>
        <v/>
      </c>
      <c r="G67" s="62" t="str">
        <f t="shared" ca="1" si="23"/>
        <v/>
      </c>
      <c r="I67" s="94">
        <f t="shared" ca="1" si="17"/>
        <v>0</v>
      </c>
      <c r="J67" s="63" t="str">
        <f t="shared" ca="1" si="18"/>
        <v/>
      </c>
      <c r="K67" s="65">
        <f t="shared" ca="1" si="19"/>
        <v>0</v>
      </c>
      <c r="L67" s="64">
        <f t="shared" ca="1" si="8"/>
        <v>0</v>
      </c>
      <c r="M67" s="65">
        <f t="shared" ca="1" si="9"/>
        <v>0</v>
      </c>
      <c r="N67" s="66"/>
      <c r="O67" s="67">
        <f ca="1">IF($C67="",0,
K67*'1.c Decrements'!D60+(O66-P66-Q66)*(1+G66))</f>
        <v>0</v>
      </c>
      <c r="P67" s="68">
        <f ca="1">M67*'1.a Assumptions'!$C$13*'1.c Decrements'!E60</f>
        <v>0</v>
      </c>
      <c r="Q67" s="68">
        <f ca="1">L68*('1.c Decrements'!F60+'1.c Decrements'!G60)</f>
        <v>0</v>
      </c>
      <c r="R67" s="68">
        <f ca="1">O67-L68*'1.c Decrements'!D60</f>
        <v>0</v>
      </c>
      <c r="S67" s="68" t="str">
        <f ca="1">IF(B68&lt;=$S$16,OFFSET('1.c Decrements'!$J$11,0,$S$16-B67),"")</f>
        <v/>
      </c>
      <c r="V67" s="69" t="str">
        <f t="shared" ca="1" si="20"/>
        <v/>
      </c>
      <c r="W67" s="70" t="str">
        <f t="shared" ca="1" si="21"/>
        <v/>
      </c>
      <c r="X67" s="95"/>
      <c r="Y67" s="96" t="str">
        <f ca="1">IF(V67="","",J67/'1.c PUC_Projection'!H66)</f>
        <v/>
      </c>
      <c r="Z67" s="96" t="str">
        <f t="shared" ca="1" si="22"/>
        <v/>
      </c>
      <c r="AA67" s="97" t="str">
        <f t="shared" ca="1" si="10"/>
        <v/>
      </c>
    </row>
    <row r="68" spans="2:27" ht="15" customHeight="1" x14ac:dyDescent="0.25">
      <c r="B68" s="57" t="str">
        <f t="shared" ca="1" si="11"/>
        <v/>
      </c>
      <c r="C68" s="71" t="str">
        <f t="shared" ca="1" si="12"/>
        <v/>
      </c>
      <c r="D68" s="72" t="str">
        <f t="shared" ca="1" si="13"/>
        <v/>
      </c>
      <c r="E68" s="73" t="str">
        <f t="shared" ca="1" si="14"/>
        <v/>
      </c>
      <c r="F68" s="62" t="str">
        <f t="shared" ref="F68:G83" ca="1" si="24">IF($C68="","",F67)</f>
        <v/>
      </c>
      <c r="G68" s="62" t="str">
        <f t="shared" ca="1" si="24"/>
        <v/>
      </c>
      <c r="I68" s="94">
        <f t="shared" ca="1" si="17"/>
        <v>0</v>
      </c>
      <c r="J68" s="63" t="str">
        <f t="shared" ca="1" si="18"/>
        <v/>
      </c>
      <c r="K68" s="65">
        <f t="shared" ca="1" si="19"/>
        <v>0</v>
      </c>
      <c r="L68" s="64">
        <f t="shared" ca="1" si="8"/>
        <v>0</v>
      </c>
      <c r="M68" s="65">
        <f t="shared" ca="1" si="9"/>
        <v>0</v>
      </c>
      <c r="N68" s="66"/>
      <c r="O68" s="67">
        <f ca="1">IF($C68="",0,
K68*'1.c Decrements'!D61+(O67-P67-Q67)*(1+G67))</f>
        <v>0</v>
      </c>
      <c r="P68" s="68">
        <f ca="1">M68*'1.a Assumptions'!$C$13*'1.c Decrements'!E61</f>
        <v>0</v>
      </c>
      <c r="Q68" s="68">
        <f ca="1">L69*('1.c Decrements'!F61+'1.c Decrements'!G61)</f>
        <v>0</v>
      </c>
      <c r="R68" s="68">
        <f ca="1">O68-L69*'1.c Decrements'!D61</f>
        <v>0</v>
      </c>
      <c r="S68" s="68" t="str">
        <f ca="1">IF(B69&lt;=$S$16,OFFSET('1.c Decrements'!$J$11,0,$S$16-B68),"")</f>
        <v/>
      </c>
      <c r="V68" s="69" t="str">
        <f t="shared" ca="1" si="20"/>
        <v/>
      </c>
      <c r="W68" s="70" t="str">
        <f t="shared" ca="1" si="21"/>
        <v/>
      </c>
      <c r="X68" s="95"/>
      <c r="Y68" s="96" t="str">
        <f ca="1">IF(V68="","",J68/'1.c PUC_Projection'!H67)</f>
        <v/>
      </c>
      <c r="Z68" s="96" t="str">
        <f t="shared" ca="1" si="22"/>
        <v/>
      </c>
      <c r="AA68" s="97" t="str">
        <f t="shared" ca="1" si="10"/>
        <v/>
      </c>
    </row>
    <row r="69" spans="2:27" ht="15" customHeight="1" x14ac:dyDescent="0.25">
      <c r="B69" s="57" t="str">
        <f t="shared" ca="1" si="11"/>
        <v/>
      </c>
      <c r="C69" s="71" t="str">
        <f t="shared" ca="1" si="12"/>
        <v/>
      </c>
      <c r="D69" s="72" t="str">
        <f t="shared" ca="1" si="13"/>
        <v/>
      </c>
      <c r="E69" s="73" t="str">
        <f t="shared" ca="1" si="14"/>
        <v/>
      </c>
      <c r="F69" s="62" t="str">
        <f t="shared" ca="1" si="24"/>
        <v/>
      </c>
      <c r="G69" s="62" t="str">
        <f t="shared" ca="1" si="24"/>
        <v/>
      </c>
      <c r="I69" s="94">
        <f t="shared" ca="1" si="17"/>
        <v>0</v>
      </c>
      <c r="J69" s="63" t="str">
        <f t="shared" ca="1" si="18"/>
        <v/>
      </c>
      <c r="K69" s="65">
        <f t="shared" ca="1" si="19"/>
        <v>0</v>
      </c>
      <c r="L69" s="64">
        <f t="shared" ca="1" si="8"/>
        <v>0</v>
      </c>
      <c r="M69" s="65">
        <f t="shared" ca="1" si="9"/>
        <v>0</v>
      </c>
      <c r="N69" s="66"/>
      <c r="O69" s="67">
        <f ca="1">IF($C69="",0,
K69*'1.c Decrements'!D62+(O68-P68-Q68)*(1+G68))</f>
        <v>0</v>
      </c>
      <c r="P69" s="68">
        <f ca="1">M69*'1.a Assumptions'!$C$13*'1.c Decrements'!E62</f>
        <v>0</v>
      </c>
      <c r="Q69" s="68">
        <f ca="1">L70*('1.c Decrements'!F62+'1.c Decrements'!G62)</f>
        <v>0</v>
      </c>
      <c r="R69" s="68">
        <f ca="1">O69-L70*'1.c Decrements'!D62</f>
        <v>0</v>
      </c>
      <c r="S69" s="68" t="str">
        <f ca="1">IF(B70&lt;=$S$16,OFFSET('1.c Decrements'!$J$11,0,$S$16-B69),"")</f>
        <v/>
      </c>
      <c r="V69" s="69" t="str">
        <f t="shared" ca="1" si="20"/>
        <v/>
      </c>
      <c r="W69" s="70" t="str">
        <f t="shared" ca="1" si="21"/>
        <v/>
      </c>
      <c r="X69" s="95"/>
      <c r="Y69" s="96" t="str">
        <f ca="1">IF(V69="","",J69/'1.c PUC_Projection'!H68)</f>
        <v/>
      </c>
      <c r="Z69" s="96" t="str">
        <f t="shared" ca="1" si="22"/>
        <v/>
      </c>
      <c r="AA69" s="97" t="str">
        <f t="shared" ca="1" si="10"/>
        <v/>
      </c>
    </row>
    <row r="70" spans="2:27" ht="15" customHeight="1" x14ac:dyDescent="0.25">
      <c r="B70" s="57" t="str">
        <f t="shared" ca="1" si="11"/>
        <v/>
      </c>
      <c r="C70" s="71" t="str">
        <f t="shared" ca="1" si="12"/>
        <v/>
      </c>
      <c r="D70" s="72" t="str">
        <f t="shared" ca="1" si="13"/>
        <v/>
      </c>
      <c r="E70" s="73" t="str">
        <f t="shared" ca="1" si="14"/>
        <v/>
      </c>
      <c r="F70" s="62" t="str">
        <f t="shared" ca="1" si="24"/>
        <v/>
      </c>
      <c r="G70" s="62" t="str">
        <f t="shared" ca="1" si="24"/>
        <v/>
      </c>
      <c r="I70" s="94">
        <f t="shared" ca="1" si="17"/>
        <v>0</v>
      </c>
      <c r="J70" s="63" t="str">
        <f t="shared" ca="1" si="18"/>
        <v/>
      </c>
      <c r="K70" s="65">
        <f t="shared" ca="1" si="19"/>
        <v>0</v>
      </c>
      <c r="L70" s="64">
        <f t="shared" ca="1" si="8"/>
        <v>0</v>
      </c>
      <c r="M70" s="65">
        <f t="shared" ca="1" si="9"/>
        <v>0</v>
      </c>
      <c r="N70" s="66"/>
      <c r="O70" s="67">
        <f ca="1">IF($C70="",0,
K70*'1.c Decrements'!D63+(O69-P69-Q69)*(1+G69))</f>
        <v>0</v>
      </c>
      <c r="P70" s="68">
        <f ca="1">M70*'1.a Assumptions'!$C$13*'1.c Decrements'!E63</f>
        <v>0</v>
      </c>
      <c r="Q70" s="68">
        <f ca="1">L71*('1.c Decrements'!F63+'1.c Decrements'!G63)</f>
        <v>0</v>
      </c>
      <c r="R70" s="68">
        <f ca="1">O70-L71*'1.c Decrements'!D63</f>
        <v>0</v>
      </c>
      <c r="S70" s="68" t="str">
        <f ca="1">IF(B71&lt;=$S$16,OFFSET('1.c Decrements'!$J$11,0,$S$16-B70),"")</f>
        <v/>
      </c>
      <c r="V70" s="69" t="str">
        <f t="shared" ca="1" si="20"/>
        <v/>
      </c>
      <c r="W70" s="70" t="str">
        <f t="shared" ca="1" si="21"/>
        <v/>
      </c>
      <c r="X70" s="95"/>
      <c r="Y70" s="96" t="str">
        <f ca="1">IF(V70="","",J70/'1.c PUC_Projection'!H69)</f>
        <v/>
      </c>
      <c r="Z70" s="96" t="str">
        <f t="shared" ca="1" si="22"/>
        <v/>
      </c>
      <c r="AA70" s="97" t="str">
        <f t="shared" ca="1" si="10"/>
        <v/>
      </c>
    </row>
    <row r="71" spans="2:27" ht="15" customHeight="1" x14ac:dyDescent="0.25">
      <c r="B71" s="57" t="str">
        <f t="shared" ca="1" si="11"/>
        <v/>
      </c>
      <c r="C71" s="71" t="str">
        <f t="shared" ca="1" si="12"/>
        <v/>
      </c>
      <c r="D71" s="72" t="str">
        <f t="shared" ca="1" si="13"/>
        <v/>
      </c>
      <c r="E71" s="73" t="str">
        <f t="shared" ca="1" si="14"/>
        <v/>
      </c>
      <c r="F71" s="62" t="str">
        <f t="shared" ca="1" si="24"/>
        <v/>
      </c>
      <c r="G71" s="62" t="str">
        <f t="shared" ca="1" si="24"/>
        <v/>
      </c>
      <c r="I71" s="94">
        <f t="shared" ca="1" si="17"/>
        <v>0</v>
      </c>
      <c r="J71" s="63" t="str">
        <f t="shared" ca="1" si="18"/>
        <v/>
      </c>
      <c r="K71" s="65">
        <f t="shared" ca="1" si="19"/>
        <v>0</v>
      </c>
      <c r="L71" s="64">
        <f t="shared" ca="1" si="8"/>
        <v>0</v>
      </c>
      <c r="M71" s="65">
        <f t="shared" ca="1" si="9"/>
        <v>0</v>
      </c>
      <c r="N71" s="66"/>
      <c r="O71" s="67">
        <f ca="1">IF($C71="",0,
K71*'1.c Decrements'!D64+(O70-P70-Q70)*(1+G70))</f>
        <v>0</v>
      </c>
      <c r="P71" s="68">
        <f ca="1">M71*'1.a Assumptions'!$C$13*'1.c Decrements'!E64</f>
        <v>0</v>
      </c>
      <c r="Q71" s="68">
        <f ca="1">L72*('1.c Decrements'!F64+'1.c Decrements'!G64)</f>
        <v>0</v>
      </c>
      <c r="R71" s="68">
        <f ca="1">O71-L72*'1.c Decrements'!D64</f>
        <v>0</v>
      </c>
      <c r="S71" s="68" t="str">
        <f ca="1">IF(B72&lt;=$S$16,OFFSET('1.c Decrements'!$J$11,0,$S$16-B71),"")</f>
        <v/>
      </c>
      <c r="V71" s="69" t="str">
        <f t="shared" ca="1" si="20"/>
        <v/>
      </c>
      <c r="W71" s="70" t="str">
        <f t="shared" ca="1" si="21"/>
        <v/>
      </c>
      <c r="X71" s="95"/>
      <c r="Y71" s="96" t="str">
        <f ca="1">IF(V71="","",J71/'1.c PUC_Projection'!H70)</f>
        <v/>
      </c>
      <c r="Z71" s="96" t="str">
        <f t="shared" ca="1" si="22"/>
        <v/>
      </c>
      <c r="AA71" s="97" t="str">
        <f t="shared" ca="1" si="10"/>
        <v/>
      </c>
    </row>
    <row r="72" spans="2:27" ht="15" customHeight="1" x14ac:dyDescent="0.25">
      <c r="B72" s="57" t="str">
        <f t="shared" ca="1" si="11"/>
        <v/>
      </c>
      <c r="C72" s="71" t="str">
        <f t="shared" ca="1" si="12"/>
        <v/>
      </c>
      <c r="D72" s="72" t="str">
        <f t="shared" ca="1" si="13"/>
        <v/>
      </c>
      <c r="E72" s="73" t="str">
        <f t="shared" ca="1" si="14"/>
        <v/>
      </c>
      <c r="F72" s="62" t="str">
        <f t="shared" ca="1" si="24"/>
        <v/>
      </c>
      <c r="G72" s="62" t="str">
        <f t="shared" ca="1" si="24"/>
        <v/>
      </c>
      <c r="I72" s="94">
        <f t="shared" ca="1" si="17"/>
        <v>0</v>
      </c>
      <c r="J72" s="63" t="str">
        <f t="shared" ca="1" si="18"/>
        <v/>
      </c>
      <c r="K72" s="65">
        <f t="shared" ca="1" si="19"/>
        <v>0</v>
      </c>
      <c r="L72" s="64">
        <f t="shared" ca="1" si="8"/>
        <v>0</v>
      </c>
      <c r="M72" s="65">
        <f t="shared" ca="1" si="9"/>
        <v>0</v>
      </c>
      <c r="N72" s="66"/>
      <c r="O72" s="67">
        <f ca="1">IF($C72="",0,
K72*'1.c Decrements'!D65+(O71-P71-Q71)*(1+G71))</f>
        <v>0</v>
      </c>
      <c r="P72" s="68">
        <f ca="1">M72*'1.a Assumptions'!$C$13*'1.c Decrements'!E65</f>
        <v>0</v>
      </c>
      <c r="Q72" s="68">
        <f ca="1">L73*('1.c Decrements'!F65+'1.c Decrements'!G65)</f>
        <v>0</v>
      </c>
      <c r="R72" s="68">
        <f ca="1">O72-L73*'1.c Decrements'!D65</f>
        <v>0</v>
      </c>
      <c r="S72" s="68" t="str">
        <f ca="1">IF(B73&lt;=$S$16,OFFSET('1.c Decrements'!$J$11,0,$S$16-B72),"")</f>
        <v/>
      </c>
      <c r="V72" s="69" t="str">
        <f t="shared" ca="1" si="20"/>
        <v/>
      </c>
      <c r="W72" s="70" t="str">
        <f t="shared" ca="1" si="21"/>
        <v/>
      </c>
      <c r="X72" s="95"/>
      <c r="Y72" s="96" t="str">
        <f ca="1">IF(V72="","",J72/'1.c PUC_Projection'!H71)</f>
        <v/>
      </c>
      <c r="Z72" s="96" t="str">
        <f t="shared" ca="1" si="22"/>
        <v/>
      </c>
      <c r="AA72" s="97" t="str">
        <f t="shared" ca="1" si="10"/>
        <v/>
      </c>
    </row>
    <row r="73" spans="2:27" ht="15" customHeight="1" x14ac:dyDescent="0.25">
      <c r="B73" s="57" t="str">
        <f t="shared" ca="1" si="11"/>
        <v/>
      </c>
      <c r="C73" s="71" t="str">
        <f t="shared" ca="1" si="12"/>
        <v/>
      </c>
      <c r="D73" s="72" t="str">
        <f t="shared" ca="1" si="13"/>
        <v/>
      </c>
      <c r="E73" s="73" t="str">
        <f t="shared" ca="1" si="14"/>
        <v/>
      </c>
      <c r="F73" s="62" t="str">
        <f t="shared" ca="1" si="24"/>
        <v/>
      </c>
      <c r="G73" s="62" t="str">
        <f t="shared" ca="1" si="24"/>
        <v/>
      </c>
      <c r="I73" s="94">
        <f t="shared" ca="1" si="17"/>
        <v>0</v>
      </c>
      <c r="J73" s="63" t="str">
        <f t="shared" ca="1" si="18"/>
        <v/>
      </c>
      <c r="K73" s="65">
        <f t="shared" ca="1" si="19"/>
        <v>0</v>
      </c>
      <c r="L73" s="64">
        <f t="shared" ca="1" si="8"/>
        <v>0</v>
      </c>
      <c r="M73" s="65">
        <f t="shared" ca="1" si="9"/>
        <v>0</v>
      </c>
      <c r="N73" s="66"/>
      <c r="O73" s="67">
        <f ca="1">IF($C73="",0,
K73*'1.c Decrements'!D66+(O72-P72-Q72)*(1+G72))</f>
        <v>0</v>
      </c>
      <c r="P73" s="68">
        <f ca="1">M73*'1.a Assumptions'!$C$13*'1.c Decrements'!E66</f>
        <v>0</v>
      </c>
      <c r="Q73" s="68">
        <f ca="1">L74*('1.c Decrements'!F66+'1.c Decrements'!G66)</f>
        <v>0</v>
      </c>
      <c r="R73" s="68">
        <f ca="1">O73-L74*'1.c Decrements'!D66</f>
        <v>0</v>
      </c>
      <c r="S73" s="68" t="str">
        <f ca="1">IF(B74&lt;=$S$16,OFFSET('1.c Decrements'!$J$11,0,$S$16-B73),"")</f>
        <v/>
      </c>
      <c r="V73" s="69" t="str">
        <f t="shared" ca="1" si="20"/>
        <v/>
      </c>
      <c r="W73" s="70" t="str">
        <f t="shared" ca="1" si="21"/>
        <v/>
      </c>
      <c r="X73" s="95"/>
      <c r="Y73" s="96" t="str">
        <f ca="1">IF(V73="","",J73/'1.c PUC_Projection'!H72)</f>
        <v/>
      </c>
      <c r="Z73" s="96" t="str">
        <f t="shared" ca="1" si="22"/>
        <v/>
      </c>
      <c r="AA73" s="97" t="str">
        <f t="shared" ca="1" si="10"/>
        <v/>
      </c>
    </row>
    <row r="74" spans="2:27" ht="15" customHeight="1" x14ac:dyDescent="0.25">
      <c r="B74" s="57" t="str">
        <f t="shared" ca="1" si="11"/>
        <v/>
      </c>
      <c r="C74" s="71" t="str">
        <f t="shared" ca="1" si="12"/>
        <v/>
      </c>
      <c r="D74" s="72" t="str">
        <f t="shared" ca="1" si="13"/>
        <v/>
      </c>
      <c r="E74" s="73" t="str">
        <f t="shared" ca="1" si="14"/>
        <v/>
      </c>
      <c r="F74" s="62" t="str">
        <f t="shared" ca="1" si="24"/>
        <v/>
      </c>
      <c r="G74" s="62" t="str">
        <f t="shared" ca="1" si="24"/>
        <v/>
      </c>
      <c r="I74" s="94">
        <f t="shared" ca="1" si="17"/>
        <v>0</v>
      </c>
      <c r="J74" s="63" t="str">
        <f t="shared" ca="1" si="18"/>
        <v/>
      </c>
      <c r="K74" s="65">
        <f t="shared" ca="1" si="19"/>
        <v>0</v>
      </c>
      <c r="L74" s="64">
        <f t="shared" ca="1" si="8"/>
        <v>0</v>
      </c>
      <c r="M74" s="65">
        <f t="shared" ca="1" si="9"/>
        <v>0</v>
      </c>
      <c r="N74" s="66"/>
      <c r="O74" s="67">
        <f ca="1">IF($C74="",0,
K74*'1.c Decrements'!D67+(O73-P73-Q73)*(1+G73))</f>
        <v>0</v>
      </c>
      <c r="P74" s="68">
        <f ca="1">M74*'1.a Assumptions'!$C$13*'1.c Decrements'!E67</f>
        <v>0</v>
      </c>
      <c r="Q74" s="68">
        <f ca="1">L75*('1.c Decrements'!F67+'1.c Decrements'!G67)</f>
        <v>0</v>
      </c>
      <c r="R74" s="68">
        <f ca="1">O74-L75*'1.c Decrements'!D67</f>
        <v>0</v>
      </c>
      <c r="S74" s="68" t="str">
        <f ca="1">IF(B75&lt;=$S$16,OFFSET('1.c Decrements'!$J$11,0,$S$16-B74),"")</f>
        <v/>
      </c>
      <c r="V74" s="69" t="str">
        <f t="shared" ca="1" si="20"/>
        <v/>
      </c>
      <c r="W74" s="70" t="str">
        <f t="shared" ca="1" si="21"/>
        <v/>
      </c>
      <c r="X74" s="95"/>
      <c r="Y74" s="96" t="str">
        <f ca="1">IF(V74="","",J74/'1.c PUC_Projection'!H73)</f>
        <v/>
      </c>
      <c r="Z74" s="96" t="str">
        <f t="shared" ca="1" si="22"/>
        <v/>
      </c>
      <c r="AA74" s="97" t="str">
        <f t="shared" ca="1" si="10"/>
        <v/>
      </c>
    </row>
    <row r="75" spans="2:27" ht="15" customHeight="1" x14ac:dyDescent="0.25">
      <c r="B75" s="57" t="str">
        <f t="shared" ca="1" si="11"/>
        <v/>
      </c>
      <c r="C75" s="71" t="str">
        <f t="shared" ca="1" si="12"/>
        <v/>
      </c>
      <c r="D75" s="72" t="str">
        <f t="shared" ca="1" si="13"/>
        <v/>
      </c>
      <c r="E75" s="73" t="str">
        <f t="shared" ca="1" si="14"/>
        <v/>
      </c>
      <c r="F75" s="62" t="str">
        <f t="shared" ca="1" si="24"/>
        <v/>
      </c>
      <c r="G75" s="62" t="str">
        <f t="shared" ca="1" si="24"/>
        <v/>
      </c>
      <c r="I75" s="94">
        <f t="shared" ca="1" si="17"/>
        <v>0</v>
      </c>
      <c r="J75" s="63" t="str">
        <f t="shared" ca="1" si="18"/>
        <v/>
      </c>
      <c r="K75" s="65">
        <f t="shared" ca="1" si="19"/>
        <v>0</v>
      </c>
      <c r="L75" s="64">
        <f t="shared" ca="1" si="8"/>
        <v>0</v>
      </c>
      <c r="M75" s="65">
        <f t="shared" ca="1" si="9"/>
        <v>0</v>
      </c>
      <c r="N75" s="66"/>
      <c r="O75" s="67">
        <f ca="1">IF($C75="",0,
K75*'1.c Decrements'!D68+(O74-P74-Q74)*(1+G74))</f>
        <v>0</v>
      </c>
      <c r="P75" s="68">
        <f ca="1">M75*'1.a Assumptions'!$C$13*'1.c Decrements'!E68</f>
        <v>0</v>
      </c>
      <c r="Q75" s="68">
        <f ca="1">L76*('1.c Decrements'!F68+'1.c Decrements'!G68)</f>
        <v>0</v>
      </c>
      <c r="R75" s="68">
        <f ca="1">O75-L76*'1.c Decrements'!D68</f>
        <v>0</v>
      </c>
      <c r="S75" s="68" t="str">
        <f ca="1">IF(B76&lt;=$S$16,OFFSET('1.c Decrements'!$J$11,0,$S$16-B75),"")</f>
        <v/>
      </c>
      <c r="V75" s="69" t="str">
        <f t="shared" ca="1" si="20"/>
        <v/>
      </c>
      <c r="W75" s="70" t="str">
        <f t="shared" ca="1" si="21"/>
        <v/>
      </c>
      <c r="X75" s="95"/>
      <c r="Y75" s="96" t="str">
        <f ca="1">IF(V75="","",J75/'1.c PUC_Projection'!H74)</f>
        <v/>
      </c>
      <c r="Z75" s="96" t="str">
        <f t="shared" ca="1" si="22"/>
        <v/>
      </c>
      <c r="AA75" s="97" t="str">
        <f t="shared" ca="1" si="10"/>
        <v/>
      </c>
    </row>
    <row r="76" spans="2:27" ht="15" customHeight="1" x14ac:dyDescent="0.25">
      <c r="B76" s="57" t="str">
        <f t="shared" ca="1" si="11"/>
        <v/>
      </c>
      <c r="C76" s="71" t="str">
        <f t="shared" ca="1" si="12"/>
        <v/>
      </c>
      <c r="D76" s="72" t="str">
        <f t="shared" ca="1" si="13"/>
        <v/>
      </c>
      <c r="E76" s="73" t="str">
        <f t="shared" ca="1" si="14"/>
        <v/>
      </c>
      <c r="F76" s="62" t="str">
        <f t="shared" ca="1" si="24"/>
        <v/>
      </c>
      <c r="G76" s="62" t="str">
        <f t="shared" ca="1" si="24"/>
        <v/>
      </c>
      <c r="I76" s="94">
        <f t="shared" ca="1" si="17"/>
        <v>0</v>
      </c>
      <c r="J76" s="63" t="str">
        <f t="shared" ca="1" si="18"/>
        <v/>
      </c>
      <c r="K76" s="65">
        <f t="shared" ca="1" si="19"/>
        <v>0</v>
      </c>
      <c r="L76" s="64">
        <f t="shared" ca="1" si="8"/>
        <v>0</v>
      </c>
      <c r="M76" s="65">
        <f t="shared" ca="1" si="9"/>
        <v>0</v>
      </c>
      <c r="N76" s="66"/>
      <c r="O76" s="67">
        <f ca="1">IF($C76="",0,
K76*'1.c Decrements'!D69+(O75-P75-Q75)*(1+G75))</f>
        <v>0</v>
      </c>
      <c r="P76" s="68">
        <f ca="1">M76*'1.a Assumptions'!$C$13*'1.c Decrements'!E69</f>
        <v>0</v>
      </c>
      <c r="Q76" s="68">
        <f ca="1">L77*('1.c Decrements'!F69+'1.c Decrements'!G69)</f>
        <v>0</v>
      </c>
      <c r="R76" s="68">
        <f ca="1">O76-L77*'1.c Decrements'!D69</f>
        <v>0</v>
      </c>
      <c r="S76" s="68" t="str">
        <f ca="1">IF(B77&lt;=$S$16,OFFSET('1.c Decrements'!$J$11,0,$S$16-B76),"")</f>
        <v/>
      </c>
      <c r="V76" s="69" t="str">
        <f t="shared" ca="1" si="20"/>
        <v/>
      </c>
      <c r="W76" s="70" t="str">
        <f t="shared" ca="1" si="21"/>
        <v/>
      </c>
      <c r="X76" s="95"/>
      <c r="Y76" s="96" t="str">
        <f ca="1">IF(V76="","",J76/'1.c PUC_Projection'!H75)</f>
        <v/>
      </c>
      <c r="Z76" s="96" t="str">
        <f t="shared" ca="1" si="22"/>
        <v/>
      </c>
      <c r="AA76" s="97" t="str">
        <f t="shared" ca="1" si="10"/>
        <v/>
      </c>
    </row>
    <row r="77" spans="2:27" ht="15" customHeight="1" x14ac:dyDescent="0.25">
      <c r="B77" s="57" t="str">
        <f t="shared" ca="1" si="11"/>
        <v/>
      </c>
      <c r="C77" s="71" t="str">
        <f t="shared" ca="1" si="12"/>
        <v/>
      </c>
      <c r="D77" s="72" t="str">
        <f t="shared" ca="1" si="13"/>
        <v/>
      </c>
      <c r="E77" s="73" t="str">
        <f t="shared" ca="1" si="14"/>
        <v/>
      </c>
      <c r="F77" s="62" t="str">
        <f t="shared" ca="1" si="24"/>
        <v/>
      </c>
      <c r="G77" s="62" t="str">
        <f t="shared" ca="1" si="24"/>
        <v/>
      </c>
      <c r="I77" s="94">
        <f t="shared" ca="1" si="17"/>
        <v>0</v>
      </c>
      <c r="J77" s="63" t="str">
        <f t="shared" ca="1" si="18"/>
        <v/>
      </c>
      <c r="K77" s="65">
        <f t="shared" ca="1" si="19"/>
        <v>0</v>
      </c>
      <c r="L77" s="64">
        <f t="shared" ca="1" si="8"/>
        <v>0</v>
      </c>
      <c r="M77" s="65">
        <f t="shared" ca="1" si="9"/>
        <v>0</v>
      </c>
      <c r="N77" s="66"/>
      <c r="O77" s="67">
        <f ca="1">IF($C77="",0,
K77*'1.c Decrements'!D70+(O76-P76-Q76)*(1+G76))</f>
        <v>0</v>
      </c>
      <c r="P77" s="68">
        <f ca="1">M77*'1.a Assumptions'!$C$13*'1.c Decrements'!E70</f>
        <v>0</v>
      </c>
      <c r="Q77" s="68">
        <f ca="1">L78*('1.c Decrements'!F70+'1.c Decrements'!G70)</f>
        <v>0</v>
      </c>
      <c r="R77" s="68">
        <f ca="1">O77-L78*'1.c Decrements'!D70</f>
        <v>0</v>
      </c>
      <c r="S77" s="68" t="str">
        <f ca="1">IF(B78&lt;=$S$16,OFFSET('1.c Decrements'!$J$11,0,$S$16-B77),"")</f>
        <v/>
      </c>
      <c r="V77" s="69" t="str">
        <f t="shared" ca="1" si="20"/>
        <v/>
      </c>
      <c r="W77" s="70" t="str">
        <f t="shared" ca="1" si="21"/>
        <v/>
      </c>
      <c r="X77" s="95"/>
      <c r="Y77" s="96" t="str">
        <f ca="1">IF(V77="","",J77/'1.c PUC_Projection'!H76)</f>
        <v/>
      </c>
      <c r="Z77" s="96" t="str">
        <f t="shared" ca="1" si="22"/>
        <v/>
      </c>
      <c r="AA77" s="97" t="str">
        <f t="shared" ca="1" si="10"/>
        <v/>
      </c>
    </row>
    <row r="78" spans="2:27" ht="15" customHeight="1" x14ac:dyDescent="0.25">
      <c r="B78" s="57" t="str">
        <f t="shared" ca="1" si="11"/>
        <v/>
      </c>
      <c r="C78" s="71" t="str">
        <f t="shared" ca="1" si="12"/>
        <v/>
      </c>
      <c r="D78" s="72" t="str">
        <f t="shared" ca="1" si="13"/>
        <v/>
      </c>
      <c r="E78" s="73" t="str">
        <f t="shared" ca="1" si="14"/>
        <v/>
      </c>
      <c r="F78" s="62" t="str">
        <f t="shared" ca="1" si="24"/>
        <v/>
      </c>
      <c r="G78" s="62" t="str">
        <f t="shared" ca="1" si="24"/>
        <v/>
      </c>
      <c r="I78" s="94">
        <f t="shared" ca="1" si="17"/>
        <v>0</v>
      </c>
      <c r="J78" s="63" t="str">
        <f t="shared" ca="1" si="18"/>
        <v/>
      </c>
      <c r="K78" s="65">
        <f t="shared" ca="1" si="19"/>
        <v>0</v>
      </c>
      <c r="L78" s="64">
        <f t="shared" ca="1" si="8"/>
        <v>0</v>
      </c>
      <c r="M78" s="65">
        <f t="shared" ca="1" si="9"/>
        <v>0</v>
      </c>
      <c r="N78" s="66"/>
      <c r="O78" s="67">
        <f ca="1">IF($C78="",0,
K78*'1.c Decrements'!D71+(O77-P77-Q77)*(1+G77))</f>
        <v>0</v>
      </c>
      <c r="P78" s="68">
        <f ca="1">M78*'1.a Assumptions'!$C$13*'1.c Decrements'!E71</f>
        <v>0</v>
      </c>
      <c r="Q78" s="68">
        <f ca="1">L79*('1.c Decrements'!F71+'1.c Decrements'!G71)</f>
        <v>0</v>
      </c>
      <c r="R78" s="68">
        <f ca="1">O78-L79*'1.c Decrements'!D71</f>
        <v>0</v>
      </c>
      <c r="S78" s="68" t="str">
        <f ca="1">IF(B79&lt;=$S$16,OFFSET('1.c Decrements'!$J$11,0,$S$16-B78),"")</f>
        <v/>
      </c>
      <c r="V78" s="69" t="str">
        <f t="shared" ca="1" si="20"/>
        <v/>
      </c>
      <c r="W78" s="70" t="str">
        <f t="shared" ca="1" si="21"/>
        <v/>
      </c>
      <c r="X78" s="95"/>
      <c r="Y78" s="96" t="str">
        <f ca="1">IF(V78="","",J78/'1.c PUC_Projection'!H77)</f>
        <v/>
      </c>
      <c r="Z78" s="96" t="str">
        <f t="shared" ca="1" si="22"/>
        <v/>
      </c>
      <c r="AA78" s="97" t="str">
        <f t="shared" ca="1" si="10"/>
        <v/>
      </c>
    </row>
    <row r="79" spans="2:27" ht="15" customHeight="1" x14ac:dyDescent="0.25">
      <c r="B79" s="57" t="str">
        <f t="shared" ca="1" si="11"/>
        <v/>
      </c>
      <c r="C79" s="71" t="str">
        <f t="shared" ca="1" si="12"/>
        <v/>
      </c>
      <c r="D79" s="72" t="str">
        <f t="shared" ca="1" si="13"/>
        <v/>
      </c>
      <c r="E79" s="73" t="str">
        <f t="shared" ca="1" si="14"/>
        <v/>
      </c>
      <c r="F79" s="62" t="str">
        <f t="shared" ca="1" si="24"/>
        <v/>
      </c>
      <c r="G79" s="62" t="str">
        <f t="shared" ca="1" si="24"/>
        <v/>
      </c>
      <c r="I79" s="94">
        <f t="shared" ca="1" si="17"/>
        <v>0</v>
      </c>
      <c r="J79" s="63" t="str">
        <f t="shared" ca="1" si="18"/>
        <v/>
      </c>
      <c r="K79" s="65">
        <f t="shared" ca="1" si="19"/>
        <v>0</v>
      </c>
      <c r="L79" s="64">
        <f t="shared" ca="1" si="8"/>
        <v>0</v>
      </c>
      <c r="M79" s="65">
        <f t="shared" ca="1" si="9"/>
        <v>0</v>
      </c>
      <c r="N79" s="66"/>
      <c r="O79" s="67">
        <f ca="1">IF($C79="",0,
K79*'1.c Decrements'!D72+(O78-P78-Q78)*(1+G78))</f>
        <v>0</v>
      </c>
      <c r="P79" s="68">
        <f ca="1">M79*'1.a Assumptions'!$C$13*'1.c Decrements'!E72</f>
        <v>0</v>
      </c>
      <c r="Q79" s="68">
        <f ca="1">L80*('1.c Decrements'!F72+'1.c Decrements'!G72)</f>
        <v>0</v>
      </c>
      <c r="R79" s="68">
        <f ca="1">O79-L80*'1.c Decrements'!D72</f>
        <v>0</v>
      </c>
      <c r="S79" s="68" t="str">
        <f ca="1">IF(B80&lt;=$S$16,OFFSET('1.c Decrements'!$J$11,0,$S$16-B79),"")</f>
        <v/>
      </c>
      <c r="V79" s="69" t="str">
        <f t="shared" ca="1" si="20"/>
        <v/>
      </c>
      <c r="W79" s="70" t="str">
        <f t="shared" ca="1" si="21"/>
        <v/>
      </c>
      <c r="X79" s="95"/>
      <c r="Y79" s="96" t="str">
        <f ca="1">IF(V79="","",J79/'1.c PUC_Projection'!H78)</f>
        <v/>
      </c>
      <c r="Z79" s="96" t="str">
        <f t="shared" ca="1" si="22"/>
        <v/>
      </c>
      <c r="AA79" s="97" t="str">
        <f t="shared" ca="1" si="10"/>
        <v/>
      </c>
    </row>
    <row r="80" spans="2:27" ht="15" customHeight="1" x14ac:dyDescent="0.25">
      <c r="B80" s="57" t="str">
        <f t="shared" ca="1" si="11"/>
        <v/>
      </c>
      <c r="C80" s="71" t="str">
        <f t="shared" ca="1" si="12"/>
        <v/>
      </c>
      <c r="D80" s="72" t="str">
        <f t="shared" ca="1" si="13"/>
        <v/>
      </c>
      <c r="E80" s="73" t="str">
        <f t="shared" ca="1" si="14"/>
        <v/>
      </c>
      <c r="F80" s="62" t="str">
        <f t="shared" ca="1" si="24"/>
        <v/>
      </c>
      <c r="G80" s="62" t="str">
        <f t="shared" ca="1" si="24"/>
        <v/>
      </c>
      <c r="I80" s="94">
        <f t="shared" ca="1" si="17"/>
        <v>0</v>
      </c>
      <c r="J80" s="63" t="str">
        <f t="shared" ca="1" si="18"/>
        <v/>
      </c>
      <c r="K80" s="65">
        <f t="shared" ca="1" si="19"/>
        <v>0</v>
      </c>
      <c r="L80" s="64">
        <f t="shared" ca="1" si="8"/>
        <v>0</v>
      </c>
      <c r="M80" s="65">
        <f t="shared" ca="1" si="9"/>
        <v>0</v>
      </c>
      <c r="N80" s="66"/>
      <c r="O80" s="67">
        <f ca="1">IF($C80="",0,
K80*'1.c Decrements'!D73+(O79-P79-Q79)*(1+G79))</f>
        <v>0</v>
      </c>
      <c r="P80" s="68">
        <f ca="1">M80*'1.a Assumptions'!$C$13*'1.c Decrements'!E73</f>
        <v>0</v>
      </c>
      <c r="Q80" s="68">
        <f ca="1">L81*('1.c Decrements'!F73+'1.c Decrements'!G73)</f>
        <v>0</v>
      </c>
      <c r="R80" s="68">
        <f ca="1">O80-L81*'1.c Decrements'!D73</f>
        <v>0</v>
      </c>
      <c r="S80" s="68" t="str">
        <f ca="1">IF(B81&lt;=$S$16,OFFSET('1.c Decrements'!$J$11,0,$S$16-B80),"")</f>
        <v/>
      </c>
      <c r="V80" s="69" t="str">
        <f t="shared" ca="1" si="20"/>
        <v/>
      </c>
      <c r="W80" s="70" t="str">
        <f t="shared" ca="1" si="21"/>
        <v/>
      </c>
      <c r="X80" s="95"/>
      <c r="Y80" s="96" t="str">
        <f ca="1">IF(V80="","",J80/'1.c PUC_Projection'!H79)</f>
        <v/>
      </c>
      <c r="Z80" s="96" t="str">
        <f t="shared" ca="1" si="22"/>
        <v/>
      </c>
      <c r="AA80" s="97" t="str">
        <f t="shared" ca="1" si="10"/>
        <v/>
      </c>
    </row>
    <row r="81" spans="2:27" ht="15" customHeight="1" x14ac:dyDescent="0.25">
      <c r="B81" s="57" t="str">
        <f t="shared" ca="1" si="11"/>
        <v/>
      </c>
      <c r="C81" s="71" t="str">
        <f t="shared" ca="1" si="12"/>
        <v/>
      </c>
      <c r="D81" s="72" t="str">
        <f t="shared" ca="1" si="13"/>
        <v/>
      </c>
      <c r="E81" s="73" t="str">
        <f t="shared" ca="1" si="14"/>
        <v/>
      </c>
      <c r="F81" s="62" t="str">
        <f t="shared" ca="1" si="24"/>
        <v/>
      </c>
      <c r="G81" s="62" t="str">
        <f t="shared" ca="1" si="24"/>
        <v/>
      </c>
      <c r="I81" s="94">
        <f t="shared" ca="1" si="17"/>
        <v>0</v>
      </c>
      <c r="J81" s="63" t="str">
        <f t="shared" ca="1" si="18"/>
        <v/>
      </c>
      <c r="K81" s="65">
        <f t="shared" ca="1" si="19"/>
        <v>0</v>
      </c>
      <c r="L81" s="64">
        <f t="shared" ca="1" si="8"/>
        <v>0</v>
      </c>
      <c r="M81" s="65">
        <f t="shared" ca="1" si="9"/>
        <v>0</v>
      </c>
      <c r="N81" s="66"/>
      <c r="O81" s="67">
        <f ca="1">IF($C81="",0,
K81*'1.c Decrements'!D74+(O80-P80-Q80)*(1+G80))</f>
        <v>0</v>
      </c>
      <c r="P81" s="68">
        <f ca="1">M81*'1.a Assumptions'!$C$13*'1.c Decrements'!E74</f>
        <v>0</v>
      </c>
      <c r="Q81" s="68">
        <f ca="1">L82*('1.c Decrements'!F74+'1.c Decrements'!G74)</f>
        <v>0</v>
      </c>
      <c r="R81" s="68">
        <f ca="1">O81-L82*'1.c Decrements'!D74</f>
        <v>0</v>
      </c>
      <c r="S81" s="68" t="str">
        <f ca="1">IF(B82&lt;=$S$16,OFFSET('1.c Decrements'!$J$11,0,$S$16-B81),"")</f>
        <v/>
      </c>
      <c r="V81" s="69" t="str">
        <f t="shared" ca="1" si="20"/>
        <v/>
      </c>
      <c r="W81" s="70" t="str">
        <f t="shared" ca="1" si="21"/>
        <v/>
      </c>
      <c r="X81" s="95"/>
      <c r="Y81" s="96" t="str">
        <f ca="1">IF(V81="","",J81/'1.c PUC_Projection'!H80)</f>
        <v/>
      </c>
      <c r="Z81" s="96" t="str">
        <f t="shared" ca="1" si="22"/>
        <v/>
      </c>
      <c r="AA81" s="97" t="str">
        <f t="shared" ca="1" si="10"/>
        <v/>
      </c>
    </row>
    <row r="82" spans="2:27" ht="15" customHeight="1" x14ac:dyDescent="0.25">
      <c r="B82" s="57" t="str">
        <f t="shared" ca="1" si="11"/>
        <v/>
      </c>
      <c r="C82" s="71" t="str">
        <f t="shared" ca="1" si="12"/>
        <v/>
      </c>
      <c r="D82" s="72" t="str">
        <f t="shared" ca="1" si="13"/>
        <v/>
      </c>
      <c r="E82" s="73" t="str">
        <f t="shared" ca="1" si="14"/>
        <v/>
      </c>
      <c r="F82" s="62" t="str">
        <f t="shared" ca="1" si="24"/>
        <v/>
      </c>
      <c r="G82" s="62" t="str">
        <f t="shared" ca="1" si="24"/>
        <v/>
      </c>
      <c r="I82" s="94">
        <f t="shared" ref="I82:I88" ca="1" si="25">IFERROR((1-(1+$D$10)^-($D$5-$C82))/$D$10,0)</f>
        <v>0</v>
      </c>
      <c r="J82" s="63" t="str">
        <f t="shared" ref="J82:J88" ca="1" si="26">IF($C82="","",
D82*($D$5-$D$9)*((1+F82)/(1+G82))^($D$5-$D$9)/$H$18)</f>
        <v/>
      </c>
      <c r="K82" s="65">
        <f t="shared" ref="K82:K88" ca="1" si="27">IF($C83="",0,
J82*E82*(1+F82))</f>
        <v>0</v>
      </c>
      <c r="L82" s="64">
        <f t="shared" ca="1" si="8"/>
        <v>0</v>
      </c>
      <c r="M82" s="65">
        <f t="shared" ca="1" si="9"/>
        <v>0</v>
      </c>
      <c r="N82" s="66"/>
      <c r="O82" s="67">
        <f ca="1">IF($C82="",0,
K82*'1.c Decrements'!D75+(O81-P81-Q81)*(1+G81))</f>
        <v>0</v>
      </c>
      <c r="P82" s="68">
        <f ca="1">M82*'1.a Assumptions'!$C$13*'1.c Decrements'!E75</f>
        <v>0</v>
      </c>
      <c r="Q82" s="68">
        <f ca="1">L83*('1.c Decrements'!F75+'1.c Decrements'!G75)</f>
        <v>0</v>
      </c>
      <c r="R82" s="68">
        <f ca="1">O82-L83*'1.c Decrements'!D75</f>
        <v>0</v>
      </c>
      <c r="S82" s="68" t="str">
        <f ca="1">IF(B83&lt;=$S$16,OFFSET('1.c Decrements'!$J$11,0,$S$16-B82),"")</f>
        <v/>
      </c>
      <c r="V82" s="69" t="str">
        <f t="shared" ref="V82:V87" ca="1" si="28">IF($C83&lt;=$D$5,L83-L82*(1+i),"")</f>
        <v/>
      </c>
      <c r="W82" s="70" t="str">
        <f t="shared" ref="W82:W87" ca="1" si="29">IF(V82="","",V82-K82)</f>
        <v/>
      </c>
      <c r="X82" s="95"/>
      <c r="Y82" s="96" t="str">
        <f ca="1">IF(V82="","",J82/'1.c PUC_Projection'!H81)</f>
        <v/>
      </c>
      <c r="Z82" s="96" t="str">
        <f t="shared" ref="Z82:Z87" ca="1" si="30">IF(V82="","",($D$5-$D$9)/$H$18*(1+$D$10)^-(C82-$D$9+1))</f>
        <v/>
      </c>
      <c r="AA82" s="97" t="str">
        <f t="shared" ca="1" si="10"/>
        <v/>
      </c>
    </row>
    <row r="83" spans="2:27" ht="15" customHeight="1" x14ac:dyDescent="0.25">
      <c r="B83" s="57" t="str">
        <f t="shared" ca="1" si="11"/>
        <v/>
      </c>
      <c r="C83" s="71" t="str">
        <f t="shared" ca="1" si="12"/>
        <v/>
      </c>
      <c r="D83" s="72" t="str">
        <f t="shared" ca="1" si="13"/>
        <v/>
      </c>
      <c r="E83" s="73" t="str">
        <f t="shared" ca="1" si="14"/>
        <v/>
      </c>
      <c r="F83" s="62" t="str">
        <f t="shared" ca="1" si="24"/>
        <v/>
      </c>
      <c r="G83" s="62" t="str">
        <f t="shared" ca="1" si="24"/>
        <v/>
      </c>
      <c r="I83" s="94">
        <f t="shared" ca="1" si="25"/>
        <v>0</v>
      </c>
      <c r="J83" s="63" t="str">
        <f t="shared" ca="1" si="26"/>
        <v/>
      </c>
      <c r="K83" s="65">
        <f t="shared" ca="1" si="27"/>
        <v>0</v>
      </c>
      <c r="L83" s="64">
        <f t="shared" ref="L83:L88" ca="1" si="31">IF($C83="",0,
IF($C83&gt;$D$5,D83*B83*E83,
D83*($D$5-$D$4)*E83*((1+F83)/(1+G83))^($D$5-C83)-J83*E83*I83))</f>
        <v>0</v>
      </c>
      <c r="M83" s="65">
        <f t="shared" ref="M83:M88" ca="1" si="32">IF($C83="",0,
D83*B83*E83*((1+F83)/(1+G83))^MAX(0,$D$5-C83))</f>
        <v>0</v>
      </c>
      <c r="N83" s="66"/>
      <c r="O83" s="67">
        <f ca="1">IF($C83="",0,
K83*'1.c Decrements'!D76+(O82-P82-Q82)*(1+G82))</f>
        <v>0</v>
      </c>
      <c r="P83" s="68">
        <f ca="1">M83*'1.a Assumptions'!$C$13*'1.c Decrements'!E76</f>
        <v>0</v>
      </c>
      <c r="Q83" s="68">
        <f ca="1">L84*('1.c Decrements'!F76+'1.c Decrements'!G76)</f>
        <v>0</v>
      </c>
      <c r="R83" s="68">
        <f ca="1">O83-L84*'1.c Decrements'!D76</f>
        <v>0</v>
      </c>
      <c r="S83" s="68" t="str">
        <f ca="1">IF(B84&lt;=$S$16,OFFSET('1.c Decrements'!$J$11,0,$S$16-B83),"")</f>
        <v/>
      </c>
      <c r="V83" s="69" t="str">
        <f t="shared" ca="1" si="28"/>
        <v/>
      </c>
      <c r="W83" s="70" t="str">
        <f t="shared" ca="1" si="29"/>
        <v/>
      </c>
      <c r="X83" s="95"/>
      <c r="Y83" s="96" t="str">
        <f ca="1">IF(V83="","",J83/'1.c PUC_Projection'!H82)</f>
        <v/>
      </c>
      <c r="Z83" s="96" t="str">
        <f t="shared" ca="1" si="30"/>
        <v/>
      </c>
      <c r="AA83" s="97" t="str">
        <f t="shared" ref="AA83:AA87" ca="1" si="33">IF(V83="","",Y83-Z83)</f>
        <v/>
      </c>
    </row>
    <row r="84" spans="2:27" ht="15" customHeight="1" x14ac:dyDescent="0.25">
      <c r="B84" s="57" t="str">
        <f t="shared" ref="B84:B88" ca="1" si="34">IF($C84="","",B83+1)</f>
        <v/>
      </c>
      <c r="C84" s="71" t="str">
        <f t="shared" ref="C84:C88" ca="1" si="35">IF(C83="","",IF($D$2="A",IF(C83+1&gt;$D$5+15,"",C83+1),IF(C83+1&gt;$D$5,"",C83+1)))</f>
        <v/>
      </c>
      <c r="D84" s="72" t="str">
        <f t="shared" ref="D84:D88" ca="1" si="36">IF($C84="","",D83)</f>
        <v/>
      </c>
      <c r="E84" s="73" t="str">
        <f t="shared" ref="E84:E88" ca="1" si="37">IF($C84="","",E83*(1+F83))</f>
        <v/>
      </c>
      <c r="F84" s="62" t="str">
        <f t="shared" ref="F84:G88" ca="1" si="38">IF($C84="","",F83)</f>
        <v/>
      </c>
      <c r="G84" s="62" t="str">
        <f t="shared" ca="1" si="38"/>
        <v/>
      </c>
      <c r="I84" s="94">
        <f t="shared" ca="1" si="25"/>
        <v>0</v>
      </c>
      <c r="J84" s="63" t="str">
        <f t="shared" ca="1" si="26"/>
        <v/>
      </c>
      <c r="K84" s="65">
        <f t="shared" ca="1" si="27"/>
        <v>0</v>
      </c>
      <c r="L84" s="64">
        <f t="shared" ca="1" si="31"/>
        <v>0</v>
      </c>
      <c r="M84" s="65">
        <f t="shared" ca="1" si="32"/>
        <v>0</v>
      </c>
      <c r="N84" s="66"/>
      <c r="O84" s="67">
        <f ca="1">IF($C84="",0,
K84*'1.c Decrements'!D77+(O83-P83-Q83)*(1+G83))</f>
        <v>0</v>
      </c>
      <c r="P84" s="68">
        <f ca="1">M84*'1.a Assumptions'!$C$13*'1.c Decrements'!E77</f>
        <v>0</v>
      </c>
      <c r="Q84" s="68">
        <f ca="1">L85*('1.c Decrements'!F77+'1.c Decrements'!G77)</f>
        <v>0</v>
      </c>
      <c r="R84" s="68">
        <f ca="1">O84-L85*'1.c Decrements'!D77</f>
        <v>0</v>
      </c>
      <c r="S84" s="68" t="str">
        <f ca="1">IF(B85&lt;=$S$16,OFFSET('1.c Decrements'!$J$11,0,$S$16-B84),"")</f>
        <v/>
      </c>
      <c r="V84" s="69" t="str">
        <f t="shared" ca="1" si="28"/>
        <v/>
      </c>
      <c r="W84" s="70" t="str">
        <f t="shared" ca="1" si="29"/>
        <v/>
      </c>
      <c r="X84" s="95"/>
      <c r="Y84" s="96" t="str">
        <f ca="1">IF(V84="","",J84/'1.c PUC_Projection'!H83)</f>
        <v/>
      </c>
      <c r="Z84" s="96" t="str">
        <f t="shared" ca="1" si="30"/>
        <v/>
      </c>
      <c r="AA84" s="97" t="str">
        <f t="shared" ca="1" si="33"/>
        <v/>
      </c>
    </row>
    <row r="85" spans="2:27" ht="15" customHeight="1" x14ac:dyDescent="0.25">
      <c r="B85" s="57" t="str">
        <f t="shared" ca="1" si="34"/>
        <v/>
      </c>
      <c r="C85" s="71" t="str">
        <f t="shared" ca="1" si="35"/>
        <v/>
      </c>
      <c r="D85" s="72" t="str">
        <f t="shared" ca="1" si="36"/>
        <v/>
      </c>
      <c r="E85" s="73" t="str">
        <f t="shared" ca="1" si="37"/>
        <v/>
      </c>
      <c r="F85" s="62" t="str">
        <f t="shared" ca="1" si="38"/>
        <v/>
      </c>
      <c r="G85" s="62" t="str">
        <f t="shared" ca="1" si="38"/>
        <v/>
      </c>
      <c r="I85" s="94">
        <f t="shared" ca="1" si="25"/>
        <v>0</v>
      </c>
      <c r="J85" s="63" t="str">
        <f t="shared" ca="1" si="26"/>
        <v/>
      </c>
      <c r="K85" s="65">
        <f t="shared" ca="1" si="27"/>
        <v>0</v>
      </c>
      <c r="L85" s="64">
        <f t="shared" ca="1" si="31"/>
        <v>0</v>
      </c>
      <c r="M85" s="65">
        <f t="shared" ca="1" si="32"/>
        <v>0</v>
      </c>
      <c r="N85" s="66"/>
      <c r="O85" s="67">
        <f ca="1">IF($C85="",0,
K85*'1.c Decrements'!D78+(O84-P84-Q84)*(1+G84))</f>
        <v>0</v>
      </c>
      <c r="P85" s="68">
        <f ca="1">M85*'1.a Assumptions'!$C$13*'1.c Decrements'!E78</f>
        <v>0</v>
      </c>
      <c r="Q85" s="68">
        <f ca="1">L86*('1.c Decrements'!F78+'1.c Decrements'!G78)</f>
        <v>0</v>
      </c>
      <c r="R85" s="68">
        <f ca="1">O85-L86*'1.c Decrements'!D78</f>
        <v>0</v>
      </c>
      <c r="S85" s="68" t="str">
        <f ca="1">IF(B86&lt;=$S$16,OFFSET('1.c Decrements'!$J$11,0,$S$16-B85),"")</f>
        <v/>
      </c>
      <c r="V85" s="69" t="str">
        <f t="shared" ca="1" si="28"/>
        <v/>
      </c>
      <c r="W85" s="70" t="str">
        <f t="shared" ca="1" si="29"/>
        <v/>
      </c>
      <c r="X85" s="95"/>
      <c r="Y85" s="96" t="str">
        <f ca="1">IF(V85="","",J85/'1.c PUC_Projection'!H84)</f>
        <v/>
      </c>
      <c r="Z85" s="96" t="str">
        <f t="shared" ca="1" si="30"/>
        <v/>
      </c>
      <c r="AA85" s="97" t="str">
        <f t="shared" ca="1" si="33"/>
        <v/>
      </c>
    </row>
    <row r="86" spans="2:27" ht="15" customHeight="1" x14ac:dyDescent="0.25">
      <c r="B86" s="57" t="str">
        <f t="shared" ca="1" si="34"/>
        <v/>
      </c>
      <c r="C86" s="71" t="str">
        <f t="shared" ca="1" si="35"/>
        <v/>
      </c>
      <c r="D86" s="72" t="str">
        <f t="shared" ca="1" si="36"/>
        <v/>
      </c>
      <c r="E86" s="73" t="str">
        <f t="shared" ca="1" si="37"/>
        <v/>
      </c>
      <c r="F86" s="62" t="str">
        <f t="shared" ca="1" si="38"/>
        <v/>
      </c>
      <c r="G86" s="62" t="str">
        <f t="shared" ca="1" si="38"/>
        <v/>
      </c>
      <c r="I86" s="94">
        <f t="shared" ca="1" si="25"/>
        <v>0</v>
      </c>
      <c r="J86" s="63" t="str">
        <f t="shared" ca="1" si="26"/>
        <v/>
      </c>
      <c r="K86" s="65">
        <f t="shared" ca="1" si="27"/>
        <v>0</v>
      </c>
      <c r="L86" s="64">
        <f t="shared" ca="1" si="31"/>
        <v>0</v>
      </c>
      <c r="M86" s="65">
        <f t="shared" ca="1" si="32"/>
        <v>0</v>
      </c>
      <c r="N86" s="66"/>
      <c r="O86" s="67">
        <f ca="1">IF($C86="",0,
K86*'1.c Decrements'!D79+(O85-P85-Q85)*(1+G85))</f>
        <v>0</v>
      </c>
      <c r="P86" s="68">
        <f ca="1">M86*'1.a Assumptions'!$C$13*'1.c Decrements'!E79</f>
        <v>0</v>
      </c>
      <c r="Q86" s="68">
        <f ca="1">L87*('1.c Decrements'!F79+'1.c Decrements'!G79)</f>
        <v>0</v>
      </c>
      <c r="R86" s="68">
        <f ca="1">O86-L87*'1.c Decrements'!D79</f>
        <v>0</v>
      </c>
      <c r="S86" s="68" t="str">
        <f ca="1">IF(B87&lt;=$S$16,OFFSET('1.c Decrements'!$J$11,0,$S$16-B86),"")</f>
        <v/>
      </c>
      <c r="V86" s="69" t="str">
        <f t="shared" ca="1" si="28"/>
        <v/>
      </c>
      <c r="W86" s="70" t="str">
        <f t="shared" ca="1" si="29"/>
        <v/>
      </c>
      <c r="X86" s="95"/>
      <c r="Y86" s="96" t="str">
        <f ca="1">IF(V86="","",J86/'1.c PUC_Projection'!H85)</f>
        <v/>
      </c>
      <c r="Z86" s="96" t="str">
        <f t="shared" ca="1" si="30"/>
        <v/>
      </c>
      <c r="AA86" s="97" t="str">
        <f t="shared" ca="1" si="33"/>
        <v/>
      </c>
    </row>
    <row r="87" spans="2:27" ht="15" customHeight="1" x14ac:dyDescent="0.25">
      <c r="B87" s="57" t="str">
        <f t="shared" ca="1" si="34"/>
        <v/>
      </c>
      <c r="C87" s="71" t="str">
        <f t="shared" ca="1" si="35"/>
        <v/>
      </c>
      <c r="D87" s="72" t="str">
        <f t="shared" ca="1" si="36"/>
        <v/>
      </c>
      <c r="E87" s="73" t="str">
        <f t="shared" ca="1" si="37"/>
        <v/>
      </c>
      <c r="F87" s="62" t="str">
        <f t="shared" ca="1" si="38"/>
        <v/>
      </c>
      <c r="G87" s="62" t="str">
        <f t="shared" ca="1" si="38"/>
        <v/>
      </c>
      <c r="I87" s="94">
        <f t="shared" ca="1" si="25"/>
        <v>0</v>
      </c>
      <c r="J87" s="63" t="str">
        <f t="shared" ca="1" si="26"/>
        <v/>
      </c>
      <c r="K87" s="65">
        <f t="shared" ca="1" si="27"/>
        <v>0</v>
      </c>
      <c r="L87" s="64">
        <f t="shared" ca="1" si="31"/>
        <v>0</v>
      </c>
      <c r="M87" s="65">
        <f t="shared" ca="1" si="32"/>
        <v>0</v>
      </c>
      <c r="N87" s="66"/>
      <c r="O87" s="67">
        <f ca="1">IF($C87="",0,
K87*'1.c Decrements'!D80+(O86-P86-Q86)*(1+G86))</f>
        <v>0</v>
      </c>
      <c r="P87" s="68">
        <f ca="1">M87*'1.a Assumptions'!$C$13*'1.c Decrements'!E80</f>
        <v>0</v>
      </c>
      <c r="Q87" s="68">
        <f ca="1">L88*('1.c Decrements'!F80+'1.c Decrements'!G80)</f>
        <v>0</v>
      </c>
      <c r="R87" s="68">
        <f ca="1">O87-L88*'1.c Decrements'!D80</f>
        <v>0</v>
      </c>
      <c r="S87" s="68" t="str">
        <f ca="1">IF(B88&lt;=$S$16,OFFSET('1.c Decrements'!$J$11,0,$S$16-B87),"")</f>
        <v/>
      </c>
      <c r="V87" s="69" t="str">
        <f t="shared" ca="1" si="28"/>
        <v/>
      </c>
      <c r="W87" s="70" t="str">
        <f t="shared" ca="1" si="29"/>
        <v/>
      </c>
      <c r="X87" s="95"/>
      <c r="Y87" s="96" t="str">
        <f ca="1">IF(V87="","",J87/'1.c PUC_Projection'!H86)</f>
        <v/>
      </c>
      <c r="Z87" s="96" t="str">
        <f t="shared" ca="1" si="30"/>
        <v/>
      </c>
      <c r="AA87" s="97" t="str">
        <f t="shared" ca="1" si="33"/>
        <v/>
      </c>
    </row>
    <row r="88" spans="2:27" ht="15" customHeight="1" x14ac:dyDescent="0.25">
      <c r="B88" s="57" t="str">
        <f t="shared" ca="1" si="34"/>
        <v/>
      </c>
      <c r="C88" s="71" t="str">
        <f t="shared" ca="1" si="35"/>
        <v/>
      </c>
      <c r="D88" s="72" t="str">
        <f t="shared" ca="1" si="36"/>
        <v/>
      </c>
      <c r="E88" s="73" t="str">
        <f t="shared" ca="1" si="37"/>
        <v/>
      </c>
      <c r="F88" s="62" t="str">
        <f t="shared" ca="1" si="38"/>
        <v/>
      </c>
      <c r="G88" s="62" t="str">
        <f t="shared" ca="1" si="38"/>
        <v/>
      </c>
      <c r="I88" s="94">
        <f t="shared" ca="1" si="25"/>
        <v>0</v>
      </c>
      <c r="J88" s="63" t="str">
        <f t="shared" ca="1" si="26"/>
        <v/>
      </c>
      <c r="K88" s="65">
        <f t="shared" si="27"/>
        <v>0</v>
      </c>
      <c r="L88" s="64">
        <f t="shared" ca="1" si="31"/>
        <v>0</v>
      </c>
      <c r="M88" s="65">
        <f t="shared" ca="1" si="32"/>
        <v>0</v>
      </c>
      <c r="N88" s="66"/>
      <c r="O88" s="67">
        <f ca="1">IF($C88="",0,
K88*'1.c Decrements'!D81+(O87-P87-Q87)*(1+G87))</f>
        <v>0</v>
      </c>
      <c r="P88" s="68">
        <f ca="1">M88*'1.a Assumptions'!$C$13*'1.c Decrements'!E81</f>
        <v>0</v>
      </c>
      <c r="Q88" s="68">
        <f ca="1">L89*('1.c Decrements'!F81+'1.c Decrements'!G81)</f>
        <v>0</v>
      </c>
      <c r="R88" s="68">
        <f ca="1">O88-L89*'1.c Decrements'!D81</f>
        <v>0</v>
      </c>
      <c r="S88" s="68"/>
      <c r="V88" s="69"/>
      <c r="W88" s="70"/>
      <c r="X88" s="95"/>
      <c r="Y88" s="96"/>
      <c r="Z88" s="96"/>
      <c r="AA88" s="97"/>
    </row>
  </sheetData>
  <conditionalFormatting sqref="W17">
    <cfRule type="cellIs" dxfId="33" priority="7" operator="equal">
      <formula>"Pass"</formula>
    </cfRule>
    <cfRule type="cellIs" dxfId="32" priority="8" operator="equal">
      <formula>"Check!"</formula>
    </cfRule>
  </conditionalFormatting>
  <conditionalFormatting sqref="AA17">
    <cfRule type="cellIs" dxfId="31" priority="5" operator="equal">
      <formula>"Pass"</formula>
    </cfRule>
    <cfRule type="cellIs" dxfId="30" priority="6" operator="equal">
      <formula>"Check!"</formula>
    </cfRule>
  </conditionalFormatting>
  <conditionalFormatting sqref="H8">
    <cfRule type="cellIs" dxfId="29" priority="3" operator="equal">
      <formula>"Pass"</formula>
    </cfRule>
    <cfRule type="cellIs" dxfId="28" priority="4" operator="equal">
      <formula>"Check!"</formula>
    </cfRule>
  </conditionalFormatting>
  <conditionalFormatting sqref="I8:Q8">
    <cfRule type="cellIs" dxfId="27" priority="1" operator="equal">
      <formula>"Pass"</formula>
    </cfRule>
    <cfRule type="cellIs" dxfId="26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-0.499984740745262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0.59999389629810485"/>
  </sheetPr>
  <dimension ref="A1:AA86"/>
  <sheetViews>
    <sheetView zoomScale="85" zoomScaleNormal="85" workbookViewId="0"/>
  </sheetViews>
  <sheetFormatPr defaultRowHeight="15" x14ac:dyDescent="0.25"/>
  <cols>
    <col min="1" max="1" width="3" customWidth="1"/>
    <col min="2" max="2" width="14.85546875" customWidth="1"/>
    <col min="3" max="3" width="17.85546875" bestFit="1" customWidth="1"/>
    <col min="4" max="4" width="11.140625" customWidth="1"/>
    <col min="5" max="5" width="16.28515625" customWidth="1"/>
    <col min="6" max="6" width="17.7109375" bestFit="1" customWidth="1"/>
    <col min="7" max="7" width="12.140625" customWidth="1"/>
    <col min="8" max="8" width="16.85546875" customWidth="1"/>
    <col min="9" max="9" width="15.7109375" customWidth="1"/>
    <col min="10" max="10" width="16.7109375" customWidth="1"/>
    <col min="11" max="18" width="15.7109375" customWidth="1"/>
    <col min="19" max="19" width="2.140625" customWidth="1"/>
    <col min="20" max="21" width="11.5703125" bestFit="1" customWidth="1"/>
    <col min="22" max="22" width="10.5703125" bestFit="1" customWidth="1"/>
    <col min="23" max="27" width="11.5703125" bestFit="1" customWidth="1"/>
  </cols>
  <sheetData>
    <row r="1" spans="1:27" ht="15" customHeight="1" thickBot="1" x14ac:dyDescent="0.3">
      <c r="A1" s="103" t="s">
        <v>32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</row>
    <row r="2" spans="1:27" ht="15" customHeight="1" thickBot="1" x14ac:dyDescent="0.3">
      <c r="A2" s="13"/>
      <c r="B2" s="15" t="s">
        <v>12</v>
      </c>
      <c r="C2" s="16" t="s">
        <v>19</v>
      </c>
      <c r="D2" s="114" t="str">
        <f>RIGHT($B$3,1)</f>
        <v>B</v>
      </c>
      <c r="E2" s="13"/>
      <c r="F2" s="13"/>
      <c r="G2" s="13"/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1:27" ht="15" customHeight="1" thickBot="1" x14ac:dyDescent="0.3">
      <c r="A3" s="13"/>
      <c r="B3" s="20" t="str">
        <f>'2.b EAN_Projection'!B3</f>
        <v>45B</v>
      </c>
      <c r="C3" s="16" t="s">
        <v>49</v>
      </c>
      <c r="D3" s="114">
        <f>VLOOKUP($B$3,'opening demographics'!$A$1:$E$11,3,FALSE)</f>
        <v>240</v>
      </c>
      <c r="E3" s="13"/>
      <c r="F3" s="21" t="s">
        <v>46</v>
      </c>
      <c r="G3" s="83" t="str">
        <f>B3</f>
        <v>45B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  <c r="R3" s="13"/>
      <c r="S3" s="13"/>
      <c r="T3" s="13"/>
      <c r="U3" s="13"/>
      <c r="V3" s="13"/>
      <c r="W3" s="13"/>
      <c r="X3" s="13"/>
      <c r="Y3" s="13"/>
      <c r="Z3" s="13"/>
      <c r="AA3" s="13"/>
    </row>
    <row r="4" spans="1:27" ht="15" customHeight="1" x14ac:dyDescent="0.25">
      <c r="A4" s="13"/>
      <c r="B4" s="13"/>
      <c r="C4" s="16" t="s">
        <v>20</v>
      </c>
      <c r="D4" s="114">
        <f>VALUE(LEFT($B$3,2))</f>
        <v>45</v>
      </c>
      <c r="E4" s="13"/>
      <c r="F4" s="28" t="s">
        <v>47</v>
      </c>
      <c r="G4" s="84">
        <f>D3</f>
        <v>240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  <c r="R4" s="121"/>
      <c r="S4" s="13"/>
      <c r="T4" s="13"/>
      <c r="U4" s="13"/>
      <c r="V4" s="13"/>
      <c r="W4" s="13"/>
      <c r="X4" s="13"/>
      <c r="Y4" s="13"/>
      <c r="Z4" s="13"/>
      <c r="AA4" s="13"/>
    </row>
    <row r="5" spans="1:27" ht="15" customHeight="1" x14ac:dyDescent="0.25">
      <c r="A5" s="13"/>
      <c r="B5" s="13"/>
      <c r="C5" s="16" t="s">
        <v>21</v>
      </c>
      <c r="D5" s="114">
        <f ca="1">INDIRECT("NRA_"&amp;$D$2)</f>
        <v>60</v>
      </c>
      <c r="E5" s="13"/>
      <c r="F5" s="28" t="s">
        <v>79</v>
      </c>
      <c r="G5" s="85">
        <f ca="1">I16</f>
        <v>2837.7327056022714</v>
      </c>
      <c r="H5" s="30">
        <v>8103.2273173852627</v>
      </c>
      <c r="I5" s="31">
        <v>13836.139106456934</v>
      </c>
      <c r="J5" s="31">
        <v>17222.433977073932</v>
      </c>
      <c r="K5" s="31">
        <v>19174.959866205161</v>
      </c>
      <c r="L5" s="32">
        <v>25912.107927304274</v>
      </c>
      <c r="M5" s="33">
        <v>1325.6566655769814</v>
      </c>
      <c r="N5" s="31">
        <v>2153.4261960311333</v>
      </c>
      <c r="O5" s="31">
        <v>2837.7327056022714</v>
      </c>
      <c r="P5" s="31">
        <v>3712.9768890949822</v>
      </c>
      <c r="Q5" s="34">
        <v>4480.8394891784646</v>
      </c>
      <c r="R5" s="121"/>
      <c r="S5" s="13"/>
      <c r="T5" s="13"/>
      <c r="U5" s="13"/>
      <c r="V5" s="13"/>
      <c r="W5" s="13"/>
      <c r="X5" s="13"/>
      <c r="Y5" s="13"/>
      <c r="Z5" s="13"/>
      <c r="AA5" s="13"/>
    </row>
    <row r="6" spans="1:27" ht="15" customHeight="1" x14ac:dyDescent="0.25">
      <c r="A6" s="13"/>
      <c r="B6" s="13"/>
      <c r="C6" s="16" t="s">
        <v>22</v>
      </c>
      <c r="D6" s="115">
        <f ca="1">INDIRECT("accrual_rate_"&amp;$D$2)</f>
        <v>0.05</v>
      </c>
      <c r="E6" s="13"/>
      <c r="F6" s="28" t="s">
        <v>486</v>
      </c>
      <c r="G6" s="85">
        <f ca="1">E17</f>
        <v>96069.488001030244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  <c r="R6" s="121"/>
      <c r="S6" s="13"/>
      <c r="T6" s="13"/>
      <c r="U6" s="13"/>
      <c r="V6" s="13"/>
      <c r="W6" s="13"/>
      <c r="X6" s="13"/>
      <c r="Y6" s="13"/>
      <c r="Z6" s="13"/>
      <c r="AA6" s="13"/>
    </row>
    <row r="7" spans="1:27" ht="25.5" x14ac:dyDescent="0.25">
      <c r="A7" s="13"/>
      <c r="B7" s="13"/>
      <c r="C7" s="16" t="s">
        <v>23</v>
      </c>
      <c r="D7" s="116">
        <f>VLOOKUP($B$3,'opening demographics'!$A$1:$E$11,4,FALSE)</f>
        <v>95000</v>
      </c>
      <c r="E7" s="13"/>
      <c r="F7" s="113" t="str">
        <f>"Total surplus / deficit at EOY "&amp;$Q$14</f>
        <v>Total surplus / deficit at EOY 15</v>
      </c>
      <c r="G7" s="85">
        <f ca="1">R16</f>
        <v>1929700.3439805573</v>
      </c>
      <c r="H7" s="30">
        <v>473547.27216956369</v>
      </c>
      <c r="I7" s="31">
        <v>474064.49568509369</v>
      </c>
      <c r="J7" s="31">
        <v>504919.19836757367</v>
      </c>
      <c r="K7" s="31">
        <v>65994.410347617493</v>
      </c>
      <c r="L7" s="32">
        <v>5309.3362013851111</v>
      </c>
      <c r="M7" s="31">
        <v>788782.92648900533</v>
      </c>
      <c r="N7" s="31">
        <v>1342331.6172202369</v>
      </c>
      <c r="O7" s="31">
        <v>1929700.3439805573</v>
      </c>
      <c r="P7" s="31">
        <v>138111.3601599574</v>
      </c>
      <c r="Q7" s="34">
        <v>5637.0693655215673</v>
      </c>
      <c r="R7" s="122"/>
      <c r="S7" s="13"/>
      <c r="T7" s="13"/>
      <c r="U7" s="13"/>
      <c r="V7" s="13"/>
      <c r="W7" s="13"/>
      <c r="X7" s="13"/>
      <c r="Y7" s="13"/>
      <c r="Z7" s="13"/>
      <c r="AA7" s="13"/>
    </row>
    <row r="8" spans="1:27" ht="15" customHeight="1" thickBot="1" x14ac:dyDescent="0.3">
      <c r="A8" s="13"/>
      <c r="B8" s="13"/>
      <c r="C8" s="16" t="s">
        <v>24</v>
      </c>
      <c r="D8" s="117">
        <f ca="1">INDIRECT("e_"&amp;$D$2)</f>
        <v>1.1257768431897297E-2</v>
      </c>
      <c r="E8" s="13"/>
      <c r="F8" s="38" t="s">
        <v>18</v>
      </c>
      <c r="G8" s="86" t="s">
        <v>482</v>
      </c>
      <c r="H8" s="40" t="str">
        <v>N/A</v>
      </c>
      <c r="I8" s="41" t="str">
        <v>N/A</v>
      </c>
      <c r="J8" s="41" t="str">
        <v>N/A</v>
      </c>
      <c r="K8" s="41" t="str">
        <v>N/A</v>
      </c>
      <c r="L8" s="42" t="str">
        <v>N/A</v>
      </c>
      <c r="M8" s="41" t="str">
        <v>N/A</v>
      </c>
      <c r="N8" s="41" t="str">
        <v>N/A</v>
      </c>
      <c r="O8" s="41" t="str">
        <v>N/A</v>
      </c>
      <c r="P8" s="41" t="str">
        <v>N/A</v>
      </c>
      <c r="Q8" s="43" t="str">
        <v>N/A</v>
      </c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 x14ac:dyDescent="0.25">
      <c r="A9" s="13"/>
      <c r="B9" s="13"/>
      <c r="E9" s="13"/>
      <c r="F9" s="13"/>
      <c r="G9" s="13"/>
      <c r="H9" s="146" t="s">
        <v>483</v>
      </c>
      <c r="I9" s="143"/>
      <c r="J9" s="143"/>
      <c r="K9" s="143"/>
      <c r="L9" s="47"/>
      <c r="M9" s="47"/>
      <c r="N9" s="47"/>
      <c r="O9" s="47"/>
      <c r="P9" s="47"/>
      <c r="Q9" s="48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 x14ac:dyDescent="0.25">
      <c r="A10" s="13"/>
      <c r="B10" s="13"/>
      <c r="C10" s="13"/>
      <c r="D10" s="13"/>
      <c r="E10" s="13"/>
      <c r="F10" s="13"/>
      <c r="G10" s="13"/>
      <c r="H10" s="144" t="s">
        <v>51</v>
      </c>
      <c r="I10" s="143" t="s">
        <v>6</v>
      </c>
      <c r="J10" s="143" t="s">
        <v>5</v>
      </c>
      <c r="K10" s="143" t="s">
        <v>484</v>
      </c>
      <c r="L10" s="47"/>
      <c r="M10" s="47"/>
      <c r="N10" s="47"/>
      <c r="O10" s="47"/>
      <c r="P10" s="47"/>
      <c r="Q10" s="48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 thickBot="1" x14ac:dyDescent="0.3">
      <c r="A11" s="13"/>
      <c r="B11" s="13"/>
      <c r="C11" s="13"/>
      <c r="D11" s="13"/>
      <c r="E11" s="13"/>
      <c r="F11" s="13"/>
      <c r="G11" s="13"/>
      <c r="H11" s="145"/>
      <c r="I11" s="158">
        <f>SUM(H7:L7)</f>
        <v>1523834.7127712336</v>
      </c>
      <c r="J11" s="158">
        <f>SUM(M7:Q7)</f>
        <v>4204563.3172152787</v>
      </c>
      <c r="K11" s="158">
        <f>I11+J11</f>
        <v>5728398.0299865119</v>
      </c>
      <c r="L11" s="53"/>
      <c r="M11" s="53"/>
      <c r="N11" s="53"/>
      <c r="O11" s="53"/>
      <c r="P11" s="53"/>
      <c r="Q11" s="54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55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5" customHeigh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55"/>
      <c r="K13" s="13"/>
      <c r="L13" s="13"/>
      <c r="M13" s="13"/>
      <c r="N13" s="13"/>
      <c r="O13" s="13"/>
      <c r="P13" s="13"/>
      <c r="Q13" s="112" t="s">
        <v>77</v>
      </c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55"/>
      <c r="K14" s="13"/>
      <c r="L14" s="13"/>
      <c r="M14" s="13"/>
      <c r="N14" s="13"/>
      <c r="O14" s="13"/>
      <c r="P14" s="13"/>
      <c r="Q14" s="111">
        <v>15</v>
      </c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51.75" customHeight="1" x14ac:dyDescent="0.25">
      <c r="A15" s="13"/>
      <c r="B15" s="99" t="s">
        <v>48</v>
      </c>
      <c r="C15" s="99" t="s">
        <v>16</v>
      </c>
      <c r="D15" s="99" t="s">
        <v>14</v>
      </c>
      <c r="E15" s="99" t="s">
        <v>17</v>
      </c>
      <c r="F15" s="99" t="s">
        <v>55</v>
      </c>
      <c r="G15" s="99" t="s">
        <v>15</v>
      </c>
      <c r="H15" s="131" t="s">
        <v>481</v>
      </c>
      <c r="I15" s="99" t="s">
        <v>31</v>
      </c>
      <c r="J15" s="99" t="s">
        <v>56</v>
      </c>
      <c r="K15" s="99" t="s">
        <v>53</v>
      </c>
      <c r="L15" s="100" t="s">
        <v>57</v>
      </c>
      <c r="M15" s="99" t="s">
        <v>54</v>
      </c>
      <c r="N15" s="99" t="s">
        <v>58</v>
      </c>
      <c r="O15" s="99" t="s">
        <v>59</v>
      </c>
      <c r="P15" s="105" t="s">
        <v>74</v>
      </c>
      <c r="Q15" s="141" t="str">
        <f>"No. of NEW entrants for the last "&amp;$Q$14&amp;" years"</f>
        <v>No. of NEW entrants for the last 15 years</v>
      </c>
      <c r="R15" s="141" t="str">
        <f>"Total surplus/deficit at EOY "&amp;$Q$14</f>
        <v>Total surplus/deficit at EOY 15</v>
      </c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A16" s="13"/>
      <c r="B16" s="57">
        <v>0</v>
      </c>
      <c r="C16" s="58">
        <f>D4</f>
        <v>45</v>
      </c>
      <c r="D16" s="59">
        <f ca="1">D6</f>
        <v>0.05</v>
      </c>
      <c r="E16" s="60">
        <f>D7</f>
        <v>95000</v>
      </c>
      <c r="F16" s="61">
        <f ca="1">D8</f>
        <v>1.1257768431897297E-2</v>
      </c>
      <c r="G16" s="62">
        <f t="shared" ref="G16" si="0">i</f>
        <v>0.05</v>
      </c>
      <c r="H16" s="63">
        <f ca="1">IF($C16="","",IF(MOD(B16,3)=0,
IF(C16&gt;=$D$5,D16*(B16*(F16-G16)+1+F16)/(1+F16),
D16*((1+F16)/(1+G16))^($D$5-C16-1)),
H15))</f>
        <v>2.9538334851663201E-2</v>
      </c>
      <c r="I16" s="64">
        <f ca="1">IF($C17="",0,
H16*E16*(1+F16))</f>
        <v>2837.7327056022714</v>
      </c>
      <c r="J16" s="64">
        <f ca="1">IF($C16="",0,
D16*E16*B16*((1+F16)/(1+G16))^MAX(0,$D$5-C16))</f>
        <v>0</v>
      </c>
      <c r="K16" s="65">
        <f ca="1">J16</f>
        <v>0</v>
      </c>
      <c r="L16" s="66"/>
      <c r="M16" s="67">
        <f ca="1">IF($C16="",0,
I16*'1.c Decrements'!D11)</f>
        <v>2837.7327056022714</v>
      </c>
      <c r="N16" s="68">
        <f ca="1">K16*'1.a Assumptions'!$C$13*'1.c Decrements'!E11</f>
        <v>0</v>
      </c>
      <c r="O16" s="68">
        <f ca="1">J17*('1.c Decrements'!F11+'1.c Decrements'!G11)</f>
        <v>0</v>
      </c>
      <c r="P16" s="68">
        <f ca="1">M16-J17*'1.c Decrements'!D11</f>
        <v>0</v>
      </c>
      <c r="Q16" s="68">
        <f ca="1">IF(B17&lt;=$Q$14,OFFSET('1.c Decrements'!$J$11,0,$Q$14-B16),"")</f>
        <v>14.399999999999999</v>
      </c>
      <c r="R16" s="68">
        <f ca="1">SUMPRODUCT(Q16:Q86,P16:P86)</f>
        <v>1929700.3439805573</v>
      </c>
      <c r="S16" s="13"/>
      <c r="T16" s="13"/>
      <c r="U16" s="13"/>
      <c r="V16" s="13"/>
      <c r="W16" s="13"/>
      <c r="X16" s="13"/>
      <c r="Y16" s="13"/>
      <c r="Z16" s="13"/>
      <c r="AA16" s="13"/>
    </row>
    <row r="17" spans="1:27" x14ac:dyDescent="0.25">
      <c r="A17" s="13"/>
      <c r="B17" s="57">
        <f t="shared" ref="B17:B80" ca="1" si="1">IF($C17="","",B16+1)</f>
        <v>1</v>
      </c>
      <c r="C17" s="71">
        <f ca="1">IF(C16="","",IF($D$2="A",IF(C16+1&gt;$D$5+15,"",C16+1),IF(C16+1&gt;$D$5,"",C16+1)))</f>
        <v>46</v>
      </c>
      <c r="D17" s="72">
        <f ca="1">IF($C17="","",D16)</f>
        <v>0.05</v>
      </c>
      <c r="E17" s="73">
        <f ca="1">IF($C17="","",E16*(1+F16))</f>
        <v>96069.488001030244</v>
      </c>
      <c r="F17" s="62">
        <f ca="1">IF($C17="","",F16)</f>
        <v>1.1257768431897297E-2</v>
      </c>
      <c r="G17" s="62">
        <f ca="1">IF($C17="","",G16)</f>
        <v>0.05</v>
      </c>
      <c r="H17" s="63">
        <f t="shared" ref="H17:H80" ca="1" si="2">IF($C17="","",IF(MOD(B17,3)=0,
IF(C17&gt;=$D$5,D17*(B17*(F17-G17)+1+F17)/(1+F17),
D17*((1+F17)/(1+G17))^($D$5-C17-1)),
H16))</f>
        <v>2.9538334851663201E-2</v>
      </c>
      <c r="I17" s="64">
        <f t="shared" ref="I17:I80" ca="1" si="3">IF($C18="",0,
H17*E17*(1+F17))</f>
        <v>2869.6792432735633</v>
      </c>
      <c r="J17" s="64">
        <f t="shared" ref="J17:J80" ca="1" si="4">IF($C17="",0,
D17*E17*B17*((1+F17)/(1+G17))^MAX(0,$D$5-C17))</f>
        <v>2837.7327056022714</v>
      </c>
      <c r="K17" s="65">
        <f t="shared" ref="K17:K80" ca="1" si="5">J17</f>
        <v>2837.7327056022714</v>
      </c>
      <c r="L17" s="66"/>
      <c r="M17" s="67">
        <f ca="1">IF($C17="",0,
I17*'1.c Decrements'!D12+(M16-N16-O16)*(1+G16))</f>
        <v>5677.1178295595346</v>
      </c>
      <c r="N17" s="68">
        <f ca="1">K17*'1.a Assumptions'!$C$13*'1.c Decrements'!E12</f>
        <v>120.03609344697607</v>
      </c>
      <c r="O17" s="68">
        <f ca="1">J18*('1.c Decrements'!F12+'1.c Decrements'!G12)</f>
        <v>0</v>
      </c>
      <c r="P17" s="68">
        <f ca="1">M17-J18*'1.c Decrements'!D12</f>
        <v>75.433468700652156</v>
      </c>
      <c r="Q17" s="68">
        <f ca="1">IF(B18&lt;=$Q$14,OFFSET('1.c Decrements'!$J$11,0,$Q$14-B17),"")</f>
        <v>14.399999999999999</v>
      </c>
      <c r="S17" s="13"/>
      <c r="T17" s="13"/>
      <c r="U17" s="13"/>
      <c r="V17" s="13"/>
      <c r="W17" s="13"/>
      <c r="X17" s="13"/>
      <c r="Y17" s="13"/>
      <c r="Z17" s="13"/>
      <c r="AA17" s="13"/>
    </row>
    <row r="18" spans="1:27" x14ac:dyDescent="0.25">
      <c r="A18" s="13"/>
      <c r="B18" s="57">
        <f t="shared" ca="1" si="1"/>
        <v>2</v>
      </c>
      <c r="C18" s="71">
        <f t="shared" ref="C18:C81" ca="1" si="6">IF(C17="","",IF($D$2="A",IF(C17+1&gt;$D$5+15,"",C17+1),IF(C17+1&gt;$D$5,"",C17+1)))</f>
        <v>47</v>
      </c>
      <c r="D18" s="72">
        <f t="shared" ref="D18:D81" ca="1" si="7">IF($C18="","",D17)</f>
        <v>0.05</v>
      </c>
      <c r="E18" s="73">
        <f t="shared" ref="E18:E81" ca="1" si="8">IF($C18="","",E17*(1+F17))</f>
        <v>97151.016050316772</v>
      </c>
      <c r="F18" s="62">
        <f t="shared" ref="F18:G33" ca="1" si="9">IF($C18="","",F17)</f>
        <v>1.1257768431897297E-2</v>
      </c>
      <c r="G18" s="62">
        <f t="shared" ca="1" si="9"/>
        <v>0.05</v>
      </c>
      <c r="H18" s="63">
        <f t="shared" ca="1" si="2"/>
        <v>2.9538334851663201E-2</v>
      </c>
      <c r="I18" s="64">
        <f t="shared" ca="1" si="3"/>
        <v>2901.985427668159</v>
      </c>
      <c r="J18" s="64">
        <f t="shared" ca="1" si="4"/>
        <v>5959.2386817647694</v>
      </c>
      <c r="K18" s="65">
        <f t="shared" ca="1" si="5"/>
        <v>5959.2386817647694</v>
      </c>
      <c r="L18" s="66"/>
      <c r="M18" s="67">
        <f ca="1">IF($C18="",0,
I18*'1.c Decrements'!D13+(M17-N17-O17)*(1+G17))</f>
        <v>8399.1301468057718</v>
      </c>
      <c r="N18" s="68">
        <f ca="1">K18*'1.a Assumptions'!$C$13*'1.c Decrements'!E13</f>
        <v>236.95124846433072</v>
      </c>
      <c r="O18" s="68">
        <f ca="1">J19*('1.c Decrements'!F13+'1.c Decrements'!G13)</f>
        <v>0</v>
      </c>
      <c r="P18" s="68">
        <f ca="1">M18-J19*'1.c Decrements'!D13</f>
        <v>105.83645055419584</v>
      </c>
      <c r="Q18" s="68">
        <f ca="1">IF(B19&lt;=$Q$14,OFFSET('1.c Decrements'!$J$11,0,$Q$14-B18),"")</f>
        <v>14.399999999999999</v>
      </c>
      <c r="S18" s="13"/>
      <c r="T18" s="13"/>
      <c r="U18" s="13"/>
      <c r="V18" s="13"/>
      <c r="W18" s="13"/>
      <c r="X18" s="13"/>
      <c r="Y18" s="13"/>
      <c r="Z18" s="13"/>
      <c r="AA18" s="13"/>
    </row>
    <row r="19" spans="1:27" x14ac:dyDescent="0.25">
      <c r="A19" s="13"/>
      <c r="B19" s="57">
        <f t="shared" ca="1" si="1"/>
        <v>3</v>
      </c>
      <c r="C19" s="71">
        <f t="shared" ca="1" si="6"/>
        <v>48</v>
      </c>
      <c r="D19" s="72">
        <f t="shared" ca="1" si="7"/>
        <v>0.05</v>
      </c>
      <c r="E19" s="73">
        <f t="shared" ca="1" si="8"/>
        <v>98244.719691934777</v>
      </c>
      <c r="F19" s="62">
        <f t="shared" ca="1" si="9"/>
        <v>1.1257768431897297E-2</v>
      </c>
      <c r="G19" s="62">
        <f t="shared" ca="1" si="9"/>
        <v>0.05</v>
      </c>
      <c r="H19" s="63">
        <f t="shared" ca="1" si="2"/>
        <v>3.3064982261016666E-2</v>
      </c>
      <c r="I19" s="64">
        <f t="shared" ca="1" si="3"/>
        <v>3285.0303233228292</v>
      </c>
      <c r="J19" s="64">
        <f t="shared" ca="1" si="4"/>
        <v>9385.8009237795122</v>
      </c>
      <c r="K19" s="65">
        <f t="shared" ca="1" si="5"/>
        <v>9385.8009237795122</v>
      </c>
      <c r="L19" s="66"/>
      <c r="M19" s="67">
        <f ca="1">IF($C19="",0,
I19*'1.c Decrements'!D14+(M18-N18-O18)*(1+G18))</f>
        <v>11298.781469325282</v>
      </c>
      <c r="N19" s="68">
        <f ca="1">K19*'1.a Assumptions'!$C$13*'1.c Decrements'!E14</f>
        <v>350.80632335144168</v>
      </c>
      <c r="O19" s="68">
        <f ca="1">J20*('1.c Decrements'!F14+'1.c Decrements'!G14)</f>
        <v>0</v>
      </c>
      <c r="P19" s="68">
        <f ca="1">M19-J20*'1.c Decrements'!D14</f>
        <v>384.80696505820742</v>
      </c>
      <c r="Q19" s="68">
        <f ca="1">IF(B20&lt;=$Q$14,OFFSET('1.c Decrements'!$J$11,0,$Q$14-B19),"")</f>
        <v>14.399999999999999</v>
      </c>
      <c r="S19" s="13"/>
      <c r="T19" s="13"/>
      <c r="U19" s="13"/>
      <c r="V19" s="13"/>
      <c r="W19" s="13"/>
      <c r="X19" s="13"/>
      <c r="Y19" s="13"/>
      <c r="Z19" s="13"/>
      <c r="AA19" s="13"/>
    </row>
    <row r="20" spans="1:27" x14ac:dyDescent="0.25">
      <c r="A20" s="13"/>
      <c r="B20" s="57">
        <f t="shared" ca="1" si="1"/>
        <v>4</v>
      </c>
      <c r="C20" s="71">
        <f t="shared" ca="1" si="6"/>
        <v>49</v>
      </c>
      <c r="D20" s="72">
        <f t="shared" ca="1" si="7"/>
        <v>0.05</v>
      </c>
      <c r="E20" s="73">
        <f t="shared" ca="1" si="8"/>
        <v>99350.735995883239</v>
      </c>
      <c r="F20" s="62">
        <f t="shared" ca="1" si="9"/>
        <v>1.1257768431897297E-2</v>
      </c>
      <c r="G20" s="62">
        <f t="shared" ca="1" si="9"/>
        <v>0.05</v>
      </c>
      <c r="H20" s="63">
        <f t="shared" ca="1" si="2"/>
        <v>3.3064982261016666E-2</v>
      </c>
      <c r="I20" s="64">
        <f t="shared" ca="1" si="3"/>
        <v>3322.0124339945583</v>
      </c>
      <c r="J20" s="64">
        <f t="shared" ca="1" si="4"/>
        <v>13140.121293291317</v>
      </c>
      <c r="K20" s="65">
        <f t="shared" ca="1" si="5"/>
        <v>13140.121293291317</v>
      </c>
      <c r="L20" s="66"/>
      <c r="M20" s="67">
        <f ca="1">IF($C20="",0,
I20*'1.c Decrements'!D15+(M19-N19-O19)*(1+G19))</f>
        <v>14089.031656220852</v>
      </c>
      <c r="N20" s="68">
        <f ca="1">K20*'1.a Assumptions'!$C$13*'1.c Decrements'!E15</f>
        <v>461.66112153049721</v>
      </c>
      <c r="O20" s="68">
        <f ca="1">J21*('1.c Decrements'!F15+'1.c Decrements'!G15)</f>
        <v>0</v>
      </c>
      <c r="P20" s="68">
        <f ca="1">M20-J21*'1.c Decrements'!D15</f>
        <v>623.91561158134937</v>
      </c>
      <c r="Q20" s="68">
        <f ca="1">IF(B21&lt;=$Q$14,OFFSET('1.c Decrements'!$J$11,0,$Q$14-B20),"")</f>
        <v>14.399999999999999</v>
      </c>
      <c r="S20" s="13"/>
      <c r="T20" s="13"/>
      <c r="U20" s="13"/>
      <c r="V20" s="13"/>
      <c r="W20" s="13"/>
      <c r="X20" s="13"/>
      <c r="Y20" s="13"/>
      <c r="Z20" s="13"/>
      <c r="AA20" s="13"/>
    </row>
    <row r="21" spans="1:27" x14ac:dyDescent="0.25">
      <c r="A21" s="13"/>
      <c r="B21" s="57">
        <f t="shared" ca="1" si="1"/>
        <v>5</v>
      </c>
      <c r="C21" s="71">
        <f t="shared" ca="1" si="6"/>
        <v>50</v>
      </c>
      <c r="D21" s="72">
        <f t="shared" ca="1" si="7"/>
        <v>0.05</v>
      </c>
      <c r="E21" s="73">
        <f t="shared" ca="1" si="8"/>
        <v>100469.20357526345</v>
      </c>
      <c r="F21" s="62">
        <f t="shared" ca="1" si="9"/>
        <v>1.1257768431897297E-2</v>
      </c>
      <c r="G21" s="62">
        <f t="shared" ca="1" si="9"/>
        <v>0.05</v>
      </c>
      <c r="H21" s="63">
        <f t="shared" ca="1" si="2"/>
        <v>3.3064982261016666E-2</v>
      </c>
      <c r="I21" s="64">
        <f t="shared" ca="1" si="3"/>
        <v>3359.4108807043526</v>
      </c>
      <c r="J21" s="64">
        <f t="shared" ca="1" si="4"/>
        <v>17246.409197444853</v>
      </c>
      <c r="K21" s="65">
        <f t="shared" ca="1" si="5"/>
        <v>17246.409197444853</v>
      </c>
      <c r="L21" s="66"/>
      <c r="M21" s="67">
        <f ca="1">IF($C21="",0,
I21*'1.c Decrements'!D16+(M20-N20-O20)*(1+G20))</f>
        <v>16774.224219668125</v>
      </c>
      <c r="N21" s="68">
        <f ca="1">K21*'1.a Assumptions'!$C$13*'1.c Decrements'!E16</f>
        <v>569.57440868825097</v>
      </c>
      <c r="O21" s="68">
        <f ca="1">J22*('1.c Decrements'!F16+'1.c Decrements'!G16)</f>
        <v>0</v>
      </c>
      <c r="P21" s="68">
        <f ca="1">M21-J22*'1.c Decrements'!D16</f>
        <v>826.14077639709831</v>
      </c>
      <c r="Q21" s="68">
        <f ca="1">IF(B22&lt;=$Q$14,OFFSET('1.c Decrements'!$J$11,0,$Q$14-B21),"")</f>
        <v>14.399999999999999</v>
      </c>
      <c r="S21" s="13"/>
      <c r="T21" s="13"/>
      <c r="U21" s="13"/>
      <c r="V21" s="13"/>
      <c r="W21" s="13"/>
      <c r="X21" s="13"/>
      <c r="Y21" s="13"/>
      <c r="Z21" s="13"/>
      <c r="AA21" s="13"/>
    </row>
    <row r="22" spans="1:27" x14ac:dyDescent="0.25">
      <c r="A22" s="13"/>
      <c r="B22" s="57">
        <f t="shared" ca="1" si="1"/>
        <v>6</v>
      </c>
      <c r="C22" s="71">
        <f t="shared" ca="1" si="6"/>
        <v>51</v>
      </c>
      <c r="D22" s="72">
        <f t="shared" ca="1" si="7"/>
        <v>0.05</v>
      </c>
      <c r="E22" s="73">
        <f t="shared" ca="1" si="8"/>
        <v>101600.26260365092</v>
      </c>
      <c r="F22" s="62">
        <f t="shared" ca="1" si="9"/>
        <v>1.1257768431897297E-2</v>
      </c>
      <c r="G22" s="62">
        <f t="shared" ca="1" si="9"/>
        <v>0.05</v>
      </c>
      <c r="H22" s="63">
        <f t="shared" ca="1" si="2"/>
        <v>3.701268393806522E-2</v>
      </c>
      <c r="I22" s="64">
        <f t="shared" ca="1" si="3"/>
        <v>3802.8332280365898</v>
      </c>
      <c r="J22" s="64">
        <f t="shared" ca="1" si="4"/>
        <v>21730.475588780515</v>
      </c>
      <c r="K22" s="65">
        <f t="shared" ca="1" si="5"/>
        <v>21730.475588780515</v>
      </c>
      <c r="L22" s="66"/>
      <c r="M22" s="67">
        <f ca="1">IF($C22="",0,
I22*'1.c Decrements'!D17+(M21-N21-O21)*(1+G21))</f>
        <v>19638.342027946954</v>
      </c>
      <c r="N22" s="68">
        <f ca="1">K22*'1.a Assumptions'!$C$13*'1.c Decrements'!E17</f>
        <v>674.60392965036442</v>
      </c>
      <c r="O22" s="68">
        <f ca="1">J23*('1.c Decrements'!F17+'1.c Decrements'!G17)</f>
        <v>0</v>
      </c>
      <c r="P22" s="68">
        <f ca="1">M22-J23*'1.c Decrements'!D17</f>
        <v>1274.1239430203641</v>
      </c>
      <c r="Q22" s="68">
        <f ca="1">IF(B23&lt;=$Q$14,OFFSET('1.c Decrements'!$J$11,0,$Q$14-B22),"")</f>
        <v>14.399999999999999</v>
      </c>
      <c r="S22" s="13"/>
      <c r="T22" s="13"/>
      <c r="U22" s="13"/>
      <c r="V22" s="13"/>
      <c r="W22" s="13"/>
      <c r="X22" s="13"/>
      <c r="Y22" s="13"/>
      <c r="Z22" s="13"/>
      <c r="AA22" s="13"/>
    </row>
    <row r="23" spans="1:27" x14ac:dyDescent="0.25">
      <c r="A23" s="13"/>
      <c r="B23" s="57">
        <f t="shared" ca="1" si="1"/>
        <v>7</v>
      </c>
      <c r="C23" s="71">
        <f t="shared" ca="1" si="6"/>
        <v>52</v>
      </c>
      <c r="D23" s="72">
        <f t="shared" ca="1" si="7"/>
        <v>0.05</v>
      </c>
      <c r="E23" s="73">
        <f t="shared" ca="1" si="8"/>
        <v>102744.05483266278</v>
      </c>
      <c r="F23" s="62">
        <f t="shared" ca="1" si="9"/>
        <v>1.1257768431897297E-2</v>
      </c>
      <c r="G23" s="62">
        <f t="shared" ca="1" si="9"/>
        <v>0.05</v>
      </c>
      <c r="H23" s="63">
        <f t="shared" ca="1" si="2"/>
        <v>3.701268393806522E-2</v>
      </c>
      <c r="I23" s="64">
        <f t="shared" ca="1" si="3"/>
        <v>3845.6446439029501</v>
      </c>
      <c r="J23" s="64">
        <f t="shared" ca="1" si="4"/>
        <v>26619.832596256132</v>
      </c>
      <c r="K23" s="65">
        <f t="shared" ca="1" si="5"/>
        <v>26619.832596256132</v>
      </c>
      <c r="L23" s="66"/>
      <c r="M23" s="67">
        <f ca="1">IF($C23="",0,
I23*'1.c Decrements'!D18+(M22-N22-O22)*(1+G22))</f>
        <v>22405.739390009414</v>
      </c>
      <c r="N23" s="68">
        <f ca="1">K23*'1.a Assumptions'!$C$13*'1.c Decrements'!E18</f>
        <v>776.80642499239468</v>
      </c>
      <c r="O23" s="68">
        <f ca="1">J24*('1.c Decrements'!F18+'1.c Decrements'!G18)</f>
        <v>0</v>
      </c>
      <c r="P23" s="68">
        <f ca="1">M23-J24*'1.c Decrements'!D18</f>
        <v>1690.9013902122242</v>
      </c>
      <c r="Q23" s="68">
        <f ca="1">IF(B24&lt;=$Q$14,OFFSET('1.c Decrements'!$J$11,0,$Q$14-B23),"")</f>
        <v>14.399999999999999</v>
      </c>
      <c r="S23" s="13"/>
      <c r="T23" s="13"/>
      <c r="U23" s="13"/>
      <c r="V23" s="13"/>
      <c r="W23" s="13"/>
      <c r="X23" s="13"/>
      <c r="Y23" s="13"/>
      <c r="Z23" s="13"/>
      <c r="AA23" s="13"/>
    </row>
    <row r="24" spans="1:27" x14ac:dyDescent="0.25">
      <c r="A24" s="13"/>
      <c r="B24" s="57">
        <f t="shared" ca="1" si="1"/>
        <v>8</v>
      </c>
      <c r="C24" s="71">
        <f t="shared" ca="1" si="6"/>
        <v>53</v>
      </c>
      <c r="D24" s="72">
        <f t="shared" ca="1" si="7"/>
        <v>0.05</v>
      </c>
      <c r="E24" s="73">
        <f t="shared" ca="1" si="8"/>
        <v>103900.72360972305</v>
      </c>
      <c r="F24" s="62">
        <f t="shared" ca="1" si="9"/>
        <v>1.1257768431897297E-2</v>
      </c>
      <c r="G24" s="62">
        <f t="shared" ca="1" si="9"/>
        <v>0.05</v>
      </c>
      <c r="H24" s="63">
        <f t="shared" ca="1" si="2"/>
        <v>3.701268393806522E-2</v>
      </c>
      <c r="I24" s="64">
        <f t="shared" ca="1" si="3"/>
        <v>3888.9380207753757</v>
      </c>
      <c r="J24" s="64">
        <f t="shared" ca="1" si="4"/>
        <v>31943.799115507358</v>
      </c>
      <c r="K24" s="65">
        <f t="shared" ca="1" si="5"/>
        <v>31943.799115507358</v>
      </c>
      <c r="L24" s="66"/>
      <c r="M24" s="67">
        <f ca="1">IF($C24="",0,
I24*'1.c Decrements'!D19+(M23-N23-O23)*(1+G23))</f>
        <v>25080.955434643969</v>
      </c>
      <c r="N24" s="68">
        <f ca="1">K24*'1.a Assumptions'!$C$13*'1.c Decrements'!E19</f>
        <v>876.23764739142109</v>
      </c>
      <c r="O24" s="68">
        <f ca="1">J25*('1.c Decrements'!F19+'1.c Decrements'!G19)</f>
        <v>0</v>
      </c>
      <c r="P24" s="68">
        <f ca="1">M24-J25*'1.c Decrements'!D19</f>
        <v>2079.7171906191652</v>
      </c>
      <c r="Q24" s="68">
        <f ca="1">IF(B25&lt;=$Q$14,OFFSET('1.c Decrements'!$J$11,0,$Q$14-B24),"")</f>
        <v>14.399999999999999</v>
      </c>
      <c r="S24" s="13"/>
      <c r="T24" s="13"/>
      <c r="U24" s="13"/>
      <c r="V24" s="13"/>
      <c r="W24" s="13"/>
      <c r="X24" s="13"/>
      <c r="Y24" s="13"/>
      <c r="Z24" s="13"/>
      <c r="AA24" s="13"/>
    </row>
    <row r="25" spans="1:27" x14ac:dyDescent="0.25">
      <c r="A25" s="13"/>
      <c r="B25" s="57">
        <f t="shared" ca="1" si="1"/>
        <v>9</v>
      </c>
      <c r="C25" s="71">
        <f t="shared" ca="1" si="6"/>
        <v>54</v>
      </c>
      <c r="D25" s="72">
        <f t="shared" ca="1" si="7"/>
        <v>0.05</v>
      </c>
      <c r="E25" s="73">
        <f t="shared" ca="1" si="8"/>
        <v>105070.41389602788</v>
      </c>
      <c r="F25" s="62">
        <f t="shared" ca="1" si="9"/>
        <v>1.1257768431897297E-2</v>
      </c>
      <c r="G25" s="62">
        <f t="shared" ca="1" si="9"/>
        <v>0.05</v>
      </c>
      <c r="H25" s="63">
        <f t="shared" ca="1" si="2"/>
        <v>4.1431710487087048E-2</v>
      </c>
      <c r="I25" s="64">
        <f t="shared" ca="1" si="3"/>
        <v>4402.2548156058583</v>
      </c>
      <c r="J25" s="64">
        <f t="shared" ca="1" si="4"/>
        <v>37733.612705193067</v>
      </c>
      <c r="K25" s="65">
        <f t="shared" ca="1" si="5"/>
        <v>37733.612705193067</v>
      </c>
      <c r="L25" s="66"/>
      <c r="M25" s="67">
        <f ca="1">IF($C25="",0,
I25*'1.c Decrements'!D20+(M24-N24-O24)*(1+G24))</f>
        <v>27937.422804043228</v>
      </c>
      <c r="N25" s="68">
        <f ca="1">K25*'1.a Assumptions'!$C$13*'1.c Decrements'!E20</f>
        <v>972.95237772224914</v>
      </c>
      <c r="O25" s="68">
        <f ca="1">J26*('1.c Decrements'!F20+'1.c Decrements'!G20)</f>
        <v>0</v>
      </c>
      <c r="P25" s="68">
        <f ca="1">M25-J26*'1.c Decrements'!D20</f>
        <v>2712.7315297626956</v>
      </c>
      <c r="Q25" s="68">
        <f ca="1">IF(B26&lt;=$Q$14,OFFSET('1.c Decrements'!$J$11,0,$Q$14-B25),"")</f>
        <v>14.399999999999999</v>
      </c>
      <c r="S25" s="13"/>
      <c r="T25" s="13"/>
      <c r="U25" s="13"/>
      <c r="V25" s="13"/>
      <c r="W25" s="13"/>
      <c r="X25" s="13"/>
      <c r="Y25" s="13"/>
      <c r="Z25" s="13"/>
      <c r="AA25" s="13"/>
    </row>
    <row r="26" spans="1:27" x14ac:dyDescent="0.25">
      <c r="A26" s="13"/>
      <c r="B26" s="57">
        <f t="shared" ca="1" si="1"/>
        <v>10</v>
      </c>
      <c r="C26" s="71">
        <f t="shared" ca="1" si="6"/>
        <v>55</v>
      </c>
      <c r="D26" s="72">
        <f t="shared" ca="1" si="7"/>
        <v>0.05</v>
      </c>
      <c r="E26" s="73">
        <f t="shared" ca="1" si="8"/>
        <v>106253.27228471296</v>
      </c>
      <c r="F26" s="62">
        <f t="shared" ca="1" si="9"/>
        <v>1.1257768431897297E-2</v>
      </c>
      <c r="G26" s="62">
        <f t="shared" ca="1" si="9"/>
        <v>0.05</v>
      </c>
      <c r="H26" s="63">
        <f t="shared" ca="1" si="2"/>
        <v>4.1431710487087048E-2</v>
      </c>
      <c r="I26" s="64">
        <f t="shared" ca="1" si="3"/>
        <v>4451.8143808981531</v>
      </c>
      <c r="J26" s="64">
        <f t="shared" ca="1" si="4"/>
        <v>44022.548156058569</v>
      </c>
      <c r="K26" s="65">
        <f t="shared" ca="1" si="5"/>
        <v>44022.548156058569</v>
      </c>
      <c r="L26" s="66"/>
      <c r="M26" s="67">
        <f ca="1">IF($C26="",0,
I26*'1.c Decrements'!D21+(M25-N25-O25)*(1+G25))</f>
        <v>30710.508458333803</v>
      </c>
      <c r="N26" s="68">
        <f ca="1">K26*'1.a Assumptions'!$C$13*'1.c Decrements'!E21</f>
        <v>1067.0044409020666</v>
      </c>
      <c r="O26" s="68">
        <f ca="1">J27*('1.c Decrements'!F21+'1.c Decrements'!G21)</f>
        <v>0</v>
      </c>
      <c r="P26" s="68">
        <f ca="1">M26-J27*'1.c Decrements'!D21</f>
        <v>3324.0611418474182</v>
      </c>
      <c r="Q26" s="68">
        <f ca="1">IF(B27&lt;=$Q$14,OFFSET('1.c Decrements'!$J$11,0,$Q$14-B26),"")</f>
        <v>14.399999999999999</v>
      </c>
      <c r="S26" s="13"/>
      <c r="T26" s="13"/>
      <c r="U26" s="13"/>
      <c r="V26" s="13"/>
      <c r="W26" s="13"/>
      <c r="X26" s="13"/>
      <c r="Y26" s="13"/>
      <c r="Z26" s="13"/>
      <c r="AA26" s="13"/>
    </row>
    <row r="27" spans="1:27" x14ac:dyDescent="0.25">
      <c r="A27" s="13"/>
      <c r="B27" s="57">
        <f t="shared" ca="1" si="1"/>
        <v>11</v>
      </c>
      <c r="C27" s="71">
        <f t="shared" ca="1" si="6"/>
        <v>56</v>
      </c>
      <c r="D27" s="72">
        <f t="shared" ca="1" si="7"/>
        <v>0.05</v>
      </c>
      <c r="E27" s="73">
        <f t="shared" ca="1" si="8"/>
        <v>107449.4470192256</v>
      </c>
      <c r="F27" s="62">
        <f t="shared" ca="1" si="9"/>
        <v>1.1257768431897297E-2</v>
      </c>
      <c r="G27" s="62">
        <f t="shared" ca="1" si="9"/>
        <v>0.05</v>
      </c>
      <c r="H27" s="63">
        <f t="shared" ca="1" si="2"/>
        <v>4.1431710487087048E-2</v>
      </c>
      <c r="I27" s="64">
        <f t="shared" ca="1" si="3"/>
        <v>4501.9318763000947</v>
      </c>
      <c r="J27" s="64">
        <f t="shared" ca="1" si="4"/>
        <v>50846.043120247661</v>
      </c>
      <c r="K27" s="65">
        <f t="shared" ca="1" si="5"/>
        <v>50846.043120247661</v>
      </c>
      <c r="L27" s="66"/>
      <c r="M27" s="67">
        <f ca="1">IF($C27="",0,
I27*'1.c Decrements'!D22+(M26-N26-O26)*(1+G26))</f>
        <v>33404.999256432115</v>
      </c>
      <c r="N27" s="68">
        <f ca="1">K27*'1.a Assumptions'!$C$13*'1.c Decrements'!E22</f>
        <v>1158.4467214873739</v>
      </c>
      <c r="O27" s="68">
        <f ca="1">J28*('1.c Decrements'!F22+'1.c Decrements'!G22)</f>
        <v>0</v>
      </c>
      <c r="P27" s="68">
        <f ca="1">M27-J28*'1.c Decrements'!D22</f>
        <v>3917.264527662599</v>
      </c>
      <c r="Q27" s="68">
        <f ca="1">IF(B28&lt;=$Q$14,OFFSET('1.c Decrements'!$J$11,0,$Q$14-B27),"")</f>
        <v>14.399999999999999</v>
      </c>
      <c r="S27" s="13"/>
      <c r="T27" s="13"/>
      <c r="U27" s="13"/>
      <c r="V27" s="13"/>
      <c r="W27" s="13"/>
      <c r="X27" s="13"/>
      <c r="Y27" s="13"/>
      <c r="Z27" s="13"/>
      <c r="AA27" s="13"/>
    </row>
    <row r="28" spans="1:27" x14ac:dyDescent="0.25">
      <c r="A28" s="13"/>
      <c r="B28" s="57">
        <f t="shared" ca="1" si="1"/>
        <v>12</v>
      </c>
      <c r="C28" s="71">
        <f t="shared" ca="1" si="6"/>
        <v>57</v>
      </c>
      <c r="D28" s="72">
        <f t="shared" ca="1" si="7"/>
        <v>0.05</v>
      </c>
      <c r="E28" s="73">
        <f t="shared" ca="1" si="8"/>
        <v>108659.08801190346</v>
      </c>
      <c r="F28" s="62">
        <f t="shared" ca="1" si="9"/>
        <v>1.1257768431897297E-2</v>
      </c>
      <c r="G28" s="62">
        <f t="shared" ca="1" si="9"/>
        <v>0.05</v>
      </c>
      <c r="H28" s="63">
        <f t="shared" ca="1" si="2"/>
        <v>4.6378334431467612E-2</v>
      </c>
      <c r="I28" s="64">
        <f t="shared" ca="1" si="3"/>
        <v>5096.1602309157297</v>
      </c>
      <c r="J28" s="64">
        <f t="shared" ca="1" si="4"/>
        <v>58241.831210465491</v>
      </c>
      <c r="K28" s="65">
        <f t="shared" ca="1" si="5"/>
        <v>58241.831210465491</v>
      </c>
      <c r="L28" s="66"/>
      <c r="M28" s="67">
        <f ca="1">IF($C28="",0,
I28*'1.c Decrements'!D23+(M27-N27-O27)*(1+G27))</f>
        <v>36284.246343133273</v>
      </c>
      <c r="N28" s="68">
        <f ca="1">K28*'1.a Assumptions'!$C$13*'1.c Decrements'!E23</f>
        <v>1247.3311790269504</v>
      </c>
      <c r="O28" s="68">
        <f ca="1">J29*('1.c Decrements'!F23+'1.c Decrements'!G23)</f>
        <v>0</v>
      </c>
      <c r="P28" s="68">
        <f ca="1">M28-J29*'1.c Decrements'!D23</f>
        <v>4754.4859843964696</v>
      </c>
      <c r="Q28" s="68">
        <f ca="1">IF(B29&lt;=$Q$14,OFFSET('1.c Decrements'!$J$11,0,$Q$14-B28),"")</f>
        <v>14.399999999999999</v>
      </c>
      <c r="S28" s="13"/>
      <c r="T28" s="13"/>
      <c r="U28" s="13"/>
      <c r="V28" s="13"/>
      <c r="W28" s="13"/>
      <c r="X28" s="13"/>
      <c r="Y28" s="13"/>
      <c r="Z28" s="13"/>
      <c r="AA28" s="13"/>
    </row>
    <row r="29" spans="1:27" x14ac:dyDescent="0.25">
      <c r="A29" s="13"/>
      <c r="B29" s="57">
        <f t="shared" ca="1" si="1"/>
        <v>13</v>
      </c>
      <c r="C29" s="71">
        <f t="shared" ca="1" si="6"/>
        <v>58</v>
      </c>
      <c r="D29" s="72">
        <f t="shared" ca="1" si="7"/>
        <v>0.05</v>
      </c>
      <c r="E29" s="73">
        <f t="shared" ca="1" si="8"/>
        <v>109882.34686276261</v>
      </c>
      <c r="F29" s="62">
        <f t="shared" ca="1" si="9"/>
        <v>1.1257768431897297E-2</v>
      </c>
      <c r="G29" s="62">
        <f t="shared" ca="1" si="9"/>
        <v>0.05</v>
      </c>
      <c r="H29" s="63">
        <f t="shared" ca="1" si="2"/>
        <v>4.6378334431467612E-2</v>
      </c>
      <c r="I29" s="64">
        <f t="shared" ca="1" si="3"/>
        <v>5153.5316226872237</v>
      </c>
      <c r="J29" s="64">
        <f t="shared" ca="1" si="4"/>
        <v>66250.083001904495</v>
      </c>
      <c r="K29" s="65">
        <f t="shared" ca="1" si="5"/>
        <v>66250.083001904495</v>
      </c>
      <c r="L29" s="66"/>
      <c r="M29" s="67">
        <f ca="1">IF($C29="",0,
I29*'1.c Decrements'!D24+(M28-N28-O28)*(1+G28))</f>
        <v>39094.271091049683</v>
      </c>
      <c r="N29" s="68">
        <f ca="1">K29*'1.a Assumptions'!$C$13*'1.c Decrements'!E24</f>
        <v>1333.7088631745667</v>
      </c>
      <c r="O29" s="68">
        <f ca="1">J30*('1.c Decrements'!F24+'1.c Decrements'!G24)</f>
        <v>0</v>
      </c>
      <c r="P29" s="68">
        <f ca="1">M29-J30*'1.c Decrements'!D24</f>
        <v>5580.5611958938971</v>
      </c>
      <c r="Q29" s="68">
        <f ca="1">IF(B30&lt;=$Q$14,OFFSET('1.c Decrements'!$J$11,0,$Q$14-B29),"")</f>
        <v>14.399999999999999</v>
      </c>
      <c r="S29" s="13"/>
      <c r="T29" s="13"/>
      <c r="U29" s="13"/>
      <c r="V29" s="13"/>
      <c r="W29" s="13"/>
      <c r="X29" s="13"/>
      <c r="Y29" s="13"/>
      <c r="Z29" s="13"/>
      <c r="AA29" s="13"/>
    </row>
    <row r="30" spans="1:27" x14ac:dyDescent="0.25">
      <c r="A30" s="13"/>
      <c r="B30" s="57">
        <f t="shared" ca="1" si="1"/>
        <v>14</v>
      </c>
      <c r="C30" s="71">
        <f t="shared" ca="1" si="6"/>
        <v>59</v>
      </c>
      <c r="D30" s="72">
        <f t="shared" ca="1" si="7"/>
        <v>0.05</v>
      </c>
      <c r="E30" s="73">
        <f t="shared" ca="1" si="8"/>
        <v>111119.37687849702</v>
      </c>
      <c r="F30" s="62">
        <f t="shared" ca="1" si="9"/>
        <v>1.1257768431897297E-2</v>
      </c>
      <c r="G30" s="62">
        <f t="shared" ca="1" si="9"/>
        <v>0.05</v>
      </c>
      <c r="H30" s="63">
        <f t="shared" ca="1" si="2"/>
        <v>4.6378334431467612E-2</v>
      </c>
      <c r="I30" s="64">
        <f t="shared" ca="1" si="3"/>
        <v>5211.548888301897</v>
      </c>
      <c r="J30" s="64">
        <f t="shared" ca="1" si="4"/>
        <v>74913.555394461247</v>
      </c>
      <c r="K30" s="65">
        <f t="shared" ca="1" si="5"/>
        <v>74913.555394461247</v>
      </c>
      <c r="L30" s="66"/>
      <c r="M30" s="67">
        <f ca="1">IF($C30="",0,
I30*'1.c Decrements'!D25+(M29-N29-O29)*(1+G29))</f>
        <v>41840.16750350385</v>
      </c>
      <c r="N30" s="68">
        <f ca="1">K30*'1.a Assumptions'!$C$13*'1.c Decrements'!E25</f>
        <v>0</v>
      </c>
      <c r="O30" s="68">
        <f ca="1">J31*('1.c Decrements'!F25+'1.c Decrements'!G25)</f>
        <v>35440.748214127241</v>
      </c>
      <c r="P30" s="68">
        <f ca="1">M30-J31*'1.c Decrements'!D25</f>
        <v>6399.4192893766085</v>
      </c>
      <c r="Q30" s="68">
        <f ca="1">IF(B31&lt;=$Q$14,OFFSET('1.c Decrements'!$J$11,0,$Q$14-B30),"")</f>
        <v>240</v>
      </c>
      <c r="R30" s="120"/>
      <c r="S30" s="13"/>
      <c r="T30" s="13"/>
      <c r="U30" s="13"/>
      <c r="V30" s="13"/>
      <c r="W30" s="13"/>
      <c r="X30" s="13"/>
      <c r="Y30" s="13"/>
      <c r="Z30" s="13"/>
      <c r="AA30" s="13"/>
    </row>
    <row r="31" spans="1:27" x14ac:dyDescent="0.25">
      <c r="A31" s="13"/>
      <c r="B31" s="57">
        <f t="shared" ca="1" si="1"/>
        <v>15</v>
      </c>
      <c r="C31" s="71">
        <f t="shared" ca="1" si="6"/>
        <v>60</v>
      </c>
      <c r="D31" s="72">
        <f t="shared" ca="1" si="7"/>
        <v>0.05</v>
      </c>
      <c r="E31" s="73">
        <f t="shared" ca="1" si="8"/>
        <v>112370.33309169186</v>
      </c>
      <c r="F31" s="62">
        <f t="shared" ca="1" si="9"/>
        <v>1.1257768431897297E-2</v>
      </c>
      <c r="G31" s="62">
        <f t="shared" ca="1" si="9"/>
        <v>0.05</v>
      </c>
      <c r="H31" s="63">
        <f t="shared" ca="1" si="2"/>
        <v>2.1266798057696368E-2</v>
      </c>
      <c r="I31" s="64">
        <f t="shared" ca="1" si="3"/>
        <v>0</v>
      </c>
      <c r="J31" s="64">
        <f t="shared" ca="1" si="4"/>
        <v>84277.749818768905</v>
      </c>
      <c r="K31" s="65">
        <f t="shared" ca="1" si="5"/>
        <v>84277.749818768905</v>
      </c>
      <c r="L31" s="66"/>
      <c r="M31" s="67">
        <f ca="1">IF($C31="",0,
I31*'1.c Decrements'!D26+(M30-N30-O30)*(1+G30))</f>
        <v>6719.3902538454395</v>
      </c>
      <c r="N31" s="68">
        <f ca="1">K31*'1.a Assumptions'!$C$13*'1.c Decrements'!E26</f>
        <v>0</v>
      </c>
      <c r="O31" s="68">
        <f ca="1">J32*('1.c Decrements'!F26+'1.c Decrements'!G26)</f>
        <v>0</v>
      </c>
      <c r="P31" s="68">
        <f ca="1">M31-J32*'1.c Decrements'!D26</f>
        <v>6719.3902538454395</v>
      </c>
      <c r="Q31" s="68" t="str">
        <f ca="1">IF(B32&lt;=$Q$14,OFFSET('1.c Decrements'!$J$11,0,$Q$14-B31),"")</f>
        <v/>
      </c>
      <c r="S31" s="13"/>
      <c r="T31" s="13"/>
      <c r="U31" s="13"/>
      <c r="V31" s="13"/>
      <c r="W31" s="13"/>
      <c r="X31" s="13"/>
      <c r="Y31" s="13"/>
      <c r="Z31" s="13"/>
      <c r="AA31" s="13"/>
    </row>
    <row r="32" spans="1:27" x14ac:dyDescent="0.25">
      <c r="A32" s="13"/>
      <c r="B32" s="57" t="str">
        <f t="shared" ca="1" si="1"/>
        <v/>
      </c>
      <c r="C32" s="71" t="str">
        <f t="shared" ca="1" si="6"/>
        <v/>
      </c>
      <c r="D32" s="72" t="str">
        <f t="shared" ca="1" si="7"/>
        <v/>
      </c>
      <c r="E32" s="73" t="str">
        <f t="shared" ca="1" si="8"/>
        <v/>
      </c>
      <c r="F32" s="62" t="str">
        <f t="shared" ca="1" si="9"/>
        <v/>
      </c>
      <c r="G32" s="62" t="str">
        <f t="shared" ca="1" si="9"/>
        <v/>
      </c>
      <c r="H32" s="63" t="str">
        <f t="shared" ca="1" si="2"/>
        <v/>
      </c>
      <c r="I32" s="64">
        <f t="shared" ca="1" si="3"/>
        <v>0</v>
      </c>
      <c r="J32" s="64">
        <f t="shared" ca="1" si="4"/>
        <v>0</v>
      </c>
      <c r="K32" s="65">
        <f t="shared" ca="1" si="5"/>
        <v>0</v>
      </c>
      <c r="L32" s="66"/>
      <c r="M32" s="67">
        <f ca="1">IF($C32="",0,
I32*'1.c Decrements'!D27+(M31-N31-O31)*(1+G31))</f>
        <v>0</v>
      </c>
      <c r="N32" s="68">
        <f ca="1">K32*'1.a Assumptions'!$C$13*'1.c Decrements'!E27</f>
        <v>0</v>
      </c>
      <c r="O32" s="68">
        <f ca="1">J33*('1.c Decrements'!F27+'1.c Decrements'!G27)</f>
        <v>0</v>
      </c>
      <c r="P32" s="68">
        <f ca="1">M32-J33*'1.c Decrements'!D27</f>
        <v>0</v>
      </c>
      <c r="Q32" s="68" t="str">
        <f ca="1">IF(B33&lt;=$Q$14,OFFSET('1.c Decrements'!$J$11,0,$Q$14-B32),"")</f>
        <v/>
      </c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25">
      <c r="A33" s="13"/>
      <c r="B33" s="57" t="str">
        <f t="shared" ca="1" si="1"/>
        <v/>
      </c>
      <c r="C33" s="71" t="str">
        <f t="shared" ca="1" si="6"/>
        <v/>
      </c>
      <c r="D33" s="72" t="str">
        <f t="shared" ca="1" si="7"/>
        <v/>
      </c>
      <c r="E33" s="73" t="str">
        <f t="shared" ca="1" si="8"/>
        <v/>
      </c>
      <c r="F33" s="62" t="str">
        <f t="shared" ca="1" si="9"/>
        <v/>
      </c>
      <c r="G33" s="62" t="str">
        <f t="shared" ca="1" si="9"/>
        <v/>
      </c>
      <c r="H33" s="63" t="str">
        <f t="shared" ca="1" si="2"/>
        <v/>
      </c>
      <c r="I33" s="64">
        <f t="shared" ca="1" si="3"/>
        <v>0</v>
      </c>
      <c r="J33" s="64">
        <f t="shared" ca="1" si="4"/>
        <v>0</v>
      </c>
      <c r="K33" s="65">
        <f t="shared" ca="1" si="5"/>
        <v>0</v>
      </c>
      <c r="L33" s="66"/>
      <c r="M33" s="67">
        <f ca="1">IF($C33="",0,
I33*'1.c Decrements'!D28+(M32-N32-O32)*(1+G32))</f>
        <v>0</v>
      </c>
      <c r="N33" s="68">
        <f ca="1">K33*'1.a Assumptions'!$C$13*'1.c Decrements'!E28</f>
        <v>0</v>
      </c>
      <c r="O33" s="68">
        <f ca="1">J34*('1.c Decrements'!F28+'1.c Decrements'!G28)</f>
        <v>0</v>
      </c>
      <c r="P33" s="68">
        <f ca="1">M33-J34*'1.c Decrements'!D28</f>
        <v>0</v>
      </c>
      <c r="Q33" s="68" t="str">
        <f ca="1">IF(B34&lt;=$Q$14,OFFSET('1.c Decrements'!$J$11,0,$Q$14-B33),"")</f>
        <v/>
      </c>
      <c r="R33" s="74"/>
      <c r="S33" s="74"/>
      <c r="T33" s="13"/>
      <c r="U33" s="74"/>
      <c r="V33" s="74"/>
      <c r="W33" s="74"/>
      <c r="X33" s="74"/>
      <c r="Y33" s="74"/>
      <c r="Z33" s="74"/>
      <c r="AA33" s="74"/>
    </row>
    <row r="34" spans="1:27" x14ac:dyDescent="0.25">
      <c r="A34" s="13"/>
      <c r="B34" s="57" t="str">
        <f t="shared" ca="1" si="1"/>
        <v/>
      </c>
      <c r="C34" s="71" t="str">
        <f t="shared" ca="1" si="6"/>
        <v/>
      </c>
      <c r="D34" s="72" t="str">
        <f t="shared" ca="1" si="7"/>
        <v/>
      </c>
      <c r="E34" s="73" t="str">
        <f t="shared" ca="1" si="8"/>
        <v/>
      </c>
      <c r="F34" s="62" t="str">
        <f t="shared" ref="F34:G49" ca="1" si="10">IF($C34="","",F33)</f>
        <v/>
      </c>
      <c r="G34" s="62" t="str">
        <f t="shared" ca="1" si="10"/>
        <v/>
      </c>
      <c r="H34" s="63" t="str">
        <f t="shared" ca="1" si="2"/>
        <v/>
      </c>
      <c r="I34" s="64">
        <f t="shared" ca="1" si="3"/>
        <v>0</v>
      </c>
      <c r="J34" s="64">
        <f t="shared" ca="1" si="4"/>
        <v>0</v>
      </c>
      <c r="K34" s="65">
        <f t="shared" ca="1" si="5"/>
        <v>0</v>
      </c>
      <c r="L34" s="66"/>
      <c r="M34" s="67">
        <f ca="1">IF($C34="",0,
I34*'1.c Decrements'!D29+(M33-N33-O33)*(1+G33))</f>
        <v>0</v>
      </c>
      <c r="N34" s="68">
        <f ca="1">K34*'1.a Assumptions'!$C$13*'1.c Decrements'!E29</f>
        <v>0</v>
      </c>
      <c r="O34" s="68">
        <f ca="1">J35*('1.c Decrements'!F29+'1.c Decrements'!G29)</f>
        <v>0</v>
      </c>
      <c r="P34" s="68">
        <f ca="1">M34-J35*'1.c Decrements'!D29</f>
        <v>0</v>
      </c>
      <c r="Q34" s="68" t="str">
        <f ca="1">IF(B35&lt;=$Q$14,OFFSET('1.c Decrements'!$J$11,0,$Q$14-B34),"")</f>
        <v/>
      </c>
      <c r="R34" s="74"/>
      <c r="S34" s="74"/>
      <c r="T34" s="13"/>
      <c r="U34" s="74"/>
      <c r="V34" s="74"/>
      <c r="W34" s="74"/>
      <c r="X34" s="74"/>
      <c r="Y34" s="74"/>
      <c r="Z34" s="74"/>
      <c r="AA34" s="74"/>
    </row>
    <row r="35" spans="1:27" x14ac:dyDescent="0.25">
      <c r="A35" s="13"/>
      <c r="B35" s="57" t="str">
        <f t="shared" ca="1" si="1"/>
        <v/>
      </c>
      <c r="C35" s="71" t="str">
        <f t="shared" ca="1" si="6"/>
        <v/>
      </c>
      <c r="D35" s="72" t="str">
        <f t="shared" ca="1" si="7"/>
        <v/>
      </c>
      <c r="E35" s="73" t="str">
        <f t="shared" ca="1" si="8"/>
        <v/>
      </c>
      <c r="F35" s="62" t="str">
        <f t="shared" ca="1" si="10"/>
        <v/>
      </c>
      <c r="G35" s="62" t="str">
        <f t="shared" ca="1" si="10"/>
        <v/>
      </c>
      <c r="H35" s="63" t="str">
        <f t="shared" ca="1" si="2"/>
        <v/>
      </c>
      <c r="I35" s="64">
        <f t="shared" ca="1" si="3"/>
        <v>0</v>
      </c>
      <c r="J35" s="64">
        <f t="shared" ca="1" si="4"/>
        <v>0</v>
      </c>
      <c r="K35" s="65">
        <f t="shared" ca="1" si="5"/>
        <v>0</v>
      </c>
      <c r="L35" s="66"/>
      <c r="M35" s="67">
        <f ca="1">IF($C35="",0,
I35*'1.c Decrements'!D30+(M34-N34-O34)*(1+G34))</f>
        <v>0</v>
      </c>
      <c r="N35" s="68">
        <f ca="1">K35*'1.a Assumptions'!$C$13*'1.c Decrements'!E30</f>
        <v>0</v>
      </c>
      <c r="O35" s="68">
        <f ca="1">J36*('1.c Decrements'!F30+'1.c Decrements'!G30)</f>
        <v>0</v>
      </c>
      <c r="P35" s="68">
        <f ca="1">M35-J36*'1.c Decrements'!D30</f>
        <v>0</v>
      </c>
      <c r="Q35" s="68" t="str">
        <f ca="1">IF(B36&lt;=$Q$14,OFFSET('1.c Decrements'!$J$11,0,$Q$14-B35),"")</f>
        <v/>
      </c>
      <c r="R35" s="74"/>
      <c r="S35" s="74"/>
      <c r="T35" s="13"/>
      <c r="U35" s="13"/>
      <c r="V35" s="13"/>
      <c r="W35" s="13"/>
      <c r="X35" s="13"/>
      <c r="Y35" s="13"/>
      <c r="Z35" s="13"/>
      <c r="AA35" s="13"/>
    </row>
    <row r="36" spans="1:27" x14ac:dyDescent="0.25">
      <c r="A36" s="13"/>
      <c r="B36" s="57" t="str">
        <f t="shared" ca="1" si="1"/>
        <v/>
      </c>
      <c r="C36" s="71" t="str">
        <f t="shared" ca="1" si="6"/>
        <v/>
      </c>
      <c r="D36" s="72" t="str">
        <f t="shared" ca="1" si="7"/>
        <v/>
      </c>
      <c r="E36" s="73" t="str">
        <f t="shared" ca="1" si="8"/>
        <v/>
      </c>
      <c r="F36" s="62" t="str">
        <f t="shared" ca="1" si="10"/>
        <v/>
      </c>
      <c r="G36" s="62" t="str">
        <f t="shared" ca="1" si="10"/>
        <v/>
      </c>
      <c r="H36" s="63" t="str">
        <f t="shared" ca="1" si="2"/>
        <v/>
      </c>
      <c r="I36" s="64">
        <f t="shared" ca="1" si="3"/>
        <v>0</v>
      </c>
      <c r="J36" s="64">
        <f t="shared" ca="1" si="4"/>
        <v>0</v>
      </c>
      <c r="K36" s="65">
        <f t="shared" ca="1" si="5"/>
        <v>0</v>
      </c>
      <c r="L36" s="66"/>
      <c r="M36" s="67">
        <f ca="1">IF($C36="",0,
I36*'1.c Decrements'!D31+(M35-N35-O35)*(1+G35))</f>
        <v>0</v>
      </c>
      <c r="N36" s="68">
        <f ca="1">K36*'1.a Assumptions'!$C$13*'1.c Decrements'!E31</f>
        <v>0</v>
      </c>
      <c r="O36" s="68">
        <f ca="1">J37*('1.c Decrements'!F31+'1.c Decrements'!G31)</f>
        <v>0</v>
      </c>
      <c r="P36" s="68">
        <f ca="1">M36-J37*'1.c Decrements'!D31</f>
        <v>0</v>
      </c>
      <c r="Q36" s="68" t="str">
        <f ca="1">IF(B37&lt;=$Q$14,OFFSET('1.c Decrements'!$J$11,0,$Q$14-B36),"")</f>
        <v/>
      </c>
      <c r="R36" s="74"/>
      <c r="S36" s="74"/>
      <c r="T36" s="13"/>
      <c r="U36" s="13"/>
      <c r="V36" s="13"/>
      <c r="W36" s="13"/>
      <c r="X36" s="13"/>
      <c r="Y36" s="13"/>
      <c r="Z36" s="13"/>
      <c r="AA36" s="13"/>
    </row>
    <row r="37" spans="1:27" x14ac:dyDescent="0.25">
      <c r="A37" s="13"/>
      <c r="B37" s="57" t="str">
        <f t="shared" ca="1" si="1"/>
        <v/>
      </c>
      <c r="C37" s="71" t="str">
        <f t="shared" ca="1" si="6"/>
        <v/>
      </c>
      <c r="D37" s="72" t="str">
        <f t="shared" ca="1" si="7"/>
        <v/>
      </c>
      <c r="E37" s="73" t="str">
        <f t="shared" ca="1" si="8"/>
        <v/>
      </c>
      <c r="F37" s="62" t="str">
        <f t="shared" ca="1" si="10"/>
        <v/>
      </c>
      <c r="G37" s="62" t="str">
        <f t="shared" ca="1" si="10"/>
        <v/>
      </c>
      <c r="H37" s="63" t="str">
        <f t="shared" ca="1" si="2"/>
        <v/>
      </c>
      <c r="I37" s="64">
        <f t="shared" ca="1" si="3"/>
        <v>0</v>
      </c>
      <c r="J37" s="64">
        <f t="shared" ca="1" si="4"/>
        <v>0</v>
      </c>
      <c r="K37" s="65">
        <f t="shared" ca="1" si="5"/>
        <v>0</v>
      </c>
      <c r="L37" s="66"/>
      <c r="M37" s="67">
        <f ca="1">IF($C37="",0,
I37*'1.c Decrements'!D32+(M36-N36-O36)*(1+G36))</f>
        <v>0</v>
      </c>
      <c r="N37" s="68">
        <f ca="1">K37*'1.a Assumptions'!$C$13*'1.c Decrements'!E32</f>
        <v>0</v>
      </c>
      <c r="O37" s="68">
        <f ca="1">J38*('1.c Decrements'!F32+'1.c Decrements'!G32)</f>
        <v>0</v>
      </c>
      <c r="P37" s="68">
        <f ca="1">M37-J38*'1.c Decrements'!D32</f>
        <v>0</v>
      </c>
      <c r="Q37" s="68" t="str">
        <f ca="1">IF(B38&lt;=$Q$14,OFFSET('1.c Decrements'!$J$11,0,$Q$14-B37),"")</f>
        <v/>
      </c>
      <c r="R37" s="75"/>
      <c r="S37" s="75"/>
      <c r="T37" s="13"/>
      <c r="U37" s="13"/>
      <c r="V37" s="13"/>
      <c r="W37" s="13"/>
      <c r="X37" s="13"/>
      <c r="Y37" s="13"/>
      <c r="Z37" s="13"/>
      <c r="AA37" s="13"/>
    </row>
    <row r="38" spans="1:27" x14ac:dyDescent="0.25">
      <c r="A38" s="13"/>
      <c r="B38" s="57" t="str">
        <f t="shared" ca="1" si="1"/>
        <v/>
      </c>
      <c r="C38" s="71" t="str">
        <f t="shared" ca="1" si="6"/>
        <v/>
      </c>
      <c r="D38" s="72" t="str">
        <f t="shared" ca="1" si="7"/>
        <v/>
      </c>
      <c r="E38" s="73" t="str">
        <f t="shared" ca="1" si="8"/>
        <v/>
      </c>
      <c r="F38" s="62" t="str">
        <f t="shared" ca="1" si="10"/>
        <v/>
      </c>
      <c r="G38" s="62" t="str">
        <f t="shared" ca="1" si="10"/>
        <v/>
      </c>
      <c r="H38" s="63" t="str">
        <f t="shared" ca="1" si="2"/>
        <v/>
      </c>
      <c r="I38" s="64">
        <f t="shared" ca="1" si="3"/>
        <v>0</v>
      </c>
      <c r="J38" s="64">
        <f t="shared" ca="1" si="4"/>
        <v>0</v>
      </c>
      <c r="K38" s="65">
        <f t="shared" ca="1" si="5"/>
        <v>0</v>
      </c>
      <c r="L38" s="66"/>
      <c r="M38" s="67">
        <f ca="1">IF($C38="",0,
I38*'1.c Decrements'!D33+(M37-N37-O37)*(1+G37))</f>
        <v>0</v>
      </c>
      <c r="N38" s="68">
        <f ca="1">K38*'1.a Assumptions'!$C$13*'1.c Decrements'!E33</f>
        <v>0</v>
      </c>
      <c r="O38" s="68">
        <f ca="1">J39*('1.c Decrements'!F33+'1.c Decrements'!G33)</f>
        <v>0</v>
      </c>
      <c r="P38" s="68">
        <f ca="1">M38-J39*'1.c Decrements'!D33</f>
        <v>0</v>
      </c>
      <c r="Q38" s="68" t="str">
        <f ca="1">IF(B39&lt;=$Q$14,OFFSET('1.c Decrements'!$J$11,0,$Q$14-B38),"")</f>
        <v/>
      </c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25">
      <c r="A39" s="13"/>
      <c r="B39" s="57" t="str">
        <f t="shared" ca="1" si="1"/>
        <v/>
      </c>
      <c r="C39" s="71" t="str">
        <f t="shared" ca="1" si="6"/>
        <v/>
      </c>
      <c r="D39" s="72" t="str">
        <f t="shared" ca="1" si="7"/>
        <v/>
      </c>
      <c r="E39" s="73" t="str">
        <f t="shared" ca="1" si="8"/>
        <v/>
      </c>
      <c r="F39" s="62" t="str">
        <f t="shared" ca="1" si="10"/>
        <v/>
      </c>
      <c r="G39" s="62" t="str">
        <f t="shared" ca="1" si="10"/>
        <v/>
      </c>
      <c r="H39" s="63" t="str">
        <f t="shared" ca="1" si="2"/>
        <v/>
      </c>
      <c r="I39" s="64">
        <f t="shared" ca="1" si="3"/>
        <v>0</v>
      </c>
      <c r="J39" s="64">
        <f t="shared" ca="1" si="4"/>
        <v>0</v>
      </c>
      <c r="K39" s="65">
        <f t="shared" ca="1" si="5"/>
        <v>0</v>
      </c>
      <c r="L39" s="66"/>
      <c r="M39" s="67">
        <f ca="1">IF($C39="",0,
I39*'1.c Decrements'!D34+(M38-N38-O38)*(1+G38))</f>
        <v>0</v>
      </c>
      <c r="N39" s="68">
        <f ca="1">K39*'1.a Assumptions'!$C$13*'1.c Decrements'!E34</f>
        <v>0</v>
      </c>
      <c r="O39" s="68">
        <f ca="1">J40*('1.c Decrements'!F34+'1.c Decrements'!G34)</f>
        <v>0</v>
      </c>
      <c r="P39" s="68">
        <f ca="1">M39-J40*'1.c Decrements'!D34</f>
        <v>0</v>
      </c>
      <c r="Q39" s="68" t="str">
        <f ca="1">IF(B40&lt;=$Q$14,OFFSET('1.c Decrements'!$J$11,0,$Q$14-B39),"")</f>
        <v/>
      </c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1:27" x14ac:dyDescent="0.25">
      <c r="A40" s="13"/>
      <c r="B40" s="57" t="str">
        <f t="shared" ca="1" si="1"/>
        <v/>
      </c>
      <c r="C40" s="71" t="str">
        <f t="shared" ca="1" si="6"/>
        <v/>
      </c>
      <c r="D40" s="72" t="str">
        <f t="shared" ca="1" si="7"/>
        <v/>
      </c>
      <c r="E40" s="73" t="str">
        <f t="shared" ca="1" si="8"/>
        <v/>
      </c>
      <c r="F40" s="62" t="str">
        <f t="shared" ca="1" si="10"/>
        <v/>
      </c>
      <c r="G40" s="62" t="str">
        <f t="shared" ca="1" si="10"/>
        <v/>
      </c>
      <c r="H40" s="63" t="str">
        <f t="shared" ca="1" si="2"/>
        <v/>
      </c>
      <c r="I40" s="64">
        <f t="shared" ca="1" si="3"/>
        <v>0</v>
      </c>
      <c r="J40" s="64">
        <f t="shared" ca="1" si="4"/>
        <v>0</v>
      </c>
      <c r="K40" s="65">
        <f t="shared" ca="1" si="5"/>
        <v>0</v>
      </c>
      <c r="L40" s="66"/>
      <c r="M40" s="67">
        <f ca="1">IF($C40="",0,
I40*'1.c Decrements'!D35+(M39-N39-O39)*(1+G39))</f>
        <v>0</v>
      </c>
      <c r="N40" s="68">
        <f ca="1">K40*'1.a Assumptions'!$C$13*'1.c Decrements'!E35</f>
        <v>0</v>
      </c>
      <c r="O40" s="68">
        <f ca="1">J41*('1.c Decrements'!F35+'1.c Decrements'!G35)</f>
        <v>0</v>
      </c>
      <c r="P40" s="68">
        <f ca="1">M40-J41*'1.c Decrements'!D35</f>
        <v>0</v>
      </c>
      <c r="Q40" s="68" t="str">
        <f ca="1">IF(B41&lt;=$Q$14,OFFSET('1.c Decrements'!$J$11,0,$Q$14-B40),"")</f>
        <v/>
      </c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25">
      <c r="A41" s="13"/>
      <c r="B41" s="57" t="str">
        <f t="shared" ca="1" si="1"/>
        <v/>
      </c>
      <c r="C41" s="71" t="str">
        <f t="shared" ca="1" si="6"/>
        <v/>
      </c>
      <c r="D41" s="72" t="str">
        <f t="shared" ca="1" si="7"/>
        <v/>
      </c>
      <c r="E41" s="73" t="str">
        <f t="shared" ca="1" si="8"/>
        <v/>
      </c>
      <c r="F41" s="62" t="str">
        <f t="shared" ca="1" si="10"/>
        <v/>
      </c>
      <c r="G41" s="62" t="str">
        <f t="shared" ca="1" si="10"/>
        <v/>
      </c>
      <c r="H41" s="63" t="str">
        <f t="shared" ca="1" si="2"/>
        <v/>
      </c>
      <c r="I41" s="64">
        <f t="shared" ca="1" si="3"/>
        <v>0</v>
      </c>
      <c r="J41" s="64">
        <f t="shared" ca="1" si="4"/>
        <v>0</v>
      </c>
      <c r="K41" s="65">
        <f t="shared" ca="1" si="5"/>
        <v>0</v>
      </c>
      <c r="L41" s="66"/>
      <c r="M41" s="67">
        <f ca="1">IF($C41="",0,
I41*'1.c Decrements'!D36+(M40-N40-O40)*(1+G40))</f>
        <v>0</v>
      </c>
      <c r="N41" s="68">
        <f ca="1">K41*'1.a Assumptions'!$C$13*'1.c Decrements'!E36</f>
        <v>0</v>
      </c>
      <c r="O41" s="68">
        <f ca="1">J42*('1.c Decrements'!F36+'1.c Decrements'!G36)</f>
        <v>0</v>
      </c>
      <c r="P41" s="68">
        <f ca="1">M41-J42*'1.c Decrements'!D36</f>
        <v>0</v>
      </c>
      <c r="Q41" s="68" t="str">
        <f ca="1">IF(B42&lt;=$Q$14,OFFSET('1.c Decrements'!$J$11,0,$Q$14-B41),"")</f>
        <v/>
      </c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1:27" x14ac:dyDescent="0.25">
      <c r="A42" s="13"/>
      <c r="B42" s="57" t="str">
        <f t="shared" ca="1" si="1"/>
        <v/>
      </c>
      <c r="C42" s="71" t="str">
        <f t="shared" ca="1" si="6"/>
        <v/>
      </c>
      <c r="D42" s="72" t="str">
        <f t="shared" ca="1" si="7"/>
        <v/>
      </c>
      <c r="E42" s="73" t="str">
        <f t="shared" ca="1" si="8"/>
        <v/>
      </c>
      <c r="F42" s="62" t="str">
        <f t="shared" ca="1" si="10"/>
        <v/>
      </c>
      <c r="G42" s="62" t="str">
        <f t="shared" ca="1" si="10"/>
        <v/>
      </c>
      <c r="H42" s="63" t="str">
        <f t="shared" ca="1" si="2"/>
        <v/>
      </c>
      <c r="I42" s="64">
        <f t="shared" ca="1" si="3"/>
        <v>0</v>
      </c>
      <c r="J42" s="64">
        <f t="shared" ca="1" si="4"/>
        <v>0</v>
      </c>
      <c r="K42" s="65">
        <f t="shared" ca="1" si="5"/>
        <v>0</v>
      </c>
      <c r="L42" s="66"/>
      <c r="M42" s="67">
        <f ca="1">IF($C42="",0,
I42*'1.c Decrements'!D37+(M41-N41-O41)*(1+G41))</f>
        <v>0</v>
      </c>
      <c r="N42" s="68">
        <f ca="1">K42*'1.a Assumptions'!$C$13*'1.c Decrements'!E37</f>
        <v>0</v>
      </c>
      <c r="O42" s="68">
        <f ca="1">J43*('1.c Decrements'!F37+'1.c Decrements'!G37)</f>
        <v>0</v>
      </c>
      <c r="P42" s="68">
        <f ca="1">M42-J43*'1.c Decrements'!D37</f>
        <v>0</v>
      </c>
      <c r="Q42" s="68" t="str">
        <f ca="1">IF(B43&lt;=$Q$14,OFFSET('1.c Decrements'!$J$11,0,$Q$14-B42),"")</f>
        <v/>
      </c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7" x14ac:dyDescent="0.25">
      <c r="A43" s="13"/>
      <c r="B43" s="57" t="str">
        <f t="shared" ca="1" si="1"/>
        <v/>
      </c>
      <c r="C43" s="71" t="str">
        <f t="shared" ca="1" si="6"/>
        <v/>
      </c>
      <c r="D43" s="72" t="str">
        <f t="shared" ca="1" si="7"/>
        <v/>
      </c>
      <c r="E43" s="73" t="str">
        <f t="shared" ca="1" si="8"/>
        <v/>
      </c>
      <c r="F43" s="62" t="str">
        <f t="shared" ca="1" si="10"/>
        <v/>
      </c>
      <c r="G43" s="62" t="str">
        <f t="shared" ca="1" si="10"/>
        <v/>
      </c>
      <c r="H43" s="63" t="str">
        <f t="shared" ca="1" si="2"/>
        <v/>
      </c>
      <c r="I43" s="64">
        <f t="shared" ca="1" si="3"/>
        <v>0</v>
      </c>
      <c r="J43" s="64">
        <f t="shared" ca="1" si="4"/>
        <v>0</v>
      </c>
      <c r="K43" s="65">
        <f t="shared" ca="1" si="5"/>
        <v>0</v>
      </c>
      <c r="L43" s="66"/>
      <c r="M43" s="67">
        <f ca="1">IF($C43="",0,
I43*'1.c Decrements'!D38+(M42-N42-O42)*(1+G42))</f>
        <v>0</v>
      </c>
      <c r="N43" s="68">
        <f ca="1">K43*'1.a Assumptions'!$C$13*'1.c Decrements'!E38</f>
        <v>0</v>
      </c>
      <c r="O43" s="68">
        <f ca="1">J44*('1.c Decrements'!F38+'1.c Decrements'!G38)</f>
        <v>0</v>
      </c>
      <c r="P43" s="68">
        <f ca="1">M43-J44*'1.c Decrements'!D38</f>
        <v>0</v>
      </c>
      <c r="Q43" s="68" t="str">
        <f ca="1">IF(B44&lt;=$Q$14,OFFSET('1.c Decrements'!$J$11,0,$Q$14-B43),"")</f>
        <v/>
      </c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1:27" x14ac:dyDescent="0.25">
      <c r="A44" s="13"/>
      <c r="B44" s="57" t="str">
        <f t="shared" ca="1" si="1"/>
        <v/>
      </c>
      <c r="C44" s="71" t="str">
        <f t="shared" ca="1" si="6"/>
        <v/>
      </c>
      <c r="D44" s="72" t="str">
        <f t="shared" ca="1" si="7"/>
        <v/>
      </c>
      <c r="E44" s="73" t="str">
        <f t="shared" ca="1" si="8"/>
        <v/>
      </c>
      <c r="F44" s="62" t="str">
        <f t="shared" ca="1" si="10"/>
        <v/>
      </c>
      <c r="G44" s="62" t="str">
        <f t="shared" ca="1" si="10"/>
        <v/>
      </c>
      <c r="H44" s="63" t="str">
        <f t="shared" ca="1" si="2"/>
        <v/>
      </c>
      <c r="I44" s="64">
        <f t="shared" ca="1" si="3"/>
        <v>0</v>
      </c>
      <c r="J44" s="64">
        <f t="shared" ca="1" si="4"/>
        <v>0</v>
      </c>
      <c r="K44" s="65">
        <f t="shared" ca="1" si="5"/>
        <v>0</v>
      </c>
      <c r="L44" s="66"/>
      <c r="M44" s="67">
        <f ca="1">IF($C44="",0,
I44*'1.c Decrements'!D39+(M43-N43-O43)*(1+G43))</f>
        <v>0</v>
      </c>
      <c r="N44" s="68">
        <f ca="1">K44*'1.a Assumptions'!$C$13*'1.c Decrements'!E39</f>
        <v>0</v>
      </c>
      <c r="O44" s="68">
        <f ca="1">J45*('1.c Decrements'!F39+'1.c Decrements'!G39)</f>
        <v>0</v>
      </c>
      <c r="P44" s="68">
        <f ca="1">M44-J45*'1.c Decrements'!D39</f>
        <v>0</v>
      </c>
      <c r="Q44" s="68" t="str">
        <f ca="1">IF(B45&lt;=$Q$14,OFFSET('1.c Decrements'!$J$11,0,$Q$14-B44),"")</f>
        <v/>
      </c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1:27" x14ac:dyDescent="0.25">
      <c r="A45" s="13"/>
      <c r="B45" s="57" t="str">
        <f t="shared" ca="1" si="1"/>
        <v/>
      </c>
      <c r="C45" s="71" t="str">
        <f t="shared" ca="1" si="6"/>
        <v/>
      </c>
      <c r="D45" s="72" t="str">
        <f t="shared" ca="1" si="7"/>
        <v/>
      </c>
      <c r="E45" s="73" t="str">
        <f t="shared" ca="1" si="8"/>
        <v/>
      </c>
      <c r="F45" s="62" t="str">
        <f t="shared" ca="1" si="10"/>
        <v/>
      </c>
      <c r="G45" s="62" t="str">
        <f t="shared" ca="1" si="10"/>
        <v/>
      </c>
      <c r="H45" s="63" t="str">
        <f t="shared" ca="1" si="2"/>
        <v/>
      </c>
      <c r="I45" s="64">
        <f t="shared" ca="1" si="3"/>
        <v>0</v>
      </c>
      <c r="J45" s="64">
        <f t="shared" ca="1" si="4"/>
        <v>0</v>
      </c>
      <c r="K45" s="65">
        <f t="shared" ca="1" si="5"/>
        <v>0</v>
      </c>
      <c r="L45" s="66"/>
      <c r="M45" s="67">
        <f ca="1">IF($C45="",0,
I45*'1.c Decrements'!D40+(M44-N44-O44)*(1+G44))</f>
        <v>0</v>
      </c>
      <c r="N45" s="68">
        <f ca="1">K45*'1.a Assumptions'!$C$13*'1.c Decrements'!E40</f>
        <v>0</v>
      </c>
      <c r="O45" s="68">
        <f ca="1">J46*('1.c Decrements'!F40+'1.c Decrements'!G40)</f>
        <v>0</v>
      </c>
      <c r="P45" s="68">
        <f ca="1">M45-J46*'1.c Decrements'!D40</f>
        <v>0</v>
      </c>
      <c r="Q45" s="68" t="str">
        <f ca="1">IF(B46&lt;=$Q$14,OFFSET('1.c Decrements'!$J$11,0,$Q$14-B45),"")</f>
        <v/>
      </c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1:27" x14ac:dyDescent="0.25">
      <c r="A46" s="13"/>
      <c r="B46" s="57" t="str">
        <f t="shared" ca="1" si="1"/>
        <v/>
      </c>
      <c r="C46" s="71" t="str">
        <f t="shared" ca="1" si="6"/>
        <v/>
      </c>
      <c r="D46" s="72" t="str">
        <f t="shared" ca="1" si="7"/>
        <v/>
      </c>
      <c r="E46" s="73" t="str">
        <f t="shared" ca="1" si="8"/>
        <v/>
      </c>
      <c r="F46" s="62" t="str">
        <f t="shared" ca="1" si="10"/>
        <v/>
      </c>
      <c r="G46" s="62" t="str">
        <f t="shared" ca="1" si="10"/>
        <v/>
      </c>
      <c r="H46" s="63" t="str">
        <f t="shared" ca="1" si="2"/>
        <v/>
      </c>
      <c r="I46" s="64">
        <f t="shared" ca="1" si="3"/>
        <v>0</v>
      </c>
      <c r="J46" s="64">
        <f t="shared" ca="1" si="4"/>
        <v>0</v>
      </c>
      <c r="K46" s="65">
        <f t="shared" ca="1" si="5"/>
        <v>0</v>
      </c>
      <c r="L46" s="66"/>
      <c r="M46" s="67">
        <f ca="1">IF($C46="",0,
I46*'1.c Decrements'!D41+(M45-N45-O45)*(1+G45))</f>
        <v>0</v>
      </c>
      <c r="N46" s="68">
        <f ca="1">K46*'1.a Assumptions'!$C$13*'1.c Decrements'!E41</f>
        <v>0</v>
      </c>
      <c r="O46" s="68">
        <f ca="1">J47*('1.c Decrements'!F41+'1.c Decrements'!G41)</f>
        <v>0</v>
      </c>
      <c r="P46" s="68">
        <f ca="1">M46-J47*'1.c Decrements'!D41</f>
        <v>0</v>
      </c>
      <c r="Q46" s="68" t="str">
        <f ca="1">IF(B47&lt;=$Q$14,OFFSET('1.c Decrements'!$J$11,0,$Q$14-B46),"")</f>
        <v/>
      </c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1:27" x14ac:dyDescent="0.25">
      <c r="A47" s="13"/>
      <c r="B47" s="57" t="str">
        <f t="shared" ca="1" si="1"/>
        <v/>
      </c>
      <c r="C47" s="71" t="str">
        <f t="shared" ca="1" si="6"/>
        <v/>
      </c>
      <c r="D47" s="72" t="str">
        <f t="shared" ca="1" si="7"/>
        <v/>
      </c>
      <c r="E47" s="73" t="str">
        <f t="shared" ca="1" si="8"/>
        <v/>
      </c>
      <c r="F47" s="62" t="str">
        <f t="shared" ca="1" si="10"/>
        <v/>
      </c>
      <c r="G47" s="62" t="str">
        <f t="shared" ca="1" si="10"/>
        <v/>
      </c>
      <c r="H47" s="63" t="str">
        <f t="shared" ca="1" si="2"/>
        <v/>
      </c>
      <c r="I47" s="64">
        <f t="shared" ca="1" si="3"/>
        <v>0</v>
      </c>
      <c r="J47" s="64">
        <f t="shared" ca="1" si="4"/>
        <v>0</v>
      </c>
      <c r="K47" s="65">
        <f t="shared" ca="1" si="5"/>
        <v>0</v>
      </c>
      <c r="L47" s="66"/>
      <c r="M47" s="67">
        <f ca="1">IF($C47="",0,
I47*'1.c Decrements'!D42+(M46-N46-O46)*(1+G46))</f>
        <v>0</v>
      </c>
      <c r="N47" s="68">
        <f ca="1">K47*'1.a Assumptions'!$C$13*'1.c Decrements'!E42</f>
        <v>0</v>
      </c>
      <c r="O47" s="68">
        <f ca="1">J48*('1.c Decrements'!F42+'1.c Decrements'!G42)</f>
        <v>0</v>
      </c>
      <c r="P47" s="68">
        <f ca="1">M47-J48*'1.c Decrements'!D42</f>
        <v>0</v>
      </c>
      <c r="Q47" s="68" t="str">
        <f ca="1">IF(B48&lt;=$Q$14,OFFSET('1.c Decrements'!$J$11,0,$Q$14-B47),"")</f>
        <v/>
      </c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1:27" x14ac:dyDescent="0.25">
      <c r="A48" s="13"/>
      <c r="B48" s="57" t="str">
        <f t="shared" ca="1" si="1"/>
        <v/>
      </c>
      <c r="C48" s="71" t="str">
        <f t="shared" ca="1" si="6"/>
        <v/>
      </c>
      <c r="D48" s="72" t="str">
        <f t="shared" ca="1" si="7"/>
        <v/>
      </c>
      <c r="E48" s="73" t="str">
        <f t="shared" ca="1" si="8"/>
        <v/>
      </c>
      <c r="F48" s="62" t="str">
        <f t="shared" ca="1" si="10"/>
        <v/>
      </c>
      <c r="G48" s="62" t="str">
        <f t="shared" ca="1" si="10"/>
        <v/>
      </c>
      <c r="H48" s="63" t="str">
        <f t="shared" ca="1" si="2"/>
        <v/>
      </c>
      <c r="I48" s="64">
        <f t="shared" ca="1" si="3"/>
        <v>0</v>
      </c>
      <c r="J48" s="64">
        <f t="shared" ca="1" si="4"/>
        <v>0</v>
      </c>
      <c r="K48" s="65">
        <f t="shared" ca="1" si="5"/>
        <v>0</v>
      </c>
      <c r="L48" s="66"/>
      <c r="M48" s="67">
        <f ca="1">IF($C48="",0,
I48*'1.c Decrements'!D43+(M47-N47-O47)*(1+G47))</f>
        <v>0</v>
      </c>
      <c r="N48" s="68">
        <f ca="1">K48*'1.a Assumptions'!$C$13*'1.c Decrements'!E43</f>
        <v>0</v>
      </c>
      <c r="O48" s="68">
        <f ca="1">J49*('1.c Decrements'!F43+'1.c Decrements'!G43)</f>
        <v>0</v>
      </c>
      <c r="P48" s="68">
        <f ca="1">M48-J49*'1.c Decrements'!D43</f>
        <v>0</v>
      </c>
      <c r="Q48" s="68" t="str">
        <f ca="1">IF(B49&lt;=$Q$14,OFFSET('1.c Decrements'!$J$11,0,$Q$14-B48),"")</f>
        <v/>
      </c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1:27" x14ac:dyDescent="0.25">
      <c r="A49" s="13"/>
      <c r="B49" s="57" t="str">
        <f t="shared" ca="1" si="1"/>
        <v/>
      </c>
      <c r="C49" s="71" t="str">
        <f t="shared" ca="1" si="6"/>
        <v/>
      </c>
      <c r="D49" s="72" t="str">
        <f t="shared" ca="1" si="7"/>
        <v/>
      </c>
      <c r="E49" s="73" t="str">
        <f t="shared" ca="1" si="8"/>
        <v/>
      </c>
      <c r="F49" s="62" t="str">
        <f t="shared" ca="1" si="10"/>
        <v/>
      </c>
      <c r="G49" s="62" t="str">
        <f t="shared" ca="1" si="10"/>
        <v/>
      </c>
      <c r="H49" s="63" t="str">
        <f t="shared" ca="1" si="2"/>
        <v/>
      </c>
      <c r="I49" s="64">
        <f t="shared" ca="1" si="3"/>
        <v>0</v>
      </c>
      <c r="J49" s="64">
        <f t="shared" ca="1" si="4"/>
        <v>0</v>
      </c>
      <c r="K49" s="65">
        <f t="shared" ca="1" si="5"/>
        <v>0</v>
      </c>
      <c r="L49" s="66"/>
      <c r="M49" s="67">
        <f ca="1">IF($C49="",0,
I49*'1.c Decrements'!D44+(M48-N48-O48)*(1+G48))</f>
        <v>0</v>
      </c>
      <c r="N49" s="68">
        <f ca="1">K49*'1.a Assumptions'!$C$13*'1.c Decrements'!E44</f>
        <v>0</v>
      </c>
      <c r="O49" s="68">
        <f ca="1">J50*('1.c Decrements'!F44+'1.c Decrements'!G44)</f>
        <v>0</v>
      </c>
      <c r="P49" s="68">
        <f ca="1">M49-J50*'1.c Decrements'!D44</f>
        <v>0</v>
      </c>
      <c r="Q49" s="68" t="str">
        <f ca="1">IF(B50&lt;=$Q$14,OFFSET('1.c Decrements'!$J$11,0,$Q$14-B49),"")</f>
        <v/>
      </c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1:27" x14ac:dyDescent="0.25">
      <c r="A50" s="13"/>
      <c r="B50" s="57" t="str">
        <f t="shared" ca="1" si="1"/>
        <v/>
      </c>
      <c r="C50" s="71" t="str">
        <f t="shared" ca="1" si="6"/>
        <v/>
      </c>
      <c r="D50" s="72" t="str">
        <f t="shared" ca="1" si="7"/>
        <v/>
      </c>
      <c r="E50" s="73" t="str">
        <f t="shared" ca="1" si="8"/>
        <v/>
      </c>
      <c r="F50" s="62" t="str">
        <f t="shared" ref="F50:G65" ca="1" si="11">IF($C50="","",F49)</f>
        <v/>
      </c>
      <c r="G50" s="62" t="str">
        <f t="shared" ca="1" si="11"/>
        <v/>
      </c>
      <c r="H50" s="63" t="str">
        <f t="shared" ca="1" si="2"/>
        <v/>
      </c>
      <c r="I50" s="64">
        <f t="shared" ca="1" si="3"/>
        <v>0</v>
      </c>
      <c r="J50" s="64">
        <f t="shared" ca="1" si="4"/>
        <v>0</v>
      </c>
      <c r="K50" s="65">
        <f t="shared" ca="1" si="5"/>
        <v>0</v>
      </c>
      <c r="L50" s="66"/>
      <c r="M50" s="67">
        <f ca="1">IF($C50="",0,
I50*'1.c Decrements'!D45+(M49-N49-O49)*(1+G49))</f>
        <v>0</v>
      </c>
      <c r="N50" s="68">
        <f ca="1">K50*'1.a Assumptions'!$C$13*'1.c Decrements'!E45</f>
        <v>0</v>
      </c>
      <c r="O50" s="68">
        <f ca="1">J51*('1.c Decrements'!F45+'1.c Decrements'!G45)</f>
        <v>0</v>
      </c>
      <c r="P50" s="68">
        <f ca="1">M50-J51*'1.c Decrements'!D45</f>
        <v>0</v>
      </c>
      <c r="Q50" s="68" t="str">
        <f ca="1">IF(B51&lt;=$Q$14,OFFSET('1.c Decrements'!$J$11,0,$Q$14-B50),"")</f>
        <v/>
      </c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1:27" x14ac:dyDescent="0.25">
      <c r="A51" s="13"/>
      <c r="B51" s="57" t="str">
        <f t="shared" ca="1" si="1"/>
        <v/>
      </c>
      <c r="C51" s="71" t="str">
        <f t="shared" ca="1" si="6"/>
        <v/>
      </c>
      <c r="D51" s="72" t="str">
        <f t="shared" ca="1" si="7"/>
        <v/>
      </c>
      <c r="E51" s="73" t="str">
        <f t="shared" ca="1" si="8"/>
        <v/>
      </c>
      <c r="F51" s="62" t="str">
        <f t="shared" ca="1" si="11"/>
        <v/>
      </c>
      <c r="G51" s="62" t="str">
        <f t="shared" ca="1" si="11"/>
        <v/>
      </c>
      <c r="H51" s="63" t="str">
        <f t="shared" ca="1" si="2"/>
        <v/>
      </c>
      <c r="I51" s="64">
        <f t="shared" ca="1" si="3"/>
        <v>0</v>
      </c>
      <c r="J51" s="64">
        <f t="shared" ca="1" si="4"/>
        <v>0</v>
      </c>
      <c r="K51" s="65">
        <f t="shared" ca="1" si="5"/>
        <v>0</v>
      </c>
      <c r="L51" s="66"/>
      <c r="M51" s="67">
        <f ca="1">IF($C51="",0,
I51*'1.c Decrements'!D46+(M50-N50-O50)*(1+G50))</f>
        <v>0</v>
      </c>
      <c r="N51" s="68">
        <f ca="1">K51*'1.a Assumptions'!$C$13*'1.c Decrements'!E46</f>
        <v>0</v>
      </c>
      <c r="O51" s="68">
        <f ca="1">J52*('1.c Decrements'!F46+'1.c Decrements'!G46)</f>
        <v>0</v>
      </c>
      <c r="P51" s="68">
        <f ca="1">M51-J52*'1.c Decrements'!D46</f>
        <v>0</v>
      </c>
      <c r="Q51" s="68" t="str">
        <f ca="1">IF(B52&lt;=$Q$14,OFFSET('1.c Decrements'!$J$11,0,$Q$14-B51),"")</f>
        <v/>
      </c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1:27" x14ac:dyDescent="0.25">
      <c r="A52" s="13"/>
      <c r="B52" s="57" t="str">
        <f t="shared" ca="1" si="1"/>
        <v/>
      </c>
      <c r="C52" s="71" t="str">
        <f t="shared" ca="1" si="6"/>
        <v/>
      </c>
      <c r="D52" s="72" t="str">
        <f t="shared" ca="1" si="7"/>
        <v/>
      </c>
      <c r="E52" s="73" t="str">
        <f t="shared" ca="1" si="8"/>
        <v/>
      </c>
      <c r="F52" s="62" t="str">
        <f t="shared" ca="1" si="11"/>
        <v/>
      </c>
      <c r="G52" s="62" t="str">
        <f t="shared" ca="1" si="11"/>
        <v/>
      </c>
      <c r="H52" s="63" t="str">
        <f t="shared" ca="1" si="2"/>
        <v/>
      </c>
      <c r="I52" s="64">
        <f t="shared" ca="1" si="3"/>
        <v>0</v>
      </c>
      <c r="J52" s="64">
        <f t="shared" ca="1" si="4"/>
        <v>0</v>
      </c>
      <c r="K52" s="65">
        <f t="shared" ca="1" si="5"/>
        <v>0</v>
      </c>
      <c r="L52" s="66"/>
      <c r="M52" s="67">
        <f ca="1">IF($C52="",0,
I52*'1.c Decrements'!D47+(M51-N51-O51)*(1+G51))</f>
        <v>0</v>
      </c>
      <c r="N52" s="68">
        <f ca="1">K52*'1.a Assumptions'!$C$13*'1.c Decrements'!E47</f>
        <v>0</v>
      </c>
      <c r="O52" s="68">
        <f ca="1">J53*('1.c Decrements'!F47+'1.c Decrements'!G47)</f>
        <v>0</v>
      </c>
      <c r="P52" s="68">
        <f ca="1">M52-J53*'1.c Decrements'!D47</f>
        <v>0</v>
      </c>
      <c r="Q52" s="68" t="str">
        <f ca="1">IF(B53&lt;=$Q$14,OFFSET('1.c Decrements'!$J$11,0,$Q$14-B52),"")</f>
        <v/>
      </c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x14ac:dyDescent="0.25">
      <c r="A53" s="13"/>
      <c r="B53" s="57" t="str">
        <f t="shared" ca="1" si="1"/>
        <v/>
      </c>
      <c r="C53" s="71" t="str">
        <f t="shared" ca="1" si="6"/>
        <v/>
      </c>
      <c r="D53" s="72" t="str">
        <f t="shared" ca="1" si="7"/>
        <v/>
      </c>
      <c r="E53" s="73" t="str">
        <f t="shared" ca="1" si="8"/>
        <v/>
      </c>
      <c r="F53" s="62" t="str">
        <f t="shared" ca="1" si="11"/>
        <v/>
      </c>
      <c r="G53" s="62" t="str">
        <f t="shared" ca="1" si="11"/>
        <v/>
      </c>
      <c r="H53" s="63" t="str">
        <f t="shared" ca="1" si="2"/>
        <v/>
      </c>
      <c r="I53" s="64">
        <f t="shared" ca="1" si="3"/>
        <v>0</v>
      </c>
      <c r="J53" s="64">
        <f t="shared" ca="1" si="4"/>
        <v>0</v>
      </c>
      <c r="K53" s="65">
        <f t="shared" ca="1" si="5"/>
        <v>0</v>
      </c>
      <c r="L53" s="66"/>
      <c r="M53" s="67">
        <f ca="1">IF($C53="",0,
I53*'1.c Decrements'!D48+(M52-N52-O52)*(1+G52))</f>
        <v>0</v>
      </c>
      <c r="N53" s="68">
        <f ca="1">K53*'1.a Assumptions'!$C$13*'1.c Decrements'!E48</f>
        <v>0</v>
      </c>
      <c r="O53" s="68">
        <f ca="1">J54*('1.c Decrements'!F48+'1.c Decrements'!G48)</f>
        <v>0</v>
      </c>
      <c r="P53" s="68">
        <f ca="1">M53-J54*'1.c Decrements'!D48</f>
        <v>0</v>
      </c>
      <c r="Q53" s="68" t="str">
        <f ca="1">IF(B54&lt;=$Q$14,OFFSET('1.c Decrements'!$J$11,0,$Q$14-B53),"")</f>
        <v/>
      </c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1:27" x14ac:dyDescent="0.25">
      <c r="A54" s="13"/>
      <c r="B54" s="57" t="str">
        <f t="shared" ca="1" si="1"/>
        <v/>
      </c>
      <c r="C54" s="71" t="str">
        <f t="shared" ca="1" si="6"/>
        <v/>
      </c>
      <c r="D54" s="72" t="str">
        <f t="shared" ca="1" si="7"/>
        <v/>
      </c>
      <c r="E54" s="73" t="str">
        <f t="shared" ca="1" si="8"/>
        <v/>
      </c>
      <c r="F54" s="62" t="str">
        <f t="shared" ca="1" si="11"/>
        <v/>
      </c>
      <c r="G54" s="62" t="str">
        <f t="shared" ca="1" si="11"/>
        <v/>
      </c>
      <c r="H54" s="63" t="str">
        <f t="shared" ca="1" si="2"/>
        <v/>
      </c>
      <c r="I54" s="64">
        <f t="shared" ca="1" si="3"/>
        <v>0</v>
      </c>
      <c r="J54" s="64">
        <f t="shared" ca="1" si="4"/>
        <v>0</v>
      </c>
      <c r="K54" s="65">
        <f t="shared" ca="1" si="5"/>
        <v>0</v>
      </c>
      <c r="L54" s="66"/>
      <c r="M54" s="67">
        <f ca="1">IF($C54="",0,
I54*'1.c Decrements'!D49+(M53-N53-O53)*(1+G53))</f>
        <v>0</v>
      </c>
      <c r="N54" s="68">
        <f ca="1">K54*'1.a Assumptions'!$C$13*'1.c Decrements'!E49</f>
        <v>0</v>
      </c>
      <c r="O54" s="68">
        <f ca="1">J55*('1.c Decrements'!F49+'1.c Decrements'!G49)</f>
        <v>0</v>
      </c>
      <c r="P54" s="68">
        <f ca="1">M54-J55*'1.c Decrements'!D49</f>
        <v>0</v>
      </c>
      <c r="Q54" s="68" t="str">
        <f ca="1">IF(B55&lt;=$Q$14,OFFSET('1.c Decrements'!$J$11,0,$Q$14-B54),"")</f>
        <v/>
      </c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x14ac:dyDescent="0.25">
      <c r="A55" s="13"/>
      <c r="B55" s="57" t="str">
        <f t="shared" ca="1" si="1"/>
        <v/>
      </c>
      <c r="C55" s="71" t="str">
        <f t="shared" ca="1" si="6"/>
        <v/>
      </c>
      <c r="D55" s="72" t="str">
        <f t="shared" ca="1" si="7"/>
        <v/>
      </c>
      <c r="E55" s="73" t="str">
        <f t="shared" ca="1" si="8"/>
        <v/>
      </c>
      <c r="F55" s="62" t="str">
        <f t="shared" ca="1" si="11"/>
        <v/>
      </c>
      <c r="G55" s="62" t="str">
        <f t="shared" ca="1" si="11"/>
        <v/>
      </c>
      <c r="H55" s="63" t="str">
        <f t="shared" ca="1" si="2"/>
        <v/>
      </c>
      <c r="I55" s="64">
        <f t="shared" ca="1" si="3"/>
        <v>0</v>
      </c>
      <c r="J55" s="64">
        <f t="shared" ca="1" si="4"/>
        <v>0</v>
      </c>
      <c r="K55" s="65">
        <f t="shared" ca="1" si="5"/>
        <v>0</v>
      </c>
      <c r="L55" s="66"/>
      <c r="M55" s="67">
        <f ca="1">IF($C55="",0,
I55*'1.c Decrements'!D50+(M54-N54-O54)*(1+G54))</f>
        <v>0</v>
      </c>
      <c r="N55" s="68">
        <f ca="1">K55*'1.a Assumptions'!$C$13*'1.c Decrements'!E50</f>
        <v>0</v>
      </c>
      <c r="O55" s="68">
        <f ca="1">J56*('1.c Decrements'!F50+'1.c Decrements'!G50)</f>
        <v>0</v>
      </c>
      <c r="P55" s="68">
        <f ca="1">M55-J56*'1.c Decrements'!D50</f>
        <v>0</v>
      </c>
      <c r="Q55" s="68" t="str">
        <f ca="1">IF(B56&lt;=$Q$14,OFFSET('1.c Decrements'!$J$11,0,$Q$14-B55),"")</f>
        <v/>
      </c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1:27" x14ac:dyDescent="0.25">
      <c r="A56" s="13"/>
      <c r="B56" s="57" t="str">
        <f t="shared" ca="1" si="1"/>
        <v/>
      </c>
      <c r="C56" s="71" t="str">
        <f t="shared" ca="1" si="6"/>
        <v/>
      </c>
      <c r="D56" s="72" t="str">
        <f t="shared" ca="1" si="7"/>
        <v/>
      </c>
      <c r="E56" s="73" t="str">
        <f t="shared" ca="1" si="8"/>
        <v/>
      </c>
      <c r="F56" s="62" t="str">
        <f t="shared" ca="1" si="11"/>
        <v/>
      </c>
      <c r="G56" s="62" t="str">
        <f t="shared" ca="1" si="11"/>
        <v/>
      </c>
      <c r="H56" s="63" t="str">
        <f t="shared" ca="1" si="2"/>
        <v/>
      </c>
      <c r="I56" s="64">
        <f t="shared" ca="1" si="3"/>
        <v>0</v>
      </c>
      <c r="J56" s="64">
        <f t="shared" ca="1" si="4"/>
        <v>0</v>
      </c>
      <c r="K56" s="65">
        <f t="shared" ca="1" si="5"/>
        <v>0</v>
      </c>
      <c r="L56" s="66"/>
      <c r="M56" s="67">
        <f ca="1">IF($C56="",0,
I56*'1.c Decrements'!D51+(M55-N55-O55)*(1+G55))</f>
        <v>0</v>
      </c>
      <c r="N56" s="68">
        <f ca="1">K56*'1.a Assumptions'!$C$13*'1.c Decrements'!E51</f>
        <v>0</v>
      </c>
      <c r="O56" s="68">
        <f ca="1">J57*('1.c Decrements'!F51+'1.c Decrements'!G51)</f>
        <v>0</v>
      </c>
      <c r="P56" s="68">
        <f ca="1">M56-J57*'1.c Decrements'!D51</f>
        <v>0</v>
      </c>
      <c r="Q56" s="68" t="str">
        <f ca="1">IF(B57&lt;=$Q$14,OFFSET('1.c Decrements'!$J$11,0,$Q$14-B56),"")</f>
        <v/>
      </c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x14ac:dyDescent="0.25">
      <c r="A57" s="13"/>
      <c r="B57" s="57" t="str">
        <f t="shared" ca="1" si="1"/>
        <v/>
      </c>
      <c r="C57" s="71" t="str">
        <f t="shared" ca="1" si="6"/>
        <v/>
      </c>
      <c r="D57" s="72" t="str">
        <f t="shared" ca="1" si="7"/>
        <v/>
      </c>
      <c r="E57" s="73" t="str">
        <f t="shared" ca="1" si="8"/>
        <v/>
      </c>
      <c r="F57" s="62" t="str">
        <f t="shared" ca="1" si="11"/>
        <v/>
      </c>
      <c r="G57" s="62" t="str">
        <f t="shared" ca="1" si="11"/>
        <v/>
      </c>
      <c r="H57" s="63" t="str">
        <f t="shared" ca="1" si="2"/>
        <v/>
      </c>
      <c r="I57" s="64">
        <f t="shared" ca="1" si="3"/>
        <v>0</v>
      </c>
      <c r="J57" s="64">
        <f t="shared" ca="1" si="4"/>
        <v>0</v>
      </c>
      <c r="K57" s="65">
        <f t="shared" ca="1" si="5"/>
        <v>0</v>
      </c>
      <c r="L57" s="66"/>
      <c r="M57" s="67">
        <f ca="1">IF($C57="",0,
I57*'1.c Decrements'!D52+(M56-N56-O56)*(1+G56))</f>
        <v>0</v>
      </c>
      <c r="N57" s="68">
        <f ca="1">K57*'1.a Assumptions'!$C$13*'1.c Decrements'!E52</f>
        <v>0</v>
      </c>
      <c r="O57" s="68">
        <f ca="1">J58*('1.c Decrements'!F52+'1.c Decrements'!G52)</f>
        <v>0</v>
      </c>
      <c r="P57" s="68">
        <f ca="1">M57-J58*'1.c Decrements'!D52</f>
        <v>0</v>
      </c>
      <c r="Q57" s="68" t="str">
        <f ca="1">IF(B58&lt;=$Q$14,OFFSET('1.c Decrements'!$J$11,0,$Q$14-B57),"")</f>
        <v/>
      </c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1:27" x14ac:dyDescent="0.25">
      <c r="A58" s="13"/>
      <c r="B58" s="57" t="str">
        <f t="shared" ca="1" si="1"/>
        <v/>
      </c>
      <c r="C58" s="71" t="str">
        <f t="shared" ca="1" si="6"/>
        <v/>
      </c>
      <c r="D58" s="72" t="str">
        <f t="shared" ca="1" si="7"/>
        <v/>
      </c>
      <c r="E58" s="73" t="str">
        <f t="shared" ca="1" si="8"/>
        <v/>
      </c>
      <c r="F58" s="62" t="str">
        <f t="shared" ca="1" si="11"/>
        <v/>
      </c>
      <c r="G58" s="62" t="str">
        <f t="shared" ca="1" si="11"/>
        <v/>
      </c>
      <c r="H58" s="63" t="str">
        <f t="shared" ca="1" si="2"/>
        <v/>
      </c>
      <c r="I58" s="64">
        <f t="shared" ca="1" si="3"/>
        <v>0</v>
      </c>
      <c r="J58" s="64">
        <f t="shared" ca="1" si="4"/>
        <v>0</v>
      </c>
      <c r="K58" s="65">
        <f t="shared" ca="1" si="5"/>
        <v>0</v>
      </c>
      <c r="L58" s="66"/>
      <c r="M58" s="67">
        <f ca="1">IF($C58="",0,
I58*'1.c Decrements'!D53+(M57-N57-O57)*(1+G57))</f>
        <v>0</v>
      </c>
      <c r="N58" s="68">
        <f ca="1">K58*'1.a Assumptions'!$C$13*'1.c Decrements'!E53</f>
        <v>0</v>
      </c>
      <c r="O58" s="68">
        <f ca="1">J59*('1.c Decrements'!F53+'1.c Decrements'!G53)</f>
        <v>0</v>
      </c>
      <c r="P58" s="68">
        <f ca="1">M58-J59*'1.c Decrements'!D53</f>
        <v>0</v>
      </c>
      <c r="Q58" s="68" t="str">
        <f ca="1">IF(B59&lt;=$Q$14,OFFSET('1.c Decrements'!$J$11,0,$Q$14-B58),"")</f>
        <v/>
      </c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x14ac:dyDescent="0.25">
      <c r="A59" s="13"/>
      <c r="B59" s="57" t="str">
        <f t="shared" ca="1" si="1"/>
        <v/>
      </c>
      <c r="C59" s="71" t="str">
        <f t="shared" ca="1" si="6"/>
        <v/>
      </c>
      <c r="D59" s="72" t="str">
        <f t="shared" ca="1" si="7"/>
        <v/>
      </c>
      <c r="E59" s="73" t="str">
        <f t="shared" ca="1" si="8"/>
        <v/>
      </c>
      <c r="F59" s="62" t="str">
        <f t="shared" ca="1" si="11"/>
        <v/>
      </c>
      <c r="G59" s="62" t="str">
        <f t="shared" ca="1" si="11"/>
        <v/>
      </c>
      <c r="H59" s="63" t="str">
        <f t="shared" ca="1" si="2"/>
        <v/>
      </c>
      <c r="I59" s="64">
        <f t="shared" ca="1" si="3"/>
        <v>0</v>
      </c>
      <c r="J59" s="64">
        <f t="shared" ca="1" si="4"/>
        <v>0</v>
      </c>
      <c r="K59" s="65">
        <f t="shared" ca="1" si="5"/>
        <v>0</v>
      </c>
      <c r="L59" s="66"/>
      <c r="M59" s="67">
        <f ca="1">IF($C59="",0,
I59*'1.c Decrements'!D54+(M58-N58-O58)*(1+G58))</f>
        <v>0</v>
      </c>
      <c r="N59" s="68">
        <f ca="1">K59*'1.a Assumptions'!$C$13*'1.c Decrements'!E54</f>
        <v>0</v>
      </c>
      <c r="O59" s="68">
        <f ca="1">J60*('1.c Decrements'!F54+'1.c Decrements'!G54)</f>
        <v>0</v>
      </c>
      <c r="P59" s="68">
        <f ca="1">M59-J60*'1.c Decrements'!D54</f>
        <v>0</v>
      </c>
      <c r="Q59" s="68" t="str">
        <f ca="1">IF(B60&lt;=$Q$14,OFFSET('1.c Decrements'!$J$11,0,$Q$14-B59),"")</f>
        <v/>
      </c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1:27" x14ac:dyDescent="0.25">
      <c r="A60" s="13"/>
      <c r="B60" s="57" t="str">
        <f t="shared" ca="1" si="1"/>
        <v/>
      </c>
      <c r="C60" s="71" t="str">
        <f t="shared" ca="1" si="6"/>
        <v/>
      </c>
      <c r="D60" s="72" t="str">
        <f t="shared" ca="1" si="7"/>
        <v/>
      </c>
      <c r="E60" s="73" t="str">
        <f t="shared" ca="1" si="8"/>
        <v/>
      </c>
      <c r="F60" s="62" t="str">
        <f t="shared" ca="1" si="11"/>
        <v/>
      </c>
      <c r="G60" s="62" t="str">
        <f t="shared" ca="1" si="11"/>
        <v/>
      </c>
      <c r="H60" s="63" t="str">
        <f t="shared" ca="1" si="2"/>
        <v/>
      </c>
      <c r="I60" s="64">
        <f t="shared" ca="1" si="3"/>
        <v>0</v>
      </c>
      <c r="J60" s="64">
        <f t="shared" ca="1" si="4"/>
        <v>0</v>
      </c>
      <c r="K60" s="65">
        <f t="shared" ca="1" si="5"/>
        <v>0</v>
      </c>
      <c r="L60" s="66"/>
      <c r="M60" s="67">
        <f ca="1">IF($C60="",0,
I60*'1.c Decrements'!D55+(M59-N59-O59)*(1+G59))</f>
        <v>0</v>
      </c>
      <c r="N60" s="68">
        <f ca="1">K60*'1.a Assumptions'!$C$13*'1.c Decrements'!E55</f>
        <v>0</v>
      </c>
      <c r="O60" s="68">
        <f ca="1">J61*('1.c Decrements'!F55+'1.c Decrements'!G55)</f>
        <v>0</v>
      </c>
      <c r="P60" s="68">
        <f ca="1">M60-J61*'1.c Decrements'!D55</f>
        <v>0</v>
      </c>
      <c r="Q60" s="68" t="str">
        <f ca="1">IF(B61&lt;=$Q$14,OFFSET('1.c Decrements'!$J$11,0,$Q$14-B60),"")</f>
        <v/>
      </c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x14ac:dyDescent="0.25">
      <c r="A61" s="13"/>
      <c r="B61" s="57" t="str">
        <f t="shared" ca="1" si="1"/>
        <v/>
      </c>
      <c r="C61" s="71" t="str">
        <f t="shared" ca="1" si="6"/>
        <v/>
      </c>
      <c r="D61" s="72" t="str">
        <f t="shared" ca="1" si="7"/>
        <v/>
      </c>
      <c r="E61" s="73" t="str">
        <f t="shared" ca="1" si="8"/>
        <v/>
      </c>
      <c r="F61" s="62" t="str">
        <f t="shared" ca="1" si="11"/>
        <v/>
      </c>
      <c r="G61" s="62" t="str">
        <f t="shared" ca="1" si="11"/>
        <v/>
      </c>
      <c r="H61" s="63" t="str">
        <f t="shared" ca="1" si="2"/>
        <v/>
      </c>
      <c r="I61" s="64">
        <f t="shared" ca="1" si="3"/>
        <v>0</v>
      </c>
      <c r="J61" s="64">
        <f t="shared" ca="1" si="4"/>
        <v>0</v>
      </c>
      <c r="K61" s="65">
        <f t="shared" ca="1" si="5"/>
        <v>0</v>
      </c>
      <c r="L61" s="66"/>
      <c r="M61" s="67">
        <f ca="1">IF($C61="",0,
I61*'1.c Decrements'!D56+(M60-N60-O60)*(1+G60))</f>
        <v>0</v>
      </c>
      <c r="N61" s="68">
        <f ca="1">K61*'1.a Assumptions'!$C$13*'1.c Decrements'!E56</f>
        <v>0</v>
      </c>
      <c r="O61" s="68">
        <f ca="1">J62*('1.c Decrements'!F56+'1.c Decrements'!G56)</f>
        <v>0</v>
      </c>
      <c r="P61" s="68">
        <f ca="1">M61-J62*'1.c Decrements'!D56</f>
        <v>0</v>
      </c>
      <c r="Q61" s="68" t="str">
        <f ca="1">IF(B62&lt;=$Q$14,OFFSET('1.c Decrements'!$J$11,0,$Q$14-B61),"")</f>
        <v/>
      </c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1:27" x14ac:dyDescent="0.25">
      <c r="A62" s="13"/>
      <c r="B62" s="57" t="str">
        <f t="shared" ca="1" si="1"/>
        <v/>
      </c>
      <c r="C62" s="71" t="str">
        <f t="shared" ca="1" si="6"/>
        <v/>
      </c>
      <c r="D62" s="72" t="str">
        <f t="shared" ca="1" si="7"/>
        <v/>
      </c>
      <c r="E62" s="73" t="str">
        <f t="shared" ca="1" si="8"/>
        <v/>
      </c>
      <c r="F62" s="62" t="str">
        <f t="shared" ca="1" si="11"/>
        <v/>
      </c>
      <c r="G62" s="62" t="str">
        <f t="shared" ca="1" si="11"/>
        <v/>
      </c>
      <c r="H62" s="63" t="str">
        <f t="shared" ca="1" si="2"/>
        <v/>
      </c>
      <c r="I62" s="64">
        <f t="shared" ca="1" si="3"/>
        <v>0</v>
      </c>
      <c r="J62" s="64">
        <f t="shared" ca="1" si="4"/>
        <v>0</v>
      </c>
      <c r="K62" s="65">
        <f t="shared" ca="1" si="5"/>
        <v>0</v>
      </c>
      <c r="L62" s="66"/>
      <c r="M62" s="67">
        <f ca="1">IF($C62="",0,
I62*'1.c Decrements'!D57+(M61-N61-O61)*(1+G61))</f>
        <v>0</v>
      </c>
      <c r="N62" s="68">
        <f ca="1">K62*'1.a Assumptions'!$C$13*'1.c Decrements'!E57</f>
        <v>0</v>
      </c>
      <c r="O62" s="68">
        <f ca="1">J63*('1.c Decrements'!F57+'1.c Decrements'!G57)</f>
        <v>0</v>
      </c>
      <c r="P62" s="68">
        <f ca="1">M62-J63*'1.c Decrements'!D57</f>
        <v>0</v>
      </c>
      <c r="Q62" s="68" t="str">
        <f ca="1">IF(B63&lt;=$Q$14,OFFSET('1.c Decrements'!$J$11,0,$Q$14-B62),"")</f>
        <v/>
      </c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27" x14ac:dyDescent="0.25">
      <c r="A63" s="13"/>
      <c r="B63" s="57" t="str">
        <f t="shared" ca="1" si="1"/>
        <v/>
      </c>
      <c r="C63" s="71" t="str">
        <f t="shared" ca="1" si="6"/>
        <v/>
      </c>
      <c r="D63" s="72" t="str">
        <f t="shared" ca="1" si="7"/>
        <v/>
      </c>
      <c r="E63" s="73" t="str">
        <f t="shared" ca="1" si="8"/>
        <v/>
      </c>
      <c r="F63" s="62" t="str">
        <f t="shared" ca="1" si="11"/>
        <v/>
      </c>
      <c r="G63" s="62" t="str">
        <f t="shared" ca="1" si="11"/>
        <v/>
      </c>
      <c r="H63" s="63" t="str">
        <f t="shared" ca="1" si="2"/>
        <v/>
      </c>
      <c r="I63" s="64">
        <f t="shared" ca="1" si="3"/>
        <v>0</v>
      </c>
      <c r="J63" s="64">
        <f t="shared" ca="1" si="4"/>
        <v>0</v>
      </c>
      <c r="K63" s="65">
        <f t="shared" ca="1" si="5"/>
        <v>0</v>
      </c>
      <c r="L63" s="66"/>
      <c r="M63" s="67">
        <f ca="1">IF($C63="",0,
I63*'1.c Decrements'!D58+(M62-N62-O62)*(1+G62))</f>
        <v>0</v>
      </c>
      <c r="N63" s="68">
        <f ca="1">K63*'1.a Assumptions'!$C$13*'1.c Decrements'!E58</f>
        <v>0</v>
      </c>
      <c r="O63" s="68">
        <f ca="1">J64*('1.c Decrements'!F58+'1.c Decrements'!G58)</f>
        <v>0</v>
      </c>
      <c r="P63" s="68">
        <f ca="1">M63-J64*'1.c Decrements'!D58</f>
        <v>0</v>
      </c>
      <c r="Q63" s="68" t="str">
        <f ca="1">IF(B64&lt;=$Q$14,OFFSET('1.c Decrements'!$J$11,0,$Q$14-B63),"")</f>
        <v/>
      </c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1:27" x14ac:dyDescent="0.25">
      <c r="A64" s="13"/>
      <c r="B64" s="57" t="str">
        <f t="shared" ca="1" si="1"/>
        <v/>
      </c>
      <c r="C64" s="71" t="str">
        <f t="shared" ca="1" si="6"/>
        <v/>
      </c>
      <c r="D64" s="72" t="str">
        <f t="shared" ca="1" si="7"/>
        <v/>
      </c>
      <c r="E64" s="73" t="str">
        <f t="shared" ca="1" si="8"/>
        <v/>
      </c>
      <c r="F64" s="62" t="str">
        <f t="shared" ca="1" si="11"/>
        <v/>
      </c>
      <c r="G64" s="62" t="str">
        <f t="shared" ca="1" si="11"/>
        <v/>
      </c>
      <c r="H64" s="63" t="str">
        <f t="shared" ca="1" si="2"/>
        <v/>
      </c>
      <c r="I64" s="64">
        <f t="shared" ca="1" si="3"/>
        <v>0</v>
      </c>
      <c r="J64" s="64">
        <f t="shared" ca="1" si="4"/>
        <v>0</v>
      </c>
      <c r="K64" s="65">
        <f t="shared" ca="1" si="5"/>
        <v>0</v>
      </c>
      <c r="L64" s="66"/>
      <c r="M64" s="67">
        <f ca="1">IF($C64="",0,
I64*'1.c Decrements'!D59+(M63-N63-O63)*(1+G63))</f>
        <v>0</v>
      </c>
      <c r="N64" s="68">
        <f ca="1">K64*'1.a Assumptions'!$C$13*'1.c Decrements'!E59</f>
        <v>0</v>
      </c>
      <c r="O64" s="68">
        <f ca="1">J65*('1.c Decrements'!F59+'1.c Decrements'!G59)</f>
        <v>0</v>
      </c>
      <c r="P64" s="68">
        <f ca="1">M64-J65*'1.c Decrements'!D59</f>
        <v>0</v>
      </c>
      <c r="Q64" s="68" t="str">
        <f ca="1">IF(B65&lt;=$Q$14,OFFSET('1.c Decrements'!$J$11,0,$Q$14-B64),"")</f>
        <v/>
      </c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1:27" x14ac:dyDescent="0.25">
      <c r="A65" s="13"/>
      <c r="B65" s="57" t="str">
        <f t="shared" ca="1" si="1"/>
        <v/>
      </c>
      <c r="C65" s="71" t="str">
        <f t="shared" ca="1" si="6"/>
        <v/>
      </c>
      <c r="D65" s="72" t="str">
        <f t="shared" ca="1" si="7"/>
        <v/>
      </c>
      <c r="E65" s="73" t="str">
        <f t="shared" ca="1" si="8"/>
        <v/>
      </c>
      <c r="F65" s="62" t="str">
        <f t="shared" ca="1" si="11"/>
        <v/>
      </c>
      <c r="G65" s="62" t="str">
        <f t="shared" ca="1" si="11"/>
        <v/>
      </c>
      <c r="H65" s="63" t="str">
        <f t="shared" ca="1" si="2"/>
        <v/>
      </c>
      <c r="I65" s="64">
        <f t="shared" ca="1" si="3"/>
        <v>0</v>
      </c>
      <c r="J65" s="64">
        <f t="shared" ca="1" si="4"/>
        <v>0</v>
      </c>
      <c r="K65" s="65">
        <f t="shared" ca="1" si="5"/>
        <v>0</v>
      </c>
      <c r="L65" s="66"/>
      <c r="M65" s="67">
        <f ca="1">IF($C65="",0,
I65*'1.c Decrements'!D60+(M64-N64-O64)*(1+G64))</f>
        <v>0</v>
      </c>
      <c r="N65" s="68">
        <f ca="1">K65*'1.a Assumptions'!$C$13*'1.c Decrements'!E60</f>
        <v>0</v>
      </c>
      <c r="O65" s="68">
        <f ca="1">J66*('1.c Decrements'!F60+'1.c Decrements'!G60)</f>
        <v>0</v>
      </c>
      <c r="P65" s="68">
        <f ca="1">M65-J66*'1.c Decrements'!D60</f>
        <v>0</v>
      </c>
      <c r="Q65" s="68" t="str">
        <f ca="1">IF(B66&lt;=$Q$14,OFFSET('1.c Decrements'!$J$11,0,$Q$14-B65),"")</f>
        <v/>
      </c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1:27" x14ac:dyDescent="0.25">
      <c r="A66" s="13"/>
      <c r="B66" s="57" t="str">
        <f t="shared" ca="1" si="1"/>
        <v/>
      </c>
      <c r="C66" s="71" t="str">
        <f t="shared" ca="1" si="6"/>
        <v/>
      </c>
      <c r="D66" s="72" t="str">
        <f t="shared" ca="1" si="7"/>
        <v/>
      </c>
      <c r="E66" s="73" t="str">
        <f t="shared" ca="1" si="8"/>
        <v/>
      </c>
      <c r="F66" s="62" t="str">
        <f t="shared" ref="F66:G81" ca="1" si="12">IF($C66="","",F65)</f>
        <v/>
      </c>
      <c r="G66" s="62" t="str">
        <f t="shared" ca="1" si="12"/>
        <v/>
      </c>
      <c r="H66" s="63" t="str">
        <f t="shared" ca="1" si="2"/>
        <v/>
      </c>
      <c r="I66" s="64">
        <f t="shared" ca="1" si="3"/>
        <v>0</v>
      </c>
      <c r="J66" s="64">
        <f t="shared" ca="1" si="4"/>
        <v>0</v>
      </c>
      <c r="K66" s="65">
        <f t="shared" ca="1" si="5"/>
        <v>0</v>
      </c>
      <c r="L66" s="66"/>
      <c r="M66" s="67">
        <f ca="1">IF($C66="",0,
I66*'1.c Decrements'!D61+(M65-N65-O65)*(1+G65))</f>
        <v>0</v>
      </c>
      <c r="N66" s="68">
        <f ca="1">K66*'1.a Assumptions'!$C$13*'1.c Decrements'!E61</f>
        <v>0</v>
      </c>
      <c r="O66" s="68">
        <f ca="1">J67*('1.c Decrements'!F61+'1.c Decrements'!G61)</f>
        <v>0</v>
      </c>
      <c r="P66" s="68">
        <f ca="1">M66-J67*'1.c Decrements'!D61</f>
        <v>0</v>
      </c>
      <c r="Q66" s="68" t="str">
        <f ca="1">IF(B67&lt;=$Q$14,OFFSET('1.c Decrements'!$J$11,0,$Q$14-B66),"")</f>
        <v/>
      </c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1:27" x14ac:dyDescent="0.25">
      <c r="A67" s="13"/>
      <c r="B67" s="57" t="str">
        <f t="shared" ca="1" si="1"/>
        <v/>
      </c>
      <c r="C67" s="71" t="str">
        <f t="shared" ca="1" si="6"/>
        <v/>
      </c>
      <c r="D67" s="72" t="str">
        <f t="shared" ca="1" si="7"/>
        <v/>
      </c>
      <c r="E67" s="73" t="str">
        <f t="shared" ca="1" si="8"/>
        <v/>
      </c>
      <c r="F67" s="62" t="str">
        <f t="shared" ca="1" si="12"/>
        <v/>
      </c>
      <c r="G67" s="62" t="str">
        <f t="shared" ca="1" si="12"/>
        <v/>
      </c>
      <c r="H67" s="63" t="str">
        <f t="shared" ca="1" si="2"/>
        <v/>
      </c>
      <c r="I67" s="64">
        <f t="shared" ca="1" si="3"/>
        <v>0</v>
      </c>
      <c r="J67" s="64">
        <f t="shared" ca="1" si="4"/>
        <v>0</v>
      </c>
      <c r="K67" s="65">
        <f t="shared" ca="1" si="5"/>
        <v>0</v>
      </c>
      <c r="L67" s="66"/>
      <c r="M67" s="67">
        <f ca="1">IF($C67="",0,
I67*'1.c Decrements'!D62+(M66-N66-O66)*(1+G66))</f>
        <v>0</v>
      </c>
      <c r="N67" s="68">
        <f ca="1">K67*'1.a Assumptions'!$C$13*'1.c Decrements'!E62</f>
        <v>0</v>
      </c>
      <c r="O67" s="68">
        <f ca="1">J68*('1.c Decrements'!F62+'1.c Decrements'!G62)</f>
        <v>0</v>
      </c>
      <c r="P67" s="68">
        <f ca="1">M67-J68*'1.c Decrements'!D62</f>
        <v>0</v>
      </c>
      <c r="Q67" s="68" t="str">
        <f ca="1">IF(B68&lt;=$Q$14,OFFSET('1.c Decrements'!$J$11,0,$Q$14-B67),"")</f>
        <v/>
      </c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1:27" x14ac:dyDescent="0.25">
      <c r="A68" s="13"/>
      <c r="B68" s="57" t="str">
        <f t="shared" ca="1" si="1"/>
        <v/>
      </c>
      <c r="C68" s="71" t="str">
        <f t="shared" ca="1" si="6"/>
        <v/>
      </c>
      <c r="D68" s="72" t="str">
        <f t="shared" ca="1" si="7"/>
        <v/>
      </c>
      <c r="E68" s="73" t="str">
        <f t="shared" ca="1" si="8"/>
        <v/>
      </c>
      <c r="F68" s="62" t="str">
        <f t="shared" ca="1" si="12"/>
        <v/>
      </c>
      <c r="G68" s="62" t="str">
        <f t="shared" ca="1" si="12"/>
        <v/>
      </c>
      <c r="H68" s="63" t="str">
        <f t="shared" ca="1" si="2"/>
        <v/>
      </c>
      <c r="I68" s="64">
        <f t="shared" ca="1" si="3"/>
        <v>0</v>
      </c>
      <c r="J68" s="64">
        <f t="shared" ca="1" si="4"/>
        <v>0</v>
      </c>
      <c r="K68" s="65">
        <f t="shared" ca="1" si="5"/>
        <v>0</v>
      </c>
      <c r="L68" s="66"/>
      <c r="M68" s="67">
        <f ca="1">IF($C68="",0,
I68*'1.c Decrements'!D63+(M67-N67-O67)*(1+G67))</f>
        <v>0</v>
      </c>
      <c r="N68" s="68">
        <f ca="1">K68*'1.a Assumptions'!$C$13*'1.c Decrements'!E63</f>
        <v>0</v>
      </c>
      <c r="O68" s="68">
        <f ca="1">J69*('1.c Decrements'!F63+'1.c Decrements'!G63)</f>
        <v>0</v>
      </c>
      <c r="P68" s="68">
        <f ca="1">M68-J69*'1.c Decrements'!D63</f>
        <v>0</v>
      </c>
      <c r="Q68" s="68" t="str">
        <f ca="1">IF(B69&lt;=$Q$14,OFFSET('1.c Decrements'!$J$11,0,$Q$14-B68),"")</f>
        <v/>
      </c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1:27" x14ac:dyDescent="0.25">
      <c r="A69" s="13"/>
      <c r="B69" s="57" t="str">
        <f t="shared" ca="1" si="1"/>
        <v/>
      </c>
      <c r="C69" s="71" t="str">
        <f t="shared" ca="1" si="6"/>
        <v/>
      </c>
      <c r="D69" s="72" t="str">
        <f t="shared" ca="1" si="7"/>
        <v/>
      </c>
      <c r="E69" s="73" t="str">
        <f t="shared" ca="1" si="8"/>
        <v/>
      </c>
      <c r="F69" s="62" t="str">
        <f t="shared" ca="1" si="12"/>
        <v/>
      </c>
      <c r="G69" s="62" t="str">
        <f t="shared" ca="1" si="12"/>
        <v/>
      </c>
      <c r="H69" s="63" t="str">
        <f t="shared" ca="1" si="2"/>
        <v/>
      </c>
      <c r="I69" s="64">
        <f t="shared" ca="1" si="3"/>
        <v>0</v>
      </c>
      <c r="J69" s="64">
        <f t="shared" ca="1" si="4"/>
        <v>0</v>
      </c>
      <c r="K69" s="65">
        <f t="shared" ca="1" si="5"/>
        <v>0</v>
      </c>
      <c r="L69" s="66"/>
      <c r="M69" s="67">
        <f ca="1">IF($C69="",0,
I69*'1.c Decrements'!D64+(M68-N68-O68)*(1+G68))</f>
        <v>0</v>
      </c>
      <c r="N69" s="68">
        <f ca="1">K69*'1.a Assumptions'!$C$13*'1.c Decrements'!E64</f>
        <v>0</v>
      </c>
      <c r="O69" s="68">
        <f ca="1">J70*('1.c Decrements'!F64+'1.c Decrements'!G64)</f>
        <v>0</v>
      </c>
      <c r="P69" s="68">
        <f ca="1">M69-J70*'1.c Decrements'!D64</f>
        <v>0</v>
      </c>
      <c r="Q69" s="68" t="str">
        <f ca="1">IF(B70&lt;=$Q$14,OFFSET('1.c Decrements'!$J$11,0,$Q$14-B69),"")</f>
        <v/>
      </c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1:27" x14ac:dyDescent="0.25">
      <c r="A70" s="13"/>
      <c r="B70" s="57" t="str">
        <f t="shared" ca="1" si="1"/>
        <v/>
      </c>
      <c r="C70" s="71" t="str">
        <f t="shared" ca="1" si="6"/>
        <v/>
      </c>
      <c r="D70" s="72" t="str">
        <f t="shared" ca="1" si="7"/>
        <v/>
      </c>
      <c r="E70" s="73" t="str">
        <f t="shared" ca="1" si="8"/>
        <v/>
      </c>
      <c r="F70" s="62" t="str">
        <f t="shared" ca="1" si="12"/>
        <v/>
      </c>
      <c r="G70" s="62" t="str">
        <f t="shared" ca="1" si="12"/>
        <v/>
      </c>
      <c r="H70" s="63" t="str">
        <f t="shared" ca="1" si="2"/>
        <v/>
      </c>
      <c r="I70" s="64">
        <f t="shared" ca="1" si="3"/>
        <v>0</v>
      </c>
      <c r="J70" s="64">
        <f t="shared" ca="1" si="4"/>
        <v>0</v>
      </c>
      <c r="K70" s="65">
        <f t="shared" ca="1" si="5"/>
        <v>0</v>
      </c>
      <c r="L70" s="66"/>
      <c r="M70" s="67">
        <f ca="1">IF($C70="",0,
I70*'1.c Decrements'!D65+(M69-N69-O69)*(1+G69))</f>
        <v>0</v>
      </c>
      <c r="N70" s="68">
        <f ca="1">K70*'1.a Assumptions'!$C$13*'1.c Decrements'!E65</f>
        <v>0</v>
      </c>
      <c r="O70" s="68">
        <f ca="1">J71*('1.c Decrements'!F65+'1.c Decrements'!G65)</f>
        <v>0</v>
      </c>
      <c r="P70" s="68">
        <f ca="1">M70-J71*'1.c Decrements'!D65</f>
        <v>0</v>
      </c>
      <c r="Q70" s="68" t="str">
        <f ca="1">IF(B71&lt;=$Q$14,OFFSET('1.c Decrements'!$J$11,0,$Q$14-B70),"")</f>
        <v/>
      </c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1:27" x14ac:dyDescent="0.25">
      <c r="A71" s="13"/>
      <c r="B71" s="57" t="str">
        <f t="shared" ca="1" si="1"/>
        <v/>
      </c>
      <c r="C71" s="71" t="str">
        <f t="shared" ca="1" si="6"/>
        <v/>
      </c>
      <c r="D71" s="72" t="str">
        <f t="shared" ca="1" si="7"/>
        <v/>
      </c>
      <c r="E71" s="73" t="str">
        <f t="shared" ca="1" si="8"/>
        <v/>
      </c>
      <c r="F71" s="62" t="str">
        <f t="shared" ca="1" si="12"/>
        <v/>
      </c>
      <c r="G71" s="62" t="str">
        <f t="shared" ca="1" si="12"/>
        <v/>
      </c>
      <c r="H71" s="63" t="str">
        <f t="shared" ca="1" si="2"/>
        <v/>
      </c>
      <c r="I71" s="64">
        <f t="shared" ca="1" si="3"/>
        <v>0</v>
      </c>
      <c r="J71" s="64">
        <f t="shared" ca="1" si="4"/>
        <v>0</v>
      </c>
      <c r="K71" s="65">
        <f t="shared" ca="1" si="5"/>
        <v>0</v>
      </c>
      <c r="L71" s="66"/>
      <c r="M71" s="67">
        <f ca="1">IF($C71="",0,
I71*'1.c Decrements'!D66+(M70-N70-O70)*(1+G70))</f>
        <v>0</v>
      </c>
      <c r="N71" s="68">
        <f ca="1">K71*'1.a Assumptions'!$C$13*'1.c Decrements'!E66</f>
        <v>0</v>
      </c>
      <c r="O71" s="68">
        <f ca="1">J72*('1.c Decrements'!F66+'1.c Decrements'!G66)</f>
        <v>0</v>
      </c>
      <c r="P71" s="68">
        <f ca="1">M71-J72*'1.c Decrements'!D66</f>
        <v>0</v>
      </c>
      <c r="Q71" s="68" t="str">
        <f ca="1">IF(B72&lt;=$Q$14,OFFSET('1.c Decrements'!$J$11,0,$Q$14-B71),"")</f>
        <v/>
      </c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1:27" x14ac:dyDescent="0.25">
      <c r="A72" s="13"/>
      <c r="B72" s="57" t="str">
        <f t="shared" ca="1" si="1"/>
        <v/>
      </c>
      <c r="C72" s="71" t="str">
        <f t="shared" ca="1" si="6"/>
        <v/>
      </c>
      <c r="D72" s="72" t="str">
        <f t="shared" ca="1" si="7"/>
        <v/>
      </c>
      <c r="E72" s="73" t="str">
        <f t="shared" ca="1" si="8"/>
        <v/>
      </c>
      <c r="F72" s="62" t="str">
        <f t="shared" ca="1" si="12"/>
        <v/>
      </c>
      <c r="G72" s="62" t="str">
        <f t="shared" ca="1" si="12"/>
        <v/>
      </c>
      <c r="H72" s="63" t="str">
        <f t="shared" ca="1" si="2"/>
        <v/>
      </c>
      <c r="I72" s="64">
        <f t="shared" ca="1" si="3"/>
        <v>0</v>
      </c>
      <c r="J72" s="64">
        <f t="shared" ca="1" si="4"/>
        <v>0</v>
      </c>
      <c r="K72" s="65">
        <f t="shared" ca="1" si="5"/>
        <v>0</v>
      </c>
      <c r="L72" s="66"/>
      <c r="M72" s="67">
        <f ca="1">IF($C72="",0,
I72*'1.c Decrements'!D67+(M71-N71-O71)*(1+G71))</f>
        <v>0</v>
      </c>
      <c r="N72" s="68">
        <f ca="1">K72*'1.a Assumptions'!$C$13*'1.c Decrements'!E67</f>
        <v>0</v>
      </c>
      <c r="O72" s="68">
        <f ca="1">J73*('1.c Decrements'!F67+'1.c Decrements'!G67)</f>
        <v>0</v>
      </c>
      <c r="P72" s="68">
        <f ca="1">M72-J73*'1.c Decrements'!D67</f>
        <v>0</v>
      </c>
      <c r="Q72" s="68" t="str">
        <f ca="1">IF(B73&lt;=$Q$14,OFFSET('1.c Decrements'!$J$11,0,$Q$14-B72),"")</f>
        <v/>
      </c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1:27" x14ac:dyDescent="0.25">
      <c r="A73" s="13"/>
      <c r="B73" s="57" t="str">
        <f t="shared" ca="1" si="1"/>
        <v/>
      </c>
      <c r="C73" s="71" t="str">
        <f t="shared" ca="1" si="6"/>
        <v/>
      </c>
      <c r="D73" s="72" t="str">
        <f t="shared" ca="1" si="7"/>
        <v/>
      </c>
      <c r="E73" s="73" t="str">
        <f t="shared" ca="1" si="8"/>
        <v/>
      </c>
      <c r="F73" s="62" t="str">
        <f t="shared" ca="1" si="12"/>
        <v/>
      </c>
      <c r="G73" s="62" t="str">
        <f t="shared" ca="1" si="12"/>
        <v/>
      </c>
      <c r="H73" s="63" t="str">
        <f t="shared" ca="1" si="2"/>
        <v/>
      </c>
      <c r="I73" s="64">
        <f t="shared" ca="1" si="3"/>
        <v>0</v>
      </c>
      <c r="J73" s="64">
        <f t="shared" ca="1" si="4"/>
        <v>0</v>
      </c>
      <c r="K73" s="65">
        <f t="shared" ca="1" si="5"/>
        <v>0</v>
      </c>
      <c r="L73" s="66"/>
      <c r="M73" s="67">
        <f ca="1">IF($C73="",0,
I73*'1.c Decrements'!D68+(M72-N72-O72)*(1+G72))</f>
        <v>0</v>
      </c>
      <c r="N73" s="68">
        <f ca="1">K73*'1.a Assumptions'!$C$13*'1.c Decrements'!E68</f>
        <v>0</v>
      </c>
      <c r="O73" s="68">
        <f ca="1">J74*('1.c Decrements'!F68+'1.c Decrements'!G68)</f>
        <v>0</v>
      </c>
      <c r="P73" s="68">
        <f ca="1">M73-J74*'1.c Decrements'!D68</f>
        <v>0</v>
      </c>
      <c r="Q73" s="68" t="str">
        <f ca="1">IF(B74&lt;=$Q$14,OFFSET('1.c Decrements'!$J$11,0,$Q$14-B73),"")</f>
        <v/>
      </c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1:27" x14ac:dyDescent="0.25">
      <c r="A74" s="13"/>
      <c r="B74" s="57" t="str">
        <f t="shared" ca="1" si="1"/>
        <v/>
      </c>
      <c r="C74" s="71" t="str">
        <f t="shared" ca="1" si="6"/>
        <v/>
      </c>
      <c r="D74" s="72" t="str">
        <f t="shared" ca="1" si="7"/>
        <v/>
      </c>
      <c r="E74" s="73" t="str">
        <f t="shared" ca="1" si="8"/>
        <v/>
      </c>
      <c r="F74" s="62" t="str">
        <f t="shared" ca="1" si="12"/>
        <v/>
      </c>
      <c r="G74" s="62" t="str">
        <f t="shared" ca="1" si="12"/>
        <v/>
      </c>
      <c r="H74" s="63" t="str">
        <f t="shared" ca="1" si="2"/>
        <v/>
      </c>
      <c r="I74" s="64">
        <f t="shared" ca="1" si="3"/>
        <v>0</v>
      </c>
      <c r="J74" s="64">
        <f t="shared" ca="1" si="4"/>
        <v>0</v>
      </c>
      <c r="K74" s="65">
        <f t="shared" ca="1" si="5"/>
        <v>0</v>
      </c>
      <c r="L74" s="66"/>
      <c r="M74" s="67">
        <f ca="1">IF($C74="",0,
I74*'1.c Decrements'!D69+(M73-N73-O73)*(1+G73))</f>
        <v>0</v>
      </c>
      <c r="N74" s="68">
        <f ca="1">K74*'1.a Assumptions'!$C$13*'1.c Decrements'!E69</f>
        <v>0</v>
      </c>
      <c r="O74" s="68">
        <f ca="1">J75*('1.c Decrements'!F69+'1.c Decrements'!G69)</f>
        <v>0</v>
      </c>
      <c r="P74" s="68">
        <f ca="1">M74-J75*'1.c Decrements'!D69</f>
        <v>0</v>
      </c>
      <c r="Q74" s="68" t="str">
        <f ca="1">IF(B75&lt;=$Q$14,OFFSET('1.c Decrements'!$J$11,0,$Q$14-B74),"")</f>
        <v/>
      </c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1:27" x14ac:dyDescent="0.25">
      <c r="A75" s="13"/>
      <c r="B75" s="57" t="str">
        <f t="shared" ca="1" si="1"/>
        <v/>
      </c>
      <c r="C75" s="71" t="str">
        <f t="shared" ca="1" si="6"/>
        <v/>
      </c>
      <c r="D75" s="72" t="str">
        <f t="shared" ca="1" si="7"/>
        <v/>
      </c>
      <c r="E75" s="73" t="str">
        <f t="shared" ca="1" si="8"/>
        <v/>
      </c>
      <c r="F75" s="62" t="str">
        <f t="shared" ca="1" si="12"/>
        <v/>
      </c>
      <c r="G75" s="62" t="str">
        <f t="shared" ca="1" si="12"/>
        <v/>
      </c>
      <c r="H75" s="63" t="str">
        <f t="shared" ca="1" si="2"/>
        <v/>
      </c>
      <c r="I75" s="64">
        <f t="shared" ca="1" si="3"/>
        <v>0</v>
      </c>
      <c r="J75" s="64">
        <f t="shared" ca="1" si="4"/>
        <v>0</v>
      </c>
      <c r="K75" s="65">
        <f t="shared" ca="1" si="5"/>
        <v>0</v>
      </c>
      <c r="L75" s="66"/>
      <c r="M75" s="67">
        <f ca="1">IF($C75="",0,
I75*'1.c Decrements'!D70+(M74-N74-O74)*(1+G74))</f>
        <v>0</v>
      </c>
      <c r="N75" s="68">
        <f ca="1">K75*'1.a Assumptions'!$C$13*'1.c Decrements'!E70</f>
        <v>0</v>
      </c>
      <c r="O75" s="68">
        <f ca="1">J76*('1.c Decrements'!F70+'1.c Decrements'!G70)</f>
        <v>0</v>
      </c>
      <c r="P75" s="68">
        <f ca="1">M75-J76*'1.c Decrements'!D70</f>
        <v>0</v>
      </c>
      <c r="Q75" s="68" t="str">
        <f ca="1">IF(B76&lt;=$Q$14,OFFSET('1.c Decrements'!$J$11,0,$Q$14-B75),"")</f>
        <v/>
      </c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1:27" x14ac:dyDescent="0.25">
      <c r="A76" s="13"/>
      <c r="B76" s="57" t="str">
        <f t="shared" ca="1" si="1"/>
        <v/>
      </c>
      <c r="C76" s="71" t="str">
        <f t="shared" ca="1" si="6"/>
        <v/>
      </c>
      <c r="D76" s="72" t="str">
        <f t="shared" ca="1" si="7"/>
        <v/>
      </c>
      <c r="E76" s="73" t="str">
        <f t="shared" ca="1" si="8"/>
        <v/>
      </c>
      <c r="F76" s="62" t="str">
        <f t="shared" ca="1" si="12"/>
        <v/>
      </c>
      <c r="G76" s="62" t="str">
        <f t="shared" ca="1" si="12"/>
        <v/>
      </c>
      <c r="H76" s="63" t="str">
        <f t="shared" ca="1" si="2"/>
        <v/>
      </c>
      <c r="I76" s="64">
        <f t="shared" ca="1" si="3"/>
        <v>0</v>
      </c>
      <c r="J76" s="64">
        <f t="shared" ca="1" si="4"/>
        <v>0</v>
      </c>
      <c r="K76" s="65">
        <f t="shared" ca="1" si="5"/>
        <v>0</v>
      </c>
      <c r="L76" s="66"/>
      <c r="M76" s="67">
        <f ca="1">IF($C76="",0,
I76*'1.c Decrements'!D71+(M75-N75-O75)*(1+G75))</f>
        <v>0</v>
      </c>
      <c r="N76" s="68">
        <f ca="1">K76*'1.a Assumptions'!$C$13*'1.c Decrements'!E71</f>
        <v>0</v>
      </c>
      <c r="O76" s="68">
        <f ca="1">J77*('1.c Decrements'!F71+'1.c Decrements'!G71)</f>
        <v>0</v>
      </c>
      <c r="P76" s="68">
        <f ca="1">M76-J77*'1.c Decrements'!D71</f>
        <v>0</v>
      </c>
      <c r="Q76" s="68" t="str">
        <f ca="1">IF(B77&lt;=$Q$14,OFFSET('1.c Decrements'!$J$11,0,$Q$14-B76),"")</f>
        <v/>
      </c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1:27" x14ac:dyDescent="0.25">
      <c r="A77" s="13"/>
      <c r="B77" s="57" t="str">
        <f t="shared" ca="1" si="1"/>
        <v/>
      </c>
      <c r="C77" s="71" t="str">
        <f t="shared" ca="1" si="6"/>
        <v/>
      </c>
      <c r="D77" s="72" t="str">
        <f t="shared" ca="1" si="7"/>
        <v/>
      </c>
      <c r="E77" s="73" t="str">
        <f t="shared" ca="1" si="8"/>
        <v/>
      </c>
      <c r="F77" s="62" t="str">
        <f t="shared" ca="1" si="12"/>
        <v/>
      </c>
      <c r="G77" s="62" t="str">
        <f t="shared" ca="1" si="12"/>
        <v/>
      </c>
      <c r="H77" s="63" t="str">
        <f t="shared" ca="1" si="2"/>
        <v/>
      </c>
      <c r="I77" s="64">
        <f t="shared" ca="1" si="3"/>
        <v>0</v>
      </c>
      <c r="J77" s="64">
        <f t="shared" ca="1" si="4"/>
        <v>0</v>
      </c>
      <c r="K77" s="65">
        <f t="shared" ca="1" si="5"/>
        <v>0</v>
      </c>
      <c r="L77" s="66"/>
      <c r="M77" s="67">
        <f ca="1">IF($C77="",0,
I77*'1.c Decrements'!D72+(M76-N76-O76)*(1+G76))</f>
        <v>0</v>
      </c>
      <c r="N77" s="68">
        <f ca="1">K77*'1.a Assumptions'!$C$13*'1.c Decrements'!E72</f>
        <v>0</v>
      </c>
      <c r="O77" s="68">
        <f ca="1">J78*('1.c Decrements'!F72+'1.c Decrements'!G72)</f>
        <v>0</v>
      </c>
      <c r="P77" s="68">
        <f ca="1">M77-J78*'1.c Decrements'!D72</f>
        <v>0</v>
      </c>
      <c r="Q77" s="68" t="str">
        <f ca="1">IF(B78&lt;=$Q$14,OFFSET('1.c Decrements'!$J$11,0,$Q$14-B77),"")</f>
        <v/>
      </c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1:27" x14ac:dyDescent="0.25">
      <c r="A78" s="13"/>
      <c r="B78" s="57" t="str">
        <f t="shared" ca="1" si="1"/>
        <v/>
      </c>
      <c r="C78" s="71" t="str">
        <f t="shared" ca="1" si="6"/>
        <v/>
      </c>
      <c r="D78" s="72" t="str">
        <f t="shared" ca="1" si="7"/>
        <v/>
      </c>
      <c r="E78" s="73" t="str">
        <f t="shared" ca="1" si="8"/>
        <v/>
      </c>
      <c r="F78" s="62" t="str">
        <f t="shared" ca="1" si="12"/>
        <v/>
      </c>
      <c r="G78" s="62" t="str">
        <f t="shared" ca="1" si="12"/>
        <v/>
      </c>
      <c r="H78" s="63" t="str">
        <f t="shared" ca="1" si="2"/>
        <v/>
      </c>
      <c r="I78" s="64">
        <f t="shared" ca="1" si="3"/>
        <v>0</v>
      </c>
      <c r="J78" s="64">
        <f t="shared" ca="1" si="4"/>
        <v>0</v>
      </c>
      <c r="K78" s="65">
        <f t="shared" ca="1" si="5"/>
        <v>0</v>
      </c>
      <c r="L78" s="66"/>
      <c r="M78" s="67">
        <f ca="1">IF($C78="",0,
I78*'1.c Decrements'!D73+(M77-N77-O77)*(1+G77))</f>
        <v>0</v>
      </c>
      <c r="N78" s="68">
        <f ca="1">K78*'1.a Assumptions'!$C$13*'1.c Decrements'!E73</f>
        <v>0</v>
      </c>
      <c r="O78" s="68">
        <f ca="1">J79*('1.c Decrements'!F73+'1.c Decrements'!G73)</f>
        <v>0</v>
      </c>
      <c r="P78" s="68">
        <f ca="1">M78-J79*'1.c Decrements'!D73</f>
        <v>0</v>
      </c>
      <c r="Q78" s="68" t="str">
        <f ca="1">IF(B79&lt;=$Q$14,OFFSET('1.c Decrements'!$J$11,0,$Q$14-B78),"")</f>
        <v/>
      </c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1:27" x14ac:dyDescent="0.25">
      <c r="A79" s="13"/>
      <c r="B79" s="57" t="str">
        <f t="shared" ca="1" si="1"/>
        <v/>
      </c>
      <c r="C79" s="71" t="str">
        <f t="shared" ca="1" si="6"/>
        <v/>
      </c>
      <c r="D79" s="72" t="str">
        <f t="shared" ca="1" si="7"/>
        <v/>
      </c>
      <c r="E79" s="73" t="str">
        <f t="shared" ca="1" si="8"/>
        <v/>
      </c>
      <c r="F79" s="62" t="str">
        <f t="shared" ca="1" si="12"/>
        <v/>
      </c>
      <c r="G79" s="62" t="str">
        <f t="shared" ca="1" si="12"/>
        <v/>
      </c>
      <c r="H79" s="63" t="str">
        <f t="shared" ca="1" si="2"/>
        <v/>
      </c>
      <c r="I79" s="64">
        <f t="shared" ca="1" si="3"/>
        <v>0</v>
      </c>
      <c r="J79" s="64">
        <f t="shared" ca="1" si="4"/>
        <v>0</v>
      </c>
      <c r="K79" s="65">
        <f t="shared" ca="1" si="5"/>
        <v>0</v>
      </c>
      <c r="L79" s="66"/>
      <c r="M79" s="67">
        <f ca="1">IF($C79="",0,
I79*'1.c Decrements'!D74+(M78-N78-O78)*(1+G78))</f>
        <v>0</v>
      </c>
      <c r="N79" s="68">
        <f ca="1">K79*'1.a Assumptions'!$C$13*'1.c Decrements'!E74</f>
        <v>0</v>
      </c>
      <c r="O79" s="68">
        <f ca="1">J80*('1.c Decrements'!F74+'1.c Decrements'!G74)</f>
        <v>0</v>
      </c>
      <c r="P79" s="68">
        <f ca="1">M79-J80*'1.c Decrements'!D74</f>
        <v>0</v>
      </c>
      <c r="Q79" s="68" t="str">
        <f ca="1">IF(B80&lt;=$Q$14,OFFSET('1.c Decrements'!$J$11,0,$Q$14-B79),"")</f>
        <v/>
      </c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1:27" x14ac:dyDescent="0.25">
      <c r="A80" s="13"/>
      <c r="B80" s="57" t="str">
        <f t="shared" ca="1" si="1"/>
        <v/>
      </c>
      <c r="C80" s="71" t="str">
        <f t="shared" ca="1" si="6"/>
        <v/>
      </c>
      <c r="D80" s="72" t="str">
        <f t="shared" ca="1" si="7"/>
        <v/>
      </c>
      <c r="E80" s="73" t="str">
        <f t="shared" ca="1" si="8"/>
        <v/>
      </c>
      <c r="F80" s="62" t="str">
        <f t="shared" ca="1" si="12"/>
        <v/>
      </c>
      <c r="G80" s="62" t="str">
        <f t="shared" ca="1" si="12"/>
        <v/>
      </c>
      <c r="H80" s="63" t="str">
        <f t="shared" ca="1" si="2"/>
        <v/>
      </c>
      <c r="I80" s="64">
        <f t="shared" ca="1" si="3"/>
        <v>0</v>
      </c>
      <c r="J80" s="64">
        <f t="shared" ca="1" si="4"/>
        <v>0</v>
      </c>
      <c r="K80" s="65">
        <f t="shared" ca="1" si="5"/>
        <v>0</v>
      </c>
      <c r="L80" s="66"/>
      <c r="M80" s="67">
        <f ca="1">IF($C80="",0,
I80*'1.c Decrements'!D75+(M79-N79-O79)*(1+G79))</f>
        <v>0</v>
      </c>
      <c r="N80" s="68">
        <f ca="1">K80*'1.a Assumptions'!$C$13*'1.c Decrements'!E75</f>
        <v>0</v>
      </c>
      <c r="O80" s="68">
        <f ca="1">J81*('1.c Decrements'!F75+'1.c Decrements'!G75)</f>
        <v>0</v>
      </c>
      <c r="P80" s="68">
        <f ca="1">M80-J81*'1.c Decrements'!D75</f>
        <v>0</v>
      </c>
      <c r="Q80" s="68" t="str">
        <f ca="1">IF(B81&lt;=$Q$14,OFFSET('1.c Decrements'!$J$11,0,$Q$14-B80),"")</f>
        <v/>
      </c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1:27" x14ac:dyDescent="0.25">
      <c r="A81" s="13"/>
      <c r="B81" s="57" t="str">
        <f t="shared" ref="B81:B86" ca="1" si="13">IF($C81="","",B80+1)</f>
        <v/>
      </c>
      <c r="C81" s="71" t="str">
        <f t="shared" ca="1" si="6"/>
        <v/>
      </c>
      <c r="D81" s="72" t="str">
        <f t="shared" ca="1" si="7"/>
        <v/>
      </c>
      <c r="E81" s="73" t="str">
        <f t="shared" ca="1" si="8"/>
        <v/>
      </c>
      <c r="F81" s="62" t="str">
        <f t="shared" ca="1" si="12"/>
        <v/>
      </c>
      <c r="G81" s="62" t="str">
        <f t="shared" ca="1" si="12"/>
        <v/>
      </c>
      <c r="H81" s="63" t="str">
        <f t="shared" ref="H81:H86" ca="1" si="14">IF($C81="","",IF(MOD(B81,3)=0,
IF(C81&gt;=$D$5,D81*(B81*(F81-G81)+1+F81)/(1+F81),
D81*((1+F81)/(1+G81))^($D$5-C81-1)),
H80))</f>
        <v/>
      </c>
      <c r="I81" s="64">
        <f t="shared" ref="I81:I86" ca="1" si="15">IF($C82="",0,
H81*E81*(1+F81))</f>
        <v>0</v>
      </c>
      <c r="J81" s="64">
        <f t="shared" ref="J81:J86" ca="1" si="16">IF($C81="",0,
D81*E81*B81*((1+F81)/(1+G81))^MAX(0,$D$5-C81))</f>
        <v>0</v>
      </c>
      <c r="K81" s="65">
        <f t="shared" ref="K81:K86" ca="1" si="17">J81</f>
        <v>0</v>
      </c>
      <c r="L81" s="66"/>
      <c r="M81" s="67">
        <f ca="1">IF($C81="",0,
I81*'1.c Decrements'!D76+(M80-N80-O80)*(1+G80))</f>
        <v>0</v>
      </c>
      <c r="N81" s="68">
        <f ca="1">K81*'1.a Assumptions'!$C$13*'1.c Decrements'!E76</f>
        <v>0</v>
      </c>
      <c r="O81" s="68">
        <f ca="1">J82*('1.c Decrements'!F76+'1.c Decrements'!G76)</f>
        <v>0</v>
      </c>
      <c r="P81" s="68">
        <f ca="1">M81-J82*'1.c Decrements'!D76</f>
        <v>0</v>
      </c>
      <c r="Q81" s="68" t="str">
        <f ca="1">IF(B82&lt;=$Q$14,OFFSET('1.c Decrements'!$J$11,0,$Q$14-B81),"")</f>
        <v/>
      </c>
      <c r="R81" s="13"/>
      <c r="S81" s="13"/>
      <c r="T81" s="13"/>
      <c r="U81" s="13"/>
      <c r="V81" s="13"/>
      <c r="W81" s="13"/>
      <c r="X81" s="13"/>
      <c r="Y81" s="13"/>
      <c r="Z81" s="13"/>
      <c r="AA81" s="13"/>
    </row>
    <row r="82" spans="1:27" x14ac:dyDescent="0.25">
      <c r="A82" s="13"/>
      <c r="B82" s="57" t="str">
        <f t="shared" ca="1" si="13"/>
        <v/>
      </c>
      <c r="C82" s="71" t="str">
        <f t="shared" ref="C82:C86" ca="1" si="18">IF(C81="","",IF($D$2="A",IF(C81+1&gt;$D$5+15,"",C81+1),IF(C81+1&gt;$D$5,"",C81+1)))</f>
        <v/>
      </c>
      <c r="D82" s="72" t="str">
        <f t="shared" ref="D82:D86" ca="1" si="19">IF($C82="","",D81)</f>
        <v/>
      </c>
      <c r="E82" s="73" t="str">
        <f t="shared" ref="E82:E86" ca="1" si="20">IF($C82="","",E81*(1+F81))</f>
        <v/>
      </c>
      <c r="F82" s="62" t="str">
        <f t="shared" ref="F82:G86" ca="1" si="21">IF($C82="","",F81)</f>
        <v/>
      </c>
      <c r="G82" s="62" t="str">
        <f t="shared" ca="1" si="21"/>
        <v/>
      </c>
      <c r="H82" s="63" t="str">
        <f t="shared" ca="1" si="14"/>
        <v/>
      </c>
      <c r="I82" s="64">
        <f t="shared" ca="1" si="15"/>
        <v>0</v>
      </c>
      <c r="J82" s="64">
        <f t="shared" ca="1" si="16"/>
        <v>0</v>
      </c>
      <c r="K82" s="65">
        <f t="shared" ca="1" si="17"/>
        <v>0</v>
      </c>
      <c r="L82" s="66"/>
      <c r="M82" s="67">
        <f ca="1">IF($C82="",0,
I82*'1.c Decrements'!D77+(M81-N81-O81)*(1+G81))</f>
        <v>0</v>
      </c>
      <c r="N82" s="68">
        <f ca="1">K82*'1.a Assumptions'!$C$13*'1.c Decrements'!E77</f>
        <v>0</v>
      </c>
      <c r="O82" s="68">
        <f ca="1">J83*('1.c Decrements'!F77+'1.c Decrements'!G77)</f>
        <v>0</v>
      </c>
      <c r="P82" s="68">
        <f ca="1">M82-J83*'1.c Decrements'!D77</f>
        <v>0</v>
      </c>
      <c r="Q82" s="68" t="str">
        <f ca="1">IF(B83&lt;=$Q$14,OFFSET('1.c Decrements'!$J$11,0,$Q$14-B82),"")</f>
        <v/>
      </c>
      <c r="R82" s="13"/>
      <c r="S82" s="13"/>
      <c r="T82" s="13"/>
      <c r="U82" s="13"/>
      <c r="V82" s="13"/>
      <c r="W82" s="13"/>
      <c r="X82" s="13"/>
      <c r="Y82" s="13"/>
      <c r="Z82" s="13"/>
      <c r="AA82" s="13"/>
    </row>
    <row r="83" spans="1:27" x14ac:dyDescent="0.25">
      <c r="A83" s="13"/>
      <c r="B83" s="57" t="str">
        <f t="shared" ca="1" si="13"/>
        <v/>
      </c>
      <c r="C83" s="71" t="str">
        <f t="shared" ca="1" si="18"/>
        <v/>
      </c>
      <c r="D83" s="72" t="str">
        <f t="shared" ca="1" si="19"/>
        <v/>
      </c>
      <c r="E83" s="73" t="str">
        <f t="shared" ca="1" si="20"/>
        <v/>
      </c>
      <c r="F83" s="62" t="str">
        <f t="shared" ca="1" si="21"/>
        <v/>
      </c>
      <c r="G83" s="62" t="str">
        <f t="shared" ca="1" si="21"/>
        <v/>
      </c>
      <c r="H83" s="63" t="str">
        <f t="shared" ca="1" si="14"/>
        <v/>
      </c>
      <c r="I83" s="64">
        <f t="shared" ca="1" si="15"/>
        <v>0</v>
      </c>
      <c r="J83" s="64">
        <f t="shared" ca="1" si="16"/>
        <v>0</v>
      </c>
      <c r="K83" s="65">
        <f t="shared" ca="1" si="17"/>
        <v>0</v>
      </c>
      <c r="L83" s="66"/>
      <c r="M83" s="67">
        <f ca="1">IF($C83="",0,
I83*'1.c Decrements'!D78+(M82-N82-O82)*(1+G82))</f>
        <v>0</v>
      </c>
      <c r="N83" s="68">
        <f ca="1">K83*'1.a Assumptions'!$C$13*'1.c Decrements'!E78</f>
        <v>0</v>
      </c>
      <c r="O83" s="68">
        <f ca="1">J84*('1.c Decrements'!F78+'1.c Decrements'!G78)</f>
        <v>0</v>
      </c>
      <c r="P83" s="68">
        <f ca="1">M83-J84*'1.c Decrements'!D78</f>
        <v>0</v>
      </c>
      <c r="Q83" s="68" t="str">
        <f ca="1">IF(B84&lt;=$Q$14,OFFSET('1.c Decrements'!$J$11,0,$Q$14-B83),"")</f>
        <v/>
      </c>
      <c r="R83" s="13"/>
      <c r="S83" s="13"/>
      <c r="T83" s="13"/>
      <c r="U83" s="13"/>
      <c r="V83" s="13"/>
      <c r="W83" s="13"/>
      <c r="X83" s="13"/>
      <c r="Y83" s="13"/>
      <c r="Z83" s="13"/>
      <c r="AA83" s="13"/>
    </row>
    <row r="84" spans="1:27" x14ac:dyDescent="0.25">
      <c r="A84" s="13"/>
      <c r="B84" s="57" t="str">
        <f t="shared" ca="1" si="13"/>
        <v/>
      </c>
      <c r="C84" s="71" t="str">
        <f t="shared" ca="1" si="18"/>
        <v/>
      </c>
      <c r="D84" s="72" t="str">
        <f t="shared" ca="1" si="19"/>
        <v/>
      </c>
      <c r="E84" s="73" t="str">
        <f t="shared" ca="1" si="20"/>
        <v/>
      </c>
      <c r="F84" s="62" t="str">
        <f t="shared" ca="1" si="21"/>
        <v/>
      </c>
      <c r="G84" s="62" t="str">
        <f t="shared" ca="1" si="21"/>
        <v/>
      </c>
      <c r="H84" s="63" t="str">
        <f t="shared" ca="1" si="14"/>
        <v/>
      </c>
      <c r="I84" s="64">
        <f t="shared" ca="1" si="15"/>
        <v>0</v>
      </c>
      <c r="J84" s="64">
        <f t="shared" ca="1" si="16"/>
        <v>0</v>
      </c>
      <c r="K84" s="65">
        <f t="shared" ca="1" si="17"/>
        <v>0</v>
      </c>
      <c r="L84" s="66"/>
      <c r="M84" s="67">
        <f ca="1">IF($C84="",0,
I84*'1.c Decrements'!D79+(M83-N83-O83)*(1+G83))</f>
        <v>0</v>
      </c>
      <c r="N84" s="68">
        <f ca="1">K84*'1.a Assumptions'!$C$13*'1.c Decrements'!E79</f>
        <v>0</v>
      </c>
      <c r="O84" s="68">
        <f ca="1">J85*('1.c Decrements'!F79+'1.c Decrements'!G79)</f>
        <v>0</v>
      </c>
      <c r="P84" s="68">
        <f ca="1">M84-J85*'1.c Decrements'!D79</f>
        <v>0</v>
      </c>
      <c r="Q84" s="68" t="str">
        <f ca="1">IF(B85&lt;=$Q$14,OFFSET('1.c Decrements'!$J$11,0,$Q$14-B84),"")</f>
        <v/>
      </c>
      <c r="R84" s="13"/>
      <c r="S84" s="13"/>
      <c r="T84" s="13"/>
      <c r="U84" s="13"/>
      <c r="V84" s="13"/>
      <c r="W84" s="13"/>
      <c r="X84" s="13"/>
      <c r="Y84" s="13"/>
      <c r="Z84" s="13"/>
      <c r="AA84" s="13"/>
    </row>
    <row r="85" spans="1:27" x14ac:dyDescent="0.25">
      <c r="A85" s="13"/>
      <c r="B85" s="57" t="str">
        <f t="shared" ca="1" si="13"/>
        <v/>
      </c>
      <c r="C85" s="71" t="str">
        <f t="shared" ca="1" si="18"/>
        <v/>
      </c>
      <c r="D85" s="72" t="str">
        <f t="shared" ca="1" si="19"/>
        <v/>
      </c>
      <c r="E85" s="73" t="str">
        <f t="shared" ca="1" si="20"/>
        <v/>
      </c>
      <c r="F85" s="62" t="str">
        <f t="shared" ca="1" si="21"/>
        <v/>
      </c>
      <c r="G85" s="62" t="str">
        <f t="shared" ca="1" si="21"/>
        <v/>
      </c>
      <c r="H85" s="63" t="str">
        <f t="shared" ca="1" si="14"/>
        <v/>
      </c>
      <c r="I85" s="64">
        <f t="shared" ca="1" si="15"/>
        <v>0</v>
      </c>
      <c r="J85" s="64">
        <f t="shared" ca="1" si="16"/>
        <v>0</v>
      </c>
      <c r="K85" s="65">
        <f t="shared" ca="1" si="17"/>
        <v>0</v>
      </c>
      <c r="L85" s="66"/>
      <c r="M85" s="67">
        <f ca="1">IF($C85="",0,
I85*'1.c Decrements'!D80+(M84-N84-O84)*(1+G84))</f>
        <v>0</v>
      </c>
      <c r="N85" s="68">
        <f ca="1">K85*'1.a Assumptions'!$C$13*'1.c Decrements'!E80</f>
        <v>0</v>
      </c>
      <c r="O85" s="68">
        <f ca="1">J86*('1.c Decrements'!F80+'1.c Decrements'!G80)</f>
        <v>0</v>
      </c>
      <c r="P85" s="68">
        <f ca="1">M85-J86*'1.c Decrements'!D80</f>
        <v>0</v>
      </c>
      <c r="Q85" s="68" t="str">
        <f ca="1">IF(B86&lt;=$Q$14,OFFSET('1.c Decrements'!$J$11,0,$Q$14-B85),"")</f>
        <v/>
      </c>
      <c r="R85" s="13"/>
      <c r="S85" s="13"/>
      <c r="T85" s="13"/>
      <c r="U85" s="13"/>
      <c r="V85" s="13"/>
      <c r="W85" s="13"/>
      <c r="X85" s="13"/>
      <c r="Y85" s="13"/>
      <c r="Z85" s="13"/>
      <c r="AA85" s="13"/>
    </row>
    <row r="86" spans="1:27" x14ac:dyDescent="0.25">
      <c r="A86" s="13"/>
      <c r="B86" s="57" t="str">
        <f t="shared" ca="1" si="13"/>
        <v/>
      </c>
      <c r="C86" s="71" t="str">
        <f t="shared" ca="1" si="18"/>
        <v/>
      </c>
      <c r="D86" s="72" t="str">
        <f t="shared" ca="1" si="19"/>
        <v/>
      </c>
      <c r="E86" s="73" t="str">
        <f t="shared" ca="1" si="20"/>
        <v/>
      </c>
      <c r="F86" s="62" t="str">
        <f t="shared" ca="1" si="21"/>
        <v/>
      </c>
      <c r="G86" s="62" t="str">
        <f t="shared" ca="1" si="21"/>
        <v/>
      </c>
      <c r="H86" s="63" t="str">
        <f t="shared" ca="1" si="14"/>
        <v/>
      </c>
      <c r="I86" s="64">
        <f t="shared" si="15"/>
        <v>0</v>
      </c>
      <c r="J86" s="64">
        <f t="shared" ca="1" si="16"/>
        <v>0</v>
      </c>
      <c r="K86" s="65">
        <f t="shared" ca="1" si="17"/>
        <v>0</v>
      </c>
      <c r="L86" s="66"/>
      <c r="M86" s="67">
        <f ca="1">IF($C86="",0,
I86*'1.c Decrements'!D81+(M85-N85-O85)*(1+G85))</f>
        <v>0</v>
      </c>
      <c r="N86" s="68">
        <f ca="1">K86*'1.a Assumptions'!$C$13*'1.c Decrements'!E81</f>
        <v>0</v>
      </c>
      <c r="O86" s="68">
        <f ca="1">J87*('1.c Decrements'!F81+'1.c Decrements'!G81)</f>
        <v>0</v>
      </c>
      <c r="P86" s="68">
        <f ca="1">M86-J87*'1.c Decrements'!D81</f>
        <v>0</v>
      </c>
      <c r="Q86" s="68"/>
      <c r="R86" s="13"/>
      <c r="S86" s="13"/>
      <c r="T86" s="13"/>
      <c r="U86" s="13"/>
      <c r="V86" s="13"/>
      <c r="W86" s="13"/>
      <c r="X86" s="13"/>
      <c r="Y86" s="13"/>
      <c r="Z86" s="13"/>
      <c r="AA86" s="13"/>
    </row>
  </sheetData>
  <conditionalFormatting sqref="H8">
    <cfRule type="cellIs" dxfId="25" priority="3" operator="equal">
      <formula>"Pass"</formula>
    </cfRule>
    <cfRule type="cellIs" dxfId="24" priority="4" operator="equal">
      <formula>"Check!"</formula>
    </cfRule>
  </conditionalFormatting>
  <conditionalFormatting sqref="I8:Q8">
    <cfRule type="cellIs" dxfId="23" priority="1" operator="equal">
      <formula>"Pass"</formula>
    </cfRule>
    <cfRule type="cellIs" dxfId="22" priority="2" operator="equal">
      <formula>"Check!"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0.59999389629810485"/>
  </sheetPr>
  <dimension ref="A1:AA85"/>
  <sheetViews>
    <sheetView zoomScale="85" zoomScaleNormal="85" workbookViewId="0"/>
  </sheetViews>
  <sheetFormatPr defaultRowHeight="13.5" x14ac:dyDescent="0.25"/>
  <cols>
    <col min="1" max="1" width="3" style="13" customWidth="1"/>
    <col min="2" max="2" width="14.85546875" style="13" customWidth="1"/>
    <col min="3" max="3" width="17.85546875" style="13" bestFit="1" customWidth="1"/>
    <col min="4" max="4" width="11.140625" style="13" customWidth="1"/>
    <col min="5" max="5" width="16.28515625" style="13" customWidth="1"/>
    <col min="6" max="6" width="17.7109375" style="13" bestFit="1" customWidth="1"/>
    <col min="7" max="7" width="12.140625" style="13" customWidth="1"/>
    <col min="8" max="8" width="16.85546875" style="13" customWidth="1"/>
    <col min="9" max="9" width="15.7109375" style="13" customWidth="1"/>
    <col min="10" max="10" width="16.7109375" style="13" customWidth="1"/>
    <col min="11" max="20" width="15.7109375" style="13" customWidth="1"/>
    <col min="21" max="21" width="2.28515625" style="13" customWidth="1"/>
    <col min="22" max="22" width="13.5703125" style="13" customWidth="1"/>
    <col min="23" max="23" width="14.28515625" style="13" customWidth="1"/>
    <col min="24" max="24" width="2" style="13" customWidth="1"/>
    <col min="25" max="25" width="14.7109375" style="13" customWidth="1"/>
    <col min="26" max="26" width="14.140625" style="13" customWidth="1"/>
    <col min="27" max="27" width="13.42578125" style="13" customWidth="1"/>
    <col min="28" max="28" width="11.5703125" style="13" bestFit="1" customWidth="1"/>
    <col min="29" max="16384" width="9.140625" style="13"/>
  </cols>
  <sheetData>
    <row r="1" spans="1:27" ht="15" customHeight="1" thickBot="1" x14ac:dyDescent="0.3">
      <c r="A1" s="103" t="s">
        <v>33</v>
      </c>
    </row>
    <row r="2" spans="1:27" ht="15" customHeight="1" thickBot="1" x14ac:dyDescent="0.3">
      <c r="B2" s="15" t="s">
        <v>12</v>
      </c>
      <c r="C2" s="16" t="s">
        <v>19</v>
      </c>
      <c r="D2" s="114" t="str">
        <f>RIGHT($B$3,1)</f>
        <v>B</v>
      </c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</row>
    <row r="3" spans="1:27" ht="15" customHeight="1" thickBot="1" x14ac:dyDescent="0.3">
      <c r="B3" s="20" t="str">
        <f>'1.a Assumptions'!$C$3</f>
        <v>45B</v>
      </c>
      <c r="C3" s="16" t="s">
        <v>49</v>
      </c>
      <c r="D3" s="114">
        <f>VLOOKUP($B$3,'opening demographics'!$A$1:$E$11,3,FALSE)</f>
        <v>240</v>
      </c>
      <c r="F3" s="21" t="s">
        <v>46</v>
      </c>
      <c r="G3" s="83" t="str">
        <f>B3</f>
        <v>45B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</row>
    <row r="4" spans="1:27" ht="15" customHeight="1" x14ac:dyDescent="0.25">
      <c r="C4" s="16" t="s">
        <v>20</v>
      </c>
      <c r="D4" s="114">
        <f>VALUE(LEFT($B$3,2))</f>
        <v>45</v>
      </c>
      <c r="F4" s="28" t="s">
        <v>47</v>
      </c>
      <c r="G4" s="84">
        <f>D3</f>
        <v>240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</row>
    <row r="5" spans="1:27" ht="15" customHeight="1" x14ac:dyDescent="0.25">
      <c r="C5" s="16" t="s">
        <v>21</v>
      </c>
      <c r="D5" s="114">
        <f ca="1">INDIRECT("NRA_"&amp;$D$2)</f>
        <v>60</v>
      </c>
      <c r="F5" s="28" t="s">
        <v>79</v>
      </c>
      <c r="G5" s="85">
        <f ca="1">K15</f>
        <v>3412.1564404994069</v>
      </c>
      <c r="H5" s="30">
        <v>9999.1803748249495</v>
      </c>
      <c r="I5" s="31">
        <v>14998.770562237423</v>
      </c>
      <c r="J5" s="31">
        <v>17498.565655943661</v>
      </c>
      <c r="K5" s="31">
        <v>18498.483693426158</v>
      </c>
      <c r="L5" s="32">
        <v>24997.950937062371</v>
      </c>
      <c r="M5" s="33">
        <v>2801.5600248310921</v>
      </c>
      <c r="N5" s="31">
        <v>3124.8169507731409</v>
      </c>
      <c r="O5" s="31">
        <v>3412.1564404994069</v>
      </c>
      <c r="P5" s="31">
        <v>3699.4959302256725</v>
      </c>
      <c r="Q5" s="34">
        <v>3699.4959302256725</v>
      </c>
    </row>
    <row r="6" spans="1:27" ht="15" customHeight="1" x14ac:dyDescent="0.25">
      <c r="C6" s="16" t="s">
        <v>22</v>
      </c>
      <c r="D6" s="115">
        <f ca="1">INDIRECT("accrual_rate_"&amp;$D$2)</f>
        <v>0.05</v>
      </c>
      <c r="F6" s="28" t="s">
        <v>486</v>
      </c>
      <c r="G6" s="85">
        <f ca="1">E16</f>
        <v>96069.488001030244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</row>
    <row r="7" spans="1:27" ht="25.5" x14ac:dyDescent="0.25">
      <c r="C7" s="16" t="s">
        <v>23</v>
      </c>
      <c r="D7" s="116">
        <f>VLOOKUP($B$3,'opening demographics'!$A$1:$E$11,4,FALSE)</f>
        <v>95000</v>
      </c>
      <c r="F7" s="113" t="str">
        <f>"Total surplus / deficit at EOY "&amp;$S$13</f>
        <v>Total surplus / deficit at EOY 15</v>
      </c>
      <c r="G7" s="85">
        <f ca="1">T15</f>
        <v>1861134.6892151204</v>
      </c>
      <c r="H7" s="30">
        <v>1264319.2607208104</v>
      </c>
      <c r="I7" s="31">
        <v>690297.57303008321</v>
      </c>
      <c r="J7" s="31">
        <v>651215.3061604976</v>
      </c>
      <c r="K7" s="31">
        <v>26555.858201984003</v>
      </c>
      <c r="L7" s="32">
        <v>-5429.0275121353279</v>
      </c>
      <c r="M7" s="31">
        <v>7160893.0461405842</v>
      </c>
      <c r="N7" s="31">
        <v>3579522.7332704603</v>
      </c>
      <c r="O7" s="31">
        <v>1861134.6892151204</v>
      </c>
      <c r="P7" s="31">
        <v>-397316.83587046259</v>
      </c>
      <c r="Q7" s="34">
        <v>-68502.257896698211</v>
      </c>
      <c r="R7" s="122"/>
    </row>
    <row r="8" spans="1:27" ht="15" customHeight="1" thickBot="1" x14ac:dyDescent="0.3">
      <c r="C8" s="16" t="s">
        <v>24</v>
      </c>
      <c r="D8" s="117">
        <f ca="1">INDIRECT("e_"&amp;$D$2)</f>
        <v>1.1257768431897297E-2</v>
      </c>
      <c r="F8" s="38" t="s">
        <v>18</v>
      </c>
      <c r="G8" s="86" t="str">
        <f ca="1">W14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</row>
    <row r="9" spans="1:27" ht="15" customHeight="1" x14ac:dyDescent="0.25">
      <c r="C9" s="16" t="s">
        <v>25</v>
      </c>
      <c r="D9" s="129">
        <f ca="1">INDIRECT("EA_"&amp;$D$2)</f>
        <v>41.833333333333336</v>
      </c>
      <c r="H9" s="146" t="s">
        <v>483</v>
      </c>
      <c r="I9" s="143"/>
      <c r="J9" s="143"/>
      <c r="K9" s="143"/>
      <c r="L9" s="47"/>
      <c r="M9" s="47"/>
      <c r="N9" s="47"/>
      <c r="O9" s="47"/>
      <c r="P9" s="47"/>
      <c r="Q9" s="48"/>
    </row>
    <row r="10" spans="1:27" ht="15" customHeight="1" x14ac:dyDescent="0.25">
      <c r="C10" s="16" t="s">
        <v>52</v>
      </c>
      <c r="D10" s="117">
        <f ca="1">(1+G15)/(1+D8)-1</f>
        <v>3.8310935923071554E-2</v>
      </c>
      <c r="E10" s="93"/>
      <c r="H10" s="144" t="s">
        <v>51</v>
      </c>
      <c r="I10" s="143" t="s">
        <v>6</v>
      </c>
      <c r="J10" s="143" t="s">
        <v>5</v>
      </c>
      <c r="K10" s="143" t="s">
        <v>484</v>
      </c>
      <c r="L10" s="47"/>
      <c r="M10" s="47"/>
      <c r="N10" s="47"/>
      <c r="O10" s="47"/>
      <c r="P10" s="47"/>
      <c r="Q10" s="48"/>
    </row>
    <row r="11" spans="1:27" ht="15" customHeight="1" thickBot="1" x14ac:dyDescent="0.3">
      <c r="H11" s="145"/>
      <c r="I11" s="158">
        <f>SUM(H7:L7)</f>
        <v>2626958.9706012397</v>
      </c>
      <c r="J11" s="158">
        <f>SUM(M7:Q7)</f>
        <v>12135731.374859001</v>
      </c>
      <c r="K11" s="158">
        <f>I11+J11</f>
        <v>14762690.345460242</v>
      </c>
      <c r="L11" s="53"/>
      <c r="M11" s="53"/>
      <c r="N11" s="53"/>
      <c r="O11" s="53"/>
      <c r="P11" s="53"/>
      <c r="Q11" s="54"/>
    </row>
    <row r="12" spans="1:27" ht="15" customHeight="1" x14ac:dyDescent="0.25">
      <c r="S12" s="112" t="s">
        <v>77</v>
      </c>
    </row>
    <row r="13" spans="1:27" ht="15" customHeight="1" x14ac:dyDescent="0.25">
      <c r="K13" s="147"/>
      <c r="S13" s="111">
        <v>15</v>
      </c>
    </row>
    <row r="14" spans="1:27" ht="51.75" customHeight="1" x14ac:dyDescent="0.25">
      <c r="B14" s="99" t="s">
        <v>48</v>
      </c>
      <c r="C14" s="99" t="s">
        <v>16</v>
      </c>
      <c r="D14" s="99" t="s">
        <v>14</v>
      </c>
      <c r="E14" s="99" t="s">
        <v>17</v>
      </c>
      <c r="F14" s="99" t="s">
        <v>55</v>
      </c>
      <c r="G14" s="99" t="s">
        <v>15</v>
      </c>
      <c r="H14" s="99" t="s">
        <v>62</v>
      </c>
      <c r="I14" s="99" t="s">
        <v>63</v>
      </c>
      <c r="J14" s="99" t="s">
        <v>64</v>
      </c>
      <c r="K14" s="99" t="s">
        <v>31</v>
      </c>
      <c r="L14" s="99" t="s">
        <v>56</v>
      </c>
      <c r="M14" s="99" t="s">
        <v>53</v>
      </c>
      <c r="N14" s="100" t="s">
        <v>57</v>
      </c>
      <c r="O14" s="99" t="s">
        <v>54</v>
      </c>
      <c r="P14" s="99" t="s">
        <v>58</v>
      </c>
      <c r="Q14" s="99" t="s">
        <v>59</v>
      </c>
      <c r="R14" s="105" t="s">
        <v>74</v>
      </c>
      <c r="S14" s="141" t="str">
        <f>"No. of NEW entrants for the last "&amp;$S$13&amp;" years"</f>
        <v>No. of NEW entrants for the last 15 years</v>
      </c>
      <c r="T14" s="141" t="str">
        <f>"Total surplus/deficit at EOY "&amp;$S$13</f>
        <v>Total surplus/deficit at EOY 15</v>
      </c>
      <c r="V14" s="98" t="s">
        <v>50</v>
      </c>
      <c r="W14" s="56" t="str">
        <f ca="1">IF(ABS(SUM(W15:W85))&lt;0.0001,"Pass","Check!")</f>
        <v>Pass</v>
      </c>
      <c r="Y14" s="98" t="s">
        <v>60</v>
      </c>
      <c r="Z14" s="98" t="s">
        <v>61</v>
      </c>
      <c r="AA14" s="56" t="str">
        <f ca="1">IF(ABS(SUM(AA15:AA85))&lt;0.0001,"Pass","Check!")</f>
        <v>Pass</v>
      </c>
    </row>
    <row r="15" spans="1:27" ht="15" customHeight="1" x14ac:dyDescent="0.25">
      <c r="B15" s="57">
        <v>0</v>
      </c>
      <c r="C15" s="58">
        <f>D4</f>
        <v>45</v>
      </c>
      <c r="D15" s="59">
        <f ca="1">D6</f>
        <v>0.05</v>
      </c>
      <c r="E15" s="60">
        <f>D7</f>
        <v>95000</v>
      </c>
      <c r="F15" s="61">
        <f ca="1">D8</f>
        <v>1.1257768431897297E-2</v>
      </c>
      <c r="G15" s="62">
        <f t="shared" ref="G15" si="0">i</f>
        <v>0.05</v>
      </c>
      <c r="H15" s="94">
        <f ca="1">(1-(1+$D$10)^-($D$5-$D$9))/$D$10</f>
        <v>12.917749181702275</v>
      </c>
      <c r="I15" s="94">
        <f t="shared" ref="I15:I78" ca="1" si="1">IFERROR((1-(1+$D$10)^-($D$5-$C15))/$D$10,0)</f>
        <v>11.250861564338566</v>
      </c>
      <c r="J15" s="148">
        <f>IF($D$2="A",'1.c EAN_Projection'!$H$9,'1.c EAN_Projection'!$M$9)</f>
        <v>3.5517587441111532E-2</v>
      </c>
      <c r="K15" s="65">
        <f t="shared" ref="K15:K78" ca="1" si="2">IF($C16="",0,
J15*E15*(1+F15))</f>
        <v>3412.1564404994069</v>
      </c>
      <c r="L15" s="64">
        <f ca="1">IF($C15="",0,
IF($C15&gt;$D$5,D15*B15*E15,
D15*($D$5-$D$4)*E15*((1+F15)/(1+G15))^($D$5-C15)-J15*E15*I15))</f>
        <v>2576.7100085336133</v>
      </c>
      <c r="M15" s="65">
        <f ca="1">IF($C15="",0,
D15*B15*E15*((1+F15)/(1+G15))^MAX(0,$D$5-C15))</f>
        <v>0</v>
      </c>
      <c r="N15" s="66"/>
      <c r="O15" s="67">
        <f ca="1">IF($C15="",0,
(K15)*'1.c Decrements'!D11)</f>
        <v>3412.1564404994069</v>
      </c>
      <c r="P15" s="68">
        <f ca="1">M15*'1.a Assumptions'!$C$13*'1.c Decrements'!E11</f>
        <v>0</v>
      </c>
      <c r="Q15" s="68">
        <f ca="1">L16*('1.c Decrements'!F11+'1.c Decrements'!G11)</f>
        <v>0</v>
      </c>
      <c r="R15" s="68">
        <f ca="1">O15-L16*'1.c Decrements'!D11</f>
        <v>-2705.5455089602901</v>
      </c>
      <c r="S15" s="68">
        <f ca="1">IF(B16&lt;=$S$13,OFFSET('1.c Decrements'!$J$11,0,$S$13-B15),"")</f>
        <v>14.399999999999999</v>
      </c>
      <c r="T15" s="68">
        <f ca="1">SUMPRODUCT(S15:S85,R15:R85)</f>
        <v>1861134.6892151204</v>
      </c>
      <c r="V15" s="69">
        <f t="shared" ref="V15:V78" ca="1" si="3">IF($C16&lt;=$D$5,L16-L15*(1+i),"")</f>
        <v>3412.1564404994028</v>
      </c>
      <c r="W15" s="70">
        <f t="shared" ref="W15:W78" ca="1" si="4">IF(V15="","",V15-K15)</f>
        <v>-4.0927261579781771E-12</v>
      </c>
      <c r="X15" s="95"/>
      <c r="Y15" s="96">
        <f ca="1">IF(V15="","",J15/'1.c PUC_Projection'!H17)</f>
        <v>1.2024234818744923</v>
      </c>
      <c r="Z15" s="96">
        <f t="shared" ref="Z15:Z78" ca="1" si="5">IF(V15="","",($D$5-$D$9)/$H$15*(1+$D$10)^-(C15-$D$9+1))</f>
        <v>1.2024234818744921</v>
      </c>
      <c r="AA15" s="97">
        <f ca="1">IF(V15="","",Y15-Z15)</f>
        <v>2.2204460492503131E-16</v>
      </c>
    </row>
    <row r="16" spans="1:27" ht="15" customHeight="1" x14ac:dyDescent="0.25">
      <c r="B16" s="57">
        <f ca="1">IF($C16="","",B15+1)</f>
        <v>1</v>
      </c>
      <c r="C16" s="71">
        <f ca="1">IF(C15="","",IF($D$2="A",IF(C15+1&gt;$D$5+15,"",C15+1),IF(C15+1&gt;$D$5,"",C15+1)))</f>
        <v>46</v>
      </c>
      <c r="D16" s="72">
        <f ca="1">IF($C16="","",D15)</f>
        <v>0.05</v>
      </c>
      <c r="E16" s="73">
        <f ca="1">IF($C16="","",E15*(1+F15))</f>
        <v>96069.488001030244</v>
      </c>
      <c r="F16" s="62">
        <f ca="1">IF($C16="","",F15)</f>
        <v>1.1257768431897297E-2</v>
      </c>
      <c r="G16" s="62">
        <f ca="1">IF($C16="","",G15)</f>
        <v>0.05</v>
      </c>
      <c r="I16" s="94">
        <f t="shared" ca="1" si="1"/>
        <v>10.68189260080929</v>
      </c>
      <c r="J16" s="63">
        <f ca="1">IF($C16="","",J15)</f>
        <v>3.5517587441111532E-2</v>
      </c>
      <c r="K16" s="65">
        <f t="shared" ca="1" si="2"/>
        <v>3450.569707559956</v>
      </c>
      <c r="L16" s="64">
        <f t="shared" ref="L16:L79" ca="1" si="6">IF($C16="",0,
IF($C16&gt;$D$5,D16*B16*E16,
D16*($D$5-$D$4)*E16*((1+F16)/(1+G16))^($D$5-C16)-J16*E16*I16))</f>
        <v>6117.7019494596971</v>
      </c>
      <c r="M16" s="65">
        <f t="shared" ref="M16:M79" ca="1" si="7">IF($C16="",0,
D16*B16*E16*((1+F16)/(1+G16))^MAX(0,$D$5-C16))</f>
        <v>2837.7327056022714</v>
      </c>
      <c r="N16" s="66"/>
      <c r="O16" s="67">
        <f ca="1">IF($C16="",0,
K16*'1.c Decrements'!D12+(O15-P15-Q15)*(1+G15))</f>
        <v>6826.2997876307363</v>
      </c>
      <c r="P16" s="68">
        <f ca="1">M16*'1.a Assumptions'!$C$13*'1.c Decrements'!E12</f>
        <v>120.03609344697607</v>
      </c>
      <c r="Q16" s="68">
        <f ca="1">L17*('1.c Decrements'!F12+'1.c Decrements'!G12)</f>
        <v>0</v>
      </c>
      <c r="R16" s="68">
        <f ca="1">O16-L17*'1.c Decrements'!D12</f>
        <v>-2455.4075615923412</v>
      </c>
      <c r="S16" s="68">
        <f ca="1">IF(B17&lt;=$S$13,OFFSET('1.c Decrements'!$J$11,0,$S$13-B16),"")</f>
        <v>14.399999999999999</v>
      </c>
      <c r="V16" s="69">
        <f t="shared" ca="1" si="3"/>
        <v>3450.5697075599546</v>
      </c>
      <c r="W16" s="70">
        <f t="shared" ca="1" si="4"/>
        <v>-1.3642420526593924E-12</v>
      </c>
      <c r="X16" s="95"/>
      <c r="Y16" s="96">
        <f ca="1">IF(V16="","",J16/'1.c PUC_Projection'!H18)</f>
        <v>1.1580572257052486</v>
      </c>
      <c r="Z16" s="96">
        <f t="shared" ca="1" si="5"/>
        <v>1.1580572257052486</v>
      </c>
      <c r="AA16" s="97">
        <f t="shared" ref="AA16:AA79" ca="1" si="8">IF(V16="","",Y16-Z16)</f>
        <v>0</v>
      </c>
    </row>
    <row r="17" spans="2:27" ht="15" customHeight="1" x14ac:dyDescent="0.25">
      <c r="B17" s="57">
        <f t="shared" ref="B17:B80" ca="1" si="9">IF($C17="","",B16+1)</f>
        <v>2</v>
      </c>
      <c r="C17" s="71">
        <f t="shared" ref="C17:C80" ca="1" si="10">IF(C16="","",IF($D$2="A",IF(C16+1&gt;$D$5+15,"",C16+1),IF(C16+1&gt;$D$5,"",C16+1)))</f>
        <v>47</v>
      </c>
      <c r="D17" s="72">
        <f t="shared" ref="D17:D80" ca="1" si="11">IF($C17="","",D16)</f>
        <v>0.05</v>
      </c>
      <c r="E17" s="73">
        <f t="shared" ref="E17:E80" ca="1" si="12">IF($C17="","",E16*(1+F16))</f>
        <v>97151.016050316772</v>
      </c>
      <c r="F17" s="62">
        <f t="shared" ref="F17:G32" ca="1" si="13">IF($C17="","",F16)</f>
        <v>1.1257768431897297E-2</v>
      </c>
      <c r="G17" s="62">
        <f t="shared" ca="1" si="13"/>
        <v>0.05</v>
      </c>
      <c r="I17" s="94">
        <f t="shared" ca="1" si="1"/>
        <v>10.091125903776026</v>
      </c>
      <c r="J17" s="63">
        <f t="shared" ref="J17:J80" ca="1" si="14">IF($C17="","",J16)</f>
        <v>3.5517587441111532E-2</v>
      </c>
      <c r="K17" s="65">
        <f t="shared" ca="1" si="2"/>
        <v>3489.4154222857856</v>
      </c>
      <c r="L17" s="64">
        <f t="shared" ca="1" si="6"/>
        <v>9874.1567544926365</v>
      </c>
      <c r="M17" s="65">
        <f t="shared" ca="1" si="7"/>
        <v>5959.2386817647694</v>
      </c>
      <c r="N17" s="66"/>
      <c r="O17" s="67">
        <f ca="1">IF($C17="",0,
K17*'1.c Decrements'!D13+(O16-P16-Q16)*(1+G16))</f>
        <v>10124.824346024669</v>
      </c>
      <c r="P17" s="68">
        <f ca="1">M17*'1.a Assumptions'!$C$13*'1.c Decrements'!E13</f>
        <v>236.95124846433072</v>
      </c>
      <c r="Q17" s="68">
        <f ca="1">L18*('1.c Decrements'!F13+'1.c Decrements'!G13)</f>
        <v>0</v>
      </c>
      <c r="R17" s="68">
        <f ca="1">O17-L18*'1.c Decrements'!D13</f>
        <v>-2119.4682747902243</v>
      </c>
      <c r="S17" s="68">
        <f ca="1">IF(B18&lt;=$S$13,OFFSET('1.c Decrements'!$J$11,0,$S$13-B17),"")</f>
        <v>14.399999999999999</v>
      </c>
      <c r="V17" s="69">
        <f t="shared" ca="1" si="3"/>
        <v>3489.4154222857796</v>
      </c>
      <c r="W17" s="70">
        <f t="shared" ca="1" si="4"/>
        <v>-5.9117155615240335E-12</v>
      </c>
      <c r="X17" s="95"/>
      <c r="Y17" s="96">
        <f ca="1">IF(V17="","",J17/'1.c PUC_Projection'!H19)</f>
        <v>1.1153279674124987</v>
      </c>
      <c r="Z17" s="96">
        <f t="shared" ca="1" si="5"/>
        <v>1.1153279674124985</v>
      </c>
      <c r="AA17" s="97">
        <f t="shared" ca="1" si="8"/>
        <v>2.2204460492503131E-16</v>
      </c>
    </row>
    <row r="18" spans="2:27" ht="15" customHeight="1" x14ac:dyDescent="0.25">
      <c r="B18" s="57">
        <f t="shared" ca="1" si="9"/>
        <v>3</v>
      </c>
      <c r="C18" s="71">
        <f t="shared" ca="1" si="10"/>
        <v>48</v>
      </c>
      <c r="D18" s="72">
        <f t="shared" ca="1" si="11"/>
        <v>0.05</v>
      </c>
      <c r="E18" s="73">
        <f t="shared" ca="1" si="12"/>
        <v>98244.719691934777</v>
      </c>
      <c r="F18" s="62">
        <f t="shared" ca="1" si="13"/>
        <v>1.1257768431897297E-2</v>
      </c>
      <c r="G18" s="62">
        <f t="shared" ca="1" si="13"/>
        <v>0.05</v>
      </c>
      <c r="I18" s="94">
        <f t="shared" ca="1" si="1"/>
        <v>9.477726381667237</v>
      </c>
      <c r="J18" s="63">
        <f t="shared" ca="1" si="14"/>
        <v>3.5517587441111532E-2</v>
      </c>
      <c r="K18" s="65">
        <f t="shared" ca="1" si="2"/>
        <v>3528.6984530725699</v>
      </c>
      <c r="L18" s="64">
        <f t="shared" ca="1" si="6"/>
        <v>13857.280014503049</v>
      </c>
      <c r="M18" s="65">
        <f t="shared" ca="1" si="7"/>
        <v>9385.8009237795141</v>
      </c>
      <c r="N18" s="66"/>
      <c r="O18" s="67">
        <f ca="1">IF($C18="",0,
K18*'1.c Decrements'!D14+(O17-P17-Q17)*(1+G17))</f>
        <v>13313.147228385182</v>
      </c>
      <c r="P18" s="68">
        <f ca="1">M18*'1.a Assumptions'!$C$13*'1.c Decrements'!E14</f>
        <v>350.80632335144179</v>
      </c>
      <c r="Q18" s="68">
        <f ca="1">L19*('1.c Decrements'!F14+'1.c Decrements'!G14)</f>
        <v>0</v>
      </c>
      <c r="R18" s="68">
        <f ca="1">O18-L19*'1.c Decrements'!D14</f>
        <v>-1702.8500643059506</v>
      </c>
      <c r="S18" s="68">
        <f ca="1">IF(B19&lt;=$S$13,OFFSET('1.c Decrements'!$J$11,0,$S$13-B18),"")</f>
        <v>14.399999999999999</v>
      </c>
      <c r="V18" s="69">
        <f t="shared" ca="1" si="3"/>
        <v>3528.6984530725749</v>
      </c>
      <c r="W18" s="70">
        <f t="shared" ca="1" si="4"/>
        <v>5.0022208597511053E-12</v>
      </c>
      <c r="X18" s="95"/>
      <c r="Y18" s="96">
        <f ca="1">IF(V18="","",J18/'1.c PUC_Projection'!H20)</f>
        <v>1.0741753060907118</v>
      </c>
      <c r="Z18" s="96">
        <f t="shared" ca="1" si="5"/>
        <v>1.0741753060907115</v>
      </c>
      <c r="AA18" s="97">
        <f t="shared" ca="1" si="8"/>
        <v>2.2204460492503131E-16</v>
      </c>
    </row>
    <row r="19" spans="2:27" ht="15" customHeight="1" x14ac:dyDescent="0.25">
      <c r="B19" s="57">
        <f t="shared" ca="1" si="9"/>
        <v>4</v>
      </c>
      <c r="C19" s="71">
        <f t="shared" ca="1" si="10"/>
        <v>49</v>
      </c>
      <c r="D19" s="72">
        <f t="shared" ca="1" si="11"/>
        <v>0.05</v>
      </c>
      <c r="E19" s="73">
        <f t="shared" ca="1" si="12"/>
        <v>99350.735995883239</v>
      </c>
      <c r="F19" s="62">
        <f t="shared" ca="1" si="13"/>
        <v>1.1257768431897297E-2</v>
      </c>
      <c r="G19" s="62">
        <f t="shared" ca="1" si="13"/>
        <v>0.05</v>
      </c>
      <c r="I19" s="94">
        <f t="shared" ca="1" si="1"/>
        <v>8.8408269497716923</v>
      </c>
      <c r="J19" s="63">
        <f t="shared" ca="1" si="14"/>
        <v>3.5517587441111532E-2</v>
      </c>
      <c r="K19" s="65">
        <f t="shared" ca="1" si="2"/>
        <v>3568.4237231232551</v>
      </c>
      <c r="L19" s="64">
        <f t="shared" ca="1" si="6"/>
        <v>18078.842468300776</v>
      </c>
      <c r="M19" s="65">
        <f t="shared" ca="1" si="7"/>
        <v>13140.121293291317</v>
      </c>
      <c r="N19" s="66"/>
      <c r="O19" s="67">
        <f ca="1">IF($C19="",0,
K19*'1.c Decrements'!D15+(O18-P18-Q18)*(1+G18))</f>
        <v>16396.501060953236</v>
      </c>
      <c r="P19" s="68">
        <f ca="1">M19*'1.a Assumptions'!$C$13*'1.c Decrements'!E15</f>
        <v>461.66112153049721</v>
      </c>
      <c r="Q19" s="68">
        <f ca="1">L20*('1.c Decrements'!F15+'1.c Decrements'!G15)</f>
        <v>0</v>
      </c>
      <c r="R19" s="68">
        <f ca="1">O19-L20*'1.c Decrements'!D15</f>
        <v>-1210.3313776007199</v>
      </c>
      <c r="S19" s="68">
        <f ca="1">IF(B20&lt;=$S$13,OFFSET('1.c Decrements'!$J$11,0,$S$13-B19),"")</f>
        <v>14.399999999999999</v>
      </c>
      <c r="V19" s="69">
        <f t="shared" ca="1" si="3"/>
        <v>3568.4237231232546</v>
      </c>
      <c r="W19" s="70">
        <f t="shared" ca="1" si="4"/>
        <v>-4.5474735088646412E-13</v>
      </c>
      <c r="X19" s="95"/>
      <c r="Y19" s="96">
        <f ca="1">IF(V19="","",J19/'1.c PUC_Projection'!H21)</f>
        <v>1.0345410694685175</v>
      </c>
      <c r="Z19" s="96">
        <f t="shared" ca="1" si="5"/>
        <v>1.0345410694685173</v>
      </c>
      <c r="AA19" s="97">
        <f t="shared" ca="1" si="8"/>
        <v>2.2204460492503131E-16</v>
      </c>
    </row>
    <row r="20" spans="2:27" ht="15" customHeight="1" x14ac:dyDescent="0.25">
      <c r="B20" s="57">
        <f t="shared" ca="1" si="9"/>
        <v>5</v>
      </c>
      <c r="C20" s="71">
        <f t="shared" ca="1" si="10"/>
        <v>50</v>
      </c>
      <c r="D20" s="72">
        <f t="shared" ca="1" si="11"/>
        <v>0.05</v>
      </c>
      <c r="E20" s="73">
        <f t="shared" ca="1" si="12"/>
        <v>100469.20357526345</v>
      </c>
      <c r="F20" s="62">
        <f t="shared" ca="1" si="13"/>
        <v>1.1257768431897297E-2</v>
      </c>
      <c r="G20" s="62">
        <f t="shared" ca="1" si="13"/>
        <v>0.05</v>
      </c>
      <c r="I20" s="94">
        <f t="shared" ca="1" si="1"/>
        <v>8.1795273045513603</v>
      </c>
      <c r="J20" s="63">
        <f t="shared" ca="1" si="14"/>
        <v>3.5517587441111532E-2</v>
      </c>
      <c r="K20" s="65">
        <f t="shared" ca="1" si="2"/>
        <v>3608.5962110650653</v>
      </c>
      <c r="L20" s="64">
        <f t="shared" ca="1" si="6"/>
        <v>22551.20831483907</v>
      </c>
      <c r="M20" s="65">
        <f t="shared" ca="1" si="7"/>
        <v>17246.409197444853</v>
      </c>
      <c r="N20" s="66"/>
      <c r="O20" s="67">
        <f ca="1">IF($C20="",0,
K20*'1.c Decrements'!D16+(O19-P19-Q19)*(1+G19))</f>
        <v>19379.94521091193</v>
      </c>
      <c r="P20" s="68">
        <f ca="1">M20*'1.a Assumptions'!$C$13*'1.c Decrements'!E16</f>
        <v>569.57440868825097</v>
      </c>
      <c r="Q20" s="68">
        <f ca="1">L21*('1.c Decrements'!F16+'1.c Decrements'!G16)</f>
        <v>0</v>
      </c>
      <c r="R20" s="68">
        <f ca="1">O20-L21*'1.c Decrements'!D16</f>
        <v>-646.36168045887825</v>
      </c>
      <c r="S20" s="68">
        <f ca="1">IF(B21&lt;=$S$13,OFFSET('1.c Decrements'!$J$11,0,$S$13-B20),"")</f>
        <v>14.399999999999999</v>
      </c>
      <c r="V20" s="69">
        <f t="shared" ca="1" si="3"/>
        <v>3608.5962110650689</v>
      </c>
      <c r="W20" s="70">
        <f t="shared" ca="1" si="4"/>
        <v>3.637978807091713E-12</v>
      </c>
      <c r="X20" s="95"/>
      <c r="Y20" s="96">
        <f ca="1">IF(V20="","",J20/'1.c PUC_Projection'!H22)</f>
        <v>0.99636923167798241</v>
      </c>
      <c r="Z20" s="96">
        <f t="shared" ca="1" si="5"/>
        <v>0.99636923167798197</v>
      </c>
      <c r="AA20" s="97">
        <f t="shared" ca="1" si="8"/>
        <v>4.4408920985006262E-16</v>
      </c>
    </row>
    <row r="21" spans="2:27" ht="15" customHeight="1" x14ac:dyDescent="0.25">
      <c r="B21" s="57">
        <f t="shared" ca="1" si="9"/>
        <v>6</v>
      </c>
      <c r="C21" s="71">
        <f t="shared" ca="1" si="10"/>
        <v>51</v>
      </c>
      <c r="D21" s="72">
        <f t="shared" ca="1" si="11"/>
        <v>0.05</v>
      </c>
      <c r="E21" s="73">
        <f t="shared" ca="1" si="12"/>
        <v>101600.26260365092</v>
      </c>
      <c r="F21" s="62">
        <f t="shared" ca="1" si="13"/>
        <v>1.1257768431897297E-2</v>
      </c>
      <c r="G21" s="62">
        <f t="shared" ca="1" si="13"/>
        <v>0.05</v>
      </c>
      <c r="I21" s="94">
        <f t="shared" ca="1" si="1"/>
        <v>7.4928926509970397</v>
      </c>
      <c r="J21" s="63">
        <f t="shared" ca="1" si="14"/>
        <v>3.5517587441111532E-2</v>
      </c>
      <c r="K21" s="65">
        <f t="shared" ca="1" si="2"/>
        <v>3649.2209515734576</v>
      </c>
      <c r="L21" s="64">
        <f t="shared" ca="1" si="6"/>
        <v>27287.364941646094</v>
      </c>
      <c r="M21" s="65">
        <f t="shared" ca="1" si="7"/>
        <v>21730.475588780515</v>
      </c>
      <c r="N21" s="66"/>
      <c r="O21" s="67">
        <f ca="1">IF($C21="",0,
K21*'1.c Decrements'!D17+(O20-P20-Q20)*(1+G20))</f>
        <v>22268.376601221811</v>
      </c>
      <c r="P21" s="68">
        <f ca="1">M21*'1.a Assumptions'!$C$13*'1.c Decrements'!E17</f>
        <v>674.60392965036442</v>
      </c>
      <c r="Q21" s="68">
        <f ca="1">L22*('1.c Decrements'!F17+'1.c Decrements'!G17)</f>
        <v>0</v>
      </c>
      <c r="R21" s="68">
        <f ca="1">O21-L22*'1.c Decrements'!D17</f>
        <v>-15.075559448119748</v>
      </c>
      <c r="S21" s="68">
        <f ca="1">IF(B22&lt;=$S$13,OFFSET('1.c Decrements'!$J$11,0,$S$13-B21),"")</f>
        <v>14.399999999999999</v>
      </c>
      <c r="V21" s="69">
        <f t="shared" ca="1" si="3"/>
        <v>3649.2209515734503</v>
      </c>
      <c r="W21" s="70">
        <f t="shared" ca="1" si="4"/>
        <v>-7.2759576141834259E-12</v>
      </c>
      <c r="X21" s="95"/>
      <c r="Y21" s="96">
        <f ca="1">IF(V21="","",J21/'1.c PUC_Projection'!H23)</f>
        <v>0.9596058340579815</v>
      </c>
      <c r="Z21" s="96">
        <f t="shared" ca="1" si="5"/>
        <v>0.95960583405798106</v>
      </c>
      <c r="AA21" s="97">
        <f t="shared" ca="1" si="8"/>
        <v>4.4408920985006262E-16</v>
      </c>
    </row>
    <row r="22" spans="2:27" ht="15" customHeight="1" x14ac:dyDescent="0.25">
      <c r="B22" s="57">
        <f t="shared" ca="1" si="9"/>
        <v>7</v>
      </c>
      <c r="C22" s="71">
        <f t="shared" ca="1" si="10"/>
        <v>52</v>
      </c>
      <c r="D22" s="72">
        <f t="shared" ca="1" si="11"/>
        <v>0.05</v>
      </c>
      <c r="E22" s="73">
        <f t="shared" ca="1" si="12"/>
        <v>102744.05483266278</v>
      </c>
      <c r="F22" s="62">
        <f t="shared" ca="1" si="13"/>
        <v>1.1257768431897297E-2</v>
      </c>
      <c r="G22" s="62">
        <f t="shared" ca="1" si="13"/>
        <v>0.05</v>
      </c>
      <c r="I22" s="94">
        <f t="shared" ca="1" si="1"/>
        <v>6.7799523812278411</v>
      </c>
      <c r="J22" s="63">
        <f t="shared" ca="1" si="14"/>
        <v>3.5517587441111532E-2</v>
      </c>
      <c r="K22" s="65">
        <f t="shared" ca="1" si="2"/>
        <v>3690.3030360030998</v>
      </c>
      <c r="L22" s="64">
        <f t="shared" ca="1" si="6"/>
        <v>32300.954140301848</v>
      </c>
      <c r="M22" s="65">
        <f t="shared" ca="1" si="7"/>
        <v>26619.832596256132</v>
      </c>
      <c r="N22" s="66"/>
      <c r="O22" s="67">
        <f ca="1">IF($C22="",0,
K22*'1.c Decrements'!D18+(O21-P21-Q21)*(1+G21))</f>
        <v>25066.540139779107</v>
      </c>
      <c r="P22" s="68">
        <f ca="1">M22*'1.a Assumptions'!$C$13*'1.c Decrements'!E18</f>
        <v>776.80642499239468</v>
      </c>
      <c r="Q22" s="68">
        <f ca="1">L23*('1.c Decrements'!F18+'1.c Decrements'!G18)</f>
        <v>0</v>
      </c>
      <c r="R22" s="68">
        <f ca="1">O22-L23*'1.c Decrements'!D18</f>
        <v>679.69402256878675</v>
      </c>
      <c r="S22" s="68">
        <f ca="1">IF(B23&lt;=$S$13,OFFSET('1.c Decrements'!$J$11,0,$S$13-B22),"")</f>
        <v>14.399999999999999</v>
      </c>
      <c r="V22" s="69">
        <f t="shared" ca="1" si="3"/>
        <v>3690.3030360031189</v>
      </c>
      <c r="W22" s="70">
        <f t="shared" ca="1" si="4"/>
        <v>1.9099388737231493E-11</v>
      </c>
      <c r="X22" s="95"/>
      <c r="Y22" s="96">
        <f ca="1">IF(V22="","",J22/'1.c PUC_Projection'!H24)</f>
        <v>0.92419890887971801</v>
      </c>
      <c r="Z22" s="96">
        <f t="shared" ca="1" si="5"/>
        <v>0.92419890887971756</v>
      </c>
      <c r="AA22" s="97">
        <f t="shared" ca="1" si="8"/>
        <v>4.4408920985006262E-16</v>
      </c>
    </row>
    <row r="23" spans="2:27" ht="15" customHeight="1" x14ac:dyDescent="0.25">
      <c r="B23" s="57">
        <f t="shared" ca="1" si="9"/>
        <v>8</v>
      </c>
      <c r="C23" s="71">
        <f t="shared" ca="1" si="10"/>
        <v>53</v>
      </c>
      <c r="D23" s="72">
        <f t="shared" ca="1" si="11"/>
        <v>0.05</v>
      </c>
      <c r="E23" s="73">
        <f t="shared" ca="1" si="12"/>
        <v>103900.72360972305</v>
      </c>
      <c r="F23" s="62">
        <f t="shared" ca="1" si="13"/>
        <v>1.1257768431897297E-2</v>
      </c>
      <c r="G23" s="62">
        <f t="shared" ca="1" si="13"/>
        <v>0.05</v>
      </c>
      <c r="I23" s="94">
        <f t="shared" ca="1" si="1"/>
        <v>6.0396987024665334</v>
      </c>
      <c r="J23" s="63">
        <f t="shared" ca="1" si="14"/>
        <v>3.5517587441111532E-2</v>
      </c>
      <c r="K23" s="65">
        <f t="shared" ca="1" si="2"/>
        <v>3731.8476130259501</v>
      </c>
      <c r="L23" s="64">
        <f t="shared" ca="1" si="6"/>
        <v>37606.304883320059</v>
      </c>
      <c r="M23" s="65">
        <f t="shared" ca="1" si="7"/>
        <v>31943.799115507358</v>
      </c>
      <c r="N23" s="66"/>
      <c r="O23" s="67">
        <f ca="1">IF($C23="",0,
K23*'1.c Decrements'!D19+(O22-P22-Q22)*(1+G22))</f>
        <v>27779.038788795344</v>
      </c>
      <c r="P23" s="68">
        <f ca="1">M23*'1.a Assumptions'!$C$13*'1.c Decrements'!E19</f>
        <v>876.23764739142109</v>
      </c>
      <c r="Q23" s="68">
        <f ca="1">L24*('1.c Decrements'!F19+'1.c Decrements'!G19)</f>
        <v>0</v>
      </c>
      <c r="R23" s="68">
        <f ca="1">O23-L24*'1.c Decrements'!D19</f>
        <v>1434.4032828394702</v>
      </c>
      <c r="S23" s="68">
        <f ca="1">IF(B24&lt;=$S$13,OFFSET('1.c Decrements'!$J$11,0,$S$13-B23),"")</f>
        <v>14.399999999999999</v>
      </c>
      <c r="V23" s="69">
        <f t="shared" ca="1" si="3"/>
        <v>3731.8476130259369</v>
      </c>
      <c r="W23" s="70">
        <f t="shared" ca="1" si="4"/>
        <v>-1.3187673175707459E-11</v>
      </c>
      <c r="X23" s="95"/>
      <c r="Y23" s="96">
        <f ca="1">IF(V23="","",J23/'1.c PUC_Projection'!H25)</f>
        <v>0.89009840588656963</v>
      </c>
      <c r="Z23" s="96">
        <f t="shared" ca="1" si="5"/>
        <v>0.89009840588656897</v>
      </c>
      <c r="AA23" s="97">
        <f t="shared" ca="1" si="8"/>
        <v>6.6613381477509392E-16</v>
      </c>
    </row>
    <row r="24" spans="2:27" ht="15" customHeight="1" x14ac:dyDescent="0.25">
      <c r="B24" s="57">
        <f t="shared" ca="1" si="9"/>
        <v>9</v>
      </c>
      <c r="C24" s="71">
        <f t="shared" ca="1" si="10"/>
        <v>54</v>
      </c>
      <c r="D24" s="72">
        <f t="shared" ca="1" si="11"/>
        <v>0.05</v>
      </c>
      <c r="E24" s="73">
        <f t="shared" ca="1" si="12"/>
        <v>105070.41389602788</v>
      </c>
      <c r="F24" s="62">
        <f t="shared" ca="1" si="13"/>
        <v>1.1257768431897297E-2</v>
      </c>
      <c r="G24" s="62">
        <f t="shared" ca="1" si="13"/>
        <v>0.05</v>
      </c>
      <c r="I24" s="94">
        <f t="shared" ca="1" si="1"/>
        <v>5.2710852124513883</v>
      </c>
      <c r="J24" s="63">
        <f t="shared" ca="1" si="14"/>
        <v>3.5517587441111532E-2</v>
      </c>
      <c r="K24" s="65">
        <f t="shared" ca="1" si="2"/>
        <v>3773.8598892765253</v>
      </c>
      <c r="L24" s="64">
        <f t="shared" ca="1" si="6"/>
        <v>43218.467740512002</v>
      </c>
      <c r="M24" s="65">
        <f t="shared" ca="1" si="7"/>
        <v>37733.61270519306</v>
      </c>
      <c r="N24" s="66"/>
      <c r="O24" s="67">
        <f ca="1">IF($C24="",0,
K24*'1.c Decrements'!D20+(O23-P23-Q23)*(1+G23))</f>
        <v>30410.343299368633</v>
      </c>
      <c r="P24" s="68">
        <f ca="1">M24*'1.a Assumptions'!$C$13*'1.c Decrements'!E20</f>
        <v>972.95237772224903</v>
      </c>
      <c r="Q24" s="68">
        <f ca="1">L25*('1.c Decrements'!F20+'1.c Decrements'!G20)</f>
        <v>0</v>
      </c>
      <c r="R24" s="68">
        <f ca="1">O24-L25*'1.c Decrements'!D20</f>
        <v>2245.7859540956706</v>
      </c>
      <c r="S24" s="68">
        <f ca="1">IF(B25&lt;=$S$13,OFFSET('1.c Decrements'!$J$11,0,$S$13-B24),"")</f>
        <v>14.399999999999999</v>
      </c>
      <c r="V24" s="69">
        <f t="shared" ca="1" si="3"/>
        <v>3773.8598892765294</v>
      </c>
      <c r="W24" s="70">
        <f t="shared" ca="1" si="4"/>
        <v>4.0927261579781771E-12</v>
      </c>
      <c r="X24" s="95"/>
      <c r="Y24" s="96">
        <f ca="1">IF(V24="","",J24/'1.c PUC_Projection'!H26)</f>
        <v>0.85725612154442044</v>
      </c>
      <c r="Z24" s="96">
        <f t="shared" ca="1" si="5"/>
        <v>0.85725612154441999</v>
      </c>
      <c r="AA24" s="97">
        <f t="shared" ca="1" si="8"/>
        <v>4.4408920985006262E-16</v>
      </c>
    </row>
    <row r="25" spans="2:27" ht="15" customHeight="1" x14ac:dyDescent="0.25">
      <c r="B25" s="57">
        <f t="shared" ca="1" si="9"/>
        <v>10</v>
      </c>
      <c r="C25" s="71">
        <f t="shared" ca="1" si="10"/>
        <v>55</v>
      </c>
      <c r="D25" s="72">
        <f t="shared" ca="1" si="11"/>
        <v>0.05</v>
      </c>
      <c r="E25" s="73">
        <f t="shared" ca="1" si="12"/>
        <v>106253.27228471296</v>
      </c>
      <c r="F25" s="62">
        <f t="shared" ca="1" si="13"/>
        <v>1.1257768431897297E-2</v>
      </c>
      <c r="G25" s="62">
        <f t="shared" ca="1" si="13"/>
        <v>0.05</v>
      </c>
      <c r="I25" s="94">
        <f t="shared" ca="1" si="1"/>
        <v>4.4730254202706634</v>
      </c>
      <c r="J25" s="63">
        <f t="shared" ca="1" si="14"/>
        <v>3.5517587441111532E-2</v>
      </c>
      <c r="K25" s="65">
        <f t="shared" ca="1" si="2"/>
        <v>3816.3451300044262</v>
      </c>
      <c r="L25" s="64">
        <f t="shared" ca="1" si="6"/>
        <v>49153.251016814131</v>
      </c>
      <c r="M25" s="65">
        <f t="shared" ca="1" si="7"/>
        <v>44022.548156058569</v>
      </c>
      <c r="N25" s="66"/>
      <c r="O25" s="67">
        <f ca="1">IF($C25="",0,
K25*'1.c Decrements'!D21+(O24-P24-Q24)*(1+G24))</f>
        <v>32964.801635351556</v>
      </c>
      <c r="P25" s="68">
        <f ca="1">M25*'1.a Assumptions'!$C$13*'1.c Decrements'!E21</f>
        <v>1067.0044409020666</v>
      </c>
      <c r="Q25" s="68">
        <f ca="1">L26*('1.c Decrements'!F21+'1.c Decrements'!G21)</f>
        <v>0</v>
      </c>
      <c r="R25" s="68">
        <f ca="1">O25-L26*'1.c Decrements'!D21</f>
        <v>3110.8423679442858</v>
      </c>
      <c r="S25" s="68">
        <f ca="1">IF(B26&lt;=$S$13,OFFSET('1.c Decrements'!$J$11,0,$S$13-B25),"")</f>
        <v>14.399999999999999</v>
      </c>
      <c r="V25" s="69">
        <f t="shared" ca="1" si="3"/>
        <v>3816.3451300044326</v>
      </c>
      <c r="W25" s="70">
        <f t="shared" ca="1" si="4"/>
        <v>6.3664629124104977E-12</v>
      </c>
      <c r="X25" s="95"/>
      <c r="Y25" s="96">
        <f ca="1">IF(V25="","",J25/'1.c PUC_Projection'!H27)</f>
        <v>0.82562563090247043</v>
      </c>
      <c r="Z25" s="96">
        <f t="shared" ca="1" si="5"/>
        <v>0.82562563090246988</v>
      </c>
      <c r="AA25" s="97">
        <f t="shared" ca="1" si="8"/>
        <v>5.5511151231257827E-16</v>
      </c>
    </row>
    <row r="26" spans="2:27" ht="15" customHeight="1" x14ac:dyDescent="0.25">
      <c r="B26" s="57">
        <f t="shared" ca="1" si="9"/>
        <v>11</v>
      </c>
      <c r="C26" s="71">
        <f t="shared" ca="1" si="10"/>
        <v>56</v>
      </c>
      <c r="D26" s="72">
        <f t="shared" ca="1" si="11"/>
        <v>0.05</v>
      </c>
      <c r="E26" s="73">
        <f t="shared" ca="1" si="12"/>
        <v>107449.4470192256</v>
      </c>
      <c r="F26" s="62">
        <f t="shared" ca="1" si="13"/>
        <v>1.1257768431897297E-2</v>
      </c>
      <c r="G26" s="62">
        <f t="shared" ca="1" si="13"/>
        <v>0.05</v>
      </c>
      <c r="I26" s="94">
        <f t="shared" ca="1" si="1"/>
        <v>3.6443912105289233</v>
      </c>
      <c r="J26" s="63">
        <f t="shared" ca="1" si="14"/>
        <v>3.5517587441111532E-2</v>
      </c>
      <c r="K26" s="65">
        <f t="shared" ca="1" si="2"/>
        <v>3859.3086597342149</v>
      </c>
      <c r="L26" s="64">
        <f t="shared" ca="1" si="6"/>
        <v>55427.258697659272</v>
      </c>
      <c r="M26" s="65">
        <f t="shared" ca="1" si="7"/>
        <v>50846.043120247654</v>
      </c>
      <c r="N26" s="66"/>
      <c r="O26" s="67">
        <f ca="1">IF($C26="",0,
K26*'1.c Decrements'!D22+(O25-P25-Q25)*(1+G25))</f>
        <v>35446.648109816728</v>
      </c>
      <c r="P26" s="68">
        <f ca="1">M26*'1.a Assumptions'!$C$13*'1.c Decrements'!E22</f>
        <v>1158.4467214873737</v>
      </c>
      <c r="Q26" s="68">
        <f ca="1">L27*('1.c Decrements'!F22+'1.c Decrements'!G22)</f>
        <v>0</v>
      </c>
      <c r="R26" s="68">
        <f ca="1">O26-L27*'1.c Decrements'!D22</f>
        <v>4026.829257240981</v>
      </c>
      <c r="S26" s="68">
        <f ca="1">IF(B27&lt;=$S$13,OFFSET('1.c Decrements'!$J$11,0,$S$13-B26),"")</f>
        <v>14.399999999999999</v>
      </c>
      <c r="V26" s="69">
        <f t="shared" ca="1" si="3"/>
        <v>3859.308659734219</v>
      </c>
      <c r="W26" s="70">
        <f t="shared" ca="1" si="4"/>
        <v>4.0927261579781771E-12</v>
      </c>
      <c r="X26" s="95"/>
      <c r="Y26" s="96">
        <f ca="1">IF(V26="","",J26/'1.c PUC_Projection'!H28)</f>
        <v>0.79516222196819963</v>
      </c>
      <c r="Z26" s="96">
        <f t="shared" ca="1" si="5"/>
        <v>0.79516222196819919</v>
      </c>
      <c r="AA26" s="97">
        <f t="shared" ca="1" si="8"/>
        <v>4.4408920985006262E-16</v>
      </c>
    </row>
    <row r="27" spans="2:27" ht="15" customHeight="1" x14ac:dyDescent="0.25">
      <c r="B27" s="57">
        <f t="shared" ca="1" si="9"/>
        <v>12</v>
      </c>
      <c r="C27" s="71">
        <f t="shared" ca="1" si="10"/>
        <v>57</v>
      </c>
      <c r="D27" s="72">
        <f t="shared" ca="1" si="11"/>
        <v>0.05</v>
      </c>
      <c r="E27" s="73">
        <f t="shared" ca="1" si="12"/>
        <v>108659.08801190346</v>
      </c>
      <c r="F27" s="62">
        <f t="shared" ca="1" si="13"/>
        <v>1.1257768431897297E-2</v>
      </c>
      <c r="G27" s="62">
        <f t="shared" ca="1" si="13"/>
        <v>0.05</v>
      </c>
      <c r="I27" s="94">
        <f t="shared" ca="1" si="1"/>
        <v>2.784011248674096</v>
      </c>
      <c r="J27" s="63">
        <f t="shared" ca="1" si="14"/>
        <v>3.5517587441111532E-2</v>
      </c>
      <c r="K27" s="65">
        <f t="shared" ca="1" si="2"/>
        <v>3902.7558629327186</v>
      </c>
      <c r="L27" s="64">
        <f t="shared" ca="1" si="6"/>
        <v>62057.930292276455</v>
      </c>
      <c r="M27" s="65">
        <f t="shared" ca="1" si="7"/>
        <v>58241.831210465498</v>
      </c>
      <c r="N27" s="66"/>
      <c r="O27" s="67">
        <f ca="1">IF($C27="",0,
K27*'1.c Decrements'!D23+(O26-P26-Q26)*(1+G26))</f>
        <v>37860.012256675931</v>
      </c>
      <c r="P27" s="68">
        <f ca="1">M27*'1.a Assumptions'!$C$13*'1.c Decrements'!E23</f>
        <v>1247.3311790269504</v>
      </c>
      <c r="Q27" s="68">
        <f ca="1">L28*('1.c Decrements'!F23+'1.c Decrements'!G23)</f>
        <v>0</v>
      </c>
      <c r="R27" s="68">
        <f ca="1">O27-L28*'1.c Decrements'!D23</f>
        <v>4991.2502502535499</v>
      </c>
      <c r="S27" s="68">
        <f ca="1">IF(B28&lt;=$S$13,OFFSET('1.c Decrements'!$J$11,0,$S$13-B27),"")</f>
        <v>14.399999999999999</v>
      </c>
      <c r="V27" s="69">
        <f t="shared" ca="1" si="3"/>
        <v>3902.755862932725</v>
      </c>
      <c r="W27" s="70">
        <f t="shared" ca="1" si="4"/>
        <v>6.3664629124104977E-12</v>
      </c>
      <c r="X27" s="95"/>
      <c r="Y27" s="96">
        <f ca="1">IF(V27="","",J27/'1.c PUC_Projection'!H29)</f>
        <v>0.76582283250372429</v>
      </c>
      <c r="Z27" s="96">
        <f t="shared" ca="1" si="5"/>
        <v>0.76582283250372374</v>
      </c>
      <c r="AA27" s="97">
        <f t="shared" ca="1" si="8"/>
        <v>5.5511151231257827E-16</v>
      </c>
    </row>
    <row r="28" spans="2:27" ht="15" customHeight="1" x14ac:dyDescent="0.25">
      <c r="B28" s="57">
        <f t="shared" ca="1" si="9"/>
        <v>13</v>
      </c>
      <c r="C28" s="71">
        <f t="shared" ca="1" si="10"/>
        <v>58</v>
      </c>
      <c r="D28" s="72">
        <f t="shared" ca="1" si="11"/>
        <v>0.05</v>
      </c>
      <c r="E28" s="73">
        <f t="shared" ca="1" si="12"/>
        <v>109882.34686276261</v>
      </c>
      <c r="F28" s="62">
        <f t="shared" ca="1" si="13"/>
        <v>1.1257768431897297E-2</v>
      </c>
      <c r="G28" s="62">
        <f t="shared" ca="1" si="13"/>
        <v>0.05</v>
      </c>
      <c r="I28" s="94">
        <f t="shared" ca="1" si="1"/>
        <v>1.8906693252311599</v>
      </c>
      <c r="J28" s="63">
        <f t="shared" ca="1" si="14"/>
        <v>3.5517587441111532E-2</v>
      </c>
      <c r="K28" s="65">
        <f t="shared" ca="1" si="2"/>
        <v>3946.6921846838445</v>
      </c>
      <c r="L28" s="64">
        <f t="shared" ca="1" si="6"/>
        <v>69063.582669823008</v>
      </c>
      <c r="M28" s="65">
        <f t="shared" ca="1" si="7"/>
        <v>66250.083001904495</v>
      </c>
      <c r="N28" s="66"/>
      <c r="O28" s="67">
        <f ca="1">IF($C28="",0,
K28*'1.c Decrements'!D24+(O27-P27-Q27)*(1+G27))</f>
        <v>40208.927459320541</v>
      </c>
      <c r="P28" s="68">
        <f ca="1">M28*'1.a Assumptions'!$C$13*'1.c Decrements'!E24</f>
        <v>1333.7088631745667</v>
      </c>
      <c r="Q28" s="68">
        <f ca="1">L29*('1.c Decrements'!F24+'1.c Decrements'!G24)</f>
        <v>0</v>
      </c>
      <c r="R28" s="68">
        <f ca="1">O28-L29*'1.c Decrements'!D24</f>
        <v>6001.8470311925485</v>
      </c>
      <c r="S28" s="68">
        <f ca="1">IF(B29&lt;=$S$13,OFFSET('1.c Decrements'!$J$11,0,$S$13-B28),"")</f>
        <v>14.399999999999999</v>
      </c>
      <c r="V28" s="69">
        <f t="shared" ca="1" si="3"/>
        <v>3946.6921846838377</v>
      </c>
      <c r="W28" s="70">
        <f t="shared" ca="1" si="4"/>
        <v>-6.8212102632969618E-12</v>
      </c>
      <c r="X28" s="95"/>
      <c r="Y28" s="96">
        <f ca="1">IF(V28="","",J28/'1.c PUC_Projection'!H30)</f>
        <v>0.73756598915420091</v>
      </c>
      <c r="Z28" s="96">
        <f t="shared" ca="1" si="5"/>
        <v>0.73756598915420035</v>
      </c>
      <c r="AA28" s="97">
        <f t="shared" ca="1" si="8"/>
        <v>5.5511151231257827E-16</v>
      </c>
    </row>
    <row r="29" spans="2:27" ht="15" customHeight="1" x14ac:dyDescent="0.25">
      <c r="B29" s="57">
        <f t="shared" ca="1" si="9"/>
        <v>14</v>
      </c>
      <c r="C29" s="71">
        <f t="shared" ca="1" si="10"/>
        <v>59</v>
      </c>
      <c r="D29" s="72">
        <f t="shared" ca="1" si="11"/>
        <v>0.05</v>
      </c>
      <c r="E29" s="73">
        <f t="shared" ca="1" si="12"/>
        <v>111119.37687849702</v>
      </c>
      <c r="F29" s="62">
        <f t="shared" ca="1" si="13"/>
        <v>1.1257768431897297E-2</v>
      </c>
      <c r="G29" s="62">
        <f t="shared" ca="1" si="13"/>
        <v>0.05</v>
      </c>
      <c r="I29" s="94">
        <f t="shared" ca="1" si="1"/>
        <v>0.96310263660180584</v>
      </c>
      <c r="J29" s="63">
        <f t="shared" ca="1" si="14"/>
        <v>3.5517587441111532E-2</v>
      </c>
      <c r="K29" s="65">
        <f t="shared" ca="1" si="2"/>
        <v>3991.1231313709945</v>
      </c>
      <c r="L29" s="64">
        <f t="shared" ca="1" si="6"/>
        <v>76463.453987998</v>
      </c>
      <c r="M29" s="65">
        <f t="shared" ca="1" si="7"/>
        <v>74913.555394461247</v>
      </c>
      <c r="N29" s="66"/>
      <c r="O29" s="67">
        <f ca="1">IF($C29="",0,
K29*'1.c Decrements'!D25+(O28-P28-Q28)*(1+G28))</f>
        <v>42497.339357518184</v>
      </c>
      <c r="P29" s="68">
        <f ca="1">M29*'1.a Assumptions'!$C$13*'1.c Decrements'!E25</f>
        <v>0</v>
      </c>
      <c r="Q29" s="68">
        <f ca="1">L30*('1.c Decrements'!F25+'1.c Decrements'!G25)</f>
        <v>35440.748214127241</v>
      </c>
      <c r="R29" s="68">
        <f ca="1">O29-L30*'1.c Decrements'!D25</f>
        <v>7056.5911433909423</v>
      </c>
      <c r="S29" s="68">
        <f ca="1">IF(B30&lt;=$S$13,OFFSET('1.c Decrements'!$J$11,0,$S$13-B29),"")</f>
        <v>240</v>
      </c>
      <c r="V29" s="69">
        <f t="shared" ca="1" si="3"/>
        <v>3991.1231313710014</v>
      </c>
      <c r="W29" s="70">
        <f t="shared" ca="1" si="4"/>
        <v>6.8212102632969618E-12</v>
      </c>
      <c r="X29" s="95"/>
      <c r="Y29" s="96">
        <f ca="1">IF(V29="","",J29/'1.c PUC_Projection'!H31)</f>
        <v>0.71035174882223062</v>
      </c>
      <c r="Z29" s="96">
        <f t="shared" ca="1" si="5"/>
        <v>0.71035174882223007</v>
      </c>
      <c r="AA29" s="97">
        <f t="shared" ca="1" si="8"/>
        <v>5.5511151231257827E-16</v>
      </c>
    </row>
    <row r="30" spans="2:27" ht="15" customHeight="1" x14ac:dyDescent="0.25">
      <c r="B30" s="57">
        <f t="shared" ca="1" si="9"/>
        <v>15</v>
      </c>
      <c r="C30" s="71">
        <f t="shared" ca="1" si="10"/>
        <v>60</v>
      </c>
      <c r="D30" s="72">
        <f t="shared" ca="1" si="11"/>
        <v>0.05</v>
      </c>
      <c r="E30" s="73">
        <f t="shared" ca="1" si="12"/>
        <v>112370.33309169186</v>
      </c>
      <c r="F30" s="62">
        <f t="shared" ca="1" si="13"/>
        <v>1.1257768431897297E-2</v>
      </c>
      <c r="G30" s="62">
        <f t="shared" ca="1" si="13"/>
        <v>0.05</v>
      </c>
      <c r="I30" s="94">
        <f t="shared" ca="1" si="1"/>
        <v>0</v>
      </c>
      <c r="J30" s="63">
        <f t="shared" ca="1" si="14"/>
        <v>3.5517587441111532E-2</v>
      </c>
      <c r="K30" s="65">
        <f t="shared" ca="1" si="2"/>
        <v>0</v>
      </c>
      <c r="L30" s="64">
        <f t="shared" ca="1" si="6"/>
        <v>84277.749818768905</v>
      </c>
      <c r="M30" s="65">
        <f t="shared" ca="1" si="7"/>
        <v>84277.749818768905</v>
      </c>
      <c r="N30" s="66"/>
      <c r="O30" s="67">
        <f ca="1">IF($C30="",0,
K30*'1.c Decrements'!D26+(O29-P29-Q29)*(1+G29))</f>
        <v>7409.4207005604894</v>
      </c>
      <c r="P30" s="68">
        <f ca="1">M30*'1.a Assumptions'!$C$13*'1.c Decrements'!E26</f>
        <v>0</v>
      </c>
      <c r="Q30" s="68">
        <f ca="1">L31*('1.c Decrements'!F26+'1.c Decrements'!G26)</f>
        <v>0</v>
      </c>
      <c r="R30" s="68">
        <f ca="1">O30-L31*'1.c Decrements'!D26</f>
        <v>7409.4207005604894</v>
      </c>
      <c r="S30" s="68" t="str">
        <f ca="1">IF(B31&lt;=$S$13,OFFSET('1.c Decrements'!$J$11,0,$S$13-B30),"")</f>
        <v/>
      </c>
      <c r="V30" s="69" t="str">
        <f t="shared" ca="1" si="3"/>
        <v/>
      </c>
      <c r="W30" s="70" t="str">
        <f t="shared" ca="1" si="4"/>
        <v/>
      </c>
      <c r="X30" s="95"/>
      <c r="Y30" s="96" t="str">
        <f ca="1">IF(V30="","",J30/'1.c PUC_Projection'!H32)</f>
        <v/>
      </c>
      <c r="Z30" s="96" t="str">
        <f t="shared" ca="1" si="5"/>
        <v/>
      </c>
      <c r="AA30" s="97" t="str">
        <f t="shared" ca="1" si="8"/>
        <v/>
      </c>
    </row>
    <row r="31" spans="2:27" ht="15" customHeight="1" x14ac:dyDescent="0.25">
      <c r="B31" s="57" t="str">
        <f t="shared" ca="1" si="9"/>
        <v/>
      </c>
      <c r="C31" s="71" t="str">
        <f t="shared" ca="1" si="10"/>
        <v/>
      </c>
      <c r="D31" s="72" t="str">
        <f t="shared" ca="1" si="11"/>
        <v/>
      </c>
      <c r="E31" s="73" t="str">
        <f t="shared" ca="1" si="12"/>
        <v/>
      </c>
      <c r="F31" s="62" t="str">
        <f t="shared" ca="1" si="13"/>
        <v/>
      </c>
      <c r="G31" s="62" t="str">
        <f t="shared" ca="1" si="13"/>
        <v/>
      </c>
      <c r="I31" s="94">
        <f t="shared" ca="1" si="1"/>
        <v>0</v>
      </c>
      <c r="J31" s="63" t="str">
        <f t="shared" ca="1" si="14"/>
        <v/>
      </c>
      <c r="K31" s="65">
        <f t="shared" ca="1" si="2"/>
        <v>0</v>
      </c>
      <c r="L31" s="64">
        <f t="shared" ca="1" si="6"/>
        <v>0</v>
      </c>
      <c r="M31" s="65">
        <f t="shared" ca="1" si="7"/>
        <v>0</v>
      </c>
      <c r="N31" s="66"/>
      <c r="O31" s="67">
        <f ca="1">IF($C31="",0,
K31*'1.c Decrements'!D27+(O30-P30-Q30)*(1+G30))</f>
        <v>0</v>
      </c>
      <c r="P31" s="68">
        <f ca="1">M31*'1.a Assumptions'!$C$13*'1.c Decrements'!E27</f>
        <v>0</v>
      </c>
      <c r="Q31" s="68">
        <f ca="1">L32*('1.c Decrements'!F27+'1.c Decrements'!G27)</f>
        <v>0</v>
      </c>
      <c r="R31" s="68">
        <f ca="1">O31-L32*'1.c Decrements'!D27</f>
        <v>0</v>
      </c>
      <c r="S31" s="68" t="str">
        <f ca="1">IF(B32&lt;=$S$13,OFFSET('1.c Decrements'!$J$11,0,$S$13-B31),"")</f>
        <v/>
      </c>
      <c r="V31" s="69" t="str">
        <f t="shared" ca="1" si="3"/>
        <v/>
      </c>
      <c r="W31" s="70" t="str">
        <f t="shared" ca="1" si="4"/>
        <v/>
      </c>
      <c r="X31" s="95"/>
      <c r="Y31" s="96" t="str">
        <f ca="1">IF(V31="","",J31/'1.c PUC_Projection'!H33)</f>
        <v/>
      </c>
      <c r="Z31" s="96" t="str">
        <f t="shared" ca="1" si="5"/>
        <v/>
      </c>
      <c r="AA31" s="97" t="str">
        <f t="shared" ca="1" si="8"/>
        <v/>
      </c>
    </row>
    <row r="32" spans="2:27" ht="15" customHeight="1" x14ac:dyDescent="0.25">
      <c r="B32" s="57" t="str">
        <f t="shared" ca="1" si="9"/>
        <v/>
      </c>
      <c r="C32" s="71" t="str">
        <f t="shared" ca="1" si="10"/>
        <v/>
      </c>
      <c r="D32" s="72" t="str">
        <f t="shared" ca="1" si="11"/>
        <v/>
      </c>
      <c r="E32" s="73" t="str">
        <f t="shared" ca="1" si="12"/>
        <v/>
      </c>
      <c r="F32" s="62" t="str">
        <f t="shared" ca="1" si="13"/>
        <v/>
      </c>
      <c r="G32" s="62" t="str">
        <f t="shared" ca="1" si="13"/>
        <v/>
      </c>
      <c r="I32" s="94">
        <f t="shared" ca="1" si="1"/>
        <v>0</v>
      </c>
      <c r="J32" s="63" t="str">
        <f t="shared" ca="1" si="14"/>
        <v/>
      </c>
      <c r="K32" s="65">
        <f t="shared" ca="1" si="2"/>
        <v>0</v>
      </c>
      <c r="L32" s="64">
        <f t="shared" ca="1" si="6"/>
        <v>0</v>
      </c>
      <c r="M32" s="65">
        <f t="shared" ca="1" si="7"/>
        <v>0</v>
      </c>
      <c r="N32" s="66"/>
      <c r="O32" s="67">
        <f ca="1">IF($C32="",0,
K32*'1.c Decrements'!D28+(O31-P31-Q31)*(1+G31))</f>
        <v>0</v>
      </c>
      <c r="P32" s="68">
        <f ca="1">M32*'1.a Assumptions'!$C$13*'1.c Decrements'!E28</f>
        <v>0</v>
      </c>
      <c r="Q32" s="68">
        <f ca="1">L33*('1.c Decrements'!F28+'1.c Decrements'!G28)</f>
        <v>0</v>
      </c>
      <c r="R32" s="68">
        <f ca="1">O32-L33*'1.c Decrements'!D28</f>
        <v>0</v>
      </c>
      <c r="S32" s="68" t="str">
        <f ca="1">IF(B33&lt;=$S$13,OFFSET('1.c Decrements'!$J$11,0,$S$13-B32),"")</f>
        <v/>
      </c>
      <c r="V32" s="69" t="str">
        <f t="shared" ca="1" si="3"/>
        <v/>
      </c>
      <c r="W32" s="70" t="str">
        <f t="shared" ca="1" si="4"/>
        <v/>
      </c>
      <c r="X32" s="95"/>
      <c r="Y32" s="96" t="str">
        <f ca="1">IF(V32="","",J32/'1.c PUC_Projection'!H34)</f>
        <v/>
      </c>
      <c r="Z32" s="96" t="str">
        <f t="shared" ca="1" si="5"/>
        <v/>
      </c>
      <c r="AA32" s="97" t="str">
        <f t="shared" ca="1" si="8"/>
        <v/>
      </c>
    </row>
    <row r="33" spans="2:27" ht="15" customHeight="1" x14ac:dyDescent="0.25">
      <c r="B33" s="57" t="str">
        <f t="shared" ca="1" si="9"/>
        <v/>
      </c>
      <c r="C33" s="71" t="str">
        <f t="shared" ca="1" si="10"/>
        <v/>
      </c>
      <c r="D33" s="72" t="str">
        <f t="shared" ca="1" si="11"/>
        <v/>
      </c>
      <c r="E33" s="73" t="str">
        <f t="shared" ca="1" si="12"/>
        <v/>
      </c>
      <c r="F33" s="62" t="str">
        <f t="shared" ref="F33:G48" ca="1" si="15">IF($C33="","",F32)</f>
        <v/>
      </c>
      <c r="G33" s="62" t="str">
        <f t="shared" ca="1" si="15"/>
        <v/>
      </c>
      <c r="I33" s="94">
        <f t="shared" ca="1" si="1"/>
        <v>0</v>
      </c>
      <c r="J33" s="63" t="str">
        <f t="shared" ca="1" si="14"/>
        <v/>
      </c>
      <c r="K33" s="65">
        <f t="shared" ca="1" si="2"/>
        <v>0</v>
      </c>
      <c r="L33" s="64">
        <f t="shared" ca="1" si="6"/>
        <v>0</v>
      </c>
      <c r="M33" s="65">
        <f t="shared" ca="1" si="7"/>
        <v>0</v>
      </c>
      <c r="N33" s="66"/>
      <c r="O33" s="67">
        <f ca="1">IF($C33="",0,
K33*'1.c Decrements'!D29+(O32-P32-Q32)*(1+G32))</f>
        <v>0</v>
      </c>
      <c r="P33" s="68">
        <f ca="1">M33*'1.a Assumptions'!$C$13*'1.c Decrements'!E29</f>
        <v>0</v>
      </c>
      <c r="Q33" s="68">
        <f ca="1">L34*('1.c Decrements'!F29+'1.c Decrements'!G29)</f>
        <v>0</v>
      </c>
      <c r="R33" s="68">
        <f ca="1">O33-L34*'1.c Decrements'!D29</f>
        <v>0</v>
      </c>
      <c r="S33" s="68" t="str">
        <f ca="1">IF(B34&lt;=$S$13,OFFSET('1.c Decrements'!$J$11,0,$S$13-B33),"")</f>
        <v/>
      </c>
      <c r="V33" s="69" t="str">
        <f t="shared" ca="1" si="3"/>
        <v/>
      </c>
      <c r="W33" s="70" t="str">
        <f t="shared" ca="1" si="4"/>
        <v/>
      </c>
      <c r="X33" s="95"/>
      <c r="Y33" s="96" t="str">
        <f ca="1">IF(V33="","",J33/'1.c PUC_Projection'!H35)</f>
        <v/>
      </c>
      <c r="Z33" s="96" t="str">
        <f t="shared" ca="1" si="5"/>
        <v/>
      </c>
      <c r="AA33" s="97" t="str">
        <f t="shared" ca="1" si="8"/>
        <v/>
      </c>
    </row>
    <row r="34" spans="2:27" ht="15" customHeight="1" x14ac:dyDescent="0.25">
      <c r="B34" s="57" t="str">
        <f t="shared" ca="1" si="9"/>
        <v/>
      </c>
      <c r="C34" s="71" t="str">
        <f t="shared" ca="1" si="10"/>
        <v/>
      </c>
      <c r="D34" s="72" t="str">
        <f t="shared" ca="1" si="11"/>
        <v/>
      </c>
      <c r="E34" s="73" t="str">
        <f t="shared" ca="1" si="12"/>
        <v/>
      </c>
      <c r="F34" s="62" t="str">
        <f t="shared" ca="1" si="15"/>
        <v/>
      </c>
      <c r="G34" s="62" t="str">
        <f t="shared" ca="1" si="15"/>
        <v/>
      </c>
      <c r="I34" s="94">
        <f t="shared" ca="1" si="1"/>
        <v>0</v>
      </c>
      <c r="J34" s="63" t="str">
        <f t="shared" ca="1" si="14"/>
        <v/>
      </c>
      <c r="K34" s="65">
        <f t="shared" ca="1" si="2"/>
        <v>0</v>
      </c>
      <c r="L34" s="64">
        <f t="shared" ca="1" si="6"/>
        <v>0</v>
      </c>
      <c r="M34" s="65">
        <f t="shared" ca="1" si="7"/>
        <v>0</v>
      </c>
      <c r="N34" s="66"/>
      <c r="O34" s="67">
        <f ca="1">IF($C34="",0,
K34*'1.c Decrements'!D30+(O33-P33-Q33)*(1+G33))</f>
        <v>0</v>
      </c>
      <c r="P34" s="68">
        <f ca="1">M34*'1.a Assumptions'!$C$13*'1.c Decrements'!E30</f>
        <v>0</v>
      </c>
      <c r="Q34" s="68">
        <f ca="1">L35*('1.c Decrements'!F30+'1.c Decrements'!G30)</f>
        <v>0</v>
      </c>
      <c r="R34" s="68">
        <f ca="1">O34-L35*'1.c Decrements'!D30</f>
        <v>0</v>
      </c>
      <c r="S34" s="68" t="str">
        <f ca="1">IF(B35&lt;=$S$13,OFFSET('1.c Decrements'!$J$11,0,$S$13-B34),"")</f>
        <v/>
      </c>
      <c r="V34" s="69" t="str">
        <f t="shared" ca="1" si="3"/>
        <v/>
      </c>
      <c r="W34" s="70" t="str">
        <f t="shared" ca="1" si="4"/>
        <v/>
      </c>
      <c r="X34" s="95"/>
      <c r="Y34" s="96" t="str">
        <f ca="1">IF(V34="","",J34/'1.c PUC_Projection'!H36)</f>
        <v/>
      </c>
      <c r="Z34" s="96" t="str">
        <f t="shared" ca="1" si="5"/>
        <v/>
      </c>
      <c r="AA34" s="97" t="str">
        <f t="shared" ca="1" si="8"/>
        <v/>
      </c>
    </row>
    <row r="35" spans="2:27" ht="15" customHeight="1" x14ac:dyDescent="0.25">
      <c r="B35" s="57" t="str">
        <f t="shared" ca="1" si="9"/>
        <v/>
      </c>
      <c r="C35" s="71" t="str">
        <f t="shared" ca="1" si="10"/>
        <v/>
      </c>
      <c r="D35" s="72" t="str">
        <f t="shared" ca="1" si="11"/>
        <v/>
      </c>
      <c r="E35" s="73" t="str">
        <f t="shared" ca="1" si="12"/>
        <v/>
      </c>
      <c r="F35" s="62" t="str">
        <f t="shared" ca="1" si="15"/>
        <v/>
      </c>
      <c r="G35" s="62" t="str">
        <f t="shared" ca="1" si="15"/>
        <v/>
      </c>
      <c r="I35" s="94">
        <f t="shared" ca="1" si="1"/>
        <v>0</v>
      </c>
      <c r="J35" s="63" t="str">
        <f t="shared" ca="1" si="14"/>
        <v/>
      </c>
      <c r="K35" s="65">
        <f t="shared" ca="1" si="2"/>
        <v>0</v>
      </c>
      <c r="L35" s="64">
        <f t="shared" ca="1" si="6"/>
        <v>0</v>
      </c>
      <c r="M35" s="65">
        <f t="shared" ca="1" si="7"/>
        <v>0</v>
      </c>
      <c r="N35" s="66"/>
      <c r="O35" s="67">
        <f ca="1">IF($C35="",0,
K35*'1.c Decrements'!D31+(O34-P34-Q34)*(1+G34))</f>
        <v>0</v>
      </c>
      <c r="P35" s="68">
        <f ca="1">M35*'1.a Assumptions'!$C$13*'1.c Decrements'!E31</f>
        <v>0</v>
      </c>
      <c r="Q35" s="68">
        <f ca="1">L36*('1.c Decrements'!F31+'1.c Decrements'!G31)</f>
        <v>0</v>
      </c>
      <c r="R35" s="68">
        <f ca="1">O35-L36*'1.c Decrements'!D31</f>
        <v>0</v>
      </c>
      <c r="S35" s="68" t="str">
        <f ca="1">IF(B36&lt;=$S$13,OFFSET('1.c Decrements'!$J$11,0,$S$13-B35),"")</f>
        <v/>
      </c>
      <c r="V35" s="69" t="str">
        <f t="shared" ca="1" si="3"/>
        <v/>
      </c>
      <c r="W35" s="70" t="str">
        <f t="shared" ca="1" si="4"/>
        <v/>
      </c>
      <c r="X35" s="95"/>
      <c r="Y35" s="96" t="str">
        <f ca="1">IF(V35="","",J35/'1.c PUC_Projection'!H37)</f>
        <v/>
      </c>
      <c r="Z35" s="96" t="str">
        <f t="shared" ca="1" si="5"/>
        <v/>
      </c>
      <c r="AA35" s="97" t="str">
        <f t="shared" ca="1" si="8"/>
        <v/>
      </c>
    </row>
    <row r="36" spans="2:27" ht="15" customHeight="1" x14ac:dyDescent="0.25">
      <c r="B36" s="57" t="str">
        <f t="shared" ca="1" si="9"/>
        <v/>
      </c>
      <c r="C36" s="71" t="str">
        <f t="shared" ca="1" si="10"/>
        <v/>
      </c>
      <c r="D36" s="72" t="str">
        <f t="shared" ca="1" si="11"/>
        <v/>
      </c>
      <c r="E36" s="73" t="str">
        <f t="shared" ca="1" si="12"/>
        <v/>
      </c>
      <c r="F36" s="62" t="str">
        <f t="shared" ca="1" si="15"/>
        <v/>
      </c>
      <c r="G36" s="62" t="str">
        <f t="shared" ca="1" si="15"/>
        <v/>
      </c>
      <c r="I36" s="94">
        <f t="shared" ca="1" si="1"/>
        <v>0</v>
      </c>
      <c r="J36" s="63" t="str">
        <f t="shared" ca="1" si="14"/>
        <v/>
      </c>
      <c r="K36" s="65">
        <f t="shared" ca="1" si="2"/>
        <v>0</v>
      </c>
      <c r="L36" s="64">
        <f t="shared" ca="1" si="6"/>
        <v>0</v>
      </c>
      <c r="M36" s="65">
        <f t="shared" ca="1" si="7"/>
        <v>0</v>
      </c>
      <c r="N36" s="66"/>
      <c r="O36" s="67">
        <f ca="1">IF($C36="",0,
K36*'1.c Decrements'!D32+(O35-P35-Q35)*(1+G35))</f>
        <v>0</v>
      </c>
      <c r="P36" s="68">
        <f ca="1">M36*'1.a Assumptions'!$C$13*'1.c Decrements'!E32</f>
        <v>0</v>
      </c>
      <c r="Q36" s="68">
        <f ca="1">L37*('1.c Decrements'!F32+'1.c Decrements'!G32)</f>
        <v>0</v>
      </c>
      <c r="R36" s="68">
        <f ca="1">O36-L37*'1.c Decrements'!D32</f>
        <v>0</v>
      </c>
      <c r="S36" s="68" t="str">
        <f ca="1">IF(B37&lt;=$S$13,OFFSET('1.c Decrements'!$J$11,0,$S$13-B36),"")</f>
        <v/>
      </c>
      <c r="V36" s="69" t="str">
        <f t="shared" ca="1" si="3"/>
        <v/>
      </c>
      <c r="W36" s="70" t="str">
        <f t="shared" ca="1" si="4"/>
        <v/>
      </c>
      <c r="X36" s="95"/>
      <c r="Y36" s="96" t="str">
        <f ca="1">IF(V36="","",J36/'1.c PUC_Projection'!H38)</f>
        <v/>
      </c>
      <c r="Z36" s="96" t="str">
        <f t="shared" ca="1" si="5"/>
        <v/>
      </c>
      <c r="AA36" s="97" t="str">
        <f t="shared" ca="1" si="8"/>
        <v/>
      </c>
    </row>
    <row r="37" spans="2:27" ht="15" customHeight="1" x14ac:dyDescent="0.25">
      <c r="B37" s="57" t="str">
        <f t="shared" ca="1" si="9"/>
        <v/>
      </c>
      <c r="C37" s="71" t="str">
        <f t="shared" ca="1" si="10"/>
        <v/>
      </c>
      <c r="D37" s="72" t="str">
        <f t="shared" ca="1" si="11"/>
        <v/>
      </c>
      <c r="E37" s="73" t="str">
        <f t="shared" ca="1" si="12"/>
        <v/>
      </c>
      <c r="F37" s="62" t="str">
        <f t="shared" ca="1" si="15"/>
        <v/>
      </c>
      <c r="G37" s="62" t="str">
        <f t="shared" ca="1" si="15"/>
        <v/>
      </c>
      <c r="I37" s="94">
        <f t="shared" ca="1" si="1"/>
        <v>0</v>
      </c>
      <c r="J37" s="63" t="str">
        <f t="shared" ca="1" si="14"/>
        <v/>
      </c>
      <c r="K37" s="65">
        <f t="shared" ca="1" si="2"/>
        <v>0</v>
      </c>
      <c r="L37" s="64">
        <f t="shared" ca="1" si="6"/>
        <v>0</v>
      </c>
      <c r="M37" s="65">
        <f t="shared" ca="1" si="7"/>
        <v>0</v>
      </c>
      <c r="N37" s="66"/>
      <c r="O37" s="67">
        <f ca="1">IF($C37="",0,
K37*'1.c Decrements'!D33+(O36-P36-Q36)*(1+G36))</f>
        <v>0</v>
      </c>
      <c r="P37" s="68">
        <f ca="1">M37*'1.a Assumptions'!$C$13*'1.c Decrements'!E33</f>
        <v>0</v>
      </c>
      <c r="Q37" s="68">
        <f ca="1">L38*('1.c Decrements'!F33+'1.c Decrements'!G33)</f>
        <v>0</v>
      </c>
      <c r="R37" s="68">
        <f ca="1">O37-L38*'1.c Decrements'!D33</f>
        <v>0</v>
      </c>
      <c r="S37" s="68" t="str">
        <f ca="1">IF(B38&lt;=$S$13,OFFSET('1.c Decrements'!$J$11,0,$S$13-B37),"")</f>
        <v/>
      </c>
      <c r="V37" s="69" t="str">
        <f t="shared" ca="1" si="3"/>
        <v/>
      </c>
      <c r="W37" s="70" t="str">
        <f t="shared" ca="1" si="4"/>
        <v/>
      </c>
      <c r="X37" s="95"/>
      <c r="Y37" s="96" t="str">
        <f ca="1">IF(V37="","",J37/'1.c PUC_Projection'!H39)</f>
        <v/>
      </c>
      <c r="Z37" s="96" t="str">
        <f t="shared" ca="1" si="5"/>
        <v/>
      </c>
      <c r="AA37" s="97" t="str">
        <f t="shared" ca="1" si="8"/>
        <v/>
      </c>
    </row>
    <row r="38" spans="2:27" ht="15" customHeight="1" x14ac:dyDescent="0.25">
      <c r="B38" s="57" t="str">
        <f t="shared" ca="1" si="9"/>
        <v/>
      </c>
      <c r="C38" s="71" t="str">
        <f t="shared" ca="1" si="10"/>
        <v/>
      </c>
      <c r="D38" s="72" t="str">
        <f t="shared" ca="1" si="11"/>
        <v/>
      </c>
      <c r="E38" s="73" t="str">
        <f t="shared" ca="1" si="12"/>
        <v/>
      </c>
      <c r="F38" s="62" t="str">
        <f t="shared" ca="1" si="15"/>
        <v/>
      </c>
      <c r="G38" s="62" t="str">
        <f t="shared" ca="1" si="15"/>
        <v/>
      </c>
      <c r="I38" s="94">
        <f t="shared" ca="1" si="1"/>
        <v>0</v>
      </c>
      <c r="J38" s="63" t="str">
        <f t="shared" ca="1" si="14"/>
        <v/>
      </c>
      <c r="K38" s="65">
        <f t="shared" ca="1" si="2"/>
        <v>0</v>
      </c>
      <c r="L38" s="64">
        <f t="shared" ca="1" si="6"/>
        <v>0</v>
      </c>
      <c r="M38" s="65">
        <f t="shared" ca="1" si="7"/>
        <v>0</v>
      </c>
      <c r="N38" s="66"/>
      <c r="O38" s="67">
        <f ca="1">IF($C38="",0,
K38*'1.c Decrements'!D34+(O37-P37-Q37)*(1+G37))</f>
        <v>0</v>
      </c>
      <c r="P38" s="68">
        <f ca="1">M38*'1.a Assumptions'!$C$13*'1.c Decrements'!E34</f>
        <v>0</v>
      </c>
      <c r="Q38" s="68">
        <f ca="1">L39*('1.c Decrements'!F34+'1.c Decrements'!G34)</f>
        <v>0</v>
      </c>
      <c r="R38" s="68">
        <f ca="1">O38-L39*'1.c Decrements'!D34</f>
        <v>0</v>
      </c>
      <c r="S38" s="68" t="str">
        <f ca="1">IF(B39&lt;=$S$13,OFFSET('1.c Decrements'!$J$11,0,$S$13-B38),"")</f>
        <v/>
      </c>
      <c r="V38" s="69" t="str">
        <f t="shared" ca="1" si="3"/>
        <v/>
      </c>
      <c r="W38" s="70" t="str">
        <f t="shared" ca="1" si="4"/>
        <v/>
      </c>
      <c r="X38" s="95"/>
      <c r="Y38" s="96" t="str">
        <f ca="1">IF(V38="","",J38/'1.c PUC_Projection'!H40)</f>
        <v/>
      </c>
      <c r="Z38" s="96" t="str">
        <f t="shared" ca="1" si="5"/>
        <v/>
      </c>
      <c r="AA38" s="97" t="str">
        <f t="shared" ca="1" si="8"/>
        <v/>
      </c>
    </row>
    <row r="39" spans="2:27" ht="15" customHeight="1" x14ac:dyDescent="0.25">
      <c r="B39" s="57" t="str">
        <f t="shared" ca="1" si="9"/>
        <v/>
      </c>
      <c r="C39" s="71" t="str">
        <f t="shared" ca="1" si="10"/>
        <v/>
      </c>
      <c r="D39" s="72" t="str">
        <f t="shared" ca="1" si="11"/>
        <v/>
      </c>
      <c r="E39" s="73" t="str">
        <f t="shared" ca="1" si="12"/>
        <v/>
      </c>
      <c r="F39" s="62" t="str">
        <f t="shared" ca="1" si="15"/>
        <v/>
      </c>
      <c r="G39" s="62" t="str">
        <f t="shared" ca="1" si="15"/>
        <v/>
      </c>
      <c r="I39" s="94">
        <f t="shared" ca="1" si="1"/>
        <v>0</v>
      </c>
      <c r="J39" s="63" t="str">
        <f t="shared" ca="1" si="14"/>
        <v/>
      </c>
      <c r="K39" s="65">
        <f t="shared" ca="1" si="2"/>
        <v>0</v>
      </c>
      <c r="L39" s="64">
        <f t="shared" ca="1" si="6"/>
        <v>0</v>
      </c>
      <c r="M39" s="65">
        <f t="shared" ca="1" si="7"/>
        <v>0</v>
      </c>
      <c r="N39" s="66"/>
      <c r="O39" s="67">
        <f ca="1">IF($C39="",0,
K39*'1.c Decrements'!D35+(O38-P38-Q38)*(1+G38))</f>
        <v>0</v>
      </c>
      <c r="P39" s="68">
        <f ca="1">M39*'1.a Assumptions'!$C$13*'1.c Decrements'!E35</f>
        <v>0</v>
      </c>
      <c r="Q39" s="68">
        <f ca="1">L40*('1.c Decrements'!F35+'1.c Decrements'!G35)</f>
        <v>0</v>
      </c>
      <c r="R39" s="68">
        <f ca="1">O39-L40*'1.c Decrements'!D35</f>
        <v>0</v>
      </c>
      <c r="S39" s="68" t="str">
        <f ca="1">IF(B40&lt;=$S$13,OFFSET('1.c Decrements'!$J$11,0,$S$13-B39),"")</f>
        <v/>
      </c>
      <c r="V39" s="69" t="str">
        <f t="shared" ca="1" si="3"/>
        <v/>
      </c>
      <c r="W39" s="70" t="str">
        <f t="shared" ca="1" si="4"/>
        <v/>
      </c>
      <c r="X39" s="95"/>
      <c r="Y39" s="96" t="str">
        <f ca="1">IF(V39="","",J39/'1.c PUC_Projection'!H41)</f>
        <v/>
      </c>
      <c r="Z39" s="96" t="str">
        <f t="shared" ca="1" si="5"/>
        <v/>
      </c>
      <c r="AA39" s="97" t="str">
        <f t="shared" ca="1" si="8"/>
        <v/>
      </c>
    </row>
    <row r="40" spans="2:27" ht="15" customHeight="1" x14ac:dyDescent="0.25">
      <c r="B40" s="57" t="str">
        <f t="shared" ca="1" si="9"/>
        <v/>
      </c>
      <c r="C40" s="71" t="str">
        <f t="shared" ca="1" si="10"/>
        <v/>
      </c>
      <c r="D40" s="72" t="str">
        <f t="shared" ca="1" si="11"/>
        <v/>
      </c>
      <c r="E40" s="73" t="str">
        <f t="shared" ca="1" si="12"/>
        <v/>
      </c>
      <c r="F40" s="62" t="str">
        <f t="shared" ca="1" si="15"/>
        <v/>
      </c>
      <c r="G40" s="62" t="str">
        <f t="shared" ca="1" si="15"/>
        <v/>
      </c>
      <c r="I40" s="94">
        <f t="shared" ca="1" si="1"/>
        <v>0</v>
      </c>
      <c r="J40" s="63" t="str">
        <f t="shared" ca="1" si="14"/>
        <v/>
      </c>
      <c r="K40" s="65">
        <f t="shared" ca="1" si="2"/>
        <v>0</v>
      </c>
      <c r="L40" s="64">
        <f t="shared" ca="1" si="6"/>
        <v>0</v>
      </c>
      <c r="M40" s="65">
        <f t="shared" ca="1" si="7"/>
        <v>0</v>
      </c>
      <c r="N40" s="66"/>
      <c r="O40" s="67">
        <f ca="1">IF($C40="",0,
K40*'1.c Decrements'!D36+(O39-P39-Q39)*(1+G39))</f>
        <v>0</v>
      </c>
      <c r="P40" s="68">
        <f ca="1">M40*'1.a Assumptions'!$C$13*'1.c Decrements'!E36</f>
        <v>0</v>
      </c>
      <c r="Q40" s="68">
        <f ca="1">L41*('1.c Decrements'!F36+'1.c Decrements'!G36)</f>
        <v>0</v>
      </c>
      <c r="R40" s="68">
        <f ca="1">O40-L41*'1.c Decrements'!D36</f>
        <v>0</v>
      </c>
      <c r="S40" s="68" t="str">
        <f ca="1">IF(B41&lt;=$S$13,OFFSET('1.c Decrements'!$J$11,0,$S$13-B40),"")</f>
        <v/>
      </c>
      <c r="V40" s="69" t="str">
        <f t="shared" ca="1" si="3"/>
        <v/>
      </c>
      <c r="W40" s="70" t="str">
        <f t="shared" ca="1" si="4"/>
        <v/>
      </c>
      <c r="X40" s="95"/>
      <c r="Y40" s="96" t="str">
        <f ca="1">IF(V40="","",J40/'1.c PUC_Projection'!H42)</f>
        <v/>
      </c>
      <c r="Z40" s="96" t="str">
        <f t="shared" ca="1" si="5"/>
        <v/>
      </c>
      <c r="AA40" s="97" t="str">
        <f t="shared" ca="1" si="8"/>
        <v/>
      </c>
    </row>
    <row r="41" spans="2:27" ht="15" customHeight="1" x14ac:dyDescent="0.25">
      <c r="B41" s="57" t="str">
        <f t="shared" ca="1" si="9"/>
        <v/>
      </c>
      <c r="C41" s="71" t="str">
        <f t="shared" ca="1" si="10"/>
        <v/>
      </c>
      <c r="D41" s="72" t="str">
        <f t="shared" ca="1" si="11"/>
        <v/>
      </c>
      <c r="E41" s="73" t="str">
        <f t="shared" ca="1" si="12"/>
        <v/>
      </c>
      <c r="F41" s="62" t="str">
        <f t="shared" ca="1" si="15"/>
        <v/>
      </c>
      <c r="G41" s="62" t="str">
        <f t="shared" ca="1" si="15"/>
        <v/>
      </c>
      <c r="I41" s="94">
        <f t="shared" ca="1" si="1"/>
        <v>0</v>
      </c>
      <c r="J41" s="63" t="str">
        <f t="shared" ca="1" si="14"/>
        <v/>
      </c>
      <c r="K41" s="65">
        <f t="shared" ca="1" si="2"/>
        <v>0</v>
      </c>
      <c r="L41" s="64">
        <f t="shared" ca="1" si="6"/>
        <v>0</v>
      </c>
      <c r="M41" s="65">
        <f t="shared" ca="1" si="7"/>
        <v>0</v>
      </c>
      <c r="N41" s="66"/>
      <c r="O41" s="67">
        <f ca="1">IF($C41="",0,
K41*'1.c Decrements'!D37+(O40-P40-Q40)*(1+G40))</f>
        <v>0</v>
      </c>
      <c r="P41" s="68">
        <f ca="1">M41*'1.a Assumptions'!$C$13*'1.c Decrements'!E37</f>
        <v>0</v>
      </c>
      <c r="Q41" s="68">
        <f ca="1">L42*('1.c Decrements'!F37+'1.c Decrements'!G37)</f>
        <v>0</v>
      </c>
      <c r="R41" s="68">
        <f ca="1">O41-L42*'1.c Decrements'!D37</f>
        <v>0</v>
      </c>
      <c r="S41" s="68" t="str">
        <f ca="1">IF(B42&lt;=$S$13,OFFSET('1.c Decrements'!$J$11,0,$S$13-B41),"")</f>
        <v/>
      </c>
      <c r="V41" s="69" t="str">
        <f t="shared" ca="1" si="3"/>
        <v/>
      </c>
      <c r="W41" s="70" t="str">
        <f t="shared" ca="1" si="4"/>
        <v/>
      </c>
      <c r="X41" s="95"/>
      <c r="Y41" s="96" t="str">
        <f ca="1">IF(V41="","",J41/'1.c PUC_Projection'!H43)</f>
        <v/>
      </c>
      <c r="Z41" s="96" t="str">
        <f t="shared" ca="1" si="5"/>
        <v/>
      </c>
      <c r="AA41" s="97" t="str">
        <f t="shared" ca="1" si="8"/>
        <v/>
      </c>
    </row>
    <row r="42" spans="2:27" ht="15" customHeight="1" x14ac:dyDescent="0.25">
      <c r="B42" s="57" t="str">
        <f t="shared" ca="1" si="9"/>
        <v/>
      </c>
      <c r="C42" s="71" t="str">
        <f t="shared" ca="1" si="10"/>
        <v/>
      </c>
      <c r="D42" s="72" t="str">
        <f t="shared" ca="1" si="11"/>
        <v/>
      </c>
      <c r="E42" s="73" t="str">
        <f t="shared" ca="1" si="12"/>
        <v/>
      </c>
      <c r="F42" s="62" t="str">
        <f t="shared" ca="1" si="15"/>
        <v/>
      </c>
      <c r="G42" s="62" t="str">
        <f t="shared" ca="1" si="15"/>
        <v/>
      </c>
      <c r="I42" s="94">
        <f t="shared" ca="1" si="1"/>
        <v>0</v>
      </c>
      <c r="J42" s="63" t="str">
        <f t="shared" ca="1" si="14"/>
        <v/>
      </c>
      <c r="K42" s="65">
        <f t="shared" ca="1" si="2"/>
        <v>0</v>
      </c>
      <c r="L42" s="64">
        <f t="shared" ca="1" si="6"/>
        <v>0</v>
      </c>
      <c r="M42" s="65">
        <f t="shared" ca="1" si="7"/>
        <v>0</v>
      </c>
      <c r="N42" s="66"/>
      <c r="O42" s="67">
        <f ca="1">IF($C42="",0,
K42*'1.c Decrements'!D38+(O41-P41-Q41)*(1+G41))</f>
        <v>0</v>
      </c>
      <c r="P42" s="68">
        <f ca="1">M42*'1.a Assumptions'!$C$13*'1.c Decrements'!E38</f>
        <v>0</v>
      </c>
      <c r="Q42" s="68">
        <f ca="1">L43*('1.c Decrements'!F38+'1.c Decrements'!G38)</f>
        <v>0</v>
      </c>
      <c r="R42" s="68">
        <f ca="1">O42-L43*'1.c Decrements'!D38</f>
        <v>0</v>
      </c>
      <c r="S42" s="68" t="str">
        <f ca="1">IF(B43&lt;=$S$13,OFFSET('1.c Decrements'!$J$11,0,$S$13-B42),"")</f>
        <v/>
      </c>
      <c r="V42" s="69" t="str">
        <f t="shared" ca="1" si="3"/>
        <v/>
      </c>
      <c r="W42" s="70" t="str">
        <f t="shared" ca="1" si="4"/>
        <v/>
      </c>
      <c r="X42" s="95"/>
      <c r="Y42" s="96" t="str">
        <f ca="1">IF(V42="","",J42/'1.c PUC_Projection'!H44)</f>
        <v/>
      </c>
      <c r="Z42" s="96" t="str">
        <f t="shared" ca="1" si="5"/>
        <v/>
      </c>
      <c r="AA42" s="97" t="str">
        <f t="shared" ca="1" si="8"/>
        <v/>
      </c>
    </row>
    <row r="43" spans="2:27" ht="15" customHeight="1" x14ac:dyDescent="0.25">
      <c r="B43" s="57" t="str">
        <f t="shared" ca="1" si="9"/>
        <v/>
      </c>
      <c r="C43" s="71" t="str">
        <f t="shared" ca="1" si="10"/>
        <v/>
      </c>
      <c r="D43" s="72" t="str">
        <f t="shared" ca="1" si="11"/>
        <v/>
      </c>
      <c r="E43" s="73" t="str">
        <f t="shared" ca="1" si="12"/>
        <v/>
      </c>
      <c r="F43" s="62" t="str">
        <f t="shared" ca="1" si="15"/>
        <v/>
      </c>
      <c r="G43" s="62" t="str">
        <f t="shared" ca="1" si="15"/>
        <v/>
      </c>
      <c r="I43" s="94">
        <f t="shared" ca="1" si="1"/>
        <v>0</v>
      </c>
      <c r="J43" s="63" t="str">
        <f t="shared" ca="1" si="14"/>
        <v/>
      </c>
      <c r="K43" s="65">
        <f t="shared" ca="1" si="2"/>
        <v>0</v>
      </c>
      <c r="L43" s="64">
        <f t="shared" ca="1" si="6"/>
        <v>0</v>
      </c>
      <c r="M43" s="65">
        <f t="shared" ca="1" si="7"/>
        <v>0</v>
      </c>
      <c r="N43" s="66"/>
      <c r="O43" s="67">
        <f ca="1">IF($C43="",0,
K43*'1.c Decrements'!D39+(O42-P42-Q42)*(1+G42))</f>
        <v>0</v>
      </c>
      <c r="P43" s="68">
        <f ca="1">M43*'1.a Assumptions'!$C$13*'1.c Decrements'!E39</f>
        <v>0</v>
      </c>
      <c r="Q43" s="68">
        <f ca="1">L44*('1.c Decrements'!F39+'1.c Decrements'!G39)</f>
        <v>0</v>
      </c>
      <c r="R43" s="68">
        <f ca="1">O43-L44*'1.c Decrements'!D39</f>
        <v>0</v>
      </c>
      <c r="S43" s="68" t="str">
        <f ca="1">IF(B44&lt;=$S$13,OFFSET('1.c Decrements'!$J$11,0,$S$13-B43),"")</f>
        <v/>
      </c>
      <c r="V43" s="69" t="str">
        <f t="shared" ca="1" si="3"/>
        <v/>
      </c>
      <c r="W43" s="70" t="str">
        <f t="shared" ca="1" si="4"/>
        <v/>
      </c>
      <c r="X43" s="95"/>
      <c r="Y43" s="96" t="str">
        <f ca="1">IF(V43="","",J43/'1.c PUC_Projection'!H45)</f>
        <v/>
      </c>
      <c r="Z43" s="96" t="str">
        <f t="shared" ca="1" si="5"/>
        <v/>
      </c>
      <c r="AA43" s="97" t="str">
        <f t="shared" ca="1" si="8"/>
        <v/>
      </c>
    </row>
    <row r="44" spans="2:27" ht="15" customHeight="1" x14ac:dyDescent="0.25">
      <c r="B44" s="57" t="str">
        <f t="shared" ca="1" si="9"/>
        <v/>
      </c>
      <c r="C44" s="71" t="str">
        <f t="shared" ca="1" si="10"/>
        <v/>
      </c>
      <c r="D44" s="72" t="str">
        <f t="shared" ca="1" si="11"/>
        <v/>
      </c>
      <c r="E44" s="73" t="str">
        <f t="shared" ca="1" si="12"/>
        <v/>
      </c>
      <c r="F44" s="62" t="str">
        <f t="shared" ca="1" si="15"/>
        <v/>
      </c>
      <c r="G44" s="62" t="str">
        <f t="shared" ca="1" si="15"/>
        <v/>
      </c>
      <c r="I44" s="94">
        <f t="shared" ca="1" si="1"/>
        <v>0</v>
      </c>
      <c r="J44" s="63" t="str">
        <f t="shared" ca="1" si="14"/>
        <v/>
      </c>
      <c r="K44" s="65">
        <f t="shared" ca="1" si="2"/>
        <v>0</v>
      </c>
      <c r="L44" s="64">
        <f t="shared" ca="1" si="6"/>
        <v>0</v>
      </c>
      <c r="M44" s="65">
        <f t="shared" ca="1" si="7"/>
        <v>0</v>
      </c>
      <c r="N44" s="66"/>
      <c r="O44" s="67">
        <f ca="1">IF($C44="",0,
K44*'1.c Decrements'!D40+(O43-P43-Q43)*(1+G43))</f>
        <v>0</v>
      </c>
      <c r="P44" s="68">
        <f ca="1">M44*'1.a Assumptions'!$C$13*'1.c Decrements'!E40</f>
        <v>0</v>
      </c>
      <c r="Q44" s="68">
        <f ca="1">L45*('1.c Decrements'!F40+'1.c Decrements'!G40)</f>
        <v>0</v>
      </c>
      <c r="R44" s="68">
        <f ca="1">O44-L45*'1.c Decrements'!D40</f>
        <v>0</v>
      </c>
      <c r="S44" s="68" t="str">
        <f ca="1">IF(B45&lt;=$S$13,OFFSET('1.c Decrements'!$J$11,0,$S$13-B44),"")</f>
        <v/>
      </c>
      <c r="V44" s="69" t="str">
        <f t="shared" ca="1" si="3"/>
        <v/>
      </c>
      <c r="W44" s="70" t="str">
        <f t="shared" ca="1" si="4"/>
        <v/>
      </c>
      <c r="X44" s="95"/>
      <c r="Y44" s="96" t="str">
        <f ca="1">IF(V44="","",J44/'1.c PUC_Projection'!H46)</f>
        <v/>
      </c>
      <c r="Z44" s="96" t="str">
        <f t="shared" ca="1" si="5"/>
        <v/>
      </c>
      <c r="AA44" s="97" t="str">
        <f t="shared" ca="1" si="8"/>
        <v/>
      </c>
    </row>
    <row r="45" spans="2:27" ht="15" customHeight="1" x14ac:dyDescent="0.25">
      <c r="B45" s="57" t="str">
        <f t="shared" ca="1" si="9"/>
        <v/>
      </c>
      <c r="C45" s="71" t="str">
        <f t="shared" ca="1" si="10"/>
        <v/>
      </c>
      <c r="D45" s="72" t="str">
        <f t="shared" ca="1" si="11"/>
        <v/>
      </c>
      <c r="E45" s="73" t="str">
        <f t="shared" ca="1" si="12"/>
        <v/>
      </c>
      <c r="F45" s="62" t="str">
        <f t="shared" ca="1" si="15"/>
        <v/>
      </c>
      <c r="G45" s="62" t="str">
        <f t="shared" ca="1" si="15"/>
        <v/>
      </c>
      <c r="I45" s="94">
        <f t="shared" ca="1" si="1"/>
        <v>0</v>
      </c>
      <c r="J45" s="63" t="str">
        <f t="shared" ca="1" si="14"/>
        <v/>
      </c>
      <c r="K45" s="65">
        <f t="shared" ca="1" si="2"/>
        <v>0</v>
      </c>
      <c r="L45" s="64">
        <f t="shared" ca="1" si="6"/>
        <v>0</v>
      </c>
      <c r="M45" s="65">
        <f t="shared" ca="1" si="7"/>
        <v>0</v>
      </c>
      <c r="N45" s="66"/>
      <c r="O45" s="67">
        <f ca="1">IF($C45="",0,
K45*'1.c Decrements'!D41+(O44-P44-Q44)*(1+G44))</f>
        <v>0</v>
      </c>
      <c r="P45" s="68">
        <f ca="1">M45*'1.a Assumptions'!$C$13*'1.c Decrements'!E41</f>
        <v>0</v>
      </c>
      <c r="Q45" s="68">
        <f ca="1">L46*('1.c Decrements'!F41+'1.c Decrements'!G41)</f>
        <v>0</v>
      </c>
      <c r="R45" s="68">
        <f ca="1">O45-L46*'1.c Decrements'!D41</f>
        <v>0</v>
      </c>
      <c r="S45" s="68" t="str">
        <f ca="1">IF(B46&lt;=$S$13,OFFSET('1.c Decrements'!$J$11,0,$S$13-B45),"")</f>
        <v/>
      </c>
      <c r="V45" s="69" t="str">
        <f t="shared" ca="1" si="3"/>
        <v/>
      </c>
      <c r="W45" s="70" t="str">
        <f t="shared" ca="1" si="4"/>
        <v/>
      </c>
      <c r="X45" s="95"/>
      <c r="Y45" s="96" t="str">
        <f ca="1">IF(V45="","",J45/'1.c PUC_Projection'!H47)</f>
        <v/>
      </c>
      <c r="Z45" s="96" t="str">
        <f t="shared" ca="1" si="5"/>
        <v/>
      </c>
      <c r="AA45" s="97" t="str">
        <f t="shared" ca="1" si="8"/>
        <v/>
      </c>
    </row>
    <row r="46" spans="2:27" ht="15" customHeight="1" x14ac:dyDescent="0.25">
      <c r="B46" s="57" t="str">
        <f t="shared" ca="1" si="9"/>
        <v/>
      </c>
      <c r="C46" s="71" t="str">
        <f t="shared" ca="1" si="10"/>
        <v/>
      </c>
      <c r="D46" s="72" t="str">
        <f t="shared" ca="1" si="11"/>
        <v/>
      </c>
      <c r="E46" s="73" t="str">
        <f t="shared" ca="1" si="12"/>
        <v/>
      </c>
      <c r="F46" s="62" t="str">
        <f t="shared" ca="1" si="15"/>
        <v/>
      </c>
      <c r="G46" s="62" t="str">
        <f t="shared" ca="1" si="15"/>
        <v/>
      </c>
      <c r="I46" s="94">
        <f t="shared" ca="1" si="1"/>
        <v>0</v>
      </c>
      <c r="J46" s="63" t="str">
        <f t="shared" ca="1" si="14"/>
        <v/>
      </c>
      <c r="K46" s="65">
        <f t="shared" ca="1" si="2"/>
        <v>0</v>
      </c>
      <c r="L46" s="64">
        <f t="shared" ca="1" si="6"/>
        <v>0</v>
      </c>
      <c r="M46" s="65">
        <f t="shared" ca="1" si="7"/>
        <v>0</v>
      </c>
      <c r="N46" s="66"/>
      <c r="O46" s="67">
        <f ca="1">IF($C46="",0,
K46*'1.c Decrements'!D42+(O45-P45-Q45)*(1+G45))</f>
        <v>0</v>
      </c>
      <c r="P46" s="68">
        <f ca="1">M46*'1.a Assumptions'!$C$13*'1.c Decrements'!E42</f>
        <v>0</v>
      </c>
      <c r="Q46" s="68">
        <f ca="1">L47*('1.c Decrements'!F42+'1.c Decrements'!G42)</f>
        <v>0</v>
      </c>
      <c r="R46" s="68">
        <f ca="1">O46-L47*'1.c Decrements'!D42</f>
        <v>0</v>
      </c>
      <c r="S46" s="68" t="str">
        <f ca="1">IF(B47&lt;=$S$13,OFFSET('1.c Decrements'!$J$11,0,$S$13-B46),"")</f>
        <v/>
      </c>
      <c r="V46" s="69" t="str">
        <f t="shared" ca="1" si="3"/>
        <v/>
      </c>
      <c r="W46" s="70" t="str">
        <f t="shared" ca="1" si="4"/>
        <v/>
      </c>
      <c r="X46" s="95"/>
      <c r="Y46" s="96" t="str">
        <f ca="1">IF(V46="","",J46/'1.c PUC_Projection'!H48)</f>
        <v/>
      </c>
      <c r="Z46" s="96" t="str">
        <f t="shared" ca="1" si="5"/>
        <v/>
      </c>
      <c r="AA46" s="97" t="str">
        <f t="shared" ca="1" si="8"/>
        <v/>
      </c>
    </row>
    <row r="47" spans="2:27" ht="15" customHeight="1" x14ac:dyDescent="0.25">
      <c r="B47" s="57" t="str">
        <f t="shared" ca="1" si="9"/>
        <v/>
      </c>
      <c r="C47" s="71" t="str">
        <f t="shared" ca="1" si="10"/>
        <v/>
      </c>
      <c r="D47" s="72" t="str">
        <f t="shared" ca="1" si="11"/>
        <v/>
      </c>
      <c r="E47" s="73" t="str">
        <f t="shared" ca="1" si="12"/>
        <v/>
      </c>
      <c r="F47" s="62" t="str">
        <f t="shared" ca="1" si="15"/>
        <v/>
      </c>
      <c r="G47" s="62" t="str">
        <f t="shared" ca="1" si="15"/>
        <v/>
      </c>
      <c r="I47" s="94">
        <f t="shared" ca="1" si="1"/>
        <v>0</v>
      </c>
      <c r="J47" s="63" t="str">
        <f t="shared" ca="1" si="14"/>
        <v/>
      </c>
      <c r="K47" s="65">
        <f t="shared" ca="1" si="2"/>
        <v>0</v>
      </c>
      <c r="L47" s="64">
        <f t="shared" ca="1" si="6"/>
        <v>0</v>
      </c>
      <c r="M47" s="65">
        <f t="shared" ca="1" si="7"/>
        <v>0</v>
      </c>
      <c r="N47" s="66"/>
      <c r="O47" s="67">
        <f ca="1">IF($C47="",0,
K47*'1.c Decrements'!D43+(O46-P46-Q46)*(1+G46))</f>
        <v>0</v>
      </c>
      <c r="P47" s="68">
        <f ca="1">M47*'1.a Assumptions'!$C$13*'1.c Decrements'!E43</f>
        <v>0</v>
      </c>
      <c r="Q47" s="68">
        <f ca="1">L48*('1.c Decrements'!F43+'1.c Decrements'!G43)</f>
        <v>0</v>
      </c>
      <c r="R47" s="68">
        <f ca="1">O47-L48*'1.c Decrements'!D43</f>
        <v>0</v>
      </c>
      <c r="S47" s="68" t="str">
        <f ca="1">IF(B48&lt;=$S$13,OFFSET('1.c Decrements'!$J$11,0,$S$13-B47),"")</f>
        <v/>
      </c>
      <c r="V47" s="69" t="str">
        <f t="shared" ca="1" si="3"/>
        <v/>
      </c>
      <c r="W47" s="70" t="str">
        <f t="shared" ca="1" si="4"/>
        <v/>
      </c>
      <c r="X47" s="95"/>
      <c r="Y47" s="96" t="str">
        <f ca="1">IF(V47="","",J47/'1.c PUC_Projection'!H49)</f>
        <v/>
      </c>
      <c r="Z47" s="96" t="str">
        <f t="shared" ca="1" si="5"/>
        <v/>
      </c>
      <c r="AA47" s="97" t="str">
        <f t="shared" ca="1" si="8"/>
        <v/>
      </c>
    </row>
    <row r="48" spans="2:27" ht="15" customHeight="1" x14ac:dyDescent="0.25">
      <c r="B48" s="57" t="str">
        <f t="shared" ca="1" si="9"/>
        <v/>
      </c>
      <c r="C48" s="71" t="str">
        <f t="shared" ca="1" si="10"/>
        <v/>
      </c>
      <c r="D48" s="72" t="str">
        <f t="shared" ca="1" si="11"/>
        <v/>
      </c>
      <c r="E48" s="73" t="str">
        <f t="shared" ca="1" si="12"/>
        <v/>
      </c>
      <c r="F48" s="62" t="str">
        <f t="shared" ca="1" si="15"/>
        <v/>
      </c>
      <c r="G48" s="62" t="str">
        <f t="shared" ca="1" si="15"/>
        <v/>
      </c>
      <c r="I48" s="94">
        <f t="shared" ca="1" si="1"/>
        <v>0</v>
      </c>
      <c r="J48" s="63" t="str">
        <f t="shared" ca="1" si="14"/>
        <v/>
      </c>
      <c r="K48" s="65">
        <f t="shared" ca="1" si="2"/>
        <v>0</v>
      </c>
      <c r="L48" s="64">
        <f t="shared" ca="1" si="6"/>
        <v>0</v>
      </c>
      <c r="M48" s="65">
        <f t="shared" ca="1" si="7"/>
        <v>0</v>
      </c>
      <c r="N48" s="66"/>
      <c r="O48" s="67">
        <f ca="1">IF($C48="",0,
K48*'1.c Decrements'!D44+(O47-P47-Q47)*(1+G47))</f>
        <v>0</v>
      </c>
      <c r="P48" s="68">
        <f ca="1">M48*'1.a Assumptions'!$C$13*'1.c Decrements'!E44</f>
        <v>0</v>
      </c>
      <c r="Q48" s="68">
        <f ca="1">L49*('1.c Decrements'!F44+'1.c Decrements'!G44)</f>
        <v>0</v>
      </c>
      <c r="R48" s="68">
        <f ca="1">O48-L49*'1.c Decrements'!D44</f>
        <v>0</v>
      </c>
      <c r="S48" s="68" t="str">
        <f ca="1">IF(B49&lt;=$S$13,OFFSET('1.c Decrements'!$J$11,0,$S$13-B48),"")</f>
        <v/>
      </c>
      <c r="V48" s="69" t="str">
        <f t="shared" ca="1" si="3"/>
        <v/>
      </c>
      <c r="W48" s="70" t="str">
        <f t="shared" ca="1" si="4"/>
        <v/>
      </c>
      <c r="X48" s="95"/>
      <c r="Y48" s="96" t="str">
        <f ca="1">IF(V48="","",J48/'1.c PUC_Projection'!H50)</f>
        <v/>
      </c>
      <c r="Z48" s="96" t="str">
        <f t="shared" ca="1" si="5"/>
        <v/>
      </c>
      <c r="AA48" s="97" t="str">
        <f t="shared" ca="1" si="8"/>
        <v/>
      </c>
    </row>
    <row r="49" spans="2:27" ht="15" customHeight="1" x14ac:dyDescent="0.25">
      <c r="B49" s="57" t="str">
        <f t="shared" ca="1" si="9"/>
        <v/>
      </c>
      <c r="C49" s="71" t="str">
        <f t="shared" ca="1" si="10"/>
        <v/>
      </c>
      <c r="D49" s="72" t="str">
        <f t="shared" ca="1" si="11"/>
        <v/>
      </c>
      <c r="E49" s="73" t="str">
        <f t="shared" ca="1" si="12"/>
        <v/>
      </c>
      <c r="F49" s="62" t="str">
        <f t="shared" ref="F49:G64" ca="1" si="16">IF($C49="","",F48)</f>
        <v/>
      </c>
      <c r="G49" s="62" t="str">
        <f t="shared" ca="1" si="16"/>
        <v/>
      </c>
      <c r="I49" s="94">
        <f t="shared" ca="1" si="1"/>
        <v>0</v>
      </c>
      <c r="J49" s="63" t="str">
        <f t="shared" ca="1" si="14"/>
        <v/>
      </c>
      <c r="K49" s="65">
        <f t="shared" ca="1" si="2"/>
        <v>0</v>
      </c>
      <c r="L49" s="64">
        <f t="shared" ca="1" si="6"/>
        <v>0</v>
      </c>
      <c r="M49" s="65">
        <f t="shared" ca="1" si="7"/>
        <v>0</v>
      </c>
      <c r="N49" s="66"/>
      <c r="O49" s="67">
        <f ca="1">IF($C49="",0,
K49*'1.c Decrements'!D45+(O48-P48-Q48)*(1+G48))</f>
        <v>0</v>
      </c>
      <c r="P49" s="68">
        <f ca="1">M49*'1.a Assumptions'!$C$13*'1.c Decrements'!E45</f>
        <v>0</v>
      </c>
      <c r="Q49" s="68">
        <f ca="1">L50*('1.c Decrements'!F45+'1.c Decrements'!G45)</f>
        <v>0</v>
      </c>
      <c r="R49" s="68">
        <f ca="1">O49-L50*'1.c Decrements'!D45</f>
        <v>0</v>
      </c>
      <c r="S49" s="68" t="str">
        <f ca="1">IF(B50&lt;=$S$13,OFFSET('1.c Decrements'!$J$11,0,$S$13-B49),"")</f>
        <v/>
      </c>
      <c r="V49" s="69" t="str">
        <f t="shared" ca="1" si="3"/>
        <v/>
      </c>
      <c r="W49" s="70" t="str">
        <f t="shared" ca="1" si="4"/>
        <v/>
      </c>
      <c r="X49" s="95"/>
      <c r="Y49" s="96" t="str">
        <f ca="1">IF(V49="","",J49/'1.c PUC_Projection'!H51)</f>
        <v/>
      </c>
      <c r="Z49" s="96" t="str">
        <f t="shared" ca="1" si="5"/>
        <v/>
      </c>
      <c r="AA49" s="97" t="str">
        <f t="shared" ca="1" si="8"/>
        <v/>
      </c>
    </row>
    <row r="50" spans="2:27" ht="15" customHeight="1" x14ac:dyDescent="0.25">
      <c r="B50" s="57" t="str">
        <f t="shared" ca="1" si="9"/>
        <v/>
      </c>
      <c r="C50" s="71" t="str">
        <f t="shared" ca="1" si="10"/>
        <v/>
      </c>
      <c r="D50" s="72" t="str">
        <f t="shared" ca="1" si="11"/>
        <v/>
      </c>
      <c r="E50" s="73" t="str">
        <f t="shared" ca="1" si="12"/>
        <v/>
      </c>
      <c r="F50" s="62" t="str">
        <f t="shared" ca="1" si="16"/>
        <v/>
      </c>
      <c r="G50" s="62" t="str">
        <f t="shared" ca="1" si="16"/>
        <v/>
      </c>
      <c r="I50" s="94">
        <f t="shared" ca="1" si="1"/>
        <v>0</v>
      </c>
      <c r="J50" s="63" t="str">
        <f t="shared" ca="1" si="14"/>
        <v/>
      </c>
      <c r="K50" s="65">
        <f t="shared" ca="1" si="2"/>
        <v>0</v>
      </c>
      <c r="L50" s="64">
        <f t="shared" ca="1" si="6"/>
        <v>0</v>
      </c>
      <c r="M50" s="65">
        <f t="shared" ca="1" si="7"/>
        <v>0</v>
      </c>
      <c r="N50" s="66"/>
      <c r="O50" s="67">
        <f ca="1">IF($C50="",0,
K50*'1.c Decrements'!D46+(O49-P49-Q49)*(1+G49))</f>
        <v>0</v>
      </c>
      <c r="P50" s="68">
        <f ca="1">M50*'1.a Assumptions'!$C$13*'1.c Decrements'!E46</f>
        <v>0</v>
      </c>
      <c r="Q50" s="68">
        <f ca="1">L51*('1.c Decrements'!F46+'1.c Decrements'!G46)</f>
        <v>0</v>
      </c>
      <c r="R50" s="68">
        <f ca="1">O50-L51*'1.c Decrements'!D46</f>
        <v>0</v>
      </c>
      <c r="S50" s="68" t="str">
        <f ca="1">IF(B51&lt;=$S$13,OFFSET('1.c Decrements'!$J$11,0,$S$13-B50),"")</f>
        <v/>
      </c>
      <c r="V50" s="69" t="str">
        <f t="shared" ca="1" si="3"/>
        <v/>
      </c>
      <c r="W50" s="70" t="str">
        <f t="shared" ca="1" si="4"/>
        <v/>
      </c>
      <c r="X50" s="95"/>
      <c r="Y50" s="96" t="str">
        <f ca="1">IF(V50="","",J50/'1.c PUC_Projection'!H52)</f>
        <v/>
      </c>
      <c r="Z50" s="96" t="str">
        <f t="shared" ca="1" si="5"/>
        <v/>
      </c>
      <c r="AA50" s="97" t="str">
        <f t="shared" ca="1" si="8"/>
        <v/>
      </c>
    </row>
    <row r="51" spans="2:27" ht="15" customHeight="1" x14ac:dyDescent="0.25">
      <c r="B51" s="57" t="str">
        <f t="shared" ca="1" si="9"/>
        <v/>
      </c>
      <c r="C51" s="71" t="str">
        <f t="shared" ca="1" si="10"/>
        <v/>
      </c>
      <c r="D51" s="72" t="str">
        <f t="shared" ca="1" si="11"/>
        <v/>
      </c>
      <c r="E51" s="73" t="str">
        <f t="shared" ca="1" si="12"/>
        <v/>
      </c>
      <c r="F51" s="62" t="str">
        <f t="shared" ca="1" si="16"/>
        <v/>
      </c>
      <c r="G51" s="62" t="str">
        <f t="shared" ca="1" si="16"/>
        <v/>
      </c>
      <c r="I51" s="94">
        <f t="shared" ca="1" si="1"/>
        <v>0</v>
      </c>
      <c r="J51" s="63" t="str">
        <f t="shared" ca="1" si="14"/>
        <v/>
      </c>
      <c r="K51" s="65">
        <f t="shared" ca="1" si="2"/>
        <v>0</v>
      </c>
      <c r="L51" s="64">
        <f t="shared" ca="1" si="6"/>
        <v>0</v>
      </c>
      <c r="M51" s="65">
        <f t="shared" ca="1" si="7"/>
        <v>0</v>
      </c>
      <c r="N51" s="66"/>
      <c r="O51" s="67">
        <f ca="1">IF($C51="",0,
K51*'1.c Decrements'!D47+(O50-P50-Q50)*(1+G50))</f>
        <v>0</v>
      </c>
      <c r="P51" s="68">
        <f ca="1">M51*'1.a Assumptions'!$C$13*'1.c Decrements'!E47</f>
        <v>0</v>
      </c>
      <c r="Q51" s="68">
        <f ca="1">L52*('1.c Decrements'!F47+'1.c Decrements'!G47)</f>
        <v>0</v>
      </c>
      <c r="R51" s="68">
        <f ca="1">O51-L52*'1.c Decrements'!D47</f>
        <v>0</v>
      </c>
      <c r="S51" s="68" t="str">
        <f ca="1">IF(B52&lt;=$S$13,OFFSET('1.c Decrements'!$J$11,0,$S$13-B51),"")</f>
        <v/>
      </c>
      <c r="V51" s="69" t="str">
        <f t="shared" ca="1" si="3"/>
        <v/>
      </c>
      <c r="W51" s="70" t="str">
        <f t="shared" ca="1" si="4"/>
        <v/>
      </c>
      <c r="X51" s="95"/>
      <c r="Y51" s="96" t="str">
        <f ca="1">IF(V51="","",J51/'1.c PUC_Projection'!H53)</f>
        <v/>
      </c>
      <c r="Z51" s="96" t="str">
        <f t="shared" ca="1" si="5"/>
        <v/>
      </c>
      <c r="AA51" s="97" t="str">
        <f t="shared" ca="1" si="8"/>
        <v/>
      </c>
    </row>
    <row r="52" spans="2:27" ht="15" customHeight="1" x14ac:dyDescent="0.25">
      <c r="B52" s="57" t="str">
        <f t="shared" ca="1" si="9"/>
        <v/>
      </c>
      <c r="C52" s="71" t="str">
        <f t="shared" ca="1" si="10"/>
        <v/>
      </c>
      <c r="D52" s="72" t="str">
        <f t="shared" ca="1" si="11"/>
        <v/>
      </c>
      <c r="E52" s="73" t="str">
        <f t="shared" ca="1" si="12"/>
        <v/>
      </c>
      <c r="F52" s="62" t="str">
        <f t="shared" ca="1" si="16"/>
        <v/>
      </c>
      <c r="G52" s="62" t="str">
        <f t="shared" ca="1" si="16"/>
        <v/>
      </c>
      <c r="I52" s="94">
        <f t="shared" ca="1" si="1"/>
        <v>0</v>
      </c>
      <c r="J52" s="63" t="str">
        <f t="shared" ca="1" si="14"/>
        <v/>
      </c>
      <c r="K52" s="65">
        <f t="shared" ca="1" si="2"/>
        <v>0</v>
      </c>
      <c r="L52" s="64">
        <f t="shared" ca="1" si="6"/>
        <v>0</v>
      </c>
      <c r="M52" s="65">
        <f t="shared" ca="1" si="7"/>
        <v>0</v>
      </c>
      <c r="N52" s="66"/>
      <c r="O52" s="67">
        <f ca="1">IF($C52="",0,
K52*'1.c Decrements'!D48+(O51-P51-Q51)*(1+G51))</f>
        <v>0</v>
      </c>
      <c r="P52" s="68">
        <f ca="1">M52*'1.a Assumptions'!$C$13*'1.c Decrements'!E48</f>
        <v>0</v>
      </c>
      <c r="Q52" s="68">
        <f ca="1">L53*('1.c Decrements'!F48+'1.c Decrements'!G48)</f>
        <v>0</v>
      </c>
      <c r="R52" s="68">
        <f ca="1">O52-L53*'1.c Decrements'!D48</f>
        <v>0</v>
      </c>
      <c r="S52" s="68" t="str">
        <f ca="1">IF(B53&lt;=$S$13,OFFSET('1.c Decrements'!$J$11,0,$S$13-B52),"")</f>
        <v/>
      </c>
      <c r="V52" s="69" t="str">
        <f t="shared" ca="1" si="3"/>
        <v/>
      </c>
      <c r="W52" s="70" t="str">
        <f t="shared" ca="1" si="4"/>
        <v/>
      </c>
      <c r="X52" s="95"/>
      <c r="Y52" s="96" t="str">
        <f ca="1">IF(V52="","",J52/'1.c PUC_Projection'!H54)</f>
        <v/>
      </c>
      <c r="Z52" s="96" t="str">
        <f t="shared" ca="1" si="5"/>
        <v/>
      </c>
      <c r="AA52" s="97" t="str">
        <f t="shared" ca="1" si="8"/>
        <v/>
      </c>
    </row>
    <row r="53" spans="2:27" ht="15" customHeight="1" x14ac:dyDescent="0.25">
      <c r="B53" s="57" t="str">
        <f t="shared" ca="1" si="9"/>
        <v/>
      </c>
      <c r="C53" s="71" t="str">
        <f t="shared" ca="1" si="10"/>
        <v/>
      </c>
      <c r="D53" s="72" t="str">
        <f t="shared" ca="1" si="11"/>
        <v/>
      </c>
      <c r="E53" s="73" t="str">
        <f t="shared" ca="1" si="12"/>
        <v/>
      </c>
      <c r="F53" s="62" t="str">
        <f t="shared" ca="1" si="16"/>
        <v/>
      </c>
      <c r="G53" s="62" t="str">
        <f t="shared" ca="1" si="16"/>
        <v/>
      </c>
      <c r="I53" s="94">
        <f t="shared" ca="1" si="1"/>
        <v>0</v>
      </c>
      <c r="J53" s="63" t="str">
        <f t="shared" ca="1" si="14"/>
        <v/>
      </c>
      <c r="K53" s="65">
        <f t="shared" ca="1" si="2"/>
        <v>0</v>
      </c>
      <c r="L53" s="64">
        <f t="shared" ca="1" si="6"/>
        <v>0</v>
      </c>
      <c r="M53" s="65">
        <f t="shared" ca="1" si="7"/>
        <v>0</v>
      </c>
      <c r="N53" s="66"/>
      <c r="O53" s="67">
        <f ca="1">IF($C53="",0,
K53*'1.c Decrements'!D49+(O52-P52-Q52)*(1+G52))</f>
        <v>0</v>
      </c>
      <c r="P53" s="68">
        <f ca="1">M53*'1.a Assumptions'!$C$13*'1.c Decrements'!E49</f>
        <v>0</v>
      </c>
      <c r="Q53" s="68">
        <f ca="1">L54*('1.c Decrements'!F49+'1.c Decrements'!G49)</f>
        <v>0</v>
      </c>
      <c r="R53" s="68">
        <f ca="1">O53-L54*'1.c Decrements'!D49</f>
        <v>0</v>
      </c>
      <c r="S53" s="68" t="str">
        <f ca="1">IF(B54&lt;=$S$13,OFFSET('1.c Decrements'!$J$11,0,$S$13-B53),"")</f>
        <v/>
      </c>
      <c r="V53" s="69" t="str">
        <f t="shared" ca="1" si="3"/>
        <v/>
      </c>
      <c r="W53" s="70" t="str">
        <f t="shared" ca="1" si="4"/>
        <v/>
      </c>
      <c r="X53" s="95"/>
      <c r="Y53" s="96" t="str">
        <f ca="1">IF(V53="","",J53/'1.c PUC_Projection'!H55)</f>
        <v/>
      </c>
      <c r="Z53" s="96" t="str">
        <f t="shared" ca="1" si="5"/>
        <v/>
      </c>
      <c r="AA53" s="97" t="str">
        <f t="shared" ca="1" si="8"/>
        <v/>
      </c>
    </row>
    <row r="54" spans="2:27" ht="15" customHeight="1" x14ac:dyDescent="0.25">
      <c r="B54" s="57" t="str">
        <f t="shared" ca="1" si="9"/>
        <v/>
      </c>
      <c r="C54" s="71" t="str">
        <f t="shared" ca="1" si="10"/>
        <v/>
      </c>
      <c r="D54" s="72" t="str">
        <f t="shared" ca="1" si="11"/>
        <v/>
      </c>
      <c r="E54" s="73" t="str">
        <f t="shared" ca="1" si="12"/>
        <v/>
      </c>
      <c r="F54" s="62" t="str">
        <f t="shared" ca="1" si="16"/>
        <v/>
      </c>
      <c r="G54" s="62" t="str">
        <f t="shared" ca="1" si="16"/>
        <v/>
      </c>
      <c r="I54" s="94">
        <f t="shared" ca="1" si="1"/>
        <v>0</v>
      </c>
      <c r="J54" s="63" t="str">
        <f t="shared" ca="1" si="14"/>
        <v/>
      </c>
      <c r="K54" s="65">
        <f t="shared" ca="1" si="2"/>
        <v>0</v>
      </c>
      <c r="L54" s="64">
        <f t="shared" ca="1" si="6"/>
        <v>0</v>
      </c>
      <c r="M54" s="65">
        <f t="shared" ca="1" si="7"/>
        <v>0</v>
      </c>
      <c r="N54" s="66"/>
      <c r="O54" s="67">
        <f ca="1">IF($C54="",0,
K54*'1.c Decrements'!D50+(O53-P53-Q53)*(1+G53))</f>
        <v>0</v>
      </c>
      <c r="P54" s="68">
        <f ca="1">M54*'1.a Assumptions'!$C$13*'1.c Decrements'!E50</f>
        <v>0</v>
      </c>
      <c r="Q54" s="68">
        <f ca="1">L55*('1.c Decrements'!F50+'1.c Decrements'!G50)</f>
        <v>0</v>
      </c>
      <c r="R54" s="68">
        <f ca="1">O54-L55*'1.c Decrements'!D50</f>
        <v>0</v>
      </c>
      <c r="S54" s="68" t="str">
        <f ca="1">IF(B55&lt;=$S$13,OFFSET('1.c Decrements'!$J$11,0,$S$13-B54),"")</f>
        <v/>
      </c>
      <c r="V54" s="69" t="str">
        <f t="shared" ca="1" si="3"/>
        <v/>
      </c>
      <c r="W54" s="70" t="str">
        <f t="shared" ca="1" si="4"/>
        <v/>
      </c>
      <c r="X54" s="95"/>
      <c r="Y54" s="96" t="str">
        <f ca="1">IF(V54="","",J54/'1.c PUC_Projection'!H56)</f>
        <v/>
      </c>
      <c r="Z54" s="96" t="str">
        <f t="shared" ca="1" si="5"/>
        <v/>
      </c>
      <c r="AA54" s="97" t="str">
        <f t="shared" ca="1" si="8"/>
        <v/>
      </c>
    </row>
    <row r="55" spans="2:27" ht="15" customHeight="1" x14ac:dyDescent="0.25">
      <c r="B55" s="57" t="str">
        <f t="shared" ca="1" si="9"/>
        <v/>
      </c>
      <c r="C55" s="71" t="str">
        <f t="shared" ca="1" si="10"/>
        <v/>
      </c>
      <c r="D55" s="72" t="str">
        <f t="shared" ca="1" si="11"/>
        <v/>
      </c>
      <c r="E55" s="73" t="str">
        <f t="shared" ca="1" si="12"/>
        <v/>
      </c>
      <c r="F55" s="62" t="str">
        <f t="shared" ca="1" si="16"/>
        <v/>
      </c>
      <c r="G55" s="62" t="str">
        <f t="shared" ca="1" si="16"/>
        <v/>
      </c>
      <c r="I55" s="94">
        <f t="shared" ca="1" si="1"/>
        <v>0</v>
      </c>
      <c r="J55" s="63" t="str">
        <f t="shared" ca="1" si="14"/>
        <v/>
      </c>
      <c r="K55" s="65">
        <f t="shared" ca="1" si="2"/>
        <v>0</v>
      </c>
      <c r="L55" s="64">
        <f t="shared" ca="1" si="6"/>
        <v>0</v>
      </c>
      <c r="M55" s="65">
        <f t="shared" ca="1" si="7"/>
        <v>0</v>
      </c>
      <c r="N55" s="66"/>
      <c r="O55" s="67">
        <f ca="1">IF($C55="",0,
K55*'1.c Decrements'!D51+(O54-P54-Q54)*(1+G54))</f>
        <v>0</v>
      </c>
      <c r="P55" s="68">
        <f ca="1">M55*'1.a Assumptions'!$C$13*'1.c Decrements'!E51</f>
        <v>0</v>
      </c>
      <c r="Q55" s="68">
        <f ca="1">L56*('1.c Decrements'!F51+'1.c Decrements'!G51)</f>
        <v>0</v>
      </c>
      <c r="R55" s="68">
        <f ca="1">O55-L56*'1.c Decrements'!D51</f>
        <v>0</v>
      </c>
      <c r="S55" s="68" t="str">
        <f ca="1">IF(B56&lt;=$S$13,OFFSET('1.c Decrements'!$J$11,0,$S$13-B55),"")</f>
        <v/>
      </c>
      <c r="V55" s="69" t="str">
        <f t="shared" ca="1" si="3"/>
        <v/>
      </c>
      <c r="W55" s="70" t="str">
        <f t="shared" ca="1" si="4"/>
        <v/>
      </c>
      <c r="X55" s="95"/>
      <c r="Y55" s="96" t="str">
        <f ca="1">IF(V55="","",J55/'1.c PUC_Projection'!H57)</f>
        <v/>
      </c>
      <c r="Z55" s="96" t="str">
        <f t="shared" ca="1" si="5"/>
        <v/>
      </c>
      <c r="AA55" s="97" t="str">
        <f t="shared" ca="1" si="8"/>
        <v/>
      </c>
    </row>
    <row r="56" spans="2:27" ht="15" customHeight="1" x14ac:dyDescent="0.25">
      <c r="B56" s="57" t="str">
        <f t="shared" ca="1" si="9"/>
        <v/>
      </c>
      <c r="C56" s="71" t="str">
        <f t="shared" ca="1" si="10"/>
        <v/>
      </c>
      <c r="D56" s="72" t="str">
        <f t="shared" ca="1" si="11"/>
        <v/>
      </c>
      <c r="E56" s="73" t="str">
        <f t="shared" ca="1" si="12"/>
        <v/>
      </c>
      <c r="F56" s="62" t="str">
        <f t="shared" ca="1" si="16"/>
        <v/>
      </c>
      <c r="G56" s="62" t="str">
        <f t="shared" ca="1" si="16"/>
        <v/>
      </c>
      <c r="I56" s="94">
        <f t="shared" ca="1" si="1"/>
        <v>0</v>
      </c>
      <c r="J56" s="63" t="str">
        <f t="shared" ca="1" si="14"/>
        <v/>
      </c>
      <c r="K56" s="65">
        <f t="shared" ca="1" si="2"/>
        <v>0</v>
      </c>
      <c r="L56" s="64">
        <f t="shared" ca="1" si="6"/>
        <v>0</v>
      </c>
      <c r="M56" s="65">
        <f t="shared" ca="1" si="7"/>
        <v>0</v>
      </c>
      <c r="N56" s="66"/>
      <c r="O56" s="67">
        <f ca="1">IF($C56="",0,
K56*'1.c Decrements'!D52+(O55-P55-Q55)*(1+G55))</f>
        <v>0</v>
      </c>
      <c r="P56" s="68">
        <f ca="1">M56*'1.a Assumptions'!$C$13*'1.c Decrements'!E52</f>
        <v>0</v>
      </c>
      <c r="Q56" s="68">
        <f ca="1">L57*('1.c Decrements'!F52+'1.c Decrements'!G52)</f>
        <v>0</v>
      </c>
      <c r="R56" s="68">
        <f ca="1">O56-L57*'1.c Decrements'!D52</f>
        <v>0</v>
      </c>
      <c r="S56" s="68" t="str">
        <f ca="1">IF(B57&lt;=$S$13,OFFSET('1.c Decrements'!$J$11,0,$S$13-B56),"")</f>
        <v/>
      </c>
      <c r="V56" s="69" t="str">
        <f t="shared" ca="1" si="3"/>
        <v/>
      </c>
      <c r="W56" s="70" t="str">
        <f t="shared" ca="1" si="4"/>
        <v/>
      </c>
      <c r="X56" s="95"/>
      <c r="Y56" s="96" t="str">
        <f ca="1">IF(V56="","",J56/'1.c PUC_Projection'!H58)</f>
        <v/>
      </c>
      <c r="Z56" s="96" t="str">
        <f t="shared" ca="1" si="5"/>
        <v/>
      </c>
      <c r="AA56" s="97" t="str">
        <f t="shared" ca="1" si="8"/>
        <v/>
      </c>
    </row>
    <row r="57" spans="2:27" ht="15" customHeight="1" x14ac:dyDescent="0.25">
      <c r="B57" s="57" t="str">
        <f t="shared" ca="1" si="9"/>
        <v/>
      </c>
      <c r="C57" s="71" t="str">
        <f t="shared" ca="1" si="10"/>
        <v/>
      </c>
      <c r="D57" s="72" t="str">
        <f t="shared" ca="1" si="11"/>
        <v/>
      </c>
      <c r="E57" s="73" t="str">
        <f t="shared" ca="1" si="12"/>
        <v/>
      </c>
      <c r="F57" s="62" t="str">
        <f t="shared" ca="1" si="16"/>
        <v/>
      </c>
      <c r="G57" s="62" t="str">
        <f t="shared" ca="1" si="16"/>
        <v/>
      </c>
      <c r="I57" s="94">
        <f t="shared" ca="1" si="1"/>
        <v>0</v>
      </c>
      <c r="J57" s="63" t="str">
        <f t="shared" ca="1" si="14"/>
        <v/>
      </c>
      <c r="K57" s="65">
        <f t="shared" ca="1" si="2"/>
        <v>0</v>
      </c>
      <c r="L57" s="64">
        <f t="shared" ca="1" si="6"/>
        <v>0</v>
      </c>
      <c r="M57" s="65">
        <f t="shared" ca="1" si="7"/>
        <v>0</v>
      </c>
      <c r="N57" s="66"/>
      <c r="O57" s="67">
        <f ca="1">IF($C57="",0,
K57*'1.c Decrements'!D53+(O56-P56-Q56)*(1+G56))</f>
        <v>0</v>
      </c>
      <c r="P57" s="68">
        <f ca="1">M57*'1.a Assumptions'!$C$13*'1.c Decrements'!E53</f>
        <v>0</v>
      </c>
      <c r="Q57" s="68">
        <f ca="1">L58*('1.c Decrements'!F53+'1.c Decrements'!G53)</f>
        <v>0</v>
      </c>
      <c r="R57" s="68">
        <f ca="1">O57-L58*'1.c Decrements'!D53</f>
        <v>0</v>
      </c>
      <c r="S57" s="68" t="str">
        <f ca="1">IF(B58&lt;=$S$13,OFFSET('1.c Decrements'!$J$11,0,$S$13-B57),"")</f>
        <v/>
      </c>
      <c r="V57" s="69" t="str">
        <f t="shared" ca="1" si="3"/>
        <v/>
      </c>
      <c r="W57" s="70" t="str">
        <f t="shared" ca="1" si="4"/>
        <v/>
      </c>
      <c r="X57" s="95"/>
      <c r="Y57" s="96" t="str">
        <f ca="1">IF(V57="","",J57/'1.c PUC_Projection'!H59)</f>
        <v/>
      </c>
      <c r="Z57" s="96" t="str">
        <f t="shared" ca="1" si="5"/>
        <v/>
      </c>
      <c r="AA57" s="97" t="str">
        <f t="shared" ca="1" si="8"/>
        <v/>
      </c>
    </row>
    <row r="58" spans="2:27" ht="15" customHeight="1" x14ac:dyDescent="0.25">
      <c r="B58" s="57" t="str">
        <f t="shared" ca="1" si="9"/>
        <v/>
      </c>
      <c r="C58" s="71" t="str">
        <f t="shared" ca="1" si="10"/>
        <v/>
      </c>
      <c r="D58" s="72" t="str">
        <f t="shared" ca="1" si="11"/>
        <v/>
      </c>
      <c r="E58" s="73" t="str">
        <f t="shared" ca="1" si="12"/>
        <v/>
      </c>
      <c r="F58" s="62" t="str">
        <f t="shared" ca="1" si="16"/>
        <v/>
      </c>
      <c r="G58" s="62" t="str">
        <f t="shared" ca="1" si="16"/>
        <v/>
      </c>
      <c r="I58" s="94">
        <f t="shared" ca="1" si="1"/>
        <v>0</v>
      </c>
      <c r="J58" s="63" t="str">
        <f t="shared" ca="1" si="14"/>
        <v/>
      </c>
      <c r="K58" s="65">
        <f t="shared" ca="1" si="2"/>
        <v>0</v>
      </c>
      <c r="L58" s="64">
        <f t="shared" ca="1" si="6"/>
        <v>0</v>
      </c>
      <c r="M58" s="65">
        <f t="shared" ca="1" si="7"/>
        <v>0</v>
      </c>
      <c r="N58" s="66"/>
      <c r="O58" s="67">
        <f ca="1">IF($C58="",0,
K58*'1.c Decrements'!D54+(O57-P57-Q57)*(1+G57))</f>
        <v>0</v>
      </c>
      <c r="P58" s="68">
        <f ca="1">M58*'1.a Assumptions'!$C$13*'1.c Decrements'!E54</f>
        <v>0</v>
      </c>
      <c r="Q58" s="68">
        <f ca="1">L59*('1.c Decrements'!F54+'1.c Decrements'!G54)</f>
        <v>0</v>
      </c>
      <c r="R58" s="68">
        <f ca="1">O58-L59*'1.c Decrements'!D54</f>
        <v>0</v>
      </c>
      <c r="S58" s="68" t="str">
        <f ca="1">IF(B59&lt;=$S$13,OFFSET('1.c Decrements'!$J$11,0,$S$13-B58),"")</f>
        <v/>
      </c>
      <c r="V58" s="69" t="str">
        <f t="shared" ca="1" si="3"/>
        <v/>
      </c>
      <c r="W58" s="70" t="str">
        <f t="shared" ca="1" si="4"/>
        <v/>
      </c>
      <c r="X58" s="95"/>
      <c r="Y58" s="96" t="str">
        <f ca="1">IF(V58="","",J58/'1.c PUC_Projection'!H60)</f>
        <v/>
      </c>
      <c r="Z58" s="96" t="str">
        <f t="shared" ca="1" si="5"/>
        <v/>
      </c>
      <c r="AA58" s="97" t="str">
        <f t="shared" ca="1" si="8"/>
        <v/>
      </c>
    </row>
    <row r="59" spans="2:27" ht="15" customHeight="1" x14ac:dyDescent="0.25">
      <c r="B59" s="57" t="str">
        <f t="shared" ca="1" si="9"/>
        <v/>
      </c>
      <c r="C59" s="71" t="str">
        <f t="shared" ca="1" si="10"/>
        <v/>
      </c>
      <c r="D59" s="72" t="str">
        <f t="shared" ca="1" si="11"/>
        <v/>
      </c>
      <c r="E59" s="73" t="str">
        <f t="shared" ca="1" si="12"/>
        <v/>
      </c>
      <c r="F59" s="62" t="str">
        <f t="shared" ca="1" si="16"/>
        <v/>
      </c>
      <c r="G59" s="62" t="str">
        <f t="shared" ca="1" si="16"/>
        <v/>
      </c>
      <c r="I59" s="94">
        <f t="shared" ca="1" si="1"/>
        <v>0</v>
      </c>
      <c r="J59" s="63" t="str">
        <f t="shared" ca="1" si="14"/>
        <v/>
      </c>
      <c r="K59" s="65">
        <f t="shared" ca="1" si="2"/>
        <v>0</v>
      </c>
      <c r="L59" s="64">
        <f t="shared" ca="1" si="6"/>
        <v>0</v>
      </c>
      <c r="M59" s="65">
        <f t="shared" ca="1" si="7"/>
        <v>0</v>
      </c>
      <c r="N59" s="66"/>
      <c r="O59" s="67">
        <f ca="1">IF($C59="",0,
K59*'1.c Decrements'!D55+(O58-P58-Q58)*(1+G58))</f>
        <v>0</v>
      </c>
      <c r="P59" s="68">
        <f ca="1">M59*'1.a Assumptions'!$C$13*'1.c Decrements'!E55</f>
        <v>0</v>
      </c>
      <c r="Q59" s="68">
        <f ca="1">L60*('1.c Decrements'!F55+'1.c Decrements'!G55)</f>
        <v>0</v>
      </c>
      <c r="R59" s="68">
        <f ca="1">O59-L60*'1.c Decrements'!D55</f>
        <v>0</v>
      </c>
      <c r="S59" s="68" t="str">
        <f ca="1">IF(B60&lt;=$S$13,OFFSET('1.c Decrements'!$J$11,0,$S$13-B59),"")</f>
        <v/>
      </c>
      <c r="V59" s="69" t="str">
        <f t="shared" ca="1" si="3"/>
        <v/>
      </c>
      <c r="W59" s="70" t="str">
        <f t="shared" ca="1" si="4"/>
        <v/>
      </c>
      <c r="X59" s="95"/>
      <c r="Y59" s="96" t="str">
        <f ca="1">IF(V59="","",J59/'1.c PUC_Projection'!H61)</f>
        <v/>
      </c>
      <c r="Z59" s="96" t="str">
        <f t="shared" ca="1" si="5"/>
        <v/>
      </c>
      <c r="AA59" s="97" t="str">
        <f t="shared" ca="1" si="8"/>
        <v/>
      </c>
    </row>
    <row r="60" spans="2:27" ht="15" customHeight="1" x14ac:dyDescent="0.25">
      <c r="B60" s="57" t="str">
        <f t="shared" ca="1" si="9"/>
        <v/>
      </c>
      <c r="C60" s="71" t="str">
        <f t="shared" ca="1" si="10"/>
        <v/>
      </c>
      <c r="D60" s="72" t="str">
        <f t="shared" ca="1" si="11"/>
        <v/>
      </c>
      <c r="E60" s="73" t="str">
        <f t="shared" ca="1" si="12"/>
        <v/>
      </c>
      <c r="F60" s="62" t="str">
        <f t="shared" ca="1" si="16"/>
        <v/>
      </c>
      <c r="G60" s="62" t="str">
        <f t="shared" ca="1" si="16"/>
        <v/>
      </c>
      <c r="I60" s="94">
        <f t="shared" ca="1" si="1"/>
        <v>0</v>
      </c>
      <c r="J60" s="63" t="str">
        <f t="shared" ca="1" si="14"/>
        <v/>
      </c>
      <c r="K60" s="65">
        <f t="shared" ca="1" si="2"/>
        <v>0</v>
      </c>
      <c r="L60" s="64">
        <f t="shared" ca="1" si="6"/>
        <v>0</v>
      </c>
      <c r="M60" s="65">
        <f t="shared" ca="1" si="7"/>
        <v>0</v>
      </c>
      <c r="N60" s="66"/>
      <c r="O60" s="67">
        <f ca="1">IF($C60="",0,
K60*'1.c Decrements'!D56+(O59-P59-Q59)*(1+G59))</f>
        <v>0</v>
      </c>
      <c r="P60" s="68">
        <f ca="1">M60*'1.a Assumptions'!$C$13*'1.c Decrements'!E56</f>
        <v>0</v>
      </c>
      <c r="Q60" s="68">
        <f ca="1">L61*('1.c Decrements'!F56+'1.c Decrements'!G56)</f>
        <v>0</v>
      </c>
      <c r="R60" s="68">
        <f ca="1">O60-L61*'1.c Decrements'!D56</f>
        <v>0</v>
      </c>
      <c r="S60" s="68" t="str">
        <f ca="1">IF(B61&lt;=$S$13,OFFSET('1.c Decrements'!$J$11,0,$S$13-B60),"")</f>
        <v/>
      </c>
      <c r="V60" s="69" t="str">
        <f t="shared" ca="1" si="3"/>
        <v/>
      </c>
      <c r="W60" s="70" t="str">
        <f t="shared" ca="1" si="4"/>
        <v/>
      </c>
      <c r="X60" s="95"/>
      <c r="Y60" s="96" t="str">
        <f ca="1">IF(V60="","",J60/'1.c PUC_Projection'!H62)</f>
        <v/>
      </c>
      <c r="Z60" s="96" t="str">
        <f t="shared" ca="1" si="5"/>
        <v/>
      </c>
      <c r="AA60" s="97" t="str">
        <f t="shared" ca="1" si="8"/>
        <v/>
      </c>
    </row>
    <row r="61" spans="2:27" ht="15" customHeight="1" x14ac:dyDescent="0.25">
      <c r="B61" s="57" t="str">
        <f t="shared" ca="1" si="9"/>
        <v/>
      </c>
      <c r="C61" s="71" t="str">
        <f t="shared" ca="1" si="10"/>
        <v/>
      </c>
      <c r="D61" s="72" t="str">
        <f t="shared" ca="1" si="11"/>
        <v/>
      </c>
      <c r="E61" s="73" t="str">
        <f t="shared" ca="1" si="12"/>
        <v/>
      </c>
      <c r="F61" s="62" t="str">
        <f t="shared" ca="1" si="16"/>
        <v/>
      </c>
      <c r="G61" s="62" t="str">
        <f t="shared" ca="1" si="16"/>
        <v/>
      </c>
      <c r="I61" s="94">
        <f t="shared" ca="1" si="1"/>
        <v>0</v>
      </c>
      <c r="J61" s="63" t="str">
        <f t="shared" ca="1" si="14"/>
        <v/>
      </c>
      <c r="K61" s="65">
        <f t="shared" ca="1" si="2"/>
        <v>0</v>
      </c>
      <c r="L61" s="64">
        <f t="shared" ca="1" si="6"/>
        <v>0</v>
      </c>
      <c r="M61" s="65">
        <f t="shared" ca="1" si="7"/>
        <v>0</v>
      </c>
      <c r="N61" s="66"/>
      <c r="O61" s="67">
        <f ca="1">IF($C61="",0,
K61*'1.c Decrements'!D57+(O60-P60-Q60)*(1+G60))</f>
        <v>0</v>
      </c>
      <c r="P61" s="68">
        <f ca="1">M61*'1.a Assumptions'!$C$13*'1.c Decrements'!E57</f>
        <v>0</v>
      </c>
      <c r="Q61" s="68">
        <f ca="1">L62*('1.c Decrements'!F57+'1.c Decrements'!G57)</f>
        <v>0</v>
      </c>
      <c r="R61" s="68">
        <f ca="1">O61-L62*'1.c Decrements'!D57</f>
        <v>0</v>
      </c>
      <c r="S61" s="68" t="str">
        <f ca="1">IF(B62&lt;=$S$13,OFFSET('1.c Decrements'!$J$11,0,$S$13-B61),"")</f>
        <v/>
      </c>
      <c r="V61" s="69" t="str">
        <f t="shared" ca="1" si="3"/>
        <v/>
      </c>
      <c r="W61" s="70" t="str">
        <f t="shared" ca="1" si="4"/>
        <v/>
      </c>
      <c r="X61" s="95"/>
      <c r="Y61" s="96" t="str">
        <f ca="1">IF(V61="","",J61/'1.c PUC_Projection'!H63)</f>
        <v/>
      </c>
      <c r="Z61" s="96" t="str">
        <f t="shared" ca="1" si="5"/>
        <v/>
      </c>
      <c r="AA61" s="97" t="str">
        <f t="shared" ca="1" si="8"/>
        <v/>
      </c>
    </row>
    <row r="62" spans="2:27" ht="15" customHeight="1" x14ac:dyDescent="0.25">
      <c r="B62" s="57" t="str">
        <f t="shared" ca="1" si="9"/>
        <v/>
      </c>
      <c r="C62" s="71" t="str">
        <f t="shared" ca="1" si="10"/>
        <v/>
      </c>
      <c r="D62" s="72" t="str">
        <f t="shared" ca="1" si="11"/>
        <v/>
      </c>
      <c r="E62" s="73" t="str">
        <f t="shared" ca="1" si="12"/>
        <v/>
      </c>
      <c r="F62" s="62" t="str">
        <f t="shared" ca="1" si="16"/>
        <v/>
      </c>
      <c r="G62" s="62" t="str">
        <f t="shared" ca="1" si="16"/>
        <v/>
      </c>
      <c r="I62" s="94">
        <f t="shared" ca="1" si="1"/>
        <v>0</v>
      </c>
      <c r="J62" s="63" t="str">
        <f t="shared" ca="1" si="14"/>
        <v/>
      </c>
      <c r="K62" s="65">
        <f t="shared" ca="1" si="2"/>
        <v>0</v>
      </c>
      <c r="L62" s="64">
        <f t="shared" ca="1" si="6"/>
        <v>0</v>
      </c>
      <c r="M62" s="65">
        <f t="shared" ca="1" si="7"/>
        <v>0</v>
      </c>
      <c r="N62" s="66"/>
      <c r="O62" s="67">
        <f ca="1">IF($C62="",0,
K62*'1.c Decrements'!D58+(O61-P61-Q61)*(1+G61))</f>
        <v>0</v>
      </c>
      <c r="P62" s="68">
        <f ca="1">M62*'1.a Assumptions'!$C$13*'1.c Decrements'!E58</f>
        <v>0</v>
      </c>
      <c r="Q62" s="68">
        <f ca="1">L63*('1.c Decrements'!F58+'1.c Decrements'!G58)</f>
        <v>0</v>
      </c>
      <c r="R62" s="68">
        <f ca="1">O62-L63*'1.c Decrements'!D58</f>
        <v>0</v>
      </c>
      <c r="S62" s="68" t="str">
        <f ca="1">IF(B63&lt;=$S$13,OFFSET('1.c Decrements'!$J$11,0,$S$13-B62),"")</f>
        <v/>
      </c>
      <c r="V62" s="69" t="str">
        <f t="shared" ca="1" si="3"/>
        <v/>
      </c>
      <c r="W62" s="70" t="str">
        <f t="shared" ca="1" si="4"/>
        <v/>
      </c>
      <c r="X62" s="95"/>
      <c r="Y62" s="96" t="str">
        <f ca="1">IF(V62="","",J62/'1.c PUC_Projection'!H64)</f>
        <v/>
      </c>
      <c r="Z62" s="96" t="str">
        <f t="shared" ca="1" si="5"/>
        <v/>
      </c>
      <c r="AA62" s="97" t="str">
        <f t="shared" ca="1" si="8"/>
        <v/>
      </c>
    </row>
    <row r="63" spans="2:27" ht="15" customHeight="1" x14ac:dyDescent="0.25">
      <c r="B63" s="57" t="str">
        <f t="shared" ca="1" si="9"/>
        <v/>
      </c>
      <c r="C63" s="71" t="str">
        <f t="shared" ca="1" si="10"/>
        <v/>
      </c>
      <c r="D63" s="72" t="str">
        <f t="shared" ca="1" si="11"/>
        <v/>
      </c>
      <c r="E63" s="73" t="str">
        <f t="shared" ca="1" si="12"/>
        <v/>
      </c>
      <c r="F63" s="62" t="str">
        <f t="shared" ca="1" si="16"/>
        <v/>
      </c>
      <c r="G63" s="62" t="str">
        <f t="shared" ca="1" si="16"/>
        <v/>
      </c>
      <c r="I63" s="94">
        <f t="shared" ca="1" si="1"/>
        <v>0</v>
      </c>
      <c r="J63" s="63" t="str">
        <f t="shared" ca="1" si="14"/>
        <v/>
      </c>
      <c r="K63" s="65">
        <f t="shared" ca="1" si="2"/>
        <v>0</v>
      </c>
      <c r="L63" s="64">
        <f t="shared" ca="1" si="6"/>
        <v>0</v>
      </c>
      <c r="M63" s="65">
        <f t="shared" ca="1" si="7"/>
        <v>0</v>
      </c>
      <c r="N63" s="66"/>
      <c r="O63" s="67">
        <f ca="1">IF($C63="",0,
K63*'1.c Decrements'!D59+(O62-P62-Q62)*(1+G62))</f>
        <v>0</v>
      </c>
      <c r="P63" s="68">
        <f ca="1">M63*'1.a Assumptions'!$C$13*'1.c Decrements'!E59</f>
        <v>0</v>
      </c>
      <c r="Q63" s="68">
        <f ca="1">L64*('1.c Decrements'!F59+'1.c Decrements'!G59)</f>
        <v>0</v>
      </c>
      <c r="R63" s="68">
        <f ca="1">O63-L64*'1.c Decrements'!D59</f>
        <v>0</v>
      </c>
      <c r="S63" s="68" t="str">
        <f ca="1">IF(B64&lt;=$S$13,OFFSET('1.c Decrements'!$J$11,0,$S$13-B63),"")</f>
        <v/>
      </c>
      <c r="V63" s="69" t="str">
        <f t="shared" ca="1" si="3"/>
        <v/>
      </c>
      <c r="W63" s="70" t="str">
        <f t="shared" ca="1" si="4"/>
        <v/>
      </c>
      <c r="X63" s="95"/>
      <c r="Y63" s="96" t="str">
        <f ca="1">IF(V63="","",J63/'1.c PUC_Projection'!H65)</f>
        <v/>
      </c>
      <c r="Z63" s="96" t="str">
        <f t="shared" ca="1" si="5"/>
        <v/>
      </c>
      <c r="AA63" s="97" t="str">
        <f t="shared" ca="1" si="8"/>
        <v/>
      </c>
    </row>
    <row r="64" spans="2:27" ht="15" customHeight="1" x14ac:dyDescent="0.25">
      <c r="B64" s="57" t="str">
        <f t="shared" ca="1" si="9"/>
        <v/>
      </c>
      <c r="C64" s="71" t="str">
        <f t="shared" ca="1" si="10"/>
        <v/>
      </c>
      <c r="D64" s="72" t="str">
        <f t="shared" ca="1" si="11"/>
        <v/>
      </c>
      <c r="E64" s="73" t="str">
        <f t="shared" ca="1" si="12"/>
        <v/>
      </c>
      <c r="F64" s="62" t="str">
        <f t="shared" ca="1" si="16"/>
        <v/>
      </c>
      <c r="G64" s="62" t="str">
        <f t="shared" ca="1" si="16"/>
        <v/>
      </c>
      <c r="I64" s="94">
        <f t="shared" ca="1" si="1"/>
        <v>0</v>
      </c>
      <c r="J64" s="63" t="str">
        <f t="shared" ca="1" si="14"/>
        <v/>
      </c>
      <c r="K64" s="65">
        <f t="shared" ca="1" si="2"/>
        <v>0</v>
      </c>
      <c r="L64" s="64">
        <f t="shared" ca="1" si="6"/>
        <v>0</v>
      </c>
      <c r="M64" s="65">
        <f t="shared" ca="1" si="7"/>
        <v>0</v>
      </c>
      <c r="N64" s="66"/>
      <c r="O64" s="67">
        <f ca="1">IF($C64="",0,
K64*'1.c Decrements'!D60+(O63-P63-Q63)*(1+G63))</f>
        <v>0</v>
      </c>
      <c r="P64" s="68">
        <f ca="1">M64*'1.a Assumptions'!$C$13*'1.c Decrements'!E60</f>
        <v>0</v>
      </c>
      <c r="Q64" s="68">
        <f ca="1">L65*('1.c Decrements'!F60+'1.c Decrements'!G60)</f>
        <v>0</v>
      </c>
      <c r="R64" s="68">
        <f ca="1">O64-L65*'1.c Decrements'!D60</f>
        <v>0</v>
      </c>
      <c r="S64" s="68" t="str">
        <f ca="1">IF(B65&lt;=$S$13,OFFSET('1.c Decrements'!$J$11,0,$S$13-B64),"")</f>
        <v/>
      </c>
      <c r="V64" s="69" t="str">
        <f t="shared" ca="1" si="3"/>
        <v/>
      </c>
      <c r="W64" s="70" t="str">
        <f t="shared" ca="1" si="4"/>
        <v/>
      </c>
      <c r="X64" s="95"/>
      <c r="Y64" s="96" t="str">
        <f ca="1">IF(V64="","",J64/'1.c PUC_Projection'!H66)</f>
        <v/>
      </c>
      <c r="Z64" s="96" t="str">
        <f t="shared" ca="1" si="5"/>
        <v/>
      </c>
      <c r="AA64" s="97" t="str">
        <f t="shared" ca="1" si="8"/>
        <v/>
      </c>
    </row>
    <row r="65" spans="2:27" ht="15" customHeight="1" x14ac:dyDescent="0.25">
      <c r="B65" s="57" t="str">
        <f t="shared" ca="1" si="9"/>
        <v/>
      </c>
      <c r="C65" s="71" t="str">
        <f t="shared" ca="1" si="10"/>
        <v/>
      </c>
      <c r="D65" s="72" t="str">
        <f t="shared" ca="1" si="11"/>
        <v/>
      </c>
      <c r="E65" s="73" t="str">
        <f t="shared" ca="1" si="12"/>
        <v/>
      </c>
      <c r="F65" s="62" t="str">
        <f t="shared" ref="F65:G80" ca="1" si="17">IF($C65="","",F64)</f>
        <v/>
      </c>
      <c r="G65" s="62" t="str">
        <f t="shared" ca="1" si="17"/>
        <v/>
      </c>
      <c r="I65" s="94">
        <f t="shared" ca="1" si="1"/>
        <v>0</v>
      </c>
      <c r="J65" s="63" t="str">
        <f t="shared" ca="1" si="14"/>
        <v/>
      </c>
      <c r="K65" s="65">
        <f t="shared" ca="1" si="2"/>
        <v>0</v>
      </c>
      <c r="L65" s="64">
        <f t="shared" ca="1" si="6"/>
        <v>0</v>
      </c>
      <c r="M65" s="65">
        <f t="shared" ca="1" si="7"/>
        <v>0</v>
      </c>
      <c r="N65" s="66"/>
      <c r="O65" s="67">
        <f ca="1">IF($C65="",0,
K65*'1.c Decrements'!D61+(O64-P64-Q64)*(1+G64))</f>
        <v>0</v>
      </c>
      <c r="P65" s="68">
        <f ca="1">M65*'1.a Assumptions'!$C$13*'1.c Decrements'!E61</f>
        <v>0</v>
      </c>
      <c r="Q65" s="68">
        <f ca="1">L66*('1.c Decrements'!F61+'1.c Decrements'!G61)</f>
        <v>0</v>
      </c>
      <c r="R65" s="68">
        <f ca="1">O65-L66*'1.c Decrements'!D61</f>
        <v>0</v>
      </c>
      <c r="S65" s="68" t="str">
        <f ca="1">IF(B66&lt;=$S$13,OFFSET('1.c Decrements'!$J$11,0,$S$13-B65),"")</f>
        <v/>
      </c>
      <c r="V65" s="69" t="str">
        <f t="shared" ca="1" si="3"/>
        <v/>
      </c>
      <c r="W65" s="70" t="str">
        <f t="shared" ca="1" si="4"/>
        <v/>
      </c>
      <c r="X65" s="95"/>
      <c r="Y65" s="96" t="str">
        <f ca="1">IF(V65="","",J65/'1.c PUC_Projection'!H67)</f>
        <v/>
      </c>
      <c r="Z65" s="96" t="str">
        <f t="shared" ca="1" si="5"/>
        <v/>
      </c>
      <c r="AA65" s="97" t="str">
        <f t="shared" ca="1" si="8"/>
        <v/>
      </c>
    </row>
    <row r="66" spans="2:27" ht="15" customHeight="1" x14ac:dyDescent="0.25">
      <c r="B66" s="57" t="str">
        <f t="shared" ca="1" si="9"/>
        <v/>
      </c>
      <c r="C66" s="71" t="str">
        <f t="shared" ca="1" si="10"/>
        <v/>
      </c>
      <c r="D66" s="72" t="str">
        <f t="shared" ca="1" si="11"/>
        <v/>
      </c>
      <c r="E66" s="73" t="str">
        <f t="shared" ca="1" si="12"/>
        <v/>
      </c>
      <c r="F66" s="62" t="str">
        <f t="shared" ca="1" si="17"/>
        <v/>
      </c>
      <c r="G66" s="62" t="str">
        <f t="shared" ca="1" si="17"/>
        <v/>
      </c>
      <c r="I66" s="94">
        <f t="shared" ca="1" si="1"/>
        <v>0</v>
      </c>
      <c r="J66" s="63" t="str">
        <f t="shared" ca="1" si="14"/>
        <v/>
      </c>
      <c r="K66" s="65">
        <f t="shared" ca="1" si="2"/>
        <v>0</v>
      </c>
      <c r="L66" s="64">
        <f t="shared" ca="1" si="6"/>
        <v>0</v>
      </c>
      <c r="M66" s="65">
        <f t="shared" ca="1" si="7"/>
        <v>0</v>
      </c>
      <c r="N66" s="66"/>
      <c r="O66" s="67">
        <f ca="1">IF($C66="",0,
K66*'1.c Decrements'!D62+(O65-P65-Q65)*(1+G65))</f>
        <v>0</v>
      </c>
      <c r="P66" s="68">
        <f ca="1">M66*'1.a Assumptions'!$C$13*'1.c Decrements'!E62</f>
        <v>0</v>
      </c>
      <c r="Q66" s="68">
        <f ca="1">L67*('1.c Decrements'!F62+'1.c Decrements'!G62)</f>
        <v>0</v>
      </c>
      <c r="R66" s="68">
        <f ca="1">O66-L67*'1.c Decrements'!D62</f>
        <v>0</v>
      </c>
      <c r="S66" s="68" t="str">
        <f ca="1">IF(B67&lt;=$S$13,OFFSET('1.c Decrements'!$J$11,0,$S$13-B66),"")</f>
        <v/>
      </c>
      <c r="V66" s="69" t="str">
        <f t="shared" ca="1" si="3"/>
        <v/>
      </c>
      <c r="W66" s="70" t="str">
        <f t="shared" ca="1" si="4"/>
        <v/>
      </c>
      <c r="X66" s="95"/>
      <c r="Y66" s="96" t="str">
        <f ca="1">IF(V66="","",J66/'1.c PUC_Projection'!H68)</f>
        <v/>
      </c>
      <c r="Z66" s="96" t="str">
        <f t="shared" ca="1" si="5"/>
        <v/>
      </c>
      <c r="AA66" s="97" t="str">
        <f t="shared" ca="1" si="8"/>
        <v/>
      </c>
    </row>
    <row r="67" spans="2:27" ht="15" customHeight="1" x14ac:dyDescent="0.25">
      <c r="B67" s="57" t="str">
        <f t="shared" ca="1" si="9"/>
        <v/>
      </c>
      <c r="C67" s="71" t="str">
        <f t="shared" ca="1" si="10"/>
        <v/>
      </c>
      <c r="D67" s="72" t="str">
        <f t="shared" ca="1" si="11"/>
        <v/>
      </c>
      <c r="E67" s="73" t="str">
        <f t="shared" ca="1" si="12"/>
        <v/>
      </c>
      <c r="F67" s="62" t="str">
        <f t="shared" ca="1" si="17"/>
        <v/>
      </c>
      <c r="G67" s="62" t="str">
        <f t="shared" ca="1" si="17"/>
        <v/>
      </c>
      <c r="I67" s="94">
        <f t="shared" ca="1" si="1"/>
        <v>0</v>
      </c>
      <c r="J67" s="63" t="str">
        <f t="shared" ca="1" si="14"/>
        <v/>
      </c>
      <c r="K67" s="65">
        <f t="shared" ca="1" si="2"/>
        <v>0</v>
      </c>
      <c r="L67" s="64">
        <f t="shared" ca="1" si="6"/>
        <v>0</v>
      </c>
      <c r="M67" s="65">
        <f t="shared" ca="1" si="7"/>
        <v>0</v>
      </c>
      <c r="N67" s="66"/>
      <c r="O67" s="67">
        <f ca="1">IF($C67="",0,
K67*'1.c Decrements'!D63+(O66-P66-Q66)*(1+G66))</f>
        <v>0</v>
      </c>
      <c r="P67" s="68">
        <f ca="1">M67*'1.a Assumptions'!$C$13*'1.c Decrements'!E63</f>
        <v>0</v>
      </c>
      <c r="Q67" s="68">
        <f ca="1">L68*('1.c Decrements'!F63+'1.c Decrements'!G63)</f>
        <v>0</v>
      </c>
      <c r="R67" s="68">
        <f ca="1">O67-L68*'1.c Decrements'!D63</f>
        <v>0</v>
      </c>
      <c r="S67" s="68" t="str">
        <f ca="1">IF(B68&lt;=$S$13,OFFSET('1.c Decrements'!$J$11,0,$S$13-B67),"")</f>
        <v/>
      </c>
      <c r="V67" s="69" t="str">
        <f t="shared" ca="1" si="3"/>
        <v/>
      </c>
      <c r="W67" s="70" t="str">
        <f t="shared" ca="1" si="4"/>
        <v/>
      </c>
      <c r="X67" s="95"/>
      <c r="Y67" s="96" t="str">
        <f ca="1">IF(V67="","",J67/'1.c PUC_Projection'!H69)</f>
        <v/>
      </c>
      <c r="Z67" s="96" t="str">
        <f t="shared" ca="1" si="5"/>
        <v/>
      </c>
      <c r="AA67" s="97" t="str">
        <f t="shared" ca="1" si="8"/>
        <v/>
      </c>
    </row>
    <row r="68" spans="2:27" ht="15" customHeight="1" x14ac:dyDescent="0.25">
      <c r="B68" s="57" t="str">
        <f t="shared" ca="1" si="9"/>
        <v/>
      </c>
      <c r="C68" s="71" t="str">
        <f t="shared" ca="1" si="10"/>
        <v/>
      </c>
      <c r="D68" s="72" t="str">
        <f t="shared" ca="1" si="11"/>
        <v/>
      </c>
      <c r="E68" s="73" t="str">
        <f t="shared" ca="1" si="12"/>
        <v/>
      </c>
      <c r="F68" s="62" t="str">
        <f t="shared" ca="1" si="17"/>
        <v/>
      </c>
      <c r="G68" s="62" t="str">
        <f t="shared" ca="1" si="17"/>
        <v/>
      </c>
      <c r="I68" s="94">
        <f t="shared" ca="1" si="1"/>
        <v>0</v>
      </c>
      <c r="J68" s="63" t="str">
        <f t="shared" ca="1" si="14"/>
        <v/>
      </c>
      <c r="K68" s="65">
        <f t="shared" ca="1" si="2"/>
        <v>0</v>
      </c>
      <c r="L68" s="64">
        <f t="shared" ca="1" si="6"/>
        <v>0</v>
      </c>
      <c r="M68" s="65">
        <f t="shared" ca="1" si="7"/>
        <v>0</v>
      </c>
      <c r="N68" s="66"/>
      <c r="O68" s="67">
        <f ca="1">IF($C68="",0,
K68*'1.c Decrements'!D64+(O67-P67-Q67)*(1+G67))</f>
        <v>0</v>
      </c>
      <c r="P68" s="68">
        <f ca="1">M68*'1.a Assumptions'!$C$13*'1.c Decrements'!E64</f>
        <v>0</v>
      </c>
      <c r="Q68" s="68">
        <f ca="1">L69*('1.c Decrements'!F64+'1.c Decrements'!G64)</f>
        <v>0</v>
      </c>
      <c r="R68" s="68">
        <f ca="1">O68-L69*'1.c Decrements'!D64</f>
        <v>0</v>
      </c>
      <c r="S68" s="68" t="str">
        <f ca="1">IF(B69&lt;=$S$13,OFFSET('1.c Decrements'!$J$11,0,$S$13-B68),"")</f>
        <v/>
      </c>
      <c r="V68" s="69" t="str">
        <f t="shared" ca="1" si="3"/>
        <v/>
      </c>
      <c r="W68" s="70" t="str">
        <f t="shared" ca="1" si="4"/>
        <v/>
      </c>
      <c r="X68" s="95"/>
      <c r="Y68" s="96" t="str">
        <f ca="1">IF(V68="","",J68/'1.c PUC_Projection'!H70)</f>
        <v/>
      </c>
      <c r="Z68" s="96" t="str">
        <f t="shared" ca="1" si="5"/>
        <v/>
      </c>
      <c r="AA68" s="97" t="str">
        <f t="shared" ca="1" si="8"/>
        <v/>
      </c>
    </row>
    <row r="69" spans="2:27" ht="15" customHeight="1" x14ac:dyDescent="0.25">
      <c r="B69" s="57" t="str">
        <f t="shared" ca="1" si="9"/>
        <v/>
      </c>
      <c r="C69" s="71" t="str">
        <f t="shared" ca="1" si="10"/>
        <v/>
      </c>
      <c r="D69" s="72" t="str">
        <f t="shared" ca="1" si="11"/>
        <v/>
      </c>
      <c r="E69" s="73" t="str">
        <f t="shared" ca="1" si="12"/>
        <v/>
      </c>
      <c r="F69" s="62" t="str">
        <f t="shared" ca="1" si="17"/>
        <v/>
      </c>
      <c r="G69" s="62" t="str">
        <f t="shared" ca="1" si="17"/>
        <v/>
      </c>
      <c r="I69" s="94">
        <f t="shared" ca="1" si="1"/>
        <v>0</v>
      </c>
      <c r="J69" s="63" t="str">
        <f t="shared" ca="1" si="14"/>
        <v/>
      </c>
      <c r="K69" s="65">
        <f t="shared" ca="1" si="2"/>
        <v>0</v>
      </c>
      <c r="L69" s="64">
        <f t="shared" ca="1" si="6"/>
        <v>0</v>
      </c>
      <c r="M69" s="65">
        <f t="shared" ca="1" si="7"/>
        <v>0</v>
      </c>
      <c r="N69" s="66"/>
      <c r="O69" s="67">
        <f ca="1">IF($C69="",0,
K69*'1.c Decrements'!D65+(O68-P68-Q68)*(1+G68))</f>
        <v>0</v>
      </c>
      <c r="P69" s="68">
        <f ca="1">M69*'1.a Assumptions'!$C$13*'1.c Decrements'!E65</f>
        <v>0</v>
      </c>
      <c r="Q69" s="68">
        <f ca="1">L70*('1.c Decrements'!F65+'1.c Decrements'!G65)</f>
        <v>0</v>
      </c>
      <c r="R69" s="68">
        <f ca="1">O69-L70*'1.c Decrements'!D65</f>
        <v>0</v>
      </c>
      <c r="S69" s="68" t="str">
        <f ca="1">IF(B70&lt;=$S$13,OFFSET('1.c Decrements'!$J$11,0,$S$13-B69),"")</f>
        <v/>
      </c>
      <c r="V69" s="69" t="str">
        <f t="shared" ca="1" si="3"/>
        <v/>
      </c>
      <c r="W69" s="70" t="str">
        <f t="shared" ca="1" si="4"/>
        <v/>
      </c>
      <c r="X69" s="95"/>
      <c r="Y69" s="96" t="str">
        <f ca="1">IF(V69="","",J69/'1.c PUC_Projection'!H71)</f>
        <v/>
      </c>
      <c r="Z69" s="96" t="str">
        <f t="shared" ca="1" si="5"/>
        <v/>
      </c>
      <c r="AA69" s="97" t="str">
        <f t="shared" ca="1" si="8"/>
        <v/>
      </c>
    </row>
    <row r="70" spans="2:27" ht="15" customHeight="1" x14ac:dyDescent="0.25">
      <c r="B70" s="57" t="str">
        <f t="shared" ca="1" si="9"/>
        <v/>
      </c>
      <c r="C70" s="71" t="str">
        <f t="shared" ca="1" si="10"/>
        <v/>
      </c>
      <c r="D70" s="72" t="str">
        <f t="shared" ca="1" si="11"/>
        <v/>
      </c>
      <c r="E70" s="73" t="str">
        <f t="shared" ca="1" si="12"/>
        <v/>
      </c>
      <c r="F70" s="62" t="str">
        <f t="shared" ca="1" si="17"/>
        <v/>
      </c>
      <c r="G70" s="62" t="str">
        <f t="shared" ca="1" si="17"/>
        <v/>
      </c>
      <c r="I70" s="94">
        <f t="shared" ca="1" si="1"/>
        <v>0</v>
      </c>
      <c r="J70" s="63" t="str">
        <f t="shared" ca="1" si="14"/>
        <v/>
      </c>
      <c r="K70" s="65">
        <f t="shared" ca="1" si="2"/>
        <v>0</v>
      </c>
      <c r="L70" s="64">
        <f t="shared" ca="1" si="6"/>
        <v>0</v>
      </c>
      <c r="M70" s="65">
        <f t="shared" ca="1" si="7"/>
        <v>0</v>
      </c>
      <c r="N70" s="66"/>
      <c r="O70" s="67">
        <f ca="1">IF($C70="",0,
K70*'1.c Decrements'!D66+(O69-P69-Q69)*(1+G69))</f>
        <v>0</v>
      </c>
      <c r="P70" s="68">
        <f ca="1">M70*'1.a Assumptions'!$C$13*'1.c Decrements'!E66</f>
        <v>0</v>
      </c>
      <c r="Q70" s="68">
        <f ca="1">L71*('1.c Decrements'!F66+'1.c Decrements'!G66)</f>
        <v>0</v>
      </c>
      <c r="R70" s="68">
        <f ca="1">O70-L71*'1.c Decrements'!D66</f>
        <v>0</v>
      </c>
      <c r="S70" s="68" t="str">
        <f ca="1">IF(B71&lt;=$S$13,OFFSET('1.c Decrements'!$J$11,0,$S$13-B70),"")</f>
        <v/>
      </c>
      <c r="V70" s="69" t="str">
        <f t="shared" ca="1" si="3"/>
        <v/>
      </c>
      <c r="W70" s="70" t="str">
        <f t="shared" ca="1" si="4"/>
        <v/>
      </c>
      <c r="X70" s="95"/>
      <c r="Y70" s="96" t="str">
        <f ca="1">IF(V70="","",J70/'1.c PUC_Projection'!H72)</f>
        <v/>
      </c>
      <c r="Z70" s="96" t="str">
        <f t="shared" ca="1" si="5"/>
        <v/>
      </c>
      <c r="AA70" s="97" t="str">
        <f t="shared" ca="1" si="8"/>
        <v/>
      </c>
    </row>
    <row r="71" spans="2:27" ht="15" customHeight="1" x14ac:dyDescent="0.25">
      <c r="B71" s="57" t="str">
        <f t="shared" ca="1" si="9"/>
        <v/>
      </c>
      <c r="C71" s="71" t="str">
        <f t="shared" ca="1" si="10"/>
        <v/>
      </c>
      <c r="D71" s="72" t="str">
        <f t="shared" ca="1" si="11"/>
        <v/>
      </c>
      <c r="E71" s="73" t="str">
        <f t="shared" ca="1" si="12"/>
        <v/>
      </c>
      <c r="F71" s="62" t="str">
        <f t="shared" ca="1" si="17"/>
        <v/>
      </c>
      <c r="G71" s="62" t="str">
        <f t="shared" ca="1" si="17"/>
        <v/>
      </c>
      <c r="I71" s="94">
        <f t="shared" ca="1" si="1"/>
        <v>0</v>
      </c>
      <c r="J71" s="63" t="str">
        <f t="shared" ca="1" si="14"/>
        <v/>
      </c>
      <c r="K71" s="65">
        <f t="shared" ca="1" si="2"/>
        <v>0</v>
      </c>
      <c r="L71" s="64">
        <f t="shared" ca="1" si="6"/>
        <v>0</v>
      </c>
      <c r="M71" s="65">
        <f t="shared" ca="1" si="7"/>
        <v>0</v>
      </c>
      <c r="N71" s="66"/>
      <c r="O71" s="67">
        <f ca="1">IF($C71="",0,
K71*'1.c Decrements'!D67+(O70-P70-Q70)*(1+G70))</f>
        <v>0</v>
      </c>
      <c r="P71" s="68">
        <f ca="1">M71*'1.a Assumptions'!$C$13*'1.c Decrements'!E67</f>
        <v>0</v>
      </c>
      <c r="Q71" s="68">
        <f ca="1">L72*('1.c Decrements'!F67+'1.c Decrements'!G67)</f>
        <v>0</v>
      </c>
      <c r="R71" s="68">
        <f ca="1">O71-L72*'1.c Decrements'!D67</f>
        <v>0</v>
      </c>
      <c r="S71" s="68" t="str">
        <f ca="1">IF(B72&lt;=$S$13,OFFSET('1.c Decrements'!$J$11,0,$S$13-B71),"")</f>
        <v/>
      </c>
      <c r="V71" s="69" t="str">
        <f t="shared" ca="1" si="3"/>
        <v/>
      </c>
      <c r="W71" s="70" t="str">
        <f t="shared" ca="1" si="4"/>
        <v/>
      </c>
      <c r="X71" s="95"/>
      <c r="Y71" s="96" t="str">
        <f ca="1">IF(V71="","",J71/'1.c PUC_Projection'!H73)</f>
        <v/>
      </c>
      <c r="Z71" s="96" t="str">
        <f t="shared" ca="1" si="5"/>
        <v/>
      </c>
      <c r="AA71" s="97" t="str">
        <f t="shared" ca="1" si="8"/>
        <v/>
      </c>
    </row>
    <row r="72" spans="2:27" ht="15" customHeight="1" x14ac:dyDescent="0.25">
      <c r="B72" s="57" t="str">
        <f t="shared" ca="1" si="9"/>
        <v/>
      </c>
      <c r="C72" s="71" t="str">
        <f t="shared" ca="1" si="10"/>
        <v/>
      </c>
      <c r="D72" s="72" t="str">
        <f t="shared" ca="1" si="11"/>
        <v/>
      </c>
      <c r="E72" s="73" t="str">
        <f t="shared" ca="1" si="12"/>
        <v/>
      </c>
      <c r="F72" s="62" t="str">
        <f t="shared" ca="1" si="17"/>
        <v/>
      </c>
      <c r="G72" s="62" t="str">
        <f t="shared" ca="1" si="17"/>
        <v/>
      </c>
      <c r="I72" s="94">
        <f t="shared" ca="1" si="1"/>
        <v>0</v>
      </c>
      <c r="J72" s="63" t="str">
        <f t="shared" ca="1" si="14"/>
        <v/>
      </c>
      <c r="K72" s="65">
        <f t="shared" ca="1" si="2"/>
        <v>0</v>
      </c>
      <c r="L72" s="64">
        <f t="shared" ca="1" si="6"/>
        <v>0</v>
      </c>
      <c r="M72" s="65">
        <f t="shared" ca="1" si="7"/>
        <v>0</v>
      </c>
      <c r="N72" s="66"/>
      <c r="O72" s="67">
        <f ca="1">IF($C72="",0,
K72*'1.c Decrements'!D68+(O71-P71-Q71)*(1+G71))</f>
        <v>0</v>
      </c>
      <c r="P72" s="68">
        <f ca="1">M72*'1.a Assumptions'!$C$13*'1.c Decrements'!E68</f>
        <v>0</v>
      </c>
      <c r="Q72" s="68">
        <f ca="1">L73*('1.c Decrements'!F68+'1.c Decrements'!G68)</f>
        <v>0</v>
      </c>
      <c r="R72" s="68">
        <f ca="1">O72-L73*'1.c Decrements'!D68</f>
        <v>0</v>
      </c>
      <c r="S72" s="68" t="str">
        <f ca="1">IF(B73&lt;=$S$13,OFFSET('1.c Decrements'!$J$11,0,$S$13-B72),"")</f>
        <v/>
      </c>
      <c r="V72" s="69" t="str">
        <f t="shared" ca="1" si="3"/>
        <v/>
      </c>
      <c r="W72" s="70" t="str">
        <f t="shared" ca="1" si="4"/>
        <v/>
      </c>
      <c r="X72" s="95"/>
      <c r="Y72" s="96" t="str">
        <f ca="1">IF(V72="","",J72/'1.c PUC_Projection'!H74)</f>
        <v/>
      </c>
      <c r="Z72" s="96" t="str">
        <f t="shared" ca="1" si="5"/>
        <v/>
      </c>
      <c r="AA72" s="97" t="str">
        <f t="shared" ca="1" si="8"/>
        <v/>
      </c>
    </row>
    <row r="73" spans="2:27" ht="15" customHeight="1" x14ac:dyDescent="0.25">
      <c r="B73" s="57" t="str">
        <f t="shared" ca="1" si="9"/>
        <v/>
      </c>
      <c r="C73" s="71" t="str">
        <f t="shared" ca="1" si="10"/>
        <v/>
      </c>
      <c r="D73" s="72" t="str">
        <f t="shared" ca="1" si="11"/>
        <v/>
      </c>
      <c r="E73" s="73" t="str">
        <f t="shared" ca="1" si="12"/>
        <v/>
      </c>
      <c r="F73" s="62" t="str">
        <f t="shared" ca="1" si="17"/>
        <v/>
      </c>
      <c r="G73" s="62" t="str">
        <f t="shared" ca="1" si="17"/>
        <v/>
      </c>
      <c r="I73" s="94">
        <f t="shared" ca="1" si="1"/>
        <v>0</v>
      </c>
      <c r="J73" s="63" t="str">
        <f t="shared" ca="1" si="14"/>
        <v/>
      </c>
      <c r="K73" s="65">
        <f t="shared" ca="1" si="2"/>
        <v>0</v>
      </c>
      <c r="L73" s="64">
        <f t="shared" ca="1" si="6"/>
        <v>0</v>
      </c>
      <c r="M73" s="65">
        <f t="shared" ca="1" si="7"/>
        <v>0</v>
      </c>
      <c r="N73" s="66"/>
      <c r="O73" s="67">
        <f ca="1">IF($C73="",0,
K73*'1.c Decrements'!D69+(O72-P72-Q72)*(1+G72))</f>
        <v>0</v>
      </c>
      <c r="P73" s="68">
        <f ca="1">M73*'1.a Assumptions'!$C$13*'1.c Decrements'!E69</f>
        <v>0</v>
      </c>
      <c r="Q73" s="68">
        <f ca="1">L74*('1.c Decrements'!F69+'1.c Decrements'!G69)</f>
        <v>0</v>
      </c>
      <c r="R73" s="68">
        <f ca="1">O73-L74*'1.c Decrements'!D69</f>
        <v>0</v>
      </c>
      <c r="S73" s="68" t="str">
        <f ca="1">IF(B74&lt;=$S$13,OFFSET('1.c Decrements'!$J$11,0,$S$13-B73),"")</f>
        <v/>
      </c>
      <c r="V73" s="69" t="str">
        <f t="shared" ca="1" si="3"/>
        <v/>
      </c>
      <c r="W73" s="70" t="str">
        <f t="shared" ca="1" si="4"/>
        <v/>
      </c>
      <c r="X73" s="95"/>
      <c r="Y73" s="96" t="str">
        <f ca="1">IF(V73="","",J73/'1.c PUC_Projection'!H75)</f>
        <v/>
      </c>
      <c r="Z73" s="96" t="str">
        <f t="shared" ca="1" si="5"/>
        <v/>
      </c>
      <c r="AA73" s="97" t="str">
        <f t="shared" ca="1" si="8"/>
        <v/>
      </c>
    </row>
    <row r="74" spans="2:27" ht="15" customHeight="1" x14ac:dyDescent="0.25">
      <c r="B74" s="57" t="str">
        <f t="shared" ca="1" si="9"/>
        <v/>
      </c>
      <c r="C74" s="71" t="str">
        <f t="shared" ca="1" si="10"/>
        <v/>
      </c>
      <c r="D74" s="72" t="str">
        <f t="shared" ca="1" si="11"/>
        <v/>
      </c>
      <c r="E74" s="73" t="str">
        <f t="shared" ca="1" si="12"/>
        <v/>
      </c>
      <c r="F74" s="62" t="str">
        <f t="shared" ca="1" si="17"/>
        <v/>
      </c>
      <c r="G74" s="62" t="str">
        <f t="shared" ca="1" si="17"/>
        <v/>
      </c>
      <c r="I74" s="94">
        <f t="shared" ca="1" si="1"/>
        <v>0</v>
      </c>
      <c r="J74" s="63" t="str">
        <f t="shared" ca="1" si="14"/>
        <v/>
      </c>
      <c r="K74" s="65">
        <f t="shared" ca="1" si="2"/>
        <v>0</v>
      </c>
      <c r="L74" s="64">
        <f t="shared" ca="1" si="6"/>
        <v>0</v>
      </c>
      <c r="M74" s="65">
        <f t="shared" ca="1" si="7"/>
        <v>0</v>
      </c>
      <c r="N74" s="66"/>
      <c r="O74" s="67">
        <f ca="1">IF($C74="",0,
K74*'1.c Decrements'!D70+(O73-P73-Q73)*(1+G73))</f>
        <v>0</v>
      </c>
      <c r="P74" s="68">
        <f ca="1">M74*'1.a Assumptions'!$C$13*'1.c Decrements'!E70</f>
        <v>0</v>
      </c>
      <c r="Q74" s="68">
        <f ca="1">L75*('1.c Decrements'!F70+'1.c Decrements'!G70)</f>
        <v>0</v>
      </c>
      <c r="R74" s="68">
        <f ca="1">O74-L75*'1.c Decrements'!D70</f>
        <v>0</v>
      </c>
      <c r="S74" s="68" t="str">
        <f ca="1">IF(B75&lt;=$S$13,OFFSET('1.c Decrements'!$J$11,0,$S$13-B74),"")</f>
        <v/>
      </c>
      <c r="V74" s="69" t="str">
        <f t="shared" ca="1" si="3"/>
        <v/>
      </c>
      <c r="W74" s="70" t="str">
        <f t="shared" ca="1" si="4"/>
        <v/>
      </c>
      <c r="X74" s="95"/>
      <c r="Y74" s="96" t="str">
        <f ca="1">IF(V74="","",J74/'1.c PUC_Projection'!H76)</f>
        <v/>
      </c>
      <c r="Z74" s="96" t="str">
        <f t="shared" ca="1" si="5"/>
        <v/>
      </c>
      <c r="AA74" s="97" t="str">
        <f t="shared" ca="1" si="8"/>
        <v/>
      </c>
    </row>
    <row r="75" spans="2:27" ht="15" customHeight="1" x14ac:dyDescent="0.25">
      <c r="B75" s="57" t="str">
        <f t="shared" ca="1" si="9"/>
        <v/>
      </c>
      <c r="C75" s="71" t="str">
        <f t="shared" ca="1" si="10"/>
        <v/>
      </c>
      <c r="D75" s="72" t="str">
        <f t="shared" ca="1" si="11"/>
        <v/>
      </c>
      <c r="E75" s="73" t="str">
        <f t="shared" ca="1" si="12"/>
        <v/>
      </c>
      <c r="F75" s="62" t="str">
        <f t="shared" ca="1" si="17"/>
        <v/>
      </c>
      <c r="G75" s="62" t="str">
        <f t="shared" ca="1" si="17"/>
        <v/>
      </c>
      <c r="I75" s="94">
        <f t="shared" ca="1" si="1"/>
        <v>0</v>
      </c>
      <c r="J75" s="63" t="str">
        <f t="shared" ca="1" si="14"/>
        <v/>
      </c>
      <c r="K75" s="65">
        <f t="shared" ca="1" si="2"/>
        <v>0</v>
      </c>
      <c r="L75" s="64">
        <f t="shared" ca="1" si="6"/>
        <v>0</v>
      </c>
      <c r="M75" s="65">
        <f t="shared" ca="1" si="7"/>
        <v>0</v>
      </c>
      <c r="N75" s="66"/>
      <c r="O75" s="67">
        <f ca="1">IF($C75="",0,
K75*'1.c Decrements'!D71+(O74-P74-Q74)*(1+G74))</f>
        <v>0</v>
      </c>
      <c r="P75" s="68">
        <f ca="1">M75*'1.a Assumptions'!$C$13*'1.c Decrements'!E71</f>
        <v>0</v>
      </c>
      <c r="Q75" s="68">
        <f ca="1">L76*('1.c Decrements'!F71+'1.c Decrements'!G71)</f>
        <v>0</v>
      </c>
      <c r="R75" s="68">
        <f ca="1">O75-L76*'1.c Decrements'!D71</f>
        <v>0</v>
      </c>
      <c r="S75" s="68" t="str">
        <f ca="1">IF(B76&lt;=$S$13,OFFSET('1.c Decrements'!$J$11,0,$S$13-B75),"")</f>
        <v/>
      </c>
      <c r="V75" s="69" t="str">
        <f t="shared" ca="1" si="3"/>
        <v/>
      </c>
      <c r="W75" s="70" t="str">
        <f t="shared" ca="1" si="4"/>
        <v/>
      </c>
      <c r="X75" s="95"/>
      <c r="Y75" s="96" t="str">
        <f ca="1">IF(V75="","",J75/'1.c PUC_Projection'!H77)</f>
        <v/>
      </c>
      <c r="Z75" s="96" t="str">
        <f t="shared" ca="1" si="5"/>
        <v/>
      </c>
      <c r="AA75" s="97" t="str">
        <f t="shared" ca="1" si="8"/>
        <v/>
      </c>
    </row>
    <row r="76" spans="2:27" ht="15" customHeight="1" x14ac:dyDescent="0.25">
      <c r="B76" s="57" t="str">
        <f t="shared" ca="1" si="9"/>
        <v/>
      </c>
      <c r="C76" s="71" t="str">
        <f t="shared" ca="1" si="10"/>
        <v/>
      </c>
      <c r="D76" s="72" t="str">
        <f t="shared" ca="1" si="11"/>
        <v/>
      </c>
      <c r="E76" s="73" t="str">
        <f t="shared" ca="1" si="12"/>
        <v/>
      </c>
      <c r="F76" s="62" t="str">
        <f t="shared" ca="1" si="17"/>
        <v/>
      </c>
      <c r="G76" s="62" t="str">
        <f t="shared" ca="1" si="17"/>
        <v/>
      </c>
      <c r="I76" s="94">
        <f t="shared" ca="1" si="1"/>
        <v>0</v>
      </c>
      <c r="J76" s="63" t="str">
        <f t="shared" ca="1" si="14"/>
        <v/>
      </c>
      <c r="K76" s="65">
        <f t="shared" ca="1" si="2"/>
        <v>0</v>
      </c>
      <c r="L76" s="64">
        <f t="shared" ca="1" si="6"/>
        <v>0</v>
      </c>
      <c r="M76" s="65">
        <f t="shared" ca="1" si="7"/>
        <v>0</v>
      </c>
      <c r="N76" s="66"/>
      <c r="O76" s="67">
        <f ca="1">IF($C76="",0,
K76*'1.c Decrements'!D72+(O75-P75-Q75)*(1+G75))</f>
        <v>0</v>
      </c>
      <c r="P76" s="68">
        <f ca="1">M76*'1.a Assumptions'!$C$13*'1.c Decrements'!E72</f>
        <v>0</v>
      </c>
      <c r="Q76" s="68">
        <f ca="1">L77*('1.c Decrements'!F72+'1.c Decrements'!G72)</f>
        <v>0</v>
      </c>
      <c r="R76" s="68">
        <f ca="1">O76-L77*'1.c Decrements'!D72</f>
        <v>0</v>
      </c>
      <c r="S76" s="68" t="str">
        <f ca="1">IF(B77&lt;=$S$13,OFFSET('1.c Decrements'!$J$11,0,$S$13-B76),"")</f>
        <v/>
      </c>
      <c r="V76" s="69" t="str">
        <f t="shared" ca="1" si="3"/>
        <v/>
      </c>
      <c r="W76" s="70" t="str">
        <f t="shared" ca="1" si="4"/>
        <v/>
      </c>
      <c r="X76" s="95"/>
      <c r="Y76" s="96" t="str">
        <f ca="1">IF(V76="","",J76/'1.c PUC_Projection'!H78)</f>
        <v/>
      </c>
      <c r="Z76" s="96" t="str">
        <f t="shared" ca="1" si="5"/>
        <v/>
      </c>
      <c r="AA76" s="97" t="str">
        <f t="shared" ca="1" si="8"/>
        <v/>
      </c>
    </row>
    <row r="77" spans="2:27" ht="15" customHeight="1" x14ac:dyDescent="0.25">
      <c r="B77" s="57" t="str">
        <f t="shared" ca="1" si="9"/>
        <v/>
      </c>
      <c r="C77" s="71" t="str">
        <f t="shared" ca="1" si="10"/>
        <v/>
      </c>
      <c r="D77" s="72" t="str">
        <f t="shared" ca="1" si="11"/>
        <v/>
      </c>
      <c r="E77" s="73" t="str">
        <f t="shared" ca="1" si="12"/>
        <v/>
      </c>
      <c r="F77" s="62" t="str">
        <f t="shared" ca="1" si="17"/>
        <v/>
      </c>
      <c r="G77" s="62" t="str">
        <f t="shared" ca="1" si="17"/>
        <v/>
      </c>
      <c r="I77" s="94">
        <f t="shared" ca="1" si="1"/>
        <v>0</v>
      </c>
      <c r="J77" s="63" t="str">
        <f t="shared" ca="1" si="14"/>
        <v/>
      </c>
      <c r="K77" s="65">
        <f t="shared" ca="1" si="2"/>
        <v>0</v>
      </c>
      <c r="L77" s="64">
        <f t="shared" ca="1" si="6"/>
        <v>0</v>
      </c>
      <c r="M77" s="65">
        <f t="shared" ca="1" si="7"/>
        <v>0</v>
      </c>
      <c r="N77" s="66"/>
      <c r="O77" s="67">
        <f ca="1">IF($C77="",0,
K77*'1.c Decrements'!D73+(O76-P76-Q76)*(1+G76))</f>
        <v>0</v>
      </c>
      <c r="P77" s="68">
        <f ca="1">M77*'1.a Assumptions'!$C$13*'1.c Decrements'!E73</f>
        <v>0</v>
      </c>
      <c r="Q77" s="68">
        <f ca="1">L78*('1.c Decrements'!F73+'1.c Decrements'!G73)</f>
        <v>0</v>
      </c>
      <c r="R77" s="68">
        <f ca="1">O77-L78*'1.c Decrements'!D73</f>
        <v>0</v>
      </c>
      <c r="S77" s="68" t="str">
        <f ca="1">IF(B78&lt;=$S$13,OFFSET('1.c Decrements'!$J$11,0,$S$13-B77),"")</f>
        <v/>
      </c>
      <c r="V77" s="69" t="str">
        <f t="shared" ca="1" si="3"/>
        <v/>
      </c>
      <c r="W77" s="70" t="str">
        <f t="shared" ca="1" si="4"/>
        <v/>
      </c>
      <c r="X77" s="95"/>
      <c r="Y77" s="96" t="str">
        <f ca="1">IF(V77="","",J77/'1.c PUC_Projection'!H79)</f>
        <v/>
      </c>
      <c r="Z77" s="96" t="str">
        <f t="shared" ca="1" si="5"/>
        <v/>
      </c>
      <c r="AA77" s="97" t="str">
        <f t="shared" ca="1" si="8"/>
        <v/>
      </c>
    </row>
    <row r="78" spans="2:27" ht="15" customHeight="1" x14ac:dyDescent="0.25">
      <c r="B78" s="57" t="str">
        <f t="shared" ca="1" si="9"/>
        <v/>
      </c>
      <c r="C78" s="71" t="str">
        <f t="shared" ca="1" si="10"/>
        <v/>
      </c>
      <c r="D78" s="72" t="str">
        <f t="shared" ca="1" si="11"/>
        <v/>
      </c>
      <c r="E78" s="73" t="str">
        <f t="shared" ca="1" si="12"/>
        <v/>
      </c>
      <c r="F78" s="62" t="str">
        <f t="shared" ca="1" si="17"/>
        <v/>
      </c>
      <c r="G78" s="62" t="str">
        <f t="shared" ca="1" si="17"/>
        <v/>
      </c>
      <c r="I78" s="94">
        <f t="shared" ca="1" si="1"/>
        <v>0</v>
      </c>
      <c r="J78" s="63" t="str">
        <f t="shared" ca="1" si="14"/>
        <v/>
      </c>
      <c r="K78" s="65">
        <f t="shared" ca="1" si="2"/>
        <v>0</v>
      </c>
      <c r="L78" s="64">
        <f t="shared" ca="1" si="6"/>
        <v>0</v>
      </c>
      <c r="M78" s="65">
        <f t="shared" ca="1" si="7"/>
        <v>0</v>
      </c>
      <c r="N78" s="66"/>
      <c r="O78" s="67">
        <f ca="1">IF($C78="",0,
K78*'1.c Decrements'!D74+(O77-P77-Q77)*(1+G77))</f>
        <v>0</v>
      </c>
      <c r="P78" s="68">
        <f ca="1">M78*'1.a Assumptions'!$C$13*'1.c Decrements'!E74</f>
        <v>0</v>
      </c>
      <c r="Q78" s="68">
        <f ca="1">L79*('1.c Decrements'!F74+'1.c Decrements'!G74)</f>
        <v>0</v>
      </c>
      <c r="R78" s="68">
        <f ca="1">O78-L79*'1.c Decrements'!D74</f>
        <v>0</v>
      </c>
      <c r="S78" s="68" t="str">
        <f ca="1">IF(B79&lt;=$S$13,OFFSET('1.c Decrements'!$J$11,0,$S$13-B78),"")</f>
        <v/>
      </c>
      <c r="V78" s="69" t="str">
        <f t="shared" ca="1" si="3"/>
        <v/>
      </c>
      <c r="W78" s="70" t="str">
        <f t="shared" ca="1" si="4"/>
        <v/>
      </c>
      <c r="X78" s="95"/>
      <c r="Y78" s="96" t="str">
        <f ca="1">IF(V78="","",J78/'1.c PUC_Projection'!H80)</f>
        <v/>
      </c>
      <c r="Z78" s="96" t="str">
        <f t="shared" ca="1" si="5"/>
        <v/>
      </c>
      <c r="AA78" s="97" t="str">
        <f t="shared" ca="1" si="8"/>
        <v/>
      </c>
    </row>
    <row r="79" spans="2:27" ht="15" customHeight="1" x14ac:dyDescent="0.25">
      <c r="B79" s="57" t="str">
        <f t="shared" ca="1" si="9"/>
        <v/>
      </c>
      <c r="C79" s="71" t="str">
        <f t="shared" ca="1" si="10"/>
        <v/>
      </c>
      <c r="D79" s="72" t="str">
        <f t="shared" ca="1" si="11"/>
        <v/>
      </c>
      <c r="E79" s="73" t="str">
        <f t="shared" ca="1" si="12"/>
        <v/>
      </c>
      <c r="F79" s="62" t="str">
        <f t="shared" ca="1" si="17"/>
        <v/>
      </c>
      <c r="G79" s="62" t="str">
        <f t="shared" ca="1" si="17"/>
        <v/>
      </c>
      <c r="I79" s="94">
        <f t="shared" ref="I79:I85" ca="1" si="18">IFERROR((1-(1+$D$10)^-($D$5-$C79))/$D$10,0)</f>
        <v>0</v>
      </c>
      <c r="J79" s="63" t="str">
        <f t="shared" ca="1" si="14"/>
        <v/>
      </c>
      <c r="K79" s="65">
        <f t="shared" ref="K79:K85" ca="1" si="19">IF($C80="",0,
J79*E79*(1+F79))</f>
        <v>0</v>
      </c>
      <c r="L79" s="64">
        <f t="shared" ca="1" si="6"/>
        <v>0</v>
      </c>
      <c r="M79" s="65">
        <f t="shared" ca="1" si="7"/>
        <v>0</v>
      </c>
      <c r="N79" s="66"/>
      <c r="O79" s="67">
        <f ca="1">IF($C79="",0,
K79*'1.c Decrements'!D75+(O78-P78-Q78)*(1+G78))</f>
        <v>0</v>
      </c>
      <c r="P79" s="68">
        <f ca="1">M79*'1.a Assumptions'!$C$13*'1.c Decrements'!E75</f>
        <v>0</v>
      </c>
      <c r="Q79" s="68">
        <f ca="1">L80*('1.c Decrements'!F75+'1.c Decrements'!G75)</f>
        <v>0</v>
      </c>
      <c r="R79" s="68">
        <f ca="1">O79-L80*'1.c Decrements'!D75</f>
        <v>0</v>
      </c>
      <c r="S79" s="68" t="str">
        <f ca="1">IF(B80&lt;=$S$13,OFFSET('1.c Decrements'!$J$11,0,$S$13-B79),"")</f>
        <v/>
      </c>
      <c r="V79" s="69" t="str">
        <f t="shared" ref="V79:V84" ca="1" si="20">IF($C80&lt;=$D$5,L80-L79*(1+i),"")</f>
        <v/>
      </c>
      <c r="W79" s="70" t="str">
        <f t="shared" ref="W79:W84" ca="1" si="21">IF(V79="","",V79-K79)</f>
        <v/>
      </c>
      <c r="X79" s="95"/>
      <c r="Y79" s="96" t="str">
        <f ca="1">IF(V79="","",J79/'1.c PUC_Projection'!H81)</f>
        <v/>
      </c>
      <c r="Z79" s="96" t="str">
        <f t="shared" ref="Z79:Z84" ca="1" si="22">IF(V79="","",($D$5-$D$9)/$H$15*(1+$D$10)^-(C79-$D$9+1))</f>
        <v/>
      </c>
      <c r="AA79" s="97" t="str">
        <f t="shared" ca="1" si="8"/>
        <v/>
      </c>
    </row>
    <row r="80" spans="2:27" ht="15" customHeight="1" x14ac:dyDescent="0.25">
      <c r="B80" s="57" t="str">
        <f t="shared" ca="1" si="9"/>
        <v/>
      </c>
      <c r="C80" s="71" t="str">
        <f t="shared" ca="1" si="10"/>
        <v/>
      </c>
      <c r="D80" s="72" t="str">
        <f t="shared" ca="1" si="11"/>
        <v/>
      </c>
      <c r="E80" s="73" t="str">
        <f t="shared" ca="1" si="12"/>
        <v/>
      </c>
      <c r="F80" s="62" t="str">
        <f t="shared" ca="1" si="17"/>
        <v/>
      </c>
      <c r="G80" s="62" t="str">
        <f t="shared" ca="1" si="17"/>
        <v/>
      </c>
      <c r="I80" s="94">
        <f t="shared" ca="1" si="18"/>
        <v>0</v>
      </c>
      <c r="J80" s="63" t="str">
        <f t="shared" ca="1" si="14"/>
        <v/>
      </c>
      <c r="K80" s="65">
        <f t="shared" ca="1" si="19"/>
        <v>0</v>
      </c>
      <c r="L80" s="64">
        <f t="shared" ref="L80:L85" ca="1" si="23">IF($C80="",0,
IF($C80&gt;$D$5,D80*B80*E80,
D80*($D$5-$D$4)*E80*((1+F80)/(1+G80))^($D$5-C80)-J80*E80*I80))</f>
        <v>0</v>
      </c>
      <c r="M80" s="65">
        <f t="shared" ref="M80:M85" ca="1" si="24">IF($C80="",0,
D80*B80*E80*((1+F80)/(1+G80))^MAX(0,$D$5-C80))</f>
        <v>0</v>
      </c>
      <c r="N80" s="66"/>
      <c r="O80" s="67">
        <f ca="1">IF($C80="",0,
K80*'1.c Decrements'!D76+(O79-P79-Q79)*(1+G79))</f>
        <v>0</v>
      </c>
      <c r="P80" s="68">
        <f ca="1">M80*'1.a Assumptions'!$C$13*'1.c Decrements'!E76</f>
        <v>0</v>
      </c>
      <c r="Q80" s="68">
        <f ca="1">L81*('1.c Decrements'!F76+'1.c Decrements'!G76)</f>
        <v>0</v>
      </c>
      <c r="R80" s="68">
        <f ca="1">O80-L81*'1.c Decrements'!D76</f>
        <v>0</v>
      </c>
      <c r="S80" s="68" t="str">
        <f ca="1">IF(B81&lt;=$S$13,OFFSET('1.c Decrements'!$J$11,0,$S$13-B80),"")</f>
        <v/>
      </c>
      <c r="V80" s="69" t="str">
        <f t="shared" ca="1" si="20"/>
        <v/>
      </c>
      <c r="W80" s="70" t="str">
        <f t="shared" ca="1" si="21"/>
        <v/>
      </c>
      <c r="X80" s="95"/>
      <c r="Y80" s="96" t="str">
        <f ca="1">IF(V80="","",J80/'1.c PUC_Projection'!H82)</f>
        <v/>
      </c>
      <c r="Z80" s="96" t="str">
        <f t="shared" ca="1" si="22"/>
        <v/>
      </c>
      <c r="AA80" s="97" t="str">
        <f t="shared" ref="AA80:AA84" ca="1" si="25">IF(V80="","",Y80-Z80)</f>
        <v/>
      </c>
    </row>
    <row r="81" spans="2:27" ht="15" customHeight="1" x14ac:dyDescent="0.25">
      <c r="B81" s="57" t="str">
        <f t="shared" ref="B81:B85" ca="1" si="26">IF($C81="","",B80+1)</f>
        <v/>
      </c>
      <c r="C81" s="71" t="str">
        <f t="shared" ref="C81:C85" ca="1" si="27">IF(C80="","",IF($D$2="A",IF(C80+1&gt;$D$5+15,"",C80+1),IF(C80+1&gt;$D$5,"",C80+1)))</f>
        <v/>
      </c>
      <c r="D81" s="72" t="str">
        <f t="shared" ref="D81:D85" ca="1" si="28">IF($C81="","",D80)</f>
        <v/>
      </c>
      <c r="E81" s="73" t="str">
        <f t="shared" ref="E81:E85" ca="1" si="29">IF($C81="","",E80*(1+F80))</f>
        <v/>
      </c>
      <c r="F81" s="62" t="str">
        <f t="shared" ref="F81:G85" ca="1" si="30">IF($C81="","",F80)</f>
        <v/>
      </c>
      <c r="G81" s="62" t="str">
        <f t="shared" ca="1" si="30"/>
        <v/>
      </c>
      <c r="I81" s="94">
        <f t="shared" ca="1" si="18"/>
        <v>0</v>
      </c>
      <c r="J81" s="63" t="str">
        <f t="shared" ref="J81:J85" ca="1" si="31">IF($C81="","",J80)</f>
        <v/>
      </c>
      <c r="K81" s="65">
        <f t="shared" ca="1" si="19"/>
        <v>0</v>
      </c>
      <c r="L81" s="64">
        <f t="shared" ca="1" si="23"/>
        <v>0</v>
      </c>
      <c r="M81" s="65">
        <f t="shared" ca="1" si="24"/>
        <v>0</v>
      </c>
      <c r="N81" s="66"/>
      <c r="O81" s="67">
        <f ca="1">IF($C81="",0,
K81*'1.c Decrements'!D77+(O80-P80-Q80)*(1+G80))</f>
        <v>0</v>
      </c>
      <c r="P81" s="68">
        <f ca="1">M81*'1.a Assumptions'!$C$13*'1.c Decrements'!E77</f>
        <v>0</v>
      </c>
      <c r="Q81" s="68">
        <f ca="1">L82*('1.c Decrements'!F77+'1.c Decrements'!G77)</f>
        <v>0</v>
      </c>
      <c r="R81" s="68">
        <f ca="1">O81-L82*'1.c Decrements'!D77</f>
        <v>0</v>
      </c>
      <c r="S81" s="68" t="str">
        <f ca="1">IF(B82&lt;=$S$13,OFFSET('1.c Decrements'!$J$11,0,$S$13-B81),"")</f>
        <v/>
      </c>
      <c r="V81" s="69" t="str">
        <f t="shared" ca="1" si="20"/>
        <v/>
      </c>
      <c r="W81" s="70" t="str">
        <f t="shared" ca="1" si="21"/>
        <v/>
      </c>
      <c r="X81" s="95"/>
      <c r="Y81" s="96" t="str">
        <f ca="1">IF(V81="","",J81/'1.c PUC_Projection'!H83)</f>
        <v/>
      </c>
      <c r="Z81" s="96" t="str">
        <f t="shared" ca="1" si="22"/>
        <v/>
      </c>
      <c r="AA81" s="97" t="str">
        <f t="shared" ca="1" si="25"/>
        <v/>
      </c>
    </row>
    <row r="82" spans="2:27" ht="15" customHeight="1" x14ac:dyDescent="0.25">
      <c r="B82" s="57" t="str">
        <f t="shared" ca="1" si="26"/>
        <v/>
      </c>
      <c r="C82" s="71" t="str">
        <f t="shared" ca="1" si="27"/>
        <v/>
      </c>
      <c r="D82" s="72" t="str">
        <f t="shared" ca="1" si="28"/>
        <v/>
      </c>
      <c r="E82" s="73" t="str">
        <f t="shared" ca="1" si="29"/>
        <v/>
      </c>
      <c r="F82" s="62" t="str">
        <f t="shared" ca="1" si="30"/>
        <v/>
      </c>
      <c r="G82" s="62" t="str">
        <f t="shared" ca="1" si="30"/>
        <v/>
      </c>
      <c r="I82" s="94">
        <f t="shared" ca="1" si="18"/>
        <v>0</v>
      </c>
      <c r="J82" s="63" t="str">
        <f t="shared" ca="1" si="31"/>
        <v/>
      </c>
      <c r="K82" s="65">
        <f t="shared" ca="1" si="19"/>
        <v>0</v>
      </c>
      <c r="L82" s="64">
        <f t="shared" ca="1" si="23"/>
        <v>0</v>
      </c>
      <c r="M82" s="65">
        <f t="shared" ca="1" si="24"/>
        <v>0</v>
      </c>
      <c r="N82" s="66"/>
      <c r="O82" s="67">
        <f ca="1">IF($C82="",0,
K82*'1.c Decrements'!D78+(O81-P81-Q81)*(1+G81))</f>
        <v>0</v>
      </c>
      <c r="P82" s="68">
        <f ca="1">M82*'1.a Assumptions'!$C$13*'1.c Decrements'!E78</f>
        <v>0</v>
      </c>
      <c r="Q82" s="68">
        <f ca="1">L83*('1.c Decrements'!F78+'1.c Decrements'!G78)</f>
        <v>0</v>
      </c>
      <c r="R82" s="68">
        <f ca="1">O82-L83*'1.c Decrements'!D78</f>
        <v>0</v>
      </c>
      <c r="S82" s="68" t="str">
        <f ca="1">IF(B83&lt;=$S$13,OFFSET('1.c Decrements'!$J$11,0,$S$13-B82),"")</f>
        <v/>
      </c>
      <c r="V82" s="69" t="str">
        <f t="shared" ca="1" si="20"/>
        <v/>
      </c>
      <c r="W82" s="70" t="str">
        <f t="shared" ca="1" si="21"/>
        <v/>
      </c>
      <c r="X82" s="95"/>
      <c r="Y82" s="96" t="str">
        <f ca="1">IF(V82="","",J82/'1.c PUC_Projection'!H84)</f>
        <v/>
      </c>
      <c r="Z82" s="96" t="str">
        <f t="shared" ca="1" si="22"/>
        <v/>
      </c>
      <c r="AA82" s="97" t="str">
        <f t="shared" ca="1" si="25"/>
        <v/>
      </c>
    </row>
    <row r="83" spans="2:27" ht="15" customHeight="1" x14ac:dyDescent="0.25">
      <c r="B83" s="57" t="str">
        <f t="shared" ca="1" si="26"/>
        <v/>
      </c>
      <c r="C83" s="71" t="str">
        <f t="shared" ca="1" si="27"/>
        <v/>
      </c>
      <c r="D83" s="72" t="str">
        <f t="shared" ca="1" si="28"/>
        <v/>
      </c>
      <c r="E83" s="73" t="str">
        <f t="shared" ca="1" si="29"/>
        <v/>
      </c>
      <c r="F83" s="62" t="str">
        <f t="shared" ca="1" si="30"/>
        <v/>
      </c>
      <c r="G83" s="62" t="str">
        <f t="shared" ca="1" si="30"/>
        <v/>
      </c>
      <c r="I83" s="94">
        <f t="shared" ca="1" si="18"/>
        <v>0</v>
      </c>
      <c r="J83" s="63" t="str">
        <f t="shared" ca="1" si="31"/>
        <v/>
      </c>
      <c r="K83" s="65">
        <f t="shared" ca="1" si="19"/>
        <v>0</v>
      </c>
      <c r="L83" s="64">
        <f t="shared" ca="1" si="23"/>
        <v>0</v>
      </c>
      <c r="M83" s="65">
        <f t="shared" ca="1" si="24"/>
        <v>0</v>
      </c>
      <c r="N83" s="66"/>
      <c r="O83" s="67">
        <f ca="1">IF($C83="",0,
K83*'1.c Decrements'!D79+(O82-P82-Q82)*(1+G82))</f>
        <v>0</v>
      </c>
      <c r="P83" s="68">
        <f ca="1">M83*'1.a Assumptions'!$C$13*'1.c Decrements'!E79</f>
        <v>0</v>
      </c>
      <c r="Q83" s="68">
        <f ca="1">L84*('1.c Decrements'!F79+'1.c Decrements'!G79)</f>
        <v>0</v>
      </c>
      <c r="R83" s="68">
        <f ca="1">O83-L84*'1.c Decrements'!D79</f>
        <v>0</v>
      </c>
      <c r="S83" s="68" t="str">
        <f ca="1">IF(B84&lt;=$S$13,OFFSET('1.c Decrements'!$J$11,0,$S$13-B83),"")</f>
        <v/>
      </c>
      <c r="V83" s="69" t="str">
        <f t="shared" ca="1" si="20"/>
        <v/>
      </c>
      <c r="W83" s="70" t="str">
        <f t="shared" ca="1" si="21"/>
        <v/>
      </c>
      <c r="X83" s="95"/>
      <c r="Y83" s="96" t="str">
        <f ca="1">IF(V83="","",J83/'1.c PUC_Projection'!H85)</f>
        <v/>
      </c>
      <c r="Z83" s="96" t="str">
        <f t="shared" ca="1" si="22"/>
        <v/>
      </c>
      <c r="AA83" s="97" t="str">
        <f t="shared" ca="1" si="25"/>
        <v/>
      </c>
    </row>
    <row r="84" spans="2:27" ht="15" customHeight="1" x14ac:dyDescent="0.25">
      <c r="B84" s="57" t="str">
        <f t="shared" ca="1" si="26"/>
        <v/>
      </c>
      <c r="C84" s="71" t="str">
        <f t="shared" ca="1" si="27"/>
        <v/>
      </c>
      <c r="D84" s="72" t="str">
        <f t="shared" ca="1" si="28"/>
        <v/>
      </c>
      <c r="E84" s="73" t="str">
        <f t="shared" ca="1" si="29"/>
        <v/>
      </c>
      <c r="F84" s="62" t="str">
        <f t="shared" ca="1" si="30"/>
        <v/>
      </c>
      <c r="G84" s="62" t="str">
        <f t="shared" ca="1" si="30"/>
        <v/>
      </c>
      <c r="I84" s="94">
        <f t="shared" ca="1" si="18"/>
        <v>0</v>
      </c>
      <c r="J84" s="63" t="str">
        <f t="shared" ca="1" si="31"/>
        <v/>
      </c>
      <c r="K84" s="65">
        <f t="shared" ca="1" si="19"/>
        <v>0</v>
      </c>
      <c r="L84" s="64">
        <f t="shared" ca="1" si="23"/>
        <v>0</v>
      </c>
      <c r="M84" s="65">
        <f t="shared" ca="1" si="24"/>
        <v>0</v>
      </c>
      <c r="N84" s="66"/>
      <c r="O84" s="67">
        <f ca="1">IF($C84="",0,
K84*'1.c Decrements'!D80+(O83-P83-Q83)*(1+G83))</f>
        <v>0</v>
      </c>
      <c r="P84" s="68">
        <f ca="1">M84*'1.a Assumptions'!$C$13*'1.c Decrements'!E80</f>
        <v>0</v>
      </c>
      <c r="Q84" s="68">
        <f ca="1">L85*('1.c Decrements'!F80+'1.c Decrements'!G80)</f>
        <v>0</v>
      </c>
      <c r="R84" s="68">
        <f ca="1">O84-L85*'1.c Decrements'!D80</f>
        <v>0</v>
      </c>
      <c r="S84" s="68" t="str">
        <f ca="1">IF(B85&lt;=$S$13,OFFSET('1.c Decrements'!$J$11,0,$S$13-B84),"")</f>
        <v/>
      </c>
      <c r="V84" s="69" t="str">
        <f t="shared" ca="1" si="20"/>
        <v/>
      </c>
      <c r="W84" s="70" t="str">
        <f t="shared" ca="1" si="21"/>
        <v/>
      </c>
      <c r="X84" s="95"/>
      <c r="Y84" s="96" t="str">
        <f ca="1">IF(V84="","",J84/'1.c PUC_Projection'!H86)</f>
        <v/>
      </c>
      <c r="Z84" s="96" t="str">
        <f t="shared" ca="1" si="22"/>
        <v/>
      </c>
      <c r="AA84" s="97" t="str">
        <f t="shared" ca="1" si="25"/>
        <v/>
      </c>
    </row>
    <row r="85" spans="2:27" ht="15" customHeight="1" x14ac:dyDescent="0.25">
      <c r="B85" s="57" t="str">
        <f t="shared" ca="1" si="26"/>
        <v/>
      </c>
      <c r="C85" s="71" t="str">
        <f t="shared" ca="1" si="27"/>
        <v/>
      </c>
      <c r="D85" s="72" t="str">
        <f t="shared" ca="1" si="28"/>
        <v/>
      </c>
      <c r="E85" s="73" t="str">
        <f t="shared" ca="1" si="29"/>
        <v/>
      </c>
      <c r="F85" s="62" t="str">
        <f t="shared" ca="1" si="30"/>
        <v/>
      </c>
      <c r="G85" s="62" t="str">
        <f t="shared" ca="1" si="30"/>
        <v/>
      </c>
      <c r="I85" s="94">
        <f t="shared" ca="1" si="18"/>
        <v>0</v>
      </c>
      <c r="J85" s="63" t="str">
        <f t="shared" ca="1" si="31"/>
        <v/>
      </c>
      <c r="K85" s="65">
        <f t="shared" si="19"/>
        <v>0</v>
      </c>
      <c r="L85" s="64">
        <f t="shared" ca="1" si="23"/>
        <v>0</v>
      </c>
      <c r="M85" s="65">
        <f t="shared" ca="1" si="24"/>
        <v>0</v>
      </c>
      <c r="N85" s="66"/>
      <c r="O85" s="67">
        <f ca="1">IF($C85="",0,
K85*'1.c Decrements'!D81+(O84-P84-Q84)*(1+G84))</f>
        <v>0</v>
      </c>
      <c r="P85" s="68">
        <f ca="1">M85*'1.a Assumptions'!$C$13*'1.c Decrements'!E81</f>
        <v>0</v>
      </c>
      <c r="Q85" s="68">
        <f ca="1">L86*('1.c Decrements'!F81+'1.c Decrements'!G81)</f>
        <v>0</v>
      </c>
      <c r="R85" s="68">
        <f ca="1">O85-L86*'1.c Decrements'!D81</f>
        <v>0</v>
      </c>
      <c r="S85" s="68"/>
      <c r="V85" s="69"/>
      <c r="W85" s="70"/>
      <c r="X85" s="95"/>
      <c r="Y85" s="96"/>
      <c r="Z85" s="96"/>
      <c r="AA85" s="97"/>
    </row>
  </sheetData>
  <conditionalFormatting sqref="W14">
    <cfRule type="cellIs" dxfId="21" priority="7" operator="equal">
      <formula>"Pass"</formula>
    </cfRule>
    <cfRule type="cellIs" dxfId="20" priority="8" operator="equal">
      <formula>"Check!"</formula>
    </cfRule>
  </conditionalFormatting>
  <conditionalFormatting sqref="AA14">
    <cfRule type="cellIs" dxfId="19" priority="5" operator="equal">
      <formula>"Pass"</formula>
    </cfRule>
    <cfRule type="cellIs" dxfId="18" priority="6" operator="equal">
      <formula>"Check!"</formula>
    </cfRule>
  </conditionalFormatting>
  <conditionalFormatting sqref="H8">
    <cfRule type="cellIs" dxfId="17" priority="3" operator="equal">
      <formula>"Pass"</formula>
    </cfRule>
    <cfRule type="cellIs" dxfId="16" priority="4" operator="equal">
      <formula>"Check!"</formula>
    </cfRule>
  </conditionalFormatting>
  <conditionalFormatting sqref="I8:Q8">
    <cfRule type="cellIs" dxfId="15" priority="1" operator="equal">
      <formula>"Pass"</formula>
    </cfRule>
    <cfRule type="cellIs" dxfId="14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59999389629810485"/>
  </sheetPr>
  <dimension ref="A1:AA81"/>
  <sheetViews>
    <sheetView zoomScale="85" zoomScaleNormal="85" workbookViewId="0"/>
  </sheetViews>
  <sheetFormatPr defaultRowHeight="16.5" x14ac:dyDescent="0.3"/>
  <cols>
    <col min="1" max="1" width="2.85546875" style="14" customWidth="1"/>
    <col min="2" max="2" width="14.85546875" style="14" customWidth="1"/>
    <col min="3" max="3" width="17.85546875" style="14" bestFit="1" customWidth="1"/>
    <col min="4" max="4" width="11.140625" style="14" customWidth="1"/>
    <col min="5" max="8" width="14.28515625" style="14" customWidth="1"/>
    <col min="9" max="9" width="9.140625" style="14"/>
    <col min="10" max="10" width="14.28515625" style="14" customWidth="1"/>
    <col min="11" max="11" width="19.85546875" style="14" bestFit="1" customWidth="1"/>
    <col min="12" max="12" width="10.28515625" style="14" bestFit="1" customWidth="1"/>
    <col min="13" max="16384" width="9.140625" style="14"/>
  </cols>
  <sheetData>
    <row r="1" spans="1:27" ht="15" customHeight="1" thickBot="1" x14ac:dyDescent="0.35">
      <c r="A1" s="103" t="s">
        <v>29</v>
      </c>
      <c r="B1" s="13"/>
      <c r="C1" s="13"/>
      <c r="D1" s="13"/>
      <c r="E1" s="13"/>
      <c r="F1" s="13"/>
      <c r="G1" s="13"/>
      <c r="H1" s="13"/>
    </row>
    <row r="2" spans="1:27" ht="15" customHeight="1" x14ac:dyDescent="0.3">
      <c r="A2" s="13"/>
      <c r="B2" s="15" t="s">
        <v>12</v>
      </c>
      <c r="C2" s="16" t="s">
        <v>19</v>
      </c>
      <c r="D2" s="17" t="str">
        <f>RIGHT($B$3,1)</f>
        <v>B</v>
      </c>
      <c r="E2" s="13"/>
      <c r="F2" s="13"/>
      <c r="G2" s="13"/>
      <c r="H2" s="13"/>
    </row>
    <row r="3" spans="1:27" ht="15" customHeight="1" thickBot="1" x14ac:dyDescent="0.35">
      <c r="A3" s="13"/>
      <c r="B3" s="20" t="str">
        <f>'2.c EAN_Projection'!B3</f>
        <v>45B</v>
      </c>
      <c r="C3" s="16" t="s">
        <v>49</v>
      </c>
      <c r="D3" s="17">
        <f>VLOOKUP($B$3,'opening demographics'!$A$1:$E$11,3,FALSE)</f>
        <v>240</v>
      </c>
      <c r="E3" s="13"/>
      <c r="F3" s="13"/>
      <c r="G3" s="13"/>
      <c r="H3" s="13"/>
    </row>
    <row r="4" spans="1:27" ht="15" customHeight="1" x14ac:dyDescent="0.3">
      <c r="A4" s="13"/>
      <c r="B4" s="13"/>
      <c r="C4" s="16" t="s">
        <v>20</v>
      </c>
      <c r="D4" s="17">
        <f>VALUE(LEFT($B$3,2))</f>
        <v>45</v>
      </c>
      <c r="E4" s="13"/>
      <c r="F4" s="13"/>
      <c r="G4" s="13"/>
      <c r="H4" s="13"/>
    </row>
    <row r="5" spans="1:27" ht="15" customHeight="1" x14ac:dyDescent="0.3">
      <c r="A5" s="13"/>
      <c r="B5" s="13"/>
      <c r="C5" s="16" t="s">
        <v>21</v>
      </c>
      <c r="D5" s="17">
        <f ca="1">INDIRECT("NRA_"&amp;$D$2)</f>
        <v>60</v>
      </c>
      <c r="E5" s="13"/>
      <c r="F5" s="13"/>
      <c r="G5" s="13"/>
      <c r="H5" s="13"/>
    </row>
    <row r="6" spans="1:27" ht="15" customHeight="1" x14ac:dyDescent="0.3">
      <c r="A6" s="13"/>
      <c r="B6" s="13"/>
      <c r="C6" s="16" t="s">
        <v>22</v>
      </c>
      <c r="D6" s="36">
        <f ca="1">INDIRECT("accrual_rate_"&amp;$D$2)</f>
        <v>0.05</v>
      </c>
      <c r="E6" s="13"/>
      <c r="F6" s="13"/>
      <c r="G6" s="13"/>
      <c r="H6" s="13"/>
    </row>
    <row r="7" spans="1:27" ht="15" customHeight="1" x14ac:dyDescent="0.3">
      <c r="A7" s="13"/>
      <c r="B7" s="13"/>
      <c r="C7" s="16" t="s">
        <v>23</v>
      </c>
      <c r="D7" s="37">
        <f>VLOOKUP($B$3,'opening demographics'!$A$1:$E$11,4,FALSE)</f>
        <v>95000</v>
      </c>
      <c r="E7" s="13"/>
      <c r="F7" s="13"/>
      <c r="G7" s="13"/>
      <c r="H7" s="13"/>
    </row>
    <row r="8" spans="1:27" ht="15" customHeight="1" x14ac:dyDescent="0.3">
      <c r="A8" s="13"/>
      <c r="B8" s="13"/>
      <c r="C8" s="16" t="s">
        <v>24</v>
      </c>
      <c r="D8" s="44">
        <f ca="1">INDIRECT("e_"&amp;$D$2)</f>
        <v>1.1257768431897297E-2</v>
      </c>
      <c r="E8" s="13"/>
      <c r="F8" s="13"/>
      <c r="G8" s="13"/>
      <c r="H8" s="13"/>
    </row>
    <row r="9" spans="1:27" ht="36" customHeight="1" x14ac:dyDescent="0.3">
      <c r="A9" s="13"/>
      <c r="B9" s="13"/>
      <c r="C9" s="13"/>
      <c r="D9" s="13"/>
      <c r="E9" s="13"/>
      <c r="F9" s="13"/>
      <c r="G9" s="13"/>
      <c r="H9" s="13"/>
      <c r="J9" s="99" t="s">
        <v>480</v>
      </c>
      <c r="K9" s="99" t="s">
        <v>80</v>
      </c>
      <c r="L9" s="109"/>
      <c r="N9" s="153" t="s">
        <v>487</v>
      </c>
    </row>
    <row r="10" spans="1:27" ht="43.5" customHeight="1" x14ac:dyDescent="0.3">
      <c r="A10" s="13"/>
      <c r="B10" s="99" t="s">
        <v>48</v>
      </c>
      <c r="C10" s="99" t="s">
        <v>16</v>
      </c>
      <c r="D10" s="99" t="s">
        <v>26</v>
      </c>
      <c r="E10" s="130" t="s">
        <v>0</v>
      </c>
      <c r="F10" s="99" t="s">
        <v>70</v>
      </c>
      <c r="G10" s="99" t="s">
        <v>28</v>
      </c>
      <c r="H10" s="99" t="s">
        <v>27</v>
      </c>
      <c r="J10" s="99" t="s">
        <v>16</v>
      </c>
      <c r="K10" s="132">
        <v>1</v>
      </c>
      <c r="L10" s="132">
        <f>K10+1</f>
        <v>2</v>
      </c>
      <c r="M10" s="132">
        <f>L10+1</f>
        <v>3</v>
      </c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</row>
    <row r="11" spans="1:27" ht="15" customHeight="1" x14ac:dyDescent="0.3">
      <c r="A11" s="13"/>
      <c r="B11" s="57">
        <v>0</v>
      </c>
      <c r="C11" s="58">
        <f>D4</f>
        <v>45</v>
      </c>
      <c r="D11" s="101">
        <v>1</v>
      </c>
      <c r="E11" s="102">
        <f ca="1">IF($D$2="A",(D11-G11)*(INDIRECT("withdraw_rate_"&amp;$D$2)+2%)*(C11&lt;$D$5),(D11-G11)*(INDIRECT("withdraw_rate_"&amp;$D$2)+2%)*(C11&lt;&gt;$D$5-1))</f>
        <v>0.08</v>
      </c>
      <c r="F11" s="102">
        <f ca="1">IF($D$2="A",
(D11-G11)*IFERROR(VLOOKUP(C11,'1.a Assumptions'!$G$19:$I$34,2,FALSE),0),
(D11-G11)*100%*(C11=$D$5-1))</f>
        <v>0</v>
      </c>
      <c r="G11" s="102">
        <f>IF($D$2="A",
D11*IFERROR(VLOOKUP(C11,'1.a Assumptions'!$G$19:$I$34,3,FALSE),0),
0)</f>
        <v>0</v>
      </c>
      <c r="H11" s="102">
        <f ca="1">D11-E11-F11-G11</f>
        <v>0.92</v>
      </c>
      <c r="J11" s="57">
        <f>C11</f>
        <v>45</v>
      </c>
      <c r="K11" s="133">
        <f>$D$3*D11</f>
        <v>240</v>
      </c>
      <c r="L11" s="134">
        <f ca="1">$K11*INDIRECT("turnover_rate_"&amp;$D$2)</f>
        <v>14.399999999999999</v>
      </c>
      <c r="M11" s="134">
        <f t="shared" ref="M11" ca="1" si="0">$K11*INDIRECT("turnover_rate_"&amp;$D$2)</f>
        <v>14.399999999999999</v>
      </c>
      <c r="N11" s="151"/>
      <c r="O11" s="149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AA11" s="108"/>
    </row>
    <row r="12" spans="1:27" ht="15" customHeight="1" x14ac:dyDescent="0.3">
      <c r="A12" s="13"/>
      <c r="B12" s="57">
        <f ca="1">IF($C12="","",B11+1)</f>
        <v>1</v>
      </c>
      <c r="C12" s="71">
        <f t="shared" ref="C12:C75" ca="1" si="1">IF(C11="","",IF($D$2="A",C11+1,IF(C11+1&gt;$D$5,"",C11+1)))</f>
        <v>46</v>
      </c>
      <c r="D12" s="102">
        <f ca="1">H11</f>
        <v>0.92</v>
      </c>
      <c r="E12" s="102">
        <f t="shared" ref="E12:E75" ca="1" si="2">IF($D$2="A",(D12-G12)*(INDIRECT("withdraw_rate_"&amp;$D$2)+2%)*(C12&lt;$D$5),(D12-G12)*(INDIRECT("withdraw_rate_"&amp;$D$2)+2%)*(C12&lt;&gt;$D$5-1))</f>
        <v>7.3599999999999999E-2</v>
      </c>
      <c r="F12" s="102">
        <f ca="1">IF($D$2="A",
(D12-G12)*IFERROR(VLOOKUP(C12,'1.a Assumptions'!$G$19:$I$34,2,FALSE),0),
(D12-G12)*100%*(C12=$D$5-1))</f>
        <v>0</v>
      </c>
      <c r="G12" s="102">
        <f>IF($D$2="A",
D12*IFERROR(VLOOKUP(C12,'1.a Assumptions'!$G$19:$I$34,3,FALSE),0),
0)</f>
        <v>0</v>
      </c>
      <c r="H12" s="102">
        <f t="shared" ref="H12:H75" ca="1" si="3">D12-E12-F12-G12</f>
        <v>0.84640000000000004</v>
      </c>
      <c r="J12" s="57">
        <f t="shared" ref="J12:J25" ca="1" si="4">C12</f>
        <v>46</v>
      </c>
      <c r="K12" s="135">
        <f t="shared" ref="K12:K25" ca="1" si="5">K$11*D12</f>
        <v>220.8</v>
      </c>
      <c r="L12" s="136">
        <f t="shared" ref="L12:M22" ca="1" si="6">L$11*$D12</f>
        <v>13.247999999999999</v>
      </c>
      <c r="M12" s="136">
        <f t="shared" ca="1" si="6"/>
        <v>13.247999999999999</v>
      </c>
      <c r="N12" s="150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36"/>
      <c r="AA12" s="108"/>
    </row>
    <row r="13" spans="1:27" ht="15" customHeight="1" x14ac:dyDescent="0.3">
      <c r="A13" s="13"/>
      <c r="B13" s="57">
        <f t="shared" ref="B13:B76" ca="1" si="7">IF($C13="","",B12+1)</f>
        <v>2</v>
      </c>
      <c r="C13" s="71">
        <f t="shared" ca="1" si="1"/>
        <v>47</v>
      </c>
      <c r="D13" s="102">
        <f t="shared" ref="D13:D76" ca="1" si="8">H12</f>
        <v>0.84640000000000004</v>
      </c>
      <c r="E13" s="102">
        <f t="shared" ca="1" si="2"/>
        <v>6.7712000000000008E-2</v>
      </c>
      <c r="F13" s="102">
        <f ca="1">IF($D$2="A",
(D13-G13)*IFERROR(VLOOKUP(C13,'1.a Assumptions'!$G$19:$I$34,2,FALSE),0),
(D13-G13)*100%*(C13=$D$5-1))</f>
        <v>0</v>
      </c>
      <c r="G13" s="102">
        <f>IF($D$2="A",
D13*IFERROR(VLOOKUP(C13,'1.a Assumptions'!$G$19:$I$34,3,FALSE),0),
0)</f>
        <v>0</v>
      </c>
      <c r="H13" s="102">
        <f t="shared" ca="1" si="3"/>
        <v>0.77868800000000005</v>
      </c>
      <c r="J13" s="57">
        <f t="shared" ca="1" si="4"/>
        <v>47</v>
      </c>
      <c r="K13" s="135">
        <f t="shared" ca="1" si="5"/>
        <v>203.13600000000002</v>
      </c>
      <c r="L13" s="136">
        <f t="shared" ca="1" si="6"/>
        <v>12.18816</v>
      </c>
      <c r="M13" s="136">
        <f t="shared" ca="1" si="6"/>
        <v>12.18816</v>
      </c>
      <c r="N13" s="150"/>
      <c r="O13" s="149"/>
      <c r="P13" s="149"/>
      <c r="Q13" s="149"/>
      <c r="R13" s="149"/>
      <c r="S13" s="149"/>
      <c r="T13" s="149"/>
      <c r="U13" s="149"/>
      <c r="V13" s="149"/>
      <c r="W13" s="149"/>
      <c r="X13" s="136"/>
      <c r="Y13" s="136"/>
      <c r="AA13" s="108"/>
    </row>
    <row r="14" spans="1:27" ht="15" customHeight="1" x14ac:dyDescent="0.3">
      <c r="A14" s="13"/>
      <c r="B14" s="57">
        <f t="shared" ca="1" si="7"/>
        <v>3</v>
      </c>
      <c r="C14" s="71">
        <f t="shared" ca="1" si="1"/>
        <v>48</v>
      </c>
      <c r="D14" s="102">
        <f t="shared" ca="1" si="8"/>
        <v>0.77868800000000005</v>
      </c>
      <c r="E14" s="102">
        <f t="shared" ca="1" si="2"/>
        <v>6.2295040000000003E-2</v>
      </c>
      <c r="F14" s="102">
        <f ca="1">IF($D$2="A",
(D14-G14)*IFERROR(VLOOKUP(C14,'1.a Assumptions'!$G$19:$I$34,2,FALSE),0),
(D14-G14)*100%*(C14=$D$5-1))</f>
        <v>0</v>
      </c>
      <c r="G14" s="102">
        <f>IF($D$2="A",
D14*IFERROR(VLOOKUP(C14,'1.a Assumptions'!$G$19:$I$34,3,FALSE),0),
0)</f>
        <v>0</v>
      </c>
      <c r="H14" s="102">
        <f t="shared" ca="1" si="3"/>
        <v>0.71639296000000008</v>
      </c>
      <c r="J14" s="57">
        <f t="shared" ca="1" si="4"/>
        <v>48</v>
      </c>
      <c r="K14" s="135">
        <f t="shared" ca="1" si="5"/>
        <v>186.88512</v>
      </c>
      <c r="L14" s="136">
        <f t="shared" ca="1" si="6"/>
        <v>11.2131072</v>
      </c>
      <c r="M14" s="136">
        <f t="shared" ca="1" si="6"/>
        <v>11.2131072</v>
      </c>
      <c r="N14" s="150"/>
      <c r="O14" s="149"/>
      <c r="P14" s="149"/>
      <c r="Q14" s="149"/>
      <c r="R14" s="149"/>
      <c r="S14" s="149"/>
      <c r="T14" s="149"/>
      <c r="U14" s="149"/>
      <c r="V14" s="149"/>
      <c r="W14" s="136"/>
      <c r="X14" s="136"/>
      <c r="Y14" s="136"/>
      <c r="AA14" s="108"/>
    </row>
    <row r="15" spans="1:27" ht="15" customHeight="1" x14ac:dyDescent="0.3">
      <c r="A15" s="13"/>
      <c r="B15" s="57">
        <f t="shared" ca="1" si="7"/>
        <v>4</v>
      </c>
      <c r="C15" s="71">
        <f t="shared" ca="1" si="1"/>
        <v>49</v>
      </c>
      <c r="D15" s="102">
        <f t="shared" ca="1" si="8"/>
        <v>0.71639296000000008</v>
      </c>
      <c r="E15" s="102">
        <f t="shared" ca="1" si="2"/>
        <v>5.7311436800000004E-2</v>
      </c>
      <c r="F15" s="102">
        <f ca="1">IF($D$2="A",
(D15-G15)*IFERROR(VLOOKUP(C15,'1.a Assumptions'!$G$19:$I$34,2,FALSE),0),
(D15-G15)*100%*(C15=$D$5-1))</f>
        <v>0</v>
      </c>
      <c r="G15" s="102">
        <f>IF($D$2="A",
D15*IFERROR(VLOOKUP(C15,'1.a Assumptions'!$G$19:$I$34,3,FALSE),0),
0)</f>
        <v>0</v>
      </c>
      <c r="H15" s="102">
        <f t="shared" ca="1" si="3"/>
        <v>0.65908152320000002</v>
      </c>
      <c r="J15" s="57">
        <f t="shared" ca="1" si="4"/>
        <v>49</v>
      </c>
      <c r="K15" s="135">
        <f t="shared" ca="1" si="5"/>
        <v>171.93431040000002</v>
      </c>
      <c r="L15" s="136">
        <f t="shared" ca="1" si="6"/>
        <v>10.316058624</v>
      </c>
      <c r="M15" s="136">
        <f t="shared" ca="1" si="6"/>
        <v>10.316058624</v>
      </c>
      <c r="N15" s="150"/>
      <c r="O15" s="149"/>
      <c r="P15" s="149"/>
      <c r="Q15" s="149"/>
      <c r="R15" s="149"/>
      <c r="S15" s="149"/>
      <c r="T15" s="149"/>
      <c r="U15" s="149"/>
      <c r="V15" s="136"/>
      <c r="W15" s="136"/>
      <c r="X15" s="136"/>
      <c r="Y15" s="136"/>
      <c r="AA15" s="108"/>
    </row>
    <row r="16" spans="1:27" ht="15" customHeight="1" x14ac:dyDescent="0.3">
      <c r="A16" s="13"/>
      <c r="B16" s="57">
        <f t="shared" ca="1" si="7"/>
        <v>5</v>
      </c>
      <c r="C16" s="71">
        <f t="shared" ca="1" si="1"/>
        <v>50</v>
      </c>
      <c r="D16" s="102">
        <f t="shared" ca="1" si="8"/>
        <v>0.65908152320000002</v>
      </c>
      <c r="E16" s="102">
        <f t="shared" ca="1" si="2"/>
        <v>5.2726521856000005E-2</v>
      </c>
      <c r="F16" s="102">
        <f ca="1">IF($D$2="A",
(D16-G16)*IFERROR(VLOOKUP(C16,'1.a Assumptions'!$G$19:$I$34,2,FALSE),0),
(D16-G16)*100%*(C16=$D$5-1))</f>
        <v>0</v>
      </c>
      <c r="G16" s="102">
        <f>IF($D$2="A",
D16*IFERROR(VLOOKUP(C16,'1.a Assumptions'!$G$19:$I$34,3,FALSE),0),
0)</f>
        <v>0</v>
      </c>
      <c r="H16" s="102">
        <f t="shared" ca="1" si="3"/>
        <v>0.606355001344</v>
      </c>
      <c r="J16" s="57">
        <f t="shared" ca="1" si="4"/>
        <v>50</v>
      </c>
      <c r="K16" s="135">
        <f t="shared" ca="1" si="5"/>
        <v>158.17956556800002</v>
      </c>
      <c r="L16" s="136">
        <f t="shared" ca="1" si="6"/>
        <v>9.4907739340799999</v>
      </c>
      <c r="M16" s="136">
        <f t="shared" ca="1" si="6"/>
        <v>9.4907739340799999</v>
      </c>
      <c r="N16" s="150"/>
      <c r="O16" s="149"/>
      <c r="P16" s="149"/>
      <c r="Q16" s="149"/>
      <c r="R16" s="149"/>
      <c r="S16" s="149"/>
      <c r="T16" s="149"/>
      <c r="U16" s="136"/>
      <c r="V16" s="136"/>
      <c r="W16" s="136"/>
      <c r="X16" s="136"/>
      <c r="Y16" s="136"/>
      <c r="AA16" s="108"/>
    </row>
    <row r="17" spans="1:27" ht="15" customHeight="1" x14ac:dyDescent="0.3">
      <c r="A17" s="13"/>
      <c r="B17" s="57">
        <f t="shared" ca="1" si="7"/>
        <v>6</v>
      </c>
      <c r="C17" s="71">
        <f t="shared" ca="1" si="1"/>
        <v>51</v>
      </c>
      <c r="D17" s="102">
        <f t="shared" ca="1" si="8"/>
        <v>0.606355001344</v>
      </c>
      <c r="E17" s="102">
        <f t="shared" ca="1" si="2"/>
        <v>4.850840010752E-2</v>
      </c>
      <c r="F17" s="102">
        <f ca="1">IF($D$2="A",
(D17-G17)*IFERROR(VLOOKUP(C17,'1.a Assumptions'!$G$19:$I$34,2,FALSE),0),
(D17-G17)*100%*(C17=$D$5-1))</f>
        <v>0</v>
      </c>
      <c r="G17" s="102">
        <f>IF($D$2="A",
D17*IFERROR(VLOOKUP(C17,'1.a Assumptions'!$G$19:$I$34,3,FALSE),0),
0)</f>
        <v>0</v>
      </c>
      <c r="H17" s="102">
        <f t="shared" ca="1" si="3"/>
        <v>0.55784660123648</v>
      </c>
      <c r="J17" s="57">
        <f t="shared" ca="1" si="4"/>
        <v>51</v>
      </c>
      <c r="K17" s="135">
        <f t="shared" ca="1" si="5"/>
        <v>145.52520032256001</v>
      </c>
      <c r="L17" s="136">
        <f t="shared" ca="1" si="6"/>
        <v>8.7315120193536</v>
      </c>
      <c r="M17" s="136">
        <f t="shared" ca="1" si="6"/>
        <v>8.7315120193536</v>
      </c>
      <c r="N17" s="150"/>
      <c r="O17" s="149"/>
      <c r="P17" s="149"/>
      <c r="Q17" s="149"/>
      <c r="R17" s="149"/>
      <c r="S17" s="149"/>
      <c r="T17" s="136"/>
      <c r="U17" s="136"/>
      <c r="V17" s="136"/>
      <c r="W17" s="136"/>
      <c r="X17" s="136"/>
      <c r="Y17" s="136"/>
      <c r="AA17" s="108"/>
    </row>
    <row r="18" spans="1:27" ht="15" customHeight="1" x14ac:dyDescent="0.3">
      <c r="A18" s="13"/>
      <c r="B18" s="57">
        <f t="shared" ca="1" si="7"/>
        <v>7</v>
      </c>
      <c r="C18" s="71">
        <f t="shared" ca="1" si="1"/>
        <v>52</v>
      </c>
      <c r="D18" s="102">
        <f t="shared" ca="1" si="8"/>
        <v>0.55784660123648</v>
      </c>
      <c r="E18" s="102">
        <f t="shared" ca="1" si="2"/>
        <v>4.46277280989184E-2</v>
      </c>
      <c r="F18" s="102">
        <f ca="1">IF($D$2="A",
(D18-G18)*IFERROR(VLOOKUP(C18,'1.a Assumptions'!$G$19:$I$34,2,FALSE),0),
(D18-G18)*100%*(C18=$D$5-1))</f>
        <v>0</v>
      </c>
      <c r="G18" s="102">
        <f>IF($D$2="A",
D18*IFERROR(VLOOKUP(C18,'1.a Assumptions'!$G$19:$I$34,3,FALSE),0),
0)</f>
        <v>0</v>
      </c>
      <c r="H18" s="102">
        <f t="shared" ca="1" si="3"/>
        <v>0.51321887313756165</v>
      </c>
      <c r="J18" s="57">
        <f t="shared" ca="1" si="4"/>
        <v>52</v>
      </c>
      <c r="K18" s="135">
        <f t="shared" ca="1" si="5"/>
        <v>133.88318429675519</v>
      </c>
      <c r="L18" s="136">
        <f t="shared" ca="1" si="6"/>
        <v>8.0329910578053116</v>
      </c>
      <c r="M18" s="136">
        <f t="shared" ca="1" si="6"/>
        <v>8.0329910578053116</v>
      </c>
      <c r="N18" s="150"/>
      <c r="O18" s="149"/>
      <c r="P18" s="149"/>
      <c r="Q18" s="149"/>
      <c r="R18" s="149"/>
      <c r="S18" s="136"/>
      <c r="T18" s="136"/>
      <c r="U18" s="136"/>
      <c r="V18" s="136"/>
      <c r="W18" s="136"/>
      <c r="X18" s="136"/>
      <c r="Y18" s="136"/>
      <c r="AA18" s="108"/>
    </row>
    <row r="19" spans="1:27" ht="15" customHeight="1" x14ac:dyDescent="0.3">
      <c r="A19" s="13"/>
      <c r="B19" s="57">
        <f t="shared" ca="1" si="7"/>
        <v>8</v>
      </c>
      <c r="C19" s="71">
        <f t="shared" ca="1" si="1"/>
        <v>53</v>
      </c>
      <c r="D19" s="102">
        <f t="shared" ca="1" si="8"/>
        <v>0.51321887313756165</v>
      </c>
      <c r="E19" s="102">
        <f t="shared" ca="1" si="2"/>
        <v>4.1057509851004932E-2</v>
      </c>
      <c r="F19" s="102">
        <f ca="1">IF($D$2="A",
(D19-G19)*IFERROR(VLOOKUP(C19,'1.a Assumptions'!$G$19:$I$34,2,FALSE),0),
(D19-G19)*100%*(C19=$D$5-1))</f>
        <v>0</v>
      </c>
      <c r="G19" s="102">
        <f>IF($D$2="A",
D19*IFERROR(VLOOKUP(C19,'1.a Assumptions'!$G$19:$I$34,3,FALSE),0),
0)</f>
        <v>0</v>
      </c>
      <c r="H19" s="102">
        <f t="shared" ca="1" si="3"/>
        <v>0.47216136328655672</v>
      </c>
      <c r="J19" s="57">
        <f t="shared" ca="1" si="4"/>
        <v>53</v>
      </c>
      <c r="K19" s="135">
        <f t="shared" ca="1" si="5"/>
        <v>123.1725295530148</v>
      </c>
      <c r="L19" s="136">
        <f t="shared" ca="1" si="6"/>
        <v>7.3903517731808872</v>
      </c>
      <c r="M19" s="136">
        <f t="shared" ca="1" si="6"/>
        <v>7.3903517731808872</v>
      </c>
      <c r="N19" s="150"/>
      <c r="O19" s="149"/>
      <c r="P19" s="149"/>
      <c r="Q19" s="149"/>
      <c r="R19" s="136"/>
      <c r="S19" s="136"/>
      <c r="T19" s="136"/>
      <c r="U19" s="136"/>
      <c r="V19" s="136"/>
      <c r="W19" s="136"/>
      <c r="X19" s="136"/>
      <c r="Y19" s="136"/>
      <c r="AA19" s="108"/>
    </row>
    <row r="20" spans="1:27" ht="15" customHeight="1" x14ac:dyDescent="0.3">
      <c r="A20" s="13"/>
      <c r="B20" s="57">
        <f t="shared" ca="1" si="7"/>
        <v>9</v>
      </c>
      <c r="C20" s="71">
        <f t="shared" ca="1" si="1"/>
        <v>54</v>
      </c>
      <c r="D20" s="102">
        <f t="shared" ca="1" si="8"/>
        <v>0.47216136328655672</v>
      </c>
      <c r="E20" s="102">
        <f t="shared" ca="1" si="2"/>
        <v>3.7772909062924541E-2</v>
      </c>
      <c r="F20" s="102">
        <f ca="1">IF($D$2="A",
(D20-G20)*IFERROR(VLOOKUP(C20,'1.a Assumptions'!$G$19:$I$34,2,FALSE),0),
(D20-G20)*100%*(C20=$D$5-1))</f>
        <v>0</v>
      </c>
      <c r="G20" s="102">
        <f>IF($D$2="A",
D20*IFERROR(VLOOKUP(C20,'1.a Assumptions'!$G$19:$I$34,3,FALSE),0),
0)</f>
        <v>0</v>
      </c>
      <c r="H20" s="102">
        <f t="shared" ca="1" si="3"/>
        <v>0.4343884542236322</v>
      </c>
      <c r="J20" s="57">
        <f t="shared" ca="1" si="4"/>
        <v>54</v>
      </c>
      <c r="K20" s="135">
        <f t="shared" ca="1" si="5"/>
        <v>113.31872718877361</v>
      </c>
      <c r="L20" s="136">
        <f t="shared" ca="1" si="6"/>
        <v>6.7991236313264158</v>
      </c>
      <c r="M20" s="136">
        <f t="shared" ca="1" si="6"/>
        <v>6.7991236313264158</v>
      </c>
      <c r="N20" s="150"/>
      <c r="O20" s="149"/>
      <c r="P20" s="149"/>
      <c r="Q20" s="136"/>
      <c r="R20" s="136"/>
      <c r="S20" s="136"/>
      <c r="T20" s="136"/>
      <c r="U20" s="136"/>
      <c r="V20" s="136"/>
      <c r="W20" s="136"/>
      <c r="X20" s="136"/>
      <c r="Y20" s="136"/>
      <c r="AA20" s="108"/>
    </row>
    <row r="21" spans="1:27" ht="15" customHeight="1" x14ac:dyDescent="0.3">
      <c r="A21" s="13"/>
      <c r="B21" s="57">
        <f t="shared" ca="1" si="7"/>
        <v>10</v>
      </c>
      <c r="C21" s="71">
        <f t="shared" ca="1" si="1"/>
        <v>55</v>
      </c>
      <c r="D21" s="102">
        <f t="shared" ca="1" si="8"/>
        <v>0.4343884542236322</v>
      </c>
      <c r="E21" s="102">
        <f t="shared" ca="1" si="2"/>
        <v>3.4751076337890575E-2</v>
      </c>
      <c r="F21" s="102">
        <f ca="1">IF($D$2="A",
(D21-G21)*IFERROR(VLOOKUP(C21,'1.a Assumptions'!$G$19:$I$34,2,FALSE),0),
(D21-G21)*100%*(C21=$D$5-1))</f>
        <v>0</v>
      </c>
      <c r="G21" s="102">
        <f>IF($D$2="A",
D21*IFERROR(VLOOKUP(C21,'1.a Assumptions'!$G$19:$I$34,3,FALSE),0),
0)</f>
        <v>0</v>
      </c>
      <c r="H21" s="102">
        <f t="shared" ca="1" si="3"/>
        <v>0.39963737788574161</v>
      </c>
      <c r="J21" s="57">
        <f t="shared" ca="1" si="4"/>
        <v>55</v>
      </c>
      <c r="K21" s="135">
        <f t="shared" ca="1" si="5"/>
        <v>104.25322901367173</v>
      </c>
      <c r="L21" s="136">
        <f t="shared" ca="1" si="6"/>
        <v>6.2551937408203031</v>
      </c>
      <c r="M21" s="136">
        <f t="shared" ca="1" si="6"/>
        <v>6.2551937408203031</v>
      </c>
      <c r="N21" s="150"/>
      <c r="O21" s="149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AA21" s="108"/>
    </row>
    <row r="22" spans="1:27" ht="15" customHeight="1" x14ac:dyDescent="0.3">
      <c r="A22" s="13"/>
      <c r="B22" s="57">
        <f t="shared" ca="1" si="7"/>
        <v>11</v>
      </c>
      <c r="C22" s="71">
        <f t="shared" ca="1" si="1"/>
        <v>56</v>
      </c>
      <c r="D22" s="102">
        <f t="shared" ca="1" si="8"/>
        <v>0.39963737788574161</v>
      </c>
      <c r="E22" s="102">
        <f t="shared" ca="1" si="2"/>
        <v>3.1970990230859329E-2</v>
      </c>
      <c r="F22" s="102">
        <f ca="1">IF($D$2="A",
(D22-G22)*IFERROR(VLOOKUP(C22,'1.a Assumptions'!$G$19:$I$34,2,FALSE),0),
(D22-G22)*100%*(C22=$D$5-1))</f>
        <v>0</v>
      </c>
      <c r="G22" s="102">
        <f>IF($D$2="A",
D22*IFERROR(VLOOKUP(C22,'1.a Assumptions'!$G$19:$I$34,3,FALSE),0),
0)</f>
        <v>0</v>
      </c>
      <c r="H22" s="102">
        <f t="shared" ca="1" si="3"/>
        <v>0.3676663876548823</v>
      </c>
      <c r="J22" s="57">
        <f t="shared" ca="1" si="4"/>
        <v>56</v>
      </c>
      <c r="K22" s="135">
        <f t="shared" ca="1" si="5"/>
        <v>95.912970692577986</v>
      </c>
      <c r="L22" s="136">
        <f t="shared" ca="1" si="6"/>
        <v>5.7547782415546784</v>
      </c>
      <c r="M22" s="136">
        <f t="shared" ca="1" si="6"/>
        <v>5.7547782415546784</v>
      </c>
      <c r="N22" s="150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AA22" s="108"/>
    </row>
    <row r="23" spans="1:27" ht="15" customHeight="1" x14ac:dyDescent="0.3">
      <c r="A23" s="13"/>
      <c r="B23" s="57">
        <f t="shared" ca="1" si="7"/>
        <v>12</v>
      </c>
      <c r="C23" s="71">
        <f t="shared" ca="1" si="1"/>
        <v>57</v>
      </c>
      <c r="D23" s="102">
        <f t="shared" ca="1" si="8"/>
        <v>0.3676663876548823</v>
      </c>
      <c r="E23" s="102">
        <f t="shared" ca="1" si="2"/>
        <v>2.9413311012390586E-2</v>
      </c>
      <c r="F23" s="102">
        <f ca="1">IF($D$2="A",
(D23-G23)*IFERROR(VLOOKUP(C23,'1.a Assumptions'!$G$19:$I$34,2,FALSE),0),
(D23-G23)*100%*(C23=$D$5-1))</f>
        <v>0</v>
      </c>
      <c r="G23" s="102">
        <f>IF($D$2="A",
D23*IFERROR(VLOOKUP(C23,'1.a Assumptions'!$G$19:$I$34,3,FALSE),0),
0)</f>
        <v>0</v>
      </c>
      <c r="H23" s="102">
        <f t="shared" ca="1" si="3"/>
        <v>0.33825307664249171</v>
      </c>
      <c r="J23" s="57">
        <f t="shared" ca="1" si="4"/>
        <v>57</v>
      </c>
      <c r="K23" s="135">
        <f t="shared" ca="1" si="5"/>
        <v>88.239933037171753</v>
      </c>
      <c r="L23" s="136">
        <f ca="1">L$11*$D23</f>
        <v>5.2943959822303048</v>
      </c>
      <c r="M23" s="138">
        <f ca="1">M$11*$D23</f>
        <v>5.2943959822303048</v>
      </c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AA23" s="108"/>
    </row>
    <row r="24" spans="1:27" ht="15" customHeight="1" x14ac:dyDescent="0.3">
      <c r="A24" s="13"/>
      <c r="B24" s="57">
        <f t="shared" ca="1" si="7"/>
        <v>13</v>
      </c>
      <c r="C24" s="71">
        <f t="shared" ca="1" si="1"/>
        <v>58</v>
      </c>
      <c r="D24" s="102">
        <f t="shared" ca="1" si="8"/>
        <v>0.33825307664249171</v>
      </c>
      <c r="E24" s="102">
        <f t="shared" ca="1" si="2"/>
        <v>2.7060246131399339E-2</v>
      </c>
      <c r="F24" s="102">
        <f ca="1">IF($D$2="A",
(D24-G24)*IFERROR(VLOOKUP(C24,'1.a Assumptions'!$G$19:$I$34,2,FALSE),0),
(D24-G24)*100%*(C24=$D$5-1))</f>
        <v>0</v>
      </c>
      <c r="G24" s="102">
        <f>IF($D$2="A",
D24*IFERROR(VLOOKUP(C24,'1.a Assumptions'!$G$19:$I$34,3,FALSE),0),
0)</f>
        <v>0</v>
      </c>
      <c r="H24" s="102">
        <f t="shared" ca="1" si="3"/>
        <v>0.31119283051109237</v>
      </c>
      <c r="J24" s="57">
        <f t="shared" ca="1" si="4"/>
        <v>58</v>
      </c>
      <c r="K24" s="135">
        <f t="shared" ca="1" si="5"/>
        <v>81.180738394198016</v>
      </c>
      <c r="L24" s="138">
        <f ca="1">L$11*$D24</f>
        <v>4.8708443036518805</v>
      </c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AA24" s="108"/>
    </row>
    <row r="25" spans="1:27" ht="15" customHeight="1" x14ac:dyDescent="0.3">
      <c r="A25" s="13"/>
      <c r="B25" s="57">
        <f t="shared" ca="1" si="7"/>
        <v>14</v>
      </c>
      <c r="C25" s="71">
        <f t="shared" ca="1" si="1"/>
        <v>59</v>
      </c>
      <c r="D25" s="102">
        <f t="shared" ca="1" si="8"/>
        <v>0.31119283051109237</v>
      </c>
      <c r="E25" s="102">
        <f t="shared" ca="1" si="2"/>
        <v>0</v>
      </c>
      <c r="F25" s="102">
        <f ca="1">IF($D$2="A",
(D25-G25)*IFERROR(VLOOKUP(C25,'1.a Assumptions'!$G$19:$I$34,2,FALSE),0),
(D25-G25)*100%*(C25=$D$5-1))</f>
        <v>0.31119283051109237</v>
      </c>
      <c r="G25" s="102">
        <f>IF($D$2="A",
D25*IFERROR(VLOOKUP(C25,'1.a Assumptions'!$G$19:$I$34,3,FALSE),0),
0)</f>
        <v>0</v>
      </c>
      <c r="H25" s="102">
        <f t="shared" ca="1" si="3"/>
        <v>0</v>
      </c>
      <c r="J25" s="57">
        <f t="shared" ca="1" si="4"/>
        <v>59</v>
      </c>
      <c r="K25" s="137">
        <f t="shared" ca="1" si="5"/>
        <v>74.686279322662173</v>
      </c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AA25" s="108"/>
    </row>
    <row r="26" spans="1:27" ht="15" customHeight="1" x14ac:dyDescent="0.3">
      <c r="A26" s="13"/>
      <c r="B26" s="57">
        <f t="shared" ca="1" si="7"/>
        <v>15</v>
      </c>
      <c r="C26" s="71">
        <f t="shared" ca="1" si="1"/>
        <v>60</v>
      </c>
      <c r="D26" s="102">
        <f t="shared" ca="1" si="8"/>
        <v>0</v>
      </c>
      <c r="E26" s="102">
        <f t="shared" ca="1" si="2"/>
        <v>0</v>
      </c>
      <c r="F26" s="102">
        <f ca="1">IF($D$2="A",
(D26-G26)*IFERROR(VLOOKUP(C26,'1.a Assumptions'!$G$19:$I$34,2,FALSE),0),
(D26-G26)*100%*(C26=$D$5-1))</f>
        <v>0</v>
      </c>
      <c r="G26" s="102">
        <f>IF($D$2="A",
D26*IFERROR(VLOOKUP(C26,'1.a Assumptions'!$G$19:$I$34,3,FALSE),0),
0)</f>
        <v>0</v>
      </c>
      <c r="H26" s="102">
        <f t="shared" ca="1" si="3"/>
        <v>0</v>
      </c>
      <c r="J26" s="57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</row>
    <row r="27" spans="1:27" ht="15" customHeight="1" x14ac:dyDescent="0.3">
      <c r="A27" s="13"/>
      <c r="B27" s="57" t="str">
        <f t="shared" ca="1" si="7"/>
        <v/>
      </c>
      <c r="C27" s="71" t="str">
        <f t="shared" ca="1" si="1"/>
        <v/>
      </c>
      <c r="D27" s="102">
        <f t="shared" ca="1" si="8"/>
        <v>0</v>
      </c>
      <c r="E27" s="102">
        <f t="shared" ca="1" si="2"/>
        <v>0</v>
      </c>
      <c r="F27" s="102">
        <f ca="1">IF($D$2="A",
(D27-G27)*IFERROR(VLOOKUP(C27,'1.a Assumptions'!$G$19:$I$34,2,FALSE),0),
(D27-G27)*100%*(C27=$D$5-1))</f>
        <v>0</v>
      </c>
      <c r="G27" s="102">
        <f>IF($D$2="A",
D27*IFERROR(VLOOKUP(C27,'1.a Assumptions'!$G$19:$I$34,3,FALSE),0),
0)</f>
        <v>0</v>
      </c>
      <c r="H27" s="102">
        <f t="shared" ca="1" si="3"/>
        <v>0</v>
      </c>
      <c r="J27" s="118" t="s">
        <v>18</v>
      </c>
      <c r="K27" s="119">
        <f ca="1">K25+L24+M23+N22+O21+P20+Q19+R18+S17+T16+U15+V14+W13+X12+Y11</f>
        <v>84.851519608544351</v>
      </c>
      <c r="Z27" s="107"/>
    </row>
    <row r="28" spans="1:27" ht="15" customHeight="1" x14ac:dyDescent="0.3">
      <c r="A28" s="13"/>
      <c r="B28" s="57" t="str">
        <f t="shared" ca="1" si="7"/>
        <v/>
      </c>
      <c r="C28" s="71" t="str">
        <f t="shared" ca="1" si="1"/>
        <v/>
      </c>
      <c r="D28" s="102">
        <f t="shared" ca="1" si="8"/>
        <v>0</v>
      </c>
      <c r="E28" s="102">
        <f t="shared" ca="1" si="2"/>
        <v>0</v>
      </c>
      <c r="F28" s="102">
        <f ca="1">IF($D$2="A",
(D28-G28)*IFERROR(VLOOKUP(C28,'1.a Assumptions'!$G$19:$I$34,2,FALSE),0),
(D28-G28)*100%*(C28=$D$5-1))</f>
        <v>0</v>
      </c>
      <c r="G28" s="102">
        <f>IF($D$2="A",
D28*IFERROR(VLOOKUP(C28,'1.a Assumptions'!$G$19:$I$34,3,FALSE),0),
0)</f>
        <v>0</v>
      </c>
      <c r="H28" s="102">
        <f t="shared" ca="1" si="3"/>
        <v>0</v>
      </c>
      <c r="K28" s="106"/>
      <c r="Z28" s="107"/>
    </row>
    <row r="29" spans="1:27" ht="15" customHeight="1" x14ac:dyDescent="0.3">
      <c r="A29" s="13"/>
      <c r="B29" s="57" t="str">
        <f t="shared" ca="1" si="7"/>
        <v/>
      </c>
      <c r="C29" s="71" t="str">
        <f t="shared" ca="1" si="1"/>
        <v/>
      </c>
      <c r="D29" s="102">
        <f t="shared" ca="1" si="8"/>
        <v>0</v>
      </c>
      <c r="E29" s="102">
        <f t="shared" ca="1" si="2"/>
        <v>0</v>
      </c>
      <c r="F29" s="102">
        <f ca="1">IF($D$2="A",
(D29-G29)*IFERROR(VLOOKUP(C29,'1.a Assumptions'!$G$19:$I$34,2,FALSE),0),
(D29-G29)*100%*(C29=$D$5-1))</f>
        <v>0</v>
      </c>
      <c r="G29" s="102">
        <f>IF($D$2="A",
D29*IFERROR(VLOOKUP(C29,'1.a Assumptions'!$G$19:$I$34,3,FALSE),0),
0)</f>
        <v>0</v>
      </c>
      <c r="H29" s="102">
        <f t="shared" ca="1" si="3"/>
        <v>0</v>
      </c>
      <c r="Z29" s="107"/>
    </row>
    <row r="30" spans="1:27" ht="15" customHeight="1" x14ac:dyDescent="0.3">
      <c r="A30" s="13"/>
      <c r="B30" s="57" t="str">
        <f t="shared" ca="1" si="7"/>
        <v/>
      </c>
      <c r="C30" s="71" t="str">
        <f t="shared" ca="1" si="1"/>
        <v/>
      </c>
      <c r="D30" s="102">
        <f t="shared" ca="1" si="8"/>
        <v>0</v>
      </c>
      <c r="E30" s="102">
        <f t="shared" ca="1" si="2"/>
        <v>0</v>
      </c>
      <c r="F30" s="102">
        <f ca="1">IF($D$2="A",
(D30-G30)*IFERROR(VLOOKUP(C30,'1.a Assumptions'!$G$19:$I$34,2,FALSE),0),
(D30-G30)*100%*(C30=$D$5-1))</f>
        <v>0</v>
      </c>
      <c r="G30" s="102">
        <f>IF($D$2="A",
D30*IFERROR(VLOOKUP(C30,'1.a Assumptions'!$G$19:$I$34,3,FALSE),0),
0)</f>
        <v>0</v>
      </c>
      <c r="H30" s="102">
        <f t="shared" ca="1" si="3"/>
        <v>0</v>
      </c>
    </row>
    <row r="31" spans="1:27" ht="15" customHeight="1" x14ac:dyDescent="0.3">
      <c r="A31" s="13"/>
      <c r="B31" s="57" t="str">
        <f t="shared" ca="1" si="7"/>
        <v/>
      </c>
      <c r="C31" s="71" t="str">
        <f t="shared" ca="1" si="1"/>
        <v/>
      </c>
      <c r="D31" s="102">
        <f t="shared" ca="1" si="8"/>
        <v>0</v>
      </c>
      <c r="E31" s="102">
        <f t="shared" ca="1" si="2"/>
        <v>0</v>
      </c>
      <c r="F31" s="102">
        <f ca="1">IF($D$2="A",
(D31-G31)*IFERROR(VLOOKUP(C31,'1.a Assumptions'!$G$19:$I$34,2,FALSE),0),
(D31-G31)*100%*(C31=$D$5-1))</f>
        <v>0</v>
      </c>
      <c r="G31" s="102">
        <f>IF($D$2="A",
D31*IFERROR(VLOOKUP(C31,'1.a Assumptions'!$G$19:$I$34,3,FALSE),0),
0)</f>
        <v>0</v>
      </c>
      <c r="H31" s="102">
        <f t="shared" ca="1" si="3"/>
        <v>0</v>
      </c>
    </row>
    <row r="32" spans="1:27" ht="15" customHeight="1" x14ac:dyDescent="0.3">
      <c r="A32" s="13"/>
      <c r="B32" s="57" t="str">
        <f t="shared" ca="1" si="7"/>
        <v/>
      </c>
      <c r="C32" s="71" t="str">
        <f t="shared" ca="1" si="1"/>
        <v/>
      </c>
      <c r="D32" s="102">
        <f t="shared" ca="1" si="8"/>
        <v>0</v>
      </c>
      <c r="E32" s="102">
        <f t="shared" ca="1" si="2"/>
        <v>0</v>
      </c>
      <c r="F32" s="102">
        <f ca="1">IF($D$2="A",
(D32-G32)*IFERROR(VLOOKUP(C32,'1.a Assumptions'!$G$19:$I$34,2,FALSE),0),
(D32-G32)*100%*(C32=$D$5-1))</f>
        <v>0</v>
      </c>
      <c r="G32" s="102">
        <f>IF($D$2="A",
D32*IFERROR(VLOOKUP(C32,'1.a Assumptions'!$G$19:$I$34,3,FALSE),0),
0)</f>
        <v>0</v>
      </c>
      <c r="H32" s="102">
        <f t="shared" ca="1" si="3"/>
        <v>0</v>
      </c>
    </row>
    <row r="33" spans="1:8" ht="15" customHeight="1" x14ac:dyDescent="0.3">
      <c r="A33" s="13"/>
      <c r="B33" s="57" t="str">
        <f t="shared" ca="1" si="7"/>
        <v/>
      </c>
      <c r="C33" s="71" t="str">
        <f t="shared" ca="1" si="1"/>
        <v/>
      </c>
      <c r="D33" s="102">
        <f t="shared" ca="1" si="8"/>
        <v>0</v>
      </c>
      <c r="E33" s="102">
        <f t="shared" ca="1" si="2"/>
        <v>0</v>
      </c>
      <c r="F33" s="102">
        <f ca="1">IF($D$2="A",
(D33-G33)*IFERROR(VLOOKUP(C33,'1.a Assumptions'!$G$19:$I$34,2,FALSE),0),
(D33-G33)*100%*(C33=$D$5-1))</f>
        <v>0</v>
      </c>
      <c r="G33" s="102">
        <f>IF($D$2="A",
D33*IFERROR(VLOOKUP(C33,'1.a Assumptions'!$G$19:$I$34,3,FALSE),0),
0)</f>
        <v>0</v>
      </c>
      <c r="H33" s="102">
        <f t="shared" ca="1" si="3"/>
        <v>0</v>
      </c>
    </row>
    <row r="34" spans="1:8" ht="15" customHeight="1" x14ac:dyDescent="0.3">
      <c r="A34" s="13"/>
      <c r="B34" s="57" t="str">
        <f t="shared" ca="1" si="7"/>
        <v/>
      </c>
      <c r="C34" s="71" t="str">
        <f t="shared" ca="1" si="1"/>
        <v/>
      </c>
      <c r="D34" s="102">
        <f t="shared" ca="1" si="8"/>
        <v>0</v>
      </c>
      <c r="E34" s="102">
        <f t="shared" ca="1" si="2"/>
        <v>0</v>
      </c>
      <c r="F34" s="102">
        <f ca="1">IF($D$2="A",
(D34-G34)*IFERROR(VLOOKUP(C34,'1.a Assumptions'!$G$19:$I$34,2,FALSE),0),
(D34-G34)*100%*(C34=$D$5-1))</f>
        <v>0</v>
      </c>
      <c r="G34" s="102">
        <f>IF($D$2="A",
D34*IFERROR(VLOOKUP(C34,'1.a Assumptions'!$G$19:$I$34,3,FALSE),0),
0)</f>
        <v>0</v>
      </c>
      <c r="H34" s="102">
        <f t="shared" ca="1" si="3"/>
        <v>0</v>
      </c>
    </row>
    <row r="35" spans="1:8" ht="15" customHeight="1" x14ac:dyDescent="0.3">
      <c r="A35" s="13"/>
      <c r="B35" s="57" t="str">
        <f t="shared" ca="1" si="7"/>
        <v/>
      </c>
      <c r="C35" s="71" t="str">
        <f t="shared" ca="1" si="1"/>
        <v/>
      </c>
      <c r="D35" s="102">
        <f t="shared" ca="1" si="8"/>
        <v>0</v>
      </c>
      <c r="E35" s="102">
        <f t="shared" ca="1" si="2"/>
        <v>0</v>
      </c>
      <c r="F35" s="102">
        <f ca="1">IF($D$2="A",
(D35-G35)*IFERROR(VLOOKUP(C35,'1.a Assumptions'!$G$19:$I$34,2,FALSE),0),
(D35-G35)*100%*(C35=$D$5-1))</f>
        <v>0</v>
      </c>
      <c r="G35" s="102">
        <f>IF($D$2="A",
D35*IFERROR(VLOOKUP(C35,'1.a Assumptions'!$G$19:$I$34,3,FALSE),0),
0)</f>
        <v>0</v>
      </c>
      <c r="H35" s="102">
        <f t="shared" ca="1" si="3"/>
        <v>0</v>
      </c>
    </row>
    <row r="36" spans="1:8" ht="15" customHeight="1" x14ac:dyDescent="0.3">
      <c r="A36" s="13"/>
      <c r="B36" s="57" t="str">
        <f t="shared" ca="1" si="7"/>
        <v/>
      </c>
      <c r="C36" s="71" t="str">
        <f t="shared" ca="1" si="1"/>
        <v/>
      </c>
      <c r="D36" s="102">
        <f t="shared" ca="1" si="8"/>
        <v>0</v>
      </c>
      <c r="E36" s="102">
        <f t="shared" ca="1" si="2"/>
        <v>0</v>
      </c>
      <c r="F36" s="102">
        <f ca="1">IF($D$2="A",
(D36-G36)*IFERROR(VLOOKUP(C36,'1.a Assumptions'!$G$19:$I$34,2,FALSE),0),
(D36-G36)*100%*(C36=$D$5-1))</f>
        <v>0</v>
      </c>
      <c r="G36" s="102">
        <f>IF($D$2="A",
D36*IFERROR(VLOOKUP(C36,'1.a Assumptions'!$G$19:$I$34,3,FALSE),0),
0)</f>
        <v>0</v>
      </c>
      <c r="H36" s="102">
        <f t="shared" ca="1" si="3"/>
        <v>0</v>
      </c>
    </row>
    <row r="37" spans="1:8" ht="15" customHeight="1" x14ac:dyDescent="0.3">
      <c r="A37" s="13"/>
      <c r="B37" s="57" t="str">
        <f t="shared" ca="1" si="7"/>
        <v/>
      </c>
      <c r="C37" s="71" t="str">
        <f t="shared" ca="1" si="1"/>
        <v/>
      </c>
      <c r="D37" s="102">
        <f t="shared" ca="1" si="8"/>
        <v>0</v>
      </c>
      <c r="E37" s="102">
        <f t="shared" ca="1" si="2"/>
        <v>0</v>
      </c>
      <c r="F37" s="102">
        <f ca="1">IF($D$2="A",
(D37-G37)*IFERROR(VLOOKUP(C37,'1.a Assumptions'!$G$19:$I$34,2,FALSE),0),
(D37-G37)*100%*(C37=$D$5-1))</f>
        <v>0</v>
      </c>
      <c r="G37" s="102">
        <f>IF($D$2="A",
D37*IFERROR(VLOOKUP(C37,'1.a Assumptions'!$G$19:$I$34,3,FALSE),0),
0)</f>
        <v>0</v>
      </c>
      <c r="H37" s="102">
        <f t="shared" ca="1" si="3"/>
        <v>0</v>
      </c>
    </row>
    <row r="38" spans="1:8" ht="15" customHeight="1" x14ac:dyDescent="0.3">
      <c r="A38" s="13"/>
      <c r="B38" s="57" t="str">
        <f t="shared" ca="1" si="7"/>
        <v/>
      </c>
      <c r="C38" s="71" t="str">
        <f t="shared" ca="1" si="1"/>
        <v/>
      </c>
      <c r="D38" s="102">
        <f t="shared" ca="1" si="8"/>
        <v>0</v>
      </c>
      <c r="E38" s="102">
        <f t="shared" ca="1" si="2"/>
        <v>0</v>
      </c>
      <c r="F38" s="102">
        <f ca="1">IF($D$2="A",
(D38-G38)*IFERROR(VLOOKUP(C38,'1.a Assumptions'!$G$19:$I$34,2,FALSE),0),
(D38-G38)*100%*(C38=$D$5-1))</f>
        <v>0</v>
      </c>
      <c r="G38" s="102">
        <f>IF($D$2="A",
D38*IFERROR(VLOOKUP(C38,'1.a Assumptions'!$G$19:$I$34,3,FALSE),0),
0)</f>
        <v>0</v>
      </c>
      <c r="H38" s="102">
        <f t="shared" ca="1" si="3"/>
        <v>0</v>
      </c>
    </row>
    <row r="39" spans="1:8" ht="15" customHeight="1" x14ac:dyDescent="0.3">
      <c r="A39" s="13"/>
      <c r="B39" s="57" t="str">
        <f t="shared" ca="1" si="7"/>
        <v/>
      </c>
      <c r="C39" s="71" t="str">
        <f t="shared" ca="1" si="1"/>
        <v/>
      </c>
      <c r="D39" s="102">
        <f t="shared" ca="1" si="8"/>
        <v>0</v>
      </c>
      <c r="E39" s="102">
        <f t="shared" ca="1" si="2"/>
        <v>0</v>
      </c>
      <c r="F39" s="102">
        <f ca="1">IF($D$2="A",
(D39-G39)*IFERROR(VLOOKUP(C39,'1.a Assumptions'!$G$19:$I$34,2,FALSE),0),
(D39-G39)*100%*(C39=$D$5-1))</f>
        <v>0</v>
      </c>
      <c r="G39" s="102">
        <f>IF($D$2="A",
D39*IFERROR(VLOOKUP(C39,'1.a Assumptions'!$G$19:$I$34,3,FALSE),0),
0)</f>
        <v>0</v>
      </c>
      <c r="H39" s="102">
        <f t="shared" ca="1" si="3"/>
        <v>0</v>
      </c>
    </row>
    <row r="40" spans="1:8" ht="15" customHeight="1" x14ac:dyDescent="0.3">
      <c r="A40" s="13"/>
      <c r="B40" s="57" t="str">
        <f t="shared" ca="1" si="7"/>
        <v/>
      </c>
      <c r="C40" s="71" t="str">
        <f t="shared" ca="1" si="1"/>
        <v/>
      </c>
      <c r="D40" s="102">
        <f t="shared" ca="1" si="8"/>
        <v>0</v>
      </c>
      <c r="E40" s="102">
        <f t="shared" ca="1" si="2"/>
        <v>0</v>
      </c>
      <c r="F40" s="102">
        <f ca="1">IF($D$2="A",
(D40-G40)*IFERROR(VLOOKUP(C40,'1.a Assumptions'!$G$19:$I$34,2,FALSE),0),
(D40-G40)*100%*(C40=$D$5-1))</f>
        <v>0</v>
      </c>
      <c r="G40" s="102">
        <f>IF($D$2="A",
D40*IFERROR(VLOOKUP(C40,'1.a Assumptions'!$G$19:$I$34,3,FALSE),0),
0)</f>
        <v>0</v>
      </c>
      <c r="H40" s="102">
        <f t="shared" ca="1" si="3"/>
        <v>0</v>
      </c>
    </row>
    <row r="41" spans="1:8" ht="15" customHeight="1" x14ac:dyDescent="0.3">
      <c r="A41" s="13"/>
      <c r="B41" s="57" t="str">
        <f t="shared" ca="1" si="7"/>
        <v/>
      </c>
      <c r="C41" s="71" t="str">
        <f t="shared" ca="1" si="1"/>
        <v/>
      </c>
      <c r="D41" s="102">
        <f t="shared" ca="1" si="8"/>
        <v>0</v>
      </c>
      <c r="E41" s="102">
        <f t="shared" ca="1" si="2"/>
        <v>0</v>
      </c>
      <c r="F41" s="102">
        <f ca="1">IF($D$2="A",
(D41-G41)*IFERROR(VLOOKUP(C41,'1.a Assumptions'!$G$19:$I$34,2,FALSE),0),
(D41-G41)*100%*(C41=$D$5-1))</f>
        <v>0</v>
      </c>
      <c r="G41" s="102">
        <f>IF($D$2="A",
D41*IFERROR(VLOOKUP(C41,'1.a Assumptions'!$G$19:$I$34,3,FALSE),0),
0)</f>
        <v>0</v>
      </c>
      <c r="H41" s="102">
        <f t="shared" ca="1" si="3"/>
        <v>0</v>
      </c>
    </row>
    <row r="42" spans="1:8" ht="15" customHeight="1" x14ac:dyDescent="0.3">
      <c r="A42" s="13"/>
      <c r="B42" s="57" t="str">
        <f t="shared" ca="1" si="7"/>
        <v/>
      </c>
      <c r="C42" s="71" t="str">
        <f t="shared" ca="1" si="1"/>
        <v/>
      </c>
      <c r="D42" s="102">
        <f t="shared" ca="1" si="8"/>
        <v>0</v>
      </c>
      <c r="E42" s="102">
        <f t="shared" ca="1" si="2"/>
        <v>0</v>
      </c>
      <c r="F42" s="102">
        <f ca="1">IF($D$2="A",
(D42-G42)*IFERROR(VLOOKUP(C42,'1.a Assumptions'!$G$19:$I$34,2,FALSE),0),
(D42-G42)*100%*(C42=$D$5-1))</f>
        <v>0</v>
      </c>
      <c r="G42" s="102">
        <f>IF($D$2="A",
D42*IFERROR(VLOOKUP(C42,'1.a Assumptions'!$G$19:$I$34,3,FALSE),0),
0)</f>
        <v>0</v>
      </c>
      <c r="H42" s="102">
        <f t="shared" ca="1" si="3"/>
        <v>0</v>
      </c>
    </row>
    <row r="43" spans="1:8" ht="15" customHeight="1" x14ac:dyDescent="0.3">
      <c r="A43" s="13"/>
      <c r="B43" s="57" t="str">
        <f t="shared" ca="1" si="7"/>
        <v/>
      </c>
      <c r="C43" s="71" t="str">
        <f t="shared" ca="1" si="1"/>
        <v/>
      </c>
      <c r="D43" s="102">
        <f t="shared" ca="1" si="8"/>
        <v>0</v>
      </c>
      <c r="E43" s="102">
        <f t="shared" ca="1" si="2"/>
        <v>0</v>
      </c>
      <c r="F43" s="102">
        <f ca="1">IF($D$2="A",
(D43-G43)*IFERROR(VLOOKUP(C43,'1.a Assumptions'!$G$19:$I$34,2,FALSE),0),
(D43-G43)*100%*(C43=$D$5-1))</f>
        <v>0</v>
      </c>
      <c r="G43" s="102">
        <f>IF($D$2="A",
D43*IFERROR(VLOOKUP(C43,'1.a Assumptions'!$G$19:$I$34,3,FALSE),0),
0)</f>
        <v>0</v>
      </c>
      <c r="H43" s="102">
        <f t="shared" ca="1" si="3"/>
        <v>0</v>
      </c>
    </row>
    <row r="44" spans="1:8" ht="15" customHeight="1" x14ac:dyDescent="0.3">
      <c r="A44" s="13"/>
      <c r="B44" s="57" t="str">
        <f t="shared" ca="1" si="7"/>
        <v/>
      </c>
      <c r="C44" s="71" t="str">
        <f t="shared" ca="1" si="1"/>
        <v/>
      </c>
      <c r="D44" s="102">
        <f t="shared" ca="1" si="8"/>
        <v>0</v>
      </c>
      <c r="E44" s="102">
        <f t="shared" ca="1" si="2"/>
        <v>0</v>
      </c>
      <c r="F44" s="102">
        <f ca="1">IF($D$2="A",
(D44-G44)*IFERROR(VLOOKUP(C44,'1.a Assumptions'!$G$19:$I$34,2,FALSE),0),
(D44-G44)*100%*(C44=$D$5-1))</f>
        <v>0</v>
      </c>
      <c r="G44" s="102">
        <f>IF($D$2="A",
D44*IFERROR(VLOOKUP(C44,'1.a Assumptions'!$G$19:$I$34,3,FALSE),0),
0)</f>
        <v>0</v>
      </c>
      <c r="H44" s="102">
        <f t="shared" ca="1" si="3"/>
        <v>0</v>
      </c>
    </row>
    <row r="45" spans="1:8" ht="15" customHeight="1" x14ac:dyDescent="0.3">
      <c r="A45" s="13"/>
      <c r="B45" s="57" t="str">
        <f t="shared" ca="1" si="7"/>
        <v/>
      </c>
      <c r="C45" s="71" t="str">
        <f t="shared" ca="1" si="1"/>
        <v/>
      </c>
      <c r="D45" s="102">
        <f t="shared" ca="1" si="8"/>
        <v>0</v>
      </c>
      <c r="E45" s="102">
        <f t="shared" ca="1" si="2"/>
        <v>0</v>
      </c>
      <c r="F45" s="102">
        <f ca="1">IF($D$2="A",
(D45-G45)*IFERROR(VLOOKUP(C45,'1.a Assumptions'!$G$19:$I$34,2,FALSE),0),
(D45-G45)*100%*(C45=$D$5-1))</f>
        <v>0</v>
      </c>
      <c r="G45" s="102">
        <f>IF($D$2="A",
D45*IFERROR(VLOOKUP(C45,'1.a Assumptions'!$G$19:$I$34,3,FALSE),0),
0)</f>
        <v>0</v>
      </c>
      <c r="H45" s="102">
        <f t="shared" ca="1" si="3"/>
        <v>0</v>
      </c>
    </row>
    <row r="46" spans="1:8" ht="15" customHeight="1" x14ac:dyDescent="0.3">
      <c r="A46" s="13"/>
      <c r="B46" s="57" t="str">
        <f t="shared" ca="1" si="7"/>
        <v/>
      </c>
      <c r="C46" s="71" t="str">
        <f t="shared" ca="1" si="1"/>
        <v/>
      </c>
      <c r="D46" s="102">
        <f t="shared" ca="1" si="8"/>
        <v>0</v>
      </c>
      <c r="E46" s="102">
        <f t="shared" ca="1" si="2"/>
        <v>0</v>
      </c>
      <c r="F46" s="102">
        <f ca="1">IF($D$2="A",
(D46-G46)*IFERROR(VLOOKUP(C46,'1.a Assumptions'!$G$19:$I$34,2,FALSE),0),
(D46-G46)*100%*(C46=$D$5-1))</f>
        <v>0</v>
      </c>
      <c r="G46" s="102">
        <f>IF($D$2="A",
D46*IFERROR(VLOOKUP(C46,'1.a Assumptions'!$G$19:$I$34,3,FALSE),0),
0)</f>
        <v>0</v>
      </c>
      <c r="H46" s="102">
        <f t="shared" ca="1" si="3"/>
        <v>0</v>
      </c>
    </row>
    <row r="47" spans="1:8" ht="15" customHeight="1" x14ac:dyDescent="0.3">
      <c r="A47" s="13"/>
      <c r="B47" s="57" t="str">
        <f t="shared" ca="1" si="7"/>
        <v/>
      </c>
      <c r="C47" s="71" t="str">
        <f t="shared" ca="1" si="1"/>
        <v/>
      </c>
      <c r="D47" s="102">
        <f t="shared" ca="1" si="8"/>
        <v>0</v>
      </c>
      <c r="E47" s="102">
        <f t="shared" ca="1" si="2"/>
        <v>0</v>
      </c>
      <c r="F47" s="102">
        <f ca="1">IF($D$2="A",
(D47-G47)*IFERROR(VLOOKUP(C47,'1.a Assumptions'!$G$19:$I$34,2,FALSE),0),
(D47-G47)*100%*(C47=$D$5-1))</f>
        <v>0</v>
      </c>
      <c r="G47" s="102">
        <f>IF($D$2="A",
D47*IFERROR(VLOOKUP(C47,'1.a Assumptions'!$G$19:$I$34,3,FALSE),0),
0)</f>
        <v>0</v>
      </c>
      <c r="H47" s="102">
        <f t="shared" ca="1" si="3"/>
        <v>0</v>
      </c>
    </row>
    <row r="48" spans="1:8" ht="15" customHeight="1" x14ac:dyDescent="0.3">
      <c r="A48" s="13"/>
      <c r="B48" s="57" t="str">
        <f t="shared" ca="1" si="7"/>
        <v/>
      </c>
      <c r="C48" s="71" t="str">
        <f t="shared" ca="1" si="1"/>
        <v/>
      </c>
      <c r="D48" s="102">
        <f t="shared" ca="1" si="8"/>
        <v>0</v>
      </c>
      <c r="E48" s="102">
        <f t="shared" ca="1" si="2"/>
        <v>0</v>
      </c>
      <c r="F48" s="102">
        <f ca="1">IF($D$2="A",
(D48-G48)*IFERROR(VLOOKUP(C48,'1.a Assumptions'!$G$19:$I$34,2,FALSE),0),
(D48-G48)*100%*(C48=$D$5-1))</f>
        <v>0</v>
      </c>
      <c r="G48" s="102">
        <f>IF($D$2="A",
D48*IFERROR(VLOOKUP(C48,'1.a Assumptions'!$G$19:$I$34,3,FALSE),0),
0)</f>
        <v>0</v>
      </c>
      <c r="H48" s="102">
        <f t="shared" ca="1" si="3"/>
        <v>0</v>
      </c>
    </row>
    <row r="49" spans="1:8" ht="15" customHeight="1" x14ac:dyDescent="0.3">
      <c r="A49" s="13"/>
      <c r="B49" s="57" t="str">
        <f t="shared" ca="1" si="7"/>
        <v/>
      </c>
      <c r="C49" s="71" t="str">
        <f t="shared" ca="1" si="1"/>
        <v/>
      </c>
      <c r="D49" s="102">
        <f t="shared" ca="1" si="8"/>
        <v>0</v>
      </c>
      <c r="E49" s="102">
        <f t="shared" ca="1" si="2"/>
        <v>0</v>
      </c>
      <c r="F49" s="102">
        <f ca="1">IF($D$2="A",
(D49-G49)*IFERROR(VLOOKUP(C49,'1.a Assumptions'!$G$19:$I$34,2,FALSE),0),
(D49-G49)*100%*(C49=$D$5-1))</f>
        <v>0</v>
      </c>
      <c r="G49" s="102">
        <f>IF($D$2="A",
D49*IFERROR(VLOOKUP(C49,'1.a Assumptions'!$G$19:$I$34,3,FALSE),0),
0)</f>
        <v>0</v>
      </c>
      <c r="H49" s="102">
        <f t="shared" ca="1" si="3"/>
        <v>0</v>
      </c>
    </row>
    <row r="50" spans="1:8" ht="15" customHeight="1" x14ac:dyDescent="0.3">
      <c r="A50" s="13"/>
      <c r="B50" s="57" t="str">
        <f t="shared" ca="1" si="7"/>
        <v/>
      </c>
      <c r="C50" s="71" t="str">
        <f t="shared" ca="1" si="1"/>
        <v/>
      </c>
      <c r="D50" s="102">
        <f t="shared" ca="1" si="8"/>
        <v>0</v>
      </c>
      <c r="E50" s="102">
        <f t="shared" ca="1" si="2"/>
        <v>0</v>
      </c>
      <c r="F50" s="102">
        <f ca="1">IF($D$2="A",
(D50-G50)*IFERROR(VLOOKUP(C50,'1.a Assumptions'!$G$19:$I$34,2,FALSE),0),
(D50-G50)*100%*(C50=$D$5-1))</f>
        <v>0</v>
      </c>
      <c r="G50" s="102">
        <f>IF($D$2="A",
D50*IFERROR(VLOOKUP(C50,'1.a Assumptions'!$G$19:$I$34,3,FALSE),0),
0)</f>
        <v>0</v>
      </c>
      <c r="H50" s="102">
        <f t="shared" ca="1" si="3"/>
        <v>0</v>
      </c>
    </row>
    <row r="51" spans="1:8" ht="15" customHeight="1" x14ac:dyDescent="0.3">
      <c r="A51" s="13"/>
      <c r="B51" s="57" t="str">
        <f t="shared" ca="1" si="7"/>
        <v/>
      </c>
      <c r="C51" s="71" t="str">
        <f t="shared" ca="1" si="1"/>
        <v/>
      </c>
      <c r="D51" s="102">
        <f t="shared" ca="1" si="8"/>
        <v>0</v>
      </c>
      <c r="E51" s="102">
        <f t="shared" ca="1" si="2"/>
        <v>0</v>
      </c>
      <c r="F51" s="102">
        <f ca="1">IF($D$2="A",
(D51-G51)*IFERROR(VLOOKUP(C51,'1.a Assumptions'!$G$19:$I$34,2,FALSE),0),
(D51-G51)*100%*(C51=$D$5-1))</f>
        <v>0</v>
      </c>
      <c r="G51" s="102">
        <f>IF($D$2="A",
D51*IFERROR(VLOOKUP(C51,'1.a Assumptions'!$G$19:$I$34,3,FALSE),0),
0)</f>
        <v>0</v>
      </c>
      <c r="H51" s="102">
        <f t="shared" ca="1" si="3"/>
        <v>0</v>
      </c>
    </row>
    <row r="52" spans="1:8" ht="15" customHeight="1" x14ac:dyDescent="0.3">
      <c r="A52" s="13"/>
      <c r="B52" s="57" t="str">
        <f t="shared" ca="1" si="7"/>
        <v/>
      </c>
      <c r="C52" s="71" t="str">
        <f t="shared" ca="1" si="1"/>
        <v/>
      </c>
      <c r="D52" s="102">
        <f t="shared" ca="1" si="8"/>
        <v>0</v>
      </c>
      <c r="E52" s="102">
        <f t="shared" ca="1" si="2"/>
        <v>0</v>
      </c>
      <c r="F52" s="102">
        <f ca="1">IF($D$2="A",
(D52-G52)*IFERROR(VLOOKUP(C52,'1.a Assumptions'!$G$19:$I$34,2,FALSE),0),
(D52-G52)*100%*(C52=$D$5-1))</f>
        <v>0</v>
      </c>
      <c r="G52" s="102">
        <f>IF($D$2="A",
D52*IFERROR(VLOOKUP(C52,'1.a Assumptions'!$G$19:$I$34,3,FALSE),0),
0)</f>
        <v>0</v>
      </c>
      <c r="H52" s="102">
        <f t="shared" ca="1" si="3"/>
        <v>0</v>
      </c>
    </row>
    <row r="53" spans="1:8" ht="15" customHeight="1" x14ac:dyDescent="0.3">
      <c r="A53" s="13"/>
      <c r="B53" s="57" t="str">
        <f t="shared" ca="1" si="7"/>
        <v/>
      </c>
      <c r="C53" s="71" t="str">
        <f t="shared" ca="1" si="1"/>
        <v/>
      </c>
      <c r="D53" s="102">
        <f t="shared" ca="1" si="8"/>
        <v>0</v>
      </c>
      <c r="E53" s="102">
        <f t="shared" ca="1" si="2"/>
        <v>0</v>
      </c>
      <c r="F53" s="102">
        <f ca="1">IF($D$2="A",
(D53-G53)*IFERROR(VLOOKUP(C53,'1.a Assumptions'!$G$19:$I$34,2,FALSE),0),
(D53-G53)*100%*(C53=$D$5-1))</f>
        <v>0</v>
      </c>
      <c r="G53" s="102">
        <f>IF($D$2="A",
D53*IFERROR(VLOOKUP(C53,'1.a Assumptions'!$G$19:$I$34,3,FALSE),0),
0)</f>
        <v>0</v>
      </c>
      <c r="H53" s="102">
        <f t="shared" ca="1" si="3"/>
        <v>0</v>
      </c>
    </row>
    <row r="54" spans="1:8" ht="15" customHeight="1" x14ac:dyDescent="0.3">
      <c r="A54" s="13"/>
      <c r="B54" s="57" t="str">
        <f t="shared" ca="1" si="7"/>
        <v/>
      </c>
      <c r="C54" s="71" t="str">
        <f t="shared" ca="1" si="1"/>
        <v/>
      </c>
      <c r="D54" s="102">
        <f t="shared" ca="1" si="8"/>
        <v>0</v>
      </c>
      <c r="E54" s="102">
        <f t="shared" ca="1" si="2"/>
        <v>0</v>
      </c>
      <c r="F54" s="102">
        <f ca="1">IF($D$2="A",
(D54-G54)*IFERROR(VLOOKUP(C54,'1.a Assumptions'!$G$19:$I$34,2,FALSE),0),
(D54-G54)*100%*(C54=$D$5-1))</f>
        <v>0</v>
      </c>
      <c r="G54" s="102">
        <f>IF($D$2="A",
D54*IFERROR(VLOOKUP(C54,'1.a Assumptions'!$G$19:$I$34,3,FALSE),0),
0)</f>
        <v>0</v>
      </c>
      <c r="H54" s="102">
        <f t="shared" ca="1" si="3"/>
        <v>0</v>
      </c>
    </row>
    <row r="55" spans="1:8" ht="15" customHeight="1" x14ac:dyDescent="0.3">
      <c r="A55" s="13"/>
      <c r="B55" s="57" t="str">
        <f t="shared" ca="1" si="7"/>
        <v/>
      </c>
      <c r="C55" s="71" t="str">
        <f t="shared" ca="1" si="1"/>
        <v/>
      </c>
      <c r="D55" s="102">
        <f t="shared" ca="1" si="8"/>
        <v>0</v>
      </c>
      <c r="E55" s="102">
        <f t="shared" ca="1" si="2"/>
        <v>0</v>
      </c>
      <c r="F55" s="102">
        <f ca="1">IF($D$2="A",
(D55-G55)*IFERROR(VLOOKUP(C55,'1.a Assumptions'!$G$19:$I$34,2,FALSE),0),
(D55-G55)*100%*(C55=$D$5-1))</f>
        <v>0</v>
      </c>
      <c r="G55" s="102">
        <f>IF($D$2="A",
D55*IFERROR(VLOOKUP(C55,'1.a Assumptions'!$G$19:$I$34,3,FALSE),0),
0)</f>
        <v>0</v>
      </c>
      <c r="H55" s="102">
        <f t="shared" ca="1" si="3"/>
        <v>0</v>
      </c>
    </row>
    <row r="56" spans="1:8" ht="15" customHeight="1" x14ac:dyDescent="0.3">
      <c r="A56" s="13"/>
      <c r="B56" s="57" t="str">
        <f t="shared" ca="1" si="7"/>
        <v/>
      </c>
      <c r="C56" s="71" t="str">
        <f t="shared" ca="1" si="1"/>
        <v/>
      </c>
      <c r="D56" s="102">
        <f t="shared" ca="1" si="8"/>
        <v>0</v>
      </c>
      <c r="E56" s="102">
        <f t="shared" ca="1" si="2"/>
        <v>0</v>
      </c>
      <c r="F56" s="102">
        <f ca="1">IF($D$2="A",
(D56-G56)*IFERROR(VLOOKUP(C56,'1.a Assumptions'!$G$19:$I$34,2,FALSE),0),
(D56-G56)*100%*(C56=$D$5-1))</f>
        <v>0</v>
      </c>
      <c r="G56" s="102">
        <f>IF($D$2="A",
D56*IFERROR(VLOOKUP(C56,'1.a Assumptions'!$G$19:$I$34,3,FALSE),0),
0)</f>
        <v>0</v>
      </c>
      <c r="H56" s="102">
        <f t="shared" ca="1" si="3"/>
        <v>0</v>
      </c>
    </row>
    <row r="57" spans="1:8" ht="15" customHeight="1" x14ac:dyDescent="0.3">
      <c r="A57" s="13"/>
      <c r="B57" s="57" t="str">
        <f t="shared" ca="1" si="7"/>
        <v/>
      </c>
      <c r="C57" s="71" t="str">
        <f t="shared" ca="1" si="1"/>
        <v/>
      </c>
      <c r="D57" s="102">
        <f t="shared" ca="1" si="8"/>
        <v>0</v>
      </c>
      <c r="E57" s="102">
        <f t="shared" ca="1" si="2"/>
        <v>0</v>
      </c>
      <c r="F57" s="102">
        <f ca="1">IF($D$2="A",
(D57-G57)*IFERROR(VLOOKUP(C57,'1.a Assumptions'!$G$19:$I$34,2,FALSE),0),
(D57-G57)*100%*(C57=$D$5-1))</f>
        <v>0</v>
      </c>
      <c r="G57" s="102">
        <f>IF($D$2="A",
D57*IFERROR(VLOOKUP(C57,'1.a Assumptions'!$G$19:$I$34,3,FALSE),0),
0)</f>
        <v>0</v>
      </c>
      <c r="H57" s="102">
        <f t="shared" ca="1" si="3"/>
        <v>0</v>
      </c>
    </row>
    <row r="58" spans="1:8" ht="15" customHeight="1" x14ac:dyDescent="0.3">
      <c r="A58" s="13"/>
      <c r="B58" s="57" t="str">
        <f t="shared" ca="1" si="7"/>
        <v/>
      </c>
      <c r="C58" s="71" t="str">
        <f t="shared" ca="1" si="1"/>
        <v/>
      </c>
      <c r="D58" s="102">
        <f t="shared" ca="1" si="8"/>
        <v>0</v>
      </c>
      <c r="E58" s="102">
        <f t="shared" ca="1" si="2"/>
        <v>0</v>
      </c>
      <c r="F58" s="102">
        <f ca="1">IF($D$2="A",
(D58-G58)*IFERROR(VLOOKUP(C58,'1.a Assumptions'!$G$19:$I$34,2,FALSE),0),
(D58-G58)*100%*(C58=$D$5-1))</f>
        <v>0</v>
      </c>
      <c r="G58" s="102">
        <f>IF($D$2="A",
D58*IFERROR(VLOOKUP(C58,'1.a Assumptions'!$G$19:$I$34,3,FALSE),0),
0)</f>
        <v>0</v>
      </c>
      <c r="H58" s="102">
        <f t="shared" ca="1" si="3"/>
        <v>0</v>
      </c>
    </row>
    <row r="59" spans="1:8" ht="15" customHeight="1" x14ac:dyDescent="0.3">
      <c r="A59" s="13"/>
      <c r="B59" s="57" t="str">
        <f t="shared" ca="1" si="7"/>
        <v/>
      </c>
      <c r="C59" s="71" t="str">
        <f t="shared" ca="1" si="1"/>
        <v/>
      </c>
      <c r="D59" s="102">
        <f t="shared" ca="1" si="8"/>
        <v>0</v>
      </c>
      <c r="E59" s="102">
        <f t="shared" ca="1" si="2"/>
        <v>0</v>
      </c>
      <c r="F59" s="102">
        <f ca="1">IF($D$2="A",
(D59-G59)*IFERROR(VLOOKUP(C59,'1.a Assumptions'!$G$19:$I$34,2,FALSE),0),
(D59-G59)*100%*(C59=$D$5-1))</f>
        <v>0</v>
      </c>
      <c r="G59" s="102">
        <f>IF($D$2="A",
D59*IFERROR(VLOOKUP(C59,'1.a Assumptions'!$G$19:$I$34,3,FALSE),0),
0)</f>
        <v>0</v>
      </c>
      <c r="H59" s="102">
        <f t="shared" ca="1" si="3"/>
        <v>0</v>
      </c>
    </row>
    <row r="60" spans="1:8" ht="15" customHeight="1" x14ac:dyDescent="0.3">
      <c r="A60" s="13"/>
      <c r="B60" s="57" t="str">
        <f t="shared" ca="1" si="7"/>
        <v/>
      </c>
      <c r="C60" s="71" t="str">
        <f t="shared" ca="1" si="1"/>
        <v/>
      </c>
      <c r="D60" s="102">
        <f t="shared" ca="1" si="8"/>
        <v>0</v>
      </c>
      <c r="E60" s="102">
        <f t="shared" ca="1" si="2"/>
        <v>0</v>
      </c>
      <c r="F60" s="102">
        <f ca="1">IF($D$2="A",
(D60-G60)*IFERROR(VLOOKUP(C60,'1.a Assumptions'!$G$19:$I$34,2,FALSE),0),
(D60-G60)*100%*(C60=$D$5-1))</f>
        <v>0</v>
      </c>
      <c r="G60" s="102">
        <f>IF($D$2="A",
D60*IFERROR(VLOOKUP(C60,'1.a Assumptions'!$G$19:$I$34,3,FALSE),0),
0)</f>
        <v>0</v>
      </c>
      <c r="H60" s="102">
        <f t="shared" ca="1" si="3"/>
        <v>0</v>
      </c>
    </row>
    <row r="61" spans="1:8" ht="15" customHeight="1" x14ac:dyDescent="0.3">
      <c r="A61" s="13"/>
      <c r="B61" s="57" t="str">
        <f t="shared" ca="1" si="7"/>
        <v/>
      </c>
      <c r="C61" s="71" t="str">
        <f t="shared" ca="1" si="1"/>
        <v/>
      </c>
      <c r="D61" s="102">
        <f t="shared" ca="1" si="8"/>
        <v>0</v>
      </c>
      <c r="E61" s="102">
        <f t="shared" ca="1" si="2"/>
        <v>0</v>
      </c>
      <c r="F61" s="102">
        <f ca="1">IF($D$2="A",
(D61-G61)*IFERROR(VLOOKUP(C61,'1.a Assumptions'!$G$19:$I$34,2,FALSE),0),
(D61-G61)*100%*(C61=$D$5-1))</f>
        <v>0</v>
      </c>
      <c r="G61" s="102">
        <f>IF($D$2="A",
D61*IFERROR(VLOOKUP(C61,'1.a Assumptions'!$G$19:$I$34,3,FALSE),0),
0)</f>
        <v>0</v>
      </c>
      <c r="H61" s="102">
        <f t="shared" ca="1" si="3"/>
        <v>0</v>
      </c>
    </row>
    <row r="62" spans="1:8" ht="15" customHeight="1" x14ac:dyDescent="0.3">
      <c r="A62" s="13"/>
      <c r="B62" s="57" t="str">
        <f t="shared" ca="1" si="7"/>
        <v/>
      </c>
      <c r="C62" s="71" t="str">
        <f t="shared" ca="1" si="1"/>
        <v/>
      </c>
      <c r="D62" s="102">
        <f t="shared" ca="1" si="8"/>
        <v>0</v>
      </c>
      <c r="E62" s="102">
        <f t="shared" ca="1" si="2"/>
        <v>0</v>
      </c>
      <c r="F62" s="102">
        <f ca="1">IF($D$2="A",
(D62-G62)*IFERROR(VLOOKUP(C62,'1.a Assumptions'!$G$19:$I$34,2,FALSE),0),
(D62-G62)*100%*(C62=$D$5-1))</f>
        <v>0</v>
      </c>
      <c r="G62" s="102">
        <f>IF($D$2="A",
D62*IFERROR(VLOOKUP(C62,'1.a Assumptions'!$G$19:$I$34,3,FALSE),0),
0)</f>
        <v>0</v>
      </c>
      <c r="H62" s="102">
        <f t="shared" ca="1" si="3"/>
        <v>0</v>
      </c>
    </row>
    <row r="63" spans="1:8" ht="15" customHeight="1" x14ac:dyDescent="0.3">
      <c r="A63" s="13"/>
      <c r="B63" s="57" t="str">
        <f t="shared" ca="1" si="7"/>
        <v/>
      </c>
      <c r="C63" s="71" t="str">
        <f t="shared" ca="1" si="1"/>
        <v/>
      </c>
      <c r="D63" s="102">
        <f t="shared" ca="1" si="8"/>
        <v>0</v>
      </c>
      <c r="E63" s="102">
        <f t="shared" ca="1" si="2"/>
        <v>0</v>
      </c>
      <c r="F63" s="102">
        <f ca="1">IF($D$2="A",
(D63-G63)*IFERROR(VLOOKUP(C63,'1.a Assumptions'!$G$19:$I$34,2,FALSE),0),
(D63-G63)*100%*(C63=$D$5-1))</f>
        <v>0</v>
      </c>
      <c r="G63" s="102">
        <f>IF($D$2="A",
D63*IFERROR(VLOOKUP(C63,'1.a Assumptions'!$G$19:$I$34,3,FALSE),0),
0)</f>
        <v>0</v>
      </c>
      <c r="H63" s="102">
        <f t="shared" ca="1" si="3"/>
        <v>0</v>
      </c>
    </row>
    <row r="64" spans="1:8" ht="15" customHeight="1" x14ac:dyDescent="0.3">
      <c r="A64" s="13"/>
      <c r="B64" s="57" t="str">
        <f t="shared" ca="1" si="7"/>
        <v/>
      </c>
      <c r="C64" s="71" t="str">
        <f t="shared" ca="1" si="1"/>
        <v/>
      </c>
      <c r="D64" s="102">
        <f t="shared" ca="1" si="8"/>
        <v>0</v>
      </c>
      <c r="E64" s="102">
        <f t="shared" ca="1" si="2"/>
        <v>0</v>
      </c>
      <c r="F64" s="102">
        <f ca="1">IF($D$2="A",
(D64-G64)*IFERROR(VLOOKUP(C64,'1.a Assumptions'!$G$19:$I$34,2,FALSE),0),
(D64-G64)*100%*(C64=$D$5-1))</f>
        <v>0</v>
      </c>
      <c r="G64" s="102">
        <f>IF($D$2="A",
D64*IFERROR(VLOOKUP(C64,'1.a Assumptions'!$G$19:$I$34,3,FALSE),0),
0)</f>
        <v>0</v>
      </c>
      <c r="H64" s="102">
        <f t="shared" ca="1" si="3"/>
        <v>0</v>
      </c>
    </row>
    <row r="65" spans="1:8" ht="15" customHeight="1" x14ac:dyDescent="0.3">
      <c r="A65" s="13"/>
      <c r="B65" s="57" t="str">
        <f t="shared" ca="1" si="7"/>
        <v/>
      </c>
      <c r="C65" s="71" t="str">
        <f t="shared" ca="1" si="1"/>
        <v/>
      </c>
      <c r="D65" s="102">
        <f t="shared" ca="1" si="8"/>
        <v>0</v>
      </c>
      <c r="E65" s="102">
        <f t="shared" ca="1" si="2"/>
        <v>0</v>
      </c>
      <c r="F65" s="102">
        <f ca="1">IF($D$2="A",
(D65-G65)*IFERROR(VLOOKUP(C65,'1.a Assumptions'!$G$19:$I$34,2,FALSE),0),
(D65-G65)*100%*(C65=$D$5-1))</f>
        <v>0</v>
      </c>
      <c r="G65" s="102">
        <f>IF($D$2="A",
D65*IFERROR(VLOOKUP(C65,'1.a Assumptions'!$G$19:$I$34,3,FALSE),0),
0)</f>
        <v>0</v>
      </c>
      <c r="H65" s="102">
        <f t="shared" ca="1" si="3"/>
        <v>0</v>
      </c>
    </row>
    <row r="66" spans="1:8" ht="15" customHeight="1" x14ac:dyDescent="0.3">
      <c r="A66" s="13"/>
      <c r="B66" s="57" t="str">
        <f t="shared" ca="1" si="7"/>
        <v/>
      </c>
      <c r="C66" s="71" t="str">
        <f t="shared" ca="1" si="1"/>
        <v/>
      </c>
      <c r="D66" s="102">
        <f t="shared" ca="1" si="8"/>
        <v>0</v>
      </c>
      <c r="E66" s="102">
        <f t="shared" ca="1" si="2"/>
        <v>0</v>
      </c>
      <c r="F66" s="102">
        <f ca="1">IF($D$2="A",
(D66-G66)*IFERROR(VLOOKUP(C66,'1.a Assumptions'!$G$19:$I$34,2,FALSE),0),
(D66-G66)*100%*(C66=$D$5-1))</f>
        <v>0</v>
      </c>
      <c r="G66" s="102">
        <f>IF($D$2="A",
D66*IFERROR(VLOOKUP(C66,'1.a Assumptions'!$G$19:$I$34,3,FALSE),0),
0)</f>
        <v>0</v>
      </c>
      <c r="H66" s="102">
        <f t="shared" ca="1" si="3"/>
        <v>0</v>
      </c>
    </row>
    <row r="67" spans="1:8" ht="15" customHeight="1" x14ac:dyDescent="0.3">
      <c r="A67" s="13"/>
      <c r="B67" s="57" t="str">
        <f t="shared" ca="1" si="7"/>
        <v/>
      </c>
      <c r="C67" s="71" t="str">
        <f t="shared" ca="1" si="1"/>
        <v/>
      </c>
      <c r="D67" s="102">
        <f t="shared" ca="1" si="8"/>
        <v>0</v>
      </c>
      <c r="E67" s="102">
        <f t="shared" ca="1" si="2"/>
        <v>0</v>
      </c>
      <c r="F67" s="102">
        <f ca="1">IF($D$2="A",
(D67-G67)*IFERROR(VLOOKUP(C67,'1.a Assumptions'!$G$19:$I$34,2,FALSE),0),
(D67-G67)*100%*(C67=$D$5-1))</f>
        <v>0</v>
      </c>
      <c r="G67" s="102">
        <f>IF($D$2="A",
D67*IFERROR(VLOOKUP(C67,'1.a Assumptions'!$G$19:$I$34,3,FALSE),0),
0)</f>
        <v>0</v>
      </c>
      <c r="H67" s="102">
        <f t="shared" ca="1" si="3"/>
        <v>0</v>
      </c>
    </row>
    <row r="68" spans="1:8" ht="15" customHeight="1" x14ac:dyDescent="0.3">
      <c r="A68" s="13"/>
      <c r="B68" s="57" t="str">
        <f t="shared" ca="1" si="7"/>
        <v/>
      </c>
      <c r="C68" s="71" t="str">
        <f t="shared" ca="1" si="1"/>
        <v/>
      </c>
      <c r="D68" s="102">
        <f t="shared" ca="1" si="8"/>
        <v>0</v>
      </c>
      <c r="E68" s="102">
        <f t="shared" ca="1" si="2"/>
        <v>0</v>
      </c>
      <c r="F68" s="102">
        <f ca="1">IF($D$2="A",
(D68-G68)*IFERROR(VLOOKUP(C68,'1.a Assumptions'!$G$19:$I$34,2,FALSE),0),
(D68-G68)*100%*(C68=$D$5-1))</f>
        <v>0</v>
      </c>
      <c r="G68" s="102">
        <f>IF($D$2="A",
D68*IFERROR(VLOOKUP(C68,'1.a Assumptions'!$G$19:$I$34,3,FALSE),0),
0)</f>
        <v>0</v>
      </c>
      <c r="H68" s="102">
        <f t="shared" ca="1" si="3"/>
        <v>0</v>
      </c>
    </row>
    <row r="69" spans="1:8" ht="15" customHeight="1" x14ac:dyDescent="0.3">
      <c r="A69" s="13"/>
      <c r="B69" s="57" t="str">
        <f t="shared" ca="1" si="7"/>
        <v/>
      </c>
      <c r="C69" s="71" t="str">
        <f t="shared" ca="1" si="1"/>
        <v/>
      </c>
      <c r="D69" s="102">
        <f t="shared" ca="1" si="8"/>
        <v>0</v>
      </c>
      <c r="E69" s="102">
        <f t="shared" ca="1" si="2"/>
        <v>0</v>
      </c>
      <c r="F69" s="102">
        <f ca="1">IF($D$2="A",
(D69-G69)*IFERROR(VLOOKUP(C69,'1.a Assumptions'!$G$19:$I$34,2,FALSE),0),
(D69-G69)*100%*(C69=$D$5-1))</f>
        <v>0</v>
      </c>
      <c r="G69" s="102">
        <f>IF($D$2="A",
D69*IFERROR(VLOOKUP(C69,'1.a Assumptions'!$G$19:$I$34,3,FALSE),0),
0)</f>
        <v>0</v>
      </c>
      <c r="H69" s="102">
        <f t="shared" ca="1" si="3"/>
        <v>0</v>
      </c>
    </row>
    <row r="70" spans="1:8" ht="15" customHeight="1" x14ac:dyDescent="0.3">
      <c r="A70" s="13"/>
      <c r="B70" s="57" t="str">
        <f t="shared" ca="1" si="7"/>
        <v/>
      </c>
      <c r="C70" s="71" t="str">
        <f t="shared" ca="1" si="1"/>
        <v/>
      </c>
      <c r="D70" s="102">
        <f t="shared" ca="1" si="8"/>
        <v>0</v>
      </c>
      <c r="E70" s="102">
        <f t="shared" ca="1" si="2"/>
        <v>0</v>
      </c>
      <c r="F70" s="102">
        <f ca="1">IF($D$2="A",
(D70-G70)*IFERROR(VLOOKUP(C70,'1.a Assumptions'!$G$19:$I$34,2,FALSE),0),
(D70-G70)*100%*(C70=$D$5-1))</f>
        <v>0</v>
      </c>
      <c r="G70" s="102">
        <f>IF($D$2="A",
D70*IFERROR(VLOOKUP(C70,'1.a Assumptions'!$G$19:$I$34,3,FALSE),0),
0)</f>
        <v>0</v>
      </c>
      <c r="H70" s="102">
        <f t="shared" ca="1" si="3"/>
        <v>0</v>
      </c>
    </row>
    <row r="71" spans="1:8" ht="15" customHeight="1" x14ac:dyDescent="0.3">
      <c r="A71" s="13"/>
      <c r="B71" s="57" t="str">
        <f t="shared" ca="1" si="7"/>
        <v/>
      </c>
      <c r="C71" s="71" t="str">
        <f t="shared" ca="1" si="1"/>
        <v/>
      </c>
      <c r="D71" s="102">
        <f t="shared" ca="1" si="8"/>
        <v>0</v>
      </c>
      <c r="E71" s="102">
        <f t="shared" ca="1" si="2"/>
        <v>0</v>
      </c>
      <c r="F71" s="102">
        <f ca="1">IF($D$2="A",
(D71-G71)*IFERROR(VLOOKUP(C71,'1.a Assumptions'!$G$19:$I$34,2,FALSE),0),
(D71-G71)*100%*(C71=$D$5-1))</f>
        <v>0</v>
      </c>
      <c r="G71" s="102">
        <f>IF($D$2="A",
D71*IFERROR(VLOOKUP(C71,'1.a Assumptions'!$G$19:$I$34,3,FALSE),0),
0)</f>
        <v>0</v>
      </c>
      <c r="H71" s="102">
        <f t="shared" ca="1" si="3"/>
        <v>0</v>
      </c>
    </row>
    <row r="72" spans="1:8" ht="15" customHeight="1" x14ac:dyDescent="0.3">
      <c r="A72" s="13"/>
      <c r="B72" s="57" t="str">
        <f t="shared" ca="1" si="7"/>
        <v/>
      </c>
      <c r="C72" s="71" t="str">
        <f t="shared" ca="1" si="1"/>
        <v/>
      </c>
      <c r="D72" s="102">
        <f t="shared" ca="1" si="8"/>
        <v>0</v>
      </c>
      <c r="E72" s="102">
        <f t="shared" ca="1" si="2"/>
        <v>0</v>
      </c>
      <c r="F72" s="102">
        <f ca="1">IF($D$2="A",
(D72-G72)*IFERROR(VLOOKUP(C72,'1.a Assumptions'!$G$19:$I$34,2,FALSE),0),
(D72-G72)*100%*(C72=$D$5-1))</f>
        <v>0</v>
      </c>
      <c r="G72" s="102">
        <f>IF($D$2="A",
D72*IFERROR(VLOOKUP(C72,'1.a Assumptions'!$G$19:$I$34,3,FALSE),0),
0)</f>
        <v>0</v>
      </c>
      <c r="H72" s="102">
        <f t="shared" ca="1" si="3"/>
        <v>0</v>
      </c>
    </row>
    <row r="73" spans="1:8" ht="15" customHeight="1" x14ac:dyDescent="0.3">
      <c r="A73" s="13"/>
      <c r="B73" s="57" t="str">
        <f t="shared" ca="1" si="7"/>
        <v/>
      </c>
      <c r="C73" s="71" t="str">
        <f t="shared" ca="1" si="1"/>
        <v/>
      </c>
      <c r="D73" s="102">
        <f t="shared" ca="1" si="8"/>
        <v>0</v>
      </c>
      <c r="E73" s="102">
        <f t="shared" ca="1" si="2"/>
        <v>0</v>
      </c>
      <c r="F73" s="102">
        <f ca="1">IF($D$2="A",
(D73-G73)*IFERROR(VLOOKUP(C73,'1.a Assumptions'!$G$19:$I$34,2,FALSE),0),
(D73-G73)*100%*(C73=$D$5-1))</f>
        <v>0</v>
      </c>
      <c r="G73" s="102">
        <f>IF($D$2="A",
D73*IFERROR(VLOOKUP(C73,'1.a Assumptions'!$G$19:$I$34,3,FALSE),0),
0)</f>
        <v>0</v>
      </c>
      <c r="H73" s="102">
        <f t="shared" ca="1" si="3"/>
        <v>0</v>
      </c>
    </row>
    <row r="74" spans="1:8" ht="15" customHeight="1" x14ac:dyDescent="0.3">
      <c r="A74" s="13"/>
      <c r="B74" s="57" t="str">
        <f t="shared" ca="1" si="7"/>
        <v/>
      </c>
      <c r="C74" s="71" t="str">
        <f t="shared" ca="1" si="1"/>
        <v/>
      </c>
      <c r="D74" s="102">
        <f t="shared" ca="1" si="8"/>
        <v>0</v>
      </c>
      <c r="E74" s="102">
        <f t="shared" ca="1" si="2"/>
        <v>0</v>
      </c>
      <c r="F74" s="102">
        <f ca="1">IF($D$2="A",
(D74-G74)*IFERROR(VLOOKUP(C74,'1.a Assumptions'!$G$19:$I$34,2,FALSE),0),
(D74-G74)*100%*(C74=$D$5-1))</f>
        <v>0</v>
      </c>
      <c r="G74" s="102">
        <f>IF($D$2="A",
D74*IFERROR(VLOOKUP(C74,'1.a Assumptions'!$G$19:$I$34,3,FALSE),0),
0)</f>
        <v>0</v>
      </c>
      <c r="H74" s="102">
        <f t="shared" ca="1" si="3"/>
        <v>0</v>
      </c>
    </row>
    <row r="75" spans="1:8" ht="15" customHeight="1" x14ac:dyDescent="0.3">
      <c r="A75" s="13"/>
      <c r="B75" s="57" t="str">
        <f t="shared" ca="1" si="7"/>
        <v/>
      </c>
      <c r="C75" s="71" t="str">
        <f t="shared" ca="1" si="1"/>
        <v/>
      </c>
      <c r="D75" s="102">
        <f t="shared" ca="1" si="8"/>
        <v>0</v>
      </c>
      <c r="E75" s="102">
        <f t="shared" ca="1" si="2"/>
        <v>0</v>
      </c>
      <c r="F75" s="102">
        <f ca="1">IF($D$2="A",
(D75-G75)*IFERROR(VLOOKUP(C75,'1.a Assumptions'!$G$19:$I$34,2,FALSE),0),
(D75-G75)*100%*(C75=$D$5-1))</f>
        <v>0</v>
      </c>
      <c r="G75" s="102">
        <f>IF($D$2="A",
D75*IFERROR(VLOOKUP(C75,'1.a Assumptions'!$G$19:$I$34,3,FALSE),0),
0)</f>
        <v>0</v>
      </c>
      <c r="H75" s="102">
        <f t="shared" ca="1" si="3"/>
        <v>0</v>
      </c>
    </row>
    <row r="76" spans="1:8" ht="15" customHeight="1" x14ac:dyDescent="0.3">
      <c r="A76" s="13"/>
      <c r="B76" s="57" t="str">
        <f t="shared" ca="1" si="7"/>
        <v/>
      </c>
      <c r="C76" s="71" t="str">
        <f t="shared" ref="C76:C81" ca="1" si="9">IF(C75="","",IF($D$2="A",C75+1,IF(C75+1&gt;$D$5,"",C75+1)))</f>
        <v/>
      </c>
      <c r="D76" s="102">
        <f t="shared" ca="1" si="8"/>
        <v>0</v>
      </c>
      <c r="E76" s="102">
        <f t="shared" ref="E76:E81" ca="1" si="10">IF($D$2="A",(D76-G76)*(INDIRECT("withdraw_rate_"&amp;$D$2)+2%)*(C76&lt;$D$5),(D76-G76)*(INDIRECT("withdraw_rate_"&amp;$D$2)+2%)*(C76&lt;&gt;$D$5-1))</f>
        <v>0</v>
      </c>
      <c r="F76" s="102">
        <f ca="1">IF($D$2="A",
(D76-G76)*IFERROR(VLOOKUP(C76,'1.a Assumptions'!$G$19:$I$34,2,FALSE),0),
(D76-G76)*100%*(C76=$D$5-1))</f>
        <v>0</v>
      </c>
      <c r="G76" s="102">
        <f>IF($D$2="A",
D76*IFERROR(VLOOKUP(C76,'1.a Assumptions'!$G$19:$I$34,3,FALSE),0),
0)</f>
        <v>0</v>
      </c>
      <c r="H76" s="102">
        <f t="shared" ref="H76:H81" ca="1" si="11">D76-E76-F76-G76</f>
        <v>0</v>
      </c>
    </row>
    <row r="77" spans="1:8" ht="15" customHeight="1" x14ac:dyDescent="0.3">
      <c r="A77" s="13"/>
      <c r="B77" s="57" t="str">
        <f t="shared" ref="B77:B81" ca="1" si="12">IF($C77="","",B76+1)</f>
        <v/>
      </c>
      <c r="C77" s="71" t="str">
        <f t="shared" ca="1" si="9"/>
        <v/>
      </c>
      <c r="D77" s="102">
        <f t="shared" ref="D77:D81" ca="1" si="13">H76</f>
        <v>0</v>
      </c>
      <c r="E77" s="102">
        <f t="shared" ca="1" si="10"/>
        <v>0</v>
      </c>
      <c r="F77" s="102">
        <f ca="1">IF($D$2="A",
(D77-G77)*IFERROR(VLOOKUP(C77,'1.a Assumptions'!$G$19:$I$34,2,FALSE),0),
(D77-G77)*100%*(C77=$D$5-1))</f>
        <v>0</v>
      </c>
      <c r="G77" s="102">
        <f>IF($D$2="A",
D77*IFERROR(VLOOKUP(C77,'1.a Assumptions'!$G$19:$I$34,3,FALSE),0),
0)</f>
        <v>0</v>
      </c>
      <c r="H77" s="102">
        <f t="shared" ca="1" si="11"/>
        <v>0</v>
      </c>
    </row>
    <row r="78" spans="1:8" ht="15" customHeight="1" x14ac:dyDescent="0.3">
      <c r="A78" s="13"/>
      <c r="B78" s="57" t="str">
        <f t="shared" ca="1" si="12"/>
        <v/>
      </c>
      <c r="C78" s="71" t="str">
        <f t="shared" ca="1" si="9"/>
        <v/>
      </c>
      <c r="D78" s="102">
        <f t="shared" ca="1" si="13"/>
        <v>0</v>
      </c>
      <c r="E78" s="102">
        <f t="shared" ca="1" si="10"/>
        <v>0</v>
      </c>
      <c r="F78" s="102">
        <f ca="1">IF($D$2="A",
(D78-G78)*IFERROR(VLOOKUP(C78,'1.a Assumptions'!$G$19:$I$34,2,FALSE),0),
(D78-G78)*100%*(C78=$D$5-1))</f>
        <v>0</v>
      </c>
      <c r="G78" s="102">
        <f>IF($D$2="A",
D78*IFERROR(VLOOKUP(C78,'1.a Assumptions'!$G$19:$I$34,3,FALSE),0),
0)</f>
        <v>0</v>
      </c>
      <c r="H78" s="102">
        <f t="shared" ca="1" si="11"/>
        <v>0</v>
      </c>
    </row>
    <row r="79" spans="1:8" ht="15" customHeight="1" x14ac:dyDescent="0.3">
      <c r="A79" s="13"/>
      <c r="B79" s="57" t="str">
        <f t="shared" ca="1" si="12"/>
        <v/>
      </c>
      <c r="C79" s="71" t="str">
        <f t="shared" ca="1" si="9"/>
        <v/>
      </c>
      <c r="D79" s="102">
        <f t="shared" ca="1" si="13"/>
        <v>0</v>
      </c>
      <c r="E79" s="102">
        <f t="shared" ca="1" si="10"/>
        <v>0</v>
      </c>
      <c r="F79" s="102">
        <f ca="1">IF($D$2="A",
(D79-G79)*IFERROR(VLOOKUP(C79,'1.a Assumptions'!$G$19:$I$34,2,FALSE),0),
(D79-G79)*100%*(C79=$D$5-1))</f>
        <v>0</v>
      </c>
      <c r="G79" s="102">
        <f>IF($D$2="A",
D79*IFERROR(VLOOKUP(C79,'1.a Assumptions'!$G$19:$I$34,3,FALSE),0),
0)</f>
        <v>0</v>
      </c>
      <c r="H79" s="102">
        <f t="shared" ca="1" si="11"/>
        <v>0</v>
      </c>
    </row>
    <row r="80" spans="1:8" ht="15" customHeight="1" x14ac:dyDescent="0.3">
      <c r="A80" s="13"/>
      <c r="B80" s="57" t="str">
        <f t="shared" ca="1" si="12"/>
        <v/>
      </c>
      <c r="C80" s="71" t="str">
        <f t="shared" ca="1" si="9"/>
        <v/>
      </c>
      <c r="D80" s="102">
        <f t="shared" ca="1" si="13"/>
        <v>0</v>
      </c>
      <c r="E80" s="102">
        <f t="shared" ca="1" si="10"/>
        <v>0</v>
      </c>
      <c r="F80" s="102">
        <f ca="1">IF($D$2="A",
(D80-G80)*IFERROR(VLOOKUP(C80,'1.a Assumptions'!$G$19:$I$34,2,FALSE),0),
(D80-G80)*100%*(C80=$D$5-1))</f>
        <v>0</v>
      </c>
      <c r="G80" s="102">
        <f>IF($D$2="A",
D80*IFERROR(VLOOKUP(C80,'1.a Assumptions'!$G$19:$I$34,3,FALSE),0),
0)</f>
        <v>0</v>
      </c>
      <c r="H80" s="102">
        <f t="shared" ca="1" si="11"/>
        <v>0</v>
      </c>
    </row>
    <row r="81" spans="1:8" ht="15" customHeight="1" x14ac:dyDescent="0.3">
      <c r="A81" s="13"/>
      <c r="B81" s="57" t="str">
        <f t="shared" ca="1" si="12"/>
        <v/>
      </c>
      <c r="C81" s="71" t="str">
        <f t="shared" ca="1" si="9"/>
        <v/>
      </c>
      <c r="D81" s="102">
        <f t="shared" ca="1" si="13"/>
        <v>0</v>
      </c>
      <c r="E81" s="102">
        <f t="shared" ca="1" si="10"/>
        <v>0</v>
      </c>
      <c r="F81" s="102">
        <f ca="1">IF($D$2="A",
(D81-G81)*IFERROR(VLOOKUP(C81,'1.a Assumptions'!$G$19:$I$34,2,FALSE),0),
(D81-G81)*100%*(C81=$D$5-1))</f>
        <v>0</v>
      </c>
      <c r="G81" s="102">
        <f>IF($D$2="A",
D81*IFERROR(VLOOKUP(C81,'1.a Assumptions'!$G$19:$I$34,3,FALSE),0),
0)</f>
        <v>0</v>
      </c>
      <c r="H81" s="102">
        <f t="shared" ca="1" si="11"/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0.59999389629810485"/>
  </sheetPr>
  <dimension ref="A1:W85"/>
  <sheetViews>
    <sheetView zoomScale="85" zoomScaleNormal="85" workbookViewId="0"/>
  </sheetViews>
  <sheetFormatPr defaultRowHeight="13.5" x14ac:dyDescent="0.25"/>
  <cols>
    <col min="1" max="1" width="3" style="13" customWidth="1"/>
    <col min="2" max="2" width="14.85546875" style="13" customWidth="1"/>
    <col min="3" max="3" width="17.85546875" style="13" bestFit="1" customWidth="1"/>
    <col min="4" max="4" width="11.140625" style="13" customWidth="1"/>
    <col min="5" max="5" width="16.28515625" style="13" customWidth="1"/>
    <col min="6" max="6" width="17.7109375" style="13" bestFit="1" customWidth="1"/>
    <col min="7" max="7" width="12.140625" style="13" customWidth="1"/>
    <col min="8" max="8" width="16.85546875" style="13" customWidth="1"/>
    <col min="9" max="9" width="15.7109375" style="13" customWidth="1"/>
    <col min="10" max="10" width="16.7109375" style="13" customWidth="1"/>
    <col min="11" max="20" width="15.7109375" style="13" customWidth="1"/>
    <col min="21" max="21" width="2.28515625" style="13" customWidth="1"/>
    <col min="22" max="22" width="13.5703125" style="13" customWidth="1"/>
    <col min="23" max="23" width="14.28515625" style="13" customWidth="1"/>
    <col min="24" max="24" width="11.5703125" style="13" bestFit="1" customWidth="1"/>
    <col min="25" max="16384" width="9.140625" style="13"/>
  </cols>
  <sheetData>
    <row r="1" spans="1:23" ht="15" customHeight="1" thickBot="1" x14ac:dyDescent="0.3">
      <c r="A1" s="103" t="s">
        <v>33</v>
      </c>
    </row>
    <row r="2" spans="1:23" ht="15" customHeight="1" thickBot="1" x14ac:dyDescent="0.3">
      <c r="B2" s="15" t="s">
        <v>12</v>
      </c>
      <c r="C2" s="16" t="s">
        <v>19</v>
      </c>
      <c r="D2" s="114" t="str">
        <f>RIGHT($B$3,1)</f>
        <v>B</v>
      </c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</row>
    <row r="3" spans="1:23" ht="15" customHeight="1" thickBot="1" x14ac:dyDescent="0.3">
      <c r="B3" s="20" t="str">
        <f>'1.a Assumptions'!C3</f>
        <v>45B</v>
      </c>
      <c r="C3" s="16" t="s">
        <v>49</v>
      </c>
      <c r="D3" s="114">
        <f>VLOOKUP($B$3,'opening demographics'!$A$1:$E$11,3,FALSE)</f>
        <v>240</v>
      </c>
      <c r="F3" s="21" t="s">
        <v>46</v>
      </c>
      <c r="G3" s="83" t="str">
        <f>B3</f>
        <v>45B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</row>
    <row r="4" spans="1:23" ht="15" customHeight="1" x14ac:dyDescent="0.25">
      <c r="C4" s="16" t="s">
        <v>20</v>
      </c>
      <c r="D4" s="114">
        <f>VALUE(LEFT($B$3,2))</f>
        <v>45</v>
      </c>
      <c r="F4" s="28" t="s">
        <v>47</v>
      </c>
      <c r="G4" s="84">
        <f>D3</f>
        <v>240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</row>
    <row r="5" spans="1:23" ht="15" customHeight="1" x14ac:dyDescent="0.25">
      <c r="C5" s="16" t="s">
        <v>21</v>
      </c>
      <c r="D5" s="114">
        <f ca="1">INDIRECT("NRA_"&amp;$D$2)</f>
        <v>60</v>
      </c>
      <c r="F5" s="28" t="s">
        <v>79</v>
      </c>
      <c r="G5" s="85">
        <f ca="1">K15</f>
        <v>3909.2245197150282</v>
      </c>
      <c r="H5" s="30">
        <v>10321.00874154634</v>
      </c>
      <c r="I5" s="31">
        <v>15481.513112319508</v>
      </c>
      <c r="J5" s="31">
        <v>18061.765297706093</v>
      </c>
      <c r="K5" s="31">
        <v>19093.866171860729</v>
      </c>
      <c r="L5" s="32">
        <v>25802.521853865848</v>
      </c>
      <c r="M5" s="33">
        <v>3209.6790793449704</v>
      </c>
      <c r="N5" s="31">
        <v>3580.026665423236</v>
      </c>
      <c r="O5" s="31">
        <v>3909.2245197150282</v>
      </c>
      <c r="P5" s="31">
        <v>4238.4223740068201</v>
      </c>
      <c r="Q5" s="34">
        <v>4238.4223740068201</v>
      </c>
    </row>
    <row r="6" spans="1:23" ht="15" customHeight="1" x14ac:dyDescent="0.25">
      <c r="C6" s="16" t="s">
        <v>22</v>
      </c>
      <c r="D6" s="115">
        <f ca="1">INDIRECT("accrual_rate_"&amp;$D$2)</f>
        <v>0.05</v>
      </c>
      <c r="F6" s="28" t="s">
        <v>486</v>
      </c>
      <c r="G6" s="85">
        <f ca="1">E16</f>
        <v>96069.488001030244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</row>
    <row r="7" spans="1:23" ht="25.5" x14ac:dyDescent="0.25">
      <c r="C7" s="16" t="s">
        <v>23</v>
      </c>
      <c r="D7" s="116">
        <f>VLOOKUP($B$3,'opening demographics'!$A$1:$E$11,4,FALSE)</f>
        <v>95000</v>
      </c>
      <c r="F7" s="113" t="str">
        <f>"Total surplus / deficit at EOY "&amp;$S$13</f>
        <v>Total surplus / deficit at EOY 15</v>
      </c>
      <c r="G7" s="85">
        <f ca="1">T15</f>
        <v>3033417.0405013529</v>
      </c>
      <c r="H7" s="30">
        <v>726757.47970367805</v>
      </c>
      <c r="I7" s="31">
        <v>522166.02691887971</v>
      </c>
      <c r="J7" s="31">
        <v>536520.00163013802</v>
      </c>
      <c r="K7" s="31">
        <v>31187.756396728983</v>
      </c>
      <c r="L7" s="32">
        <v>0</v>
      </c>
      <c r="M7" s="31">
        <v>4859106.7983028339</v>
      </c>
      <c r="N7" s="31">
        <v>3503815.381432103</v>
      </c>
      <c r="O7" s="31">
        <v>3033417.0405013529</v>
      </c>
      <c r="P7" s="31">
        <v>0</v>
      </c>
      <c r="Q7" s="34">
        <v>0</v>
      </c>
      <c r="R7" s="122"/>
    </row>
    <row r="8" spans="1:23" ht="15" customHeight="1" thickBot="1" x14ac:dyDescent="0.3">
      <c r="C8" s="16" t="s">
        <v>24</v>
      </c>
      <c r="D8" s="117">
        <f ca="1">INDIRECT("e_"&amp;$D$2)</f>
        <v>1.1257768431897297E-2</v>
      </c>
      <c r="F8" s="38" t="s">
        <v>18</v>
      </c>
      <c r="G8" s="86" t="str">
        <f ca="1">W14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</row>
    <row r="9" spans="1:23" ht="15" customHeight="1" x14ac:dyDescent="0.25">
      <c r="C9" s="16" t="s">
        <v>25</v>
      </c>
      <c r="D9" s="155">
        <f ca="1">INDIRECT("EA_"&amp;$D$2)+3</f>
        <v>44.833333333333336</v>
      </c>
      <c r="H9" s="146" t="s">
        <v>483</v>
      </c>
      <c r="I9" s="143"/>
      <c r="J9" s="143"/>
      <c r="K9" s="143"/>
      <c r="L9" s="47"/>
      <c r="M9" s="47"/>
      <c r="N9" s="47"/>
      <c r="O9" s="47"/>
      <c r="P9" s="47"/>
      <c r="Q9" s="48"/>
    </row>
    <row r="10" spans="1:23" ht="15" customHeight="1" x14ac:dyDescent="0.25">
      <c r="C10" s="16" t="s">
        <v>52</v>
      </c>
      <c r="D10" s="117">
        <f ca="1">(1+G15)/(1+D8)-1</f>
        <v>2.8422260342851891E-2</v>
      </c>
      <c r="E10" s="93"/>
      <c r="H10" s="144" t="s">
        <v>51</v>
      </c>
      <c r="I10" s="143" t="s">
        <v>6</v>
      </c>
      <c r="J10" s="143" t="s">
        <v>5</v>
      </c>
      <c r="K10" s="143" t="s">
        <v>484</v>
      </c>
      <c r="L10" s="47"/>
      <c r="M10" s="47"/>
      <c r="N10" s="47"/>
      <c r="O10" s="47"/>
      <c r="P10" s="47"/>
      <c r="Q10" s="48"/>
    </row>
    <row r="11" spans="1:23" ht="15" customHeight="1" thickBot="1" x14ac:dyDescent="0.3">
      <c r="H11" s="145"/>
      <c r="I11" s="158">
        <f>SUM(H7:L7)</f>
        <v>1816631.2646494247</v>
      </c>
      <c r="J11" s="158">
        <f>SUM(M7:Q7)</f>
        <v>11396339.22023629</v>
      </c>
      <c r="K11" s="158">
        <f>I11+J11</f>
        <v>13212970.484885715</v>
      </c>
      <c r="L11" s="53"/>
      <c r="M11" s="53"/>
      <c r="N11" s="53"/>
      <c r="O11" s="53"/>
      <c r="P11" s="53"/>
      <c r="Q11" s="54"/>
    </row>
    <row r="12" spans="1:23" ht="15" customHeight="1" x14ac:dyDescent="0.25">
      <c r="S12" s="112" t="s">
        <v>77</v>
      </c>
    </row>
    <row r="13" spans="1:23" ht="15" customHeight="1" x14ac:dyDescent="0.25">
      <c r="K13" s="147"/>
      <c r="S13" s="111">
        <v>15</v>
      </c>
    </row>
    <row r="14" spans="1:23" ht="51.75" customHeight="1" x14ac:dyDescent="0.25">
      <c r="B14" s="99" t="s">
        <v>48</v>
      </c>
      <c r="C14" s="99" t="s">
        <v>16</v>
      </c>
      <c r="D14" s="99" t="s">
        <v>14</v>
      </c>
      <c r="E14" s="99" t="s">
        <v>17</v>
      </c>
      <c r="F14" s="99" t="s">
        <v>55</v>
      </c>
      <c r="G14" s="130" t="s">
        <v>15</v>
      </c>
      <c r="H14" s="99" t="s">
        <v>62</v>
      </c>
      <c r="I14" s="99" t="s">
        <v>63</v>
      </c>
      <c r="J14" s="99" t="s">
        <v>64</v>
      </c>
      <c r="K14" s="99" t="s">
        <v>31</v>
      </c>
      <c r="L14" s="99" t="s">
        <v>56</v>
      </c>
      <c r="M14" s="99" t="s">
        <v>53</v>
      </c>
      <c r="N14" s="100" t="s">
        <v>57</v>
      </c>
      <c r="O14" s="99" t="s">
        <v>54</v>
      </c>
      <c r="P14" s="99" t="s">
        <v>58</v>
      </c>
      <c r="Q14" s="99" t="s">
        <v>59</v>
      </c>
      <c r="R14" s="105" t="s">
        <v>74</v>
      </c>
      <c r="S14" s="131" t="str">
        <f>"No. of NEW entrants for the first 3 years"</f>
        <v>No. of NEW entrants for the first 3 years</v>
      </c>
      <c r="T14" s="141" t="str">
        <f>"Total surplus/deficit at EOY "&amp;$S$13</f>
        <v>Total surplus/deficit at EOY 15</v>
      </c>
      <c r="V14" s="98" t="s">
        <v>50</v>
      </c>
      <c r="W14" s="56" t="str">
        <f ca="1">IF(ABS(SUM(W15:W85))&lt;0.0001,"Pass","Check!")</f>
        <v>Pass</v>
      </c>
    </row>
    <row r="15" spans="1:23" ht="15" customHeight="1" x14ac:dyDescent="0.25">
      <c r="B15" s="57">
        <v>0</v>
      </c>
      <c r="C15" s="58">
        <f>D4</f>
        <v>45</v>
      </c>
      <c r="D15" s="59">
        <f ca="1">D6</f>
        <v>0.05</v>
      </c>
      <c r="E15" s="60">
        <f>D7</f>
        <v>95000</v>
      </c>
      <c r="F15" s="61">
        <f ca="1">D8</f>
        <v>1.1257768431897297E-2</v>
      </c>
      <c r="G15" s="154">
        <f>i-1%</f>
        <v>0.04</v>
      </c>
      <c r="H15" s="94">
        <f ca="1">(1-(1+$D$10)^-($D$5-$D$9))/$D$10</f>
        <v>12.183004473426708</v>
      </c>
      <c r="I15" s="94">
        <f t="shared" ref="I15:I78" ca="1" si="0">IFERROR((1-(1+$D$10)^-($D$5-$C15))/$D$10,0)</f>
        <v>12.075317571809965</v>
      </c>
      <c r="J15" s="63">
        <f t="shared" ref="J15:J78" ca="1" si="1">IF($C15="","",
D15*($D$5-$D$9)*((1+F15)/(1+G15))^($D$5-$D$9)/$H$15)</f>
        <v>4.0691634784949679E-2</v>
      </c>
      <c r="K15" s="65">
        <f t="shared" ref="K15:K78" ca="1" si="2">IF($C16="",0,
J15*E15*(1+F15))</f>
        <v>3909.2245197150282</v>
      </c>
      <c r="L15" s="64">
        <f ca="1">IF($C15="",0,
IF($C15&gt;$D$5,D15*B15*E15,
D15*($D$5-$D$4)*E15*((1+F15)/(1+G15))^($D$5-C15)-J15*E15*I15))</f>
        <v>116.82365119672613</v>
      </c>
      <c r="M15" s="65">
        <f ca="1">IF($C15="",0,
D15*B15*E15*((1+F15)/(1+G15))^MAX(0,$D$5-C15))</f>
        <v>0</v>
      </c>
      <c r="N15" s="66"/>
      <c r="O15" s="67">
        <f ca="1">IF($C15="",0,
(K15)*'2.c Decrements'!D11)</f>
        <v>3909.2245197150282</v>
      </c>
      <c r="P15" s="68">
        <f ca="1">M15*'1.a Assumptions'!$C$13*'2.c Decrements'!E11</f>
        <v>0</v>
      </c>
      <c r="Q15" s="68">
        <f ca="1">L16*('2.c Decrements'!F11+'2.c Decrements'!G11)</f>
        <v>0</v>
      </c>
      <c r="R15" s="68">
        <f ca="1">O15-L16*'2.c Decrements'!D11</f>
        <v>-121.49659724461299</v>
      </c>
      <c r="S15" s="68">
        <f ca="1">IF(B16&lt;=$S$13,OFFSET('2.c Decrements'!$J$11,0,$S$13-B15),"")</f>
        <v>0</v>
      </c>
      <c r="T15" s="68">
        <f ca="1">SUMPRODUCT(S15:S85,R15:R85)</f>
        <v>3033417.0405013529</v>
      </c>
      <c r="V15" s="69">
        <f ca="1">IF($C16&lt;=$D$5,L16-L15*(1+G15),"")</f>
        <v>3909.224519715046</v>
      </c>
      <c r="W15" s="70">
        <f t="shared" ref="W15:W78" ca="1" si="3">IF(V15="","",V15-K15)</f>
        <v>1.7735146684572101E-11</v>
      </c>
    </row>
    <row r="16" spans="1:23" ht="15" customHeight="1" x14ac:dyDescent="0.25">
      <c r="B16" s="57">
        <f ca="1">IF($C16="","",B15+1)</f>
        <v>1</v>
      </c>
      <c r="C16" s="71">
        <f ca="1">IF(C15="","",IF($D$2="A",IF(C15+1&gt;$D$5+15,"",C15+1),IF(C15+1&gt;$D$5,"",C15+1)))</f>
        <v>46</v>
      </c>
      <c r="D16" s="72">
        <f ca="1">IF($C16="","",D15)</f>
        <v>0.05</v>
      </c>
      <c r="E16" s="73">
        <f ca="1">IF($C16="","",E15*(1+F15))</f>
        <v>96069.488001030244</v>
      </c>
      <c r="F16" s="62">
        <f ca="1">IF($C16="","",F15)</f>
        <v>1.1257768431897297E-2</v>
      </c>
      <c r="G16" s="62">
        <f ca="1">IF($C16="","",G15)</f>
        <v>0.04</v>
      </c>
      <c r="I16" s="94">
        <f t="shared" ca="1" si="0"/>
        <v>11.418525391558559</v>
      </c>
      <c r="J16" s="63">
        <f t="shared" ca="1" si="1"/>
        <v>4.0691634784949679E-2</v>
      </c>
      <c r="K16" s="65">
        <f t="shared" ca="1" si="2"/>
        <v>3953.2336641062748</v>
      </c>
      <c r="L16" s="64">
        <f t="shared" ref="L16:L79" ca="1" si="4">IF($C16="",0,
IF($C16&gt;$D$5,D16*B16*E16,
D16*($D$5-$D$4)*E16*((1+F16)/(1+G16))^($D$5-C16)-J16*E16*I16))</f>
        <v>4030.7211169596412</v>
      </c>
      <c r="M16" s="65">
        <f t="shared" ref="M16:M79" ca="1" si="5">IF($C16="",0,
D16*B16*E16*((1+F16)/(1+G16))^MAX(0,$D$5-C16))</f>
        <v>3244.5533704419331</v>
      </c>
      <c r="N16" s="66"/>
      <c r="O16" s="67">
        <f ca="1">IF($C16="",0,
K16*'2.c Decrements'!D12+(O15-P15-Q15)*(1+G15))</f>
        <v>7702.5684714814024</v>
      </c>
      <c r="P16" s="68">
        <f ca="1">M16*'1.a Assumptions'!$C$13*'2.c Decrements'!E12</f>
        <v>179.09934604839472</v>
      </c>
      <c r="Q16" s="68">
        <f ca="1">L17*('2.c Decrements'!F12+'2.c Decrements'!G12)</f>
        <v>0</v>
      </c>
      <c r="R16" s="68">
        <f ca="1">O16-L17*'2.c Decrements'!D12</f>
        <v>208.99953579667363</v>
      </c>
      <c r="S16" s="68">
        <f ca="1">IF(B17&lt;=$S$13,OFFSET('2.c Decrements'!$J$11,0,$S$13-B16),"")</f>
        <v>0</v>
      </c>
      <c r="V16" s="69">
        <f t="shared" ref="V16:V79" ca="1" si="6">IF($C17&lt;=$D$5,L17-L16*(1+G16),"")</f>
        <v>3953.2336641062429</v>
      </c>
      <c r="W16" s="70">
        <f t="shared" ca="1" si="3"/>
        <v>-3.1832314562052488E-11</v>
      </c>
    </row>
    <row r="17" spans="2:23" ht="15" customHeight="1" x14ac:dyDescent="0.25">
      <c r="B17" s="57">
        <f t="shared" ref="B17:B80" ca="1" si="7">IF($C17="","",B16+1)</f>
        <v>2</v>
      </c>
      <c r="C17" s="71">
        <f t="shared" ref="C17:C80" ca="1" si="8">IF(C16="","",IF($D$2="A",IF(C16+1&gt;$D$5+15,"",C16+1),IF(C16+1&gt;$D$5,"",C16+1)))</f>
        <v>47</v>
      </c>
      <c r="D17" s="72">
        <f t="shared" ref="D17:D80" ca="1" si="9">IF($C17="","",D16)</f>
        <v>0.05</v>
      </c>
      <c r="E17" s="73">
        <f t="shared" ref="E17:E80" ca="1" si="10">IF($C17="","",E16*(1+F16))</f>
        <v>97151.016050316772</v>
      </c>
      <c r="F17" s="62">
        <f t="shared" ref="F17:G32" ca="1" si="11">IF($C17="","",F16)</f>
        <v>1.1257768431897297E-2</v>
      </c>
      <c r="G17" s="62">
        <f t="shared" ca="1" si="11"/>
        <v>0.04</v>
      </c>
      <c r="I17" s="94">
        <f t="shared" ca="1" si="0"/>
        <v>10.743065692968909</v>
      </c>
      <c r="J17" s="63">
        <f t="shared" ca="1" si="1"/>
        <v>4.0691634784949679E-2</v>
      </c>
      <c r="K17" s="65">
        <f t="shared" ca="1" si="2"/>
        <v>3997.7382532539636</v>
      </c>
      <c r="L17" s="64">
        <f t="shared" ca="1" si="4"/>
        <v>8145.1836257442701</v>
      </c>
      <c r="M17" s="65">
        <f t="shared" ca="1" si="5"/>
        <v>6748.6710105192205</v>
      </c>
      <c r="N17" s="66"/>
      <c r="O17" s="67">
        <f ca="1">IF($C17="",0,
K17*'2.c Decrements'!D13+(O16-P16-Q16)*(1+G16))</f>
        <v>11208.093548004483</v>
      </c>
      <c r="P17" s="68">
        <f ca="1">M17*'1.a Assumptions'!$C$13*'2.c Decrements'!E13</f>
        <v>342.7245085982081</v>
      </c>
      <c r="Q17" s="68">
        <f ca="1">L18*('2.c Decrements'!F13+'2.c Decrements'!G13)</f>
        <v>0</v>
      </c>
      <c r="R17" s="68">
        <f ca="1">O17-L18*'2.c Decrements'!D13</f>
        <v>654.56113278717748</v>
      </c>
      <c r="S17" s="68">
        <f ca="1">IF(B18&lt;=$S$13,OFFSET('2.c Decrements'!$J$11,0,$S$13-B17),"")</f>
        <v>0</v>
      </c>
      <c r="V17" s="69">
        <f t="shared" ca="1" si="6"/>
        <v>3997.7382532539668</v>
      </c>
      <c r="W17" s="70">
        <f t="shared" ca="1" si="3"/>
        <v>3.1832314562052488E-12</v>
      </c>
    </row>
    <row r="18" spans="2:23" ht="15" customHeight="1" x14ac:dyDescent="0.25">
      <c r="B18" s="57">
        <f t="shared" ca="1" si="7"/>
        <v>3</v>
      </c>
      <c r="C18" s="71">
        <f t="shared" ca="1" si="8"/>
        <v>48</v>
      </c>
      <c r="D18" s="72">
        <f t="shared" ca="1" si="9"/>
        <v>0.05</v>
      </c>
      <c r="E18" s="73">
        <f t="shared" ca="1" si="10"/>
        <v>98244.719691934777</v>
      </c>
      <c r="F18" s="62">
        <f t="shared" ca="1" si="11"/>
        <v>1.1257768431897297E-2</v>
      </c>
      <c r="G18" s="62">
        <f t="shared" ca="1" si="11"/>
        <v>0.04</v>
      </c>
      <c r="I18" s="94">
        <f t="shared" ca="1" si="0"/>
        <v>10.048407902974827</v>
      </c>
      <c r="J18" s="63">
        <f t="shared" ca="1" si="1"/>
        <v>4.0691634784949679E-2</v>
      </c>
      <c r="K18" s="65">
        <f t="shared" ca="1" si="2"/>
        <v>4042.7438647604349</v>
      </c>
      <c r="L18" s="64">
        <f t="shared" ca="1" si="4"/>
        <v>12468.729224028008</v>
      </c>
      <c r="M18" s="65">
        <f t="shared" ca="1" si="5"/>
        <v>10527.926776409986</v>
      </c>
      <c r="N18" s="66"/>
      <c r="O18" s="67">
        <f ca="1">IF($C18="",0,
K18*'2.c Decrements'!D14+(O17-P17-Q17)*(1+G17))</f>
        <v>14448.019935545099</v>
      </c>
      <c r="P18" s="68">
        <f ca="1">M18*'1.a Assumptions'!$C$13*'2.c Decrements'!E14</f>
        <v>491.87821474014839</v>
      </c>
      <c r="Q18" s="68">
        <f ca="1">L19*('2.c Decrements'!F14+'2.c Decrements'!G14)</f>
        <v>0</v>
      </c>
      <c r="R18" s="68">
        <f ca="1">O18-L19*'2.c Decrements'!D14</f>
        <v>1202.3639861026168</v>
      </c>
      <c r="S18" s="68">
        <f ca="1">IF(B19&lt;=$S$13,OFFSET('2.c Decrements'!$J$11,0,$S$13-B18),"")</f>
        <v>0</v>
      </c>
      <c r="V18" s="69">
        <f t="shared" ca="1" si="6"/>
        <v>4042.7438647604195</v>
      </c>
      <c r="W18" s="70">
        <f t="shared" ca="1" si="3"/>
        <v>-1.546140993013978E-11</v>
      </c>
    </row>
    <row r="19" spans="2:23" ht="15" customHeight="1" x14ac:dyDescent="0.25">
      <c r="B19" s="57">
        <f t="shared" ca="1" si="7"/>
        <v>4</v>
      </c>
      <c r="C19" s="71">
        <f t="shared" ca="1" si="8"/>
        <v>49</v>
      </c>
      <c r="D19" s="72">
        <f t="shared" ca="1" si="9"/>
        <v>0.05</v>
      </c>
      <c r="E19" s="73">
        <f t="shared" ca="1" si="10"/>
        <v>99350.735995883239</v>
      </c>
      <c r="F19" s="62">
        <f t="shared" ca="1" si="11"/>
        <v>1.1257768431897297E-2</v>
      </c>
      <c r="G19" s="62">
        <f t="shared" ca="1" si="11"/>
        <v>0.04</v>
      </c>
      <c r="I19" s="94">
        <f t="shared" ca="1" si="0"/>
        <v>9.3340063684243528</v>
      </c>
      <c r="J19" s="63">
        <f t="shared" ca="1" si="1"/>
        <v>4.0691634784949679E-2</v>
      </c>
      <c r="K19" s="65">
        <f t="shared" ca="1" si="2"/>
        <v>4088.256139019381</v>
      </c>
      <c r="L19" s="64">
        <f t="shared" ca="1" si="4"/>
        <v>17010.222257749549</v>
      </c>
      <c r="M19" s="65">
        <f t="shared" ca="1" si="5"/>
        <v>14598.725129955181</v>
      </c>
      <c r="N19" s="66"/>
      <c r="O19" s="67">
        <f ca="1">IF($C19="",0,
K19*'2.c Decrements'!D15+(O18-P18-Q18)*(1+G18))</f>
        <v>17443.185306307416</v>
      </c>
      <c r="P19" s="68">
        <f ca="1">M19*'1.a Assumptions'!$C$13*'2.c Decrements'!E15</f>
        <v>627.50543448449866</v>
      </c>
      <c r="Q19" s="68">
        <f ca="1">L20*('2.c Decrements'!F15+'2.c Decrements'!G15)</f>
        <v>0</v>
      </c>
      <c r="R19" s="68">
        <f ca="1">O19-L20*'2.c Decrements'!D15</f>
        <v>1840.9437772105721</v>
      </c>
      <c r="S19" s="68">
        <f ca="1">IF(B20&lt;=$S$13,OFFSET('2.c Decrements'!$J$11,0,$S$13-B19),"")</f>
        <v>0</v>
      </c>
      <c r="V19" s="69">
        <f t="shared" ca="1" si="6"/>
        <v>4088.2561390193951</v>
      </c>
      <c r="W19" s="70">
        <f t="shared" ca="1" si="3"/>
        <v>1.4097167877480388E-11</v>
      </c>
    </row>
    <row r="20" spans="2:23" ht="15" customHeight="1" x14ac:dyDescent="0.25">
      <c r="B20" s="57">
        <f t="shared" ca="1" si="7"/>
        <v>5</v>
      </c>
      <c r="C20" s="71">
        <f t="shared" ca="1" si="8"/>
        <v>50</v>
      </c>
      <c r="D20" s="72">
        <f t="shared" ca="1" si="9"/>
        <v>0.05</v>
      </c>
      <c r="E20" s="73">
        <f t="shared" ca="1" si="10"/>
        <v>100469.20357526345</v>
      </c>
      <c r="F20" s="62">
        <f t="shared" ca="1" si="11"/>
        <v>1.1257768431897297E-2</v>
      </c>
      <c r="G20" s="62">
        <f t="shared" ca="1" si="11"/>
        <v>0.04</v>
      </c>
      <c r="I20" s="94">
        <f t="shared" ca="1" si="0"/>
        <v>8.599299927469545</v>
      </c>
      <c r="J20" s="63">
        <f t="shared" ca="1" si="1"/>
        <v>4.0691634784949679E-2</v>
      </c>
      <c r="K20" s="65">
        <f t="shared" ca="1" si="2"/>
        <v>4134.2807799227439</v>
      </c>
      <c r="L20" s="64">
        <f t="shared" ca="1" si="4"/>
        <v>21778.887287078927</v>
      </c>
      <c r="M20" s="65">
        <f t="shared" ca="1" si="5"/>
        <v>18978.342668941736</v>
      </c>
      <c r="N20" s="66"/>
      <c r="O20" s="67">
        <f ca="1">IF($C20="",0,
K20*'2.c Decrements'!D16+(O19-P19-Q19)*(1+G19))</f>
        <v>20213.135140463804</v>
      </c>
      <c r="P20" s="68">
        <f ca="1">M20*'1.a Assumptions'!$C$13*'2.c Decrements'!E16</f>
        <v>750.49649964346042</v>
      </c>
      <c r="Q20" s="68">
        <f ca="1">L21*('2.c Decrements'!F16+'2.c Decrements'!G16)</f>
        <v>0</v>
      </c>
      <c r="R20" s="68">
        <f ca="1">O20-L21*'2.c Decrements'!D16</f>
        <v>2560.0823716559971</v>
      </c>
      <c r="S20" s="68">
        <f ca="1">IF(B21&lt;=$S$13,OFFSET('2.c Decrements'!$J$11,0,$S$13-B20),"")</f>
        <v>0</v>
      </c>
      <c r="V20" s="69">
        <f t="shared" ca="1" si="6"/>
        <v>4134.2807799227157</v>
      </c>
      <c r="W20" s="70">
        <f t="shared" ca="1" si="3"/>
        <v>-2.8194335754960775E-11</v>
      </c>
    </row>
    <row r="21" spans="2:23" ht="15" customHeight="1" x14ac:dyDescent="0.25">
      <c r="B21" s="57">
        <f t="shared" ca="1" si="7"/>
        <v>6</v>
      </c>
      <c r="C21" s="71">
        <f t="shared" ca="1" si="8"/>
        <v>51</v>
      </c>
      <c r="D21" s="72">
        <f t="shared" ca="1" si="9"/>
        <v>0.05</v>
      </c>
      <c r="E21" s="73">
        <f t="shared" ca="1" si="10"/>
        <v>101600.26260365092</v>
      </c>
      <c r="F21" s="62">
        <f t="shared" ca="1" si="11"/>
        <v>1.1257768431897297E-2</v>
      </c>
      <c r="G21" s="62">
        <f t="shared" ca="1" si="11"/>
        <v>0.04</v>
      </c>
      <c r="I21" s="94">
        <f t="shared" ca="1" si="0"/>
        <v>7.8437114687743552</v>
      </c>
      <c r="J21" s="63">
        <f t="shared" ca="1" si="1"/>
        <v>4.0691634784949679E-2</v>
      </c>
      <c r="K21" s="65">
        <f t="shared" ca="1" si="2"/>
        <v>4180.8235555755582</v>
      </c>
      <c r="L21" s="64">
        <f t="shared" ca="1" si="4"/>
        <v>26784.323558484801</v>
      </c>
      <c r="M21" s="65">
        <f t="shared" ca="1" si="5"/>
        <v>23684.971650839288</v>
      </c>
      <c r="N21" s="66"/>
      <c r="O21" s="67">
        <f ca="1">IF($C21="",0,
K21*'2.c Decrements'!D17+(O20-P20-Q20)*(1+G20))</f>
        <v>22776.207459113204</v>
      </c>
      <c r="P21" s="68">
        <f ca="1">M21*'1.a Assumptions'!$C$13*'2.c Decrements'!E17</f>
        <v>861.69006103063555</v>
      </c>
      <c r="Q21" s="68">
        <f ca="1">L22*('2.c Decrements'!F17+'2.c Decrements'!G17)</f>
        <v>0</v>
      </c>
      <c r="R21" s="68">
        <f ca="1">O21-L22*'2.c Decrements'!D17</f>
        <v>3350.7032972578527</v>
      </c>
      <c r="S21" s="68">
        <f ca="1">IF(B22&lt;=$S$13,OFFSET('2.c Decrements'!$J$11,0,$S$13-B21),"")</f>
        <v>0</v>
      </c>
      <c r="V21" s="69">
        <f t="shared" ca="1" si="6"/>
        <v>4180.8235555755527</v>
      </c>
      <c r="W21" s="70">
        <f t="shared" ca="1" si="3"/>
        <v>-5.4569682106375694E-12</v>
      </c>
    </row>
    <row r="22" spans="2:23" ht="15" customHeight="1" x14ac:dyDescent="0.25">
      <c r="B22" s="57">
        <f t="shared" ca="1" si="7"/>
        <v>7</v>
      </c>
      <c r="C22" s="71">
        <f t="shared" ca="1" si="8"/>
        <v>52</v>
      </c>
      <c r="D22" s="72">
        <f t="shared" ca="1" si="9"/>
        <v>0.05</v>
      </c>
      <c r="E22" s="73">
        <f t="shared" ca="1" si="10"/>
        <v>102744.05483266278</v>
      </c>
      <c r="F22" s="62">
        <f t="shared" ca="1" si="11"/>
        <v>1.1257768431897297E-2</v>
      </c>
      <c r="G22" s="62">
        <f t="shared" ca="1" si="11"/>
        <v>0.04</v>
      </c>
      <c r="I22" s="94">
        <f t="shared" ca="1" si="0"/>
        <v>7.0666474781940716</v>
      </c>
      <c r="J22" s="63">
        <f t="shared" ca="1" si="1"/>
        <v>4.0691634784949679E-2</v>
      </c>
      <c r="K22" s="65">
        <f t="shared" ca="1" si="2"/>
        <v>4227.890299018849</v>
      </c>
      <c r="L22" s="64">
        <f t="shared" ca="1" si="4"/>
        <v>32036.520056399746</v>
      </c>
      <c r="M22" s="65">
        <f t="shared" ca="1" si="5"/>
        <v>28737.765603018335</v>
      </c>
      <c r="N22" s="66"/>
      <c r="O22" s="67">
        <f ca="1">IF($C22="",0,
K22*'2.c Decrements'!D18+(O21-P21-Q21)*(1+G21))</f>
        <v>25149.612327714221</v>
      </c>
      <c r="P22" s="68">
        <f ca="1">M22*'1.a Assumptions'!$C$13*'2.c Decrements'!E18</f>
        <v>961.8758921264639</v>
      </c>
      <c r="Q22" s="68">
        <f ca="1">L23*('2.c Decrements'!F18+'2.c Decrements'!G18)</f>
        <v>0</v>
      </c>
      <c r="R22" s="68">
        <f ca="1">O22-L23*'2.c Decrements'!D18</f>
        <v>4204.7757119426788</v>
      </c>
      <c r="S22" s="68">
        <f ca="1">IF(B23&lt;=$S$13,OFFSET('2.c Decrements'!$J$11,0,$S$13-B22),"")</f>
        <v>0</v>
      </c>
      <c r="V22" s="69">
        <f t="shared" ca="1" si="6"/>
        <v>4227.8902990188362</v>
      </c>
      <c r="W22" s="70">
        <f t="shared" ca="1" si="3"/>
        <v>-1.2732925824820995E-11</v>
      </c>
    </row>
    <row r="23" spans="2:23" ht="15" customHeight="1" x14ac:dyDescent="0.25">
      <c r="B23" s="57">
        <f t="shared" ca="1" si="7"/>
        <v>8</v>
      </c>
      <c r="C23" s="71">
        <f t="shared" ca="1" si="8"/>
        <v>53</v>
      </c>
      <c r="D23" s="72">
        <f t="shared" ca="1" si="9"/>
        <v>0.05</v>
      </c>
      <c r="E23" s="73">
        <f t="shared" ca="1" si="10"/>
        <v>103900.72360972305</v>
      </c>
      <c r="F23" s="62">
        <f t="shared" ca="1" si="11"/>
        <v>1.1257768431897297E-2</v>
      </c>
      <c r="G23" s="62">
        <f t="shared" ca="1" si="11"/>
        <v>0.04</v>
      </c>
      <c r="I23" s="94">
        <f t="shared" ca="1" si="0"/>
        <v>6.2674975725704671</v>
      </c>
      <c r="J23" s="63">
        <f t="shared" ca="1" si="1"/>
        <v>4.0691634784949679E-2</v>
      </c>
      <c r="K23" s="65">
        <f t="shared" ca="1" si="2"/>
        <v>4275.4869089606682</v>
      </c>
      <c r="L23" s="64">
        <f t="shared" ca="1" si="4"/>
        <v>37545.87115767457</v>
      </c>
      <c r="M23" s="65">
        <f t="shared" ca="1" si="5"/>
        <v>34156.887116730366</v>
      </c>
      <c r="N23" s="66"/>
      <c r="O23" s="67">
        <f ca="1">IF($C23="",0,
K23*'2.c Decrements'!D19+(O22-P22-Q22)*(1+G22))</f>
        <v>27349.506466542462</v>
      </c>
      <c r="P23" s="68">
        <f ca="1">M23*'1.a Assumptions'!$C$13*'2.c Decrements'!E19</f>
        <v>1051.7975469561154</v>
      </c>
      <c r="Q23" s="68">
        <f ca="1">L24*('2.c Decrements'!F19+'2.c Decrements'!G19)</f>
        <v>0</v>
      </c>
      <c r="R23" s="68">
        <f ca="1">O23-L24*'2.c Decrements'!D19</f>
        <v>5115.2262190410511</v>
      </c>
      <c r="S23" s="68">
        <f ca="1">IF(B24&lt;=$S$13,OFFSET('2.c Decrements'!$J$11,0,$S$13-B23),"")</f>
        <v>0</v>
      </c>
      <c r="V23" s="69">
        <f t="shared" ca="1" si="6"/>
        <v>4275.48690896068</v>
      </c>
      <c r="W23" s="70">
        <f t="shared" ca="1" si="3"/>
        <v>1.1823431123048067E-11</v>
      </c>
    </row>
    <row r="24" spans="2:23" ht="15" customHeight="1" x14ac:dyDescent="0.25">
      <c r="B24" s="57">
        <f t="shared" ca="1" si="7"/>
        <v>9</v>
      </c>
      <c r="C24" s="71">
        <f t="shared" ca="1" si="8"/>
        <v>54</v>
      </c>
      <c r="D24" s="72">
        <f t="shared" ca="1" si="9"/>
        <v>0.05</v>
      </c>
      <c r="E24" s="73">
        <f t="shared" ca="1" si="10"/>
        <v>105070.41389602788</v>
      </c>
      <c r="F24" s="62">
        <f t="shared" ca="1" si="11"/>
        <v>1.1257768431897297E-2</v>
      </c>
      <c r="G24" s="62">
        <f t="shared" ca="1" si="11"/>
        <v>0.04</v>
      </c>
      <c r="I24" s="94">
        <f t="shared" ca="1" si="0"/>
        <v>5.4456340202762537</v>
      </c>
      <c r="J24" s="63">
        <f t="shared" ca="1" si="1"/>
        <v>4.0691634784949679E-2</v>
      </c>
      <c r="K24" s="65">
        <f t="shared" ca="1" si="2"/>
        <v>4323.619350515356</v>
      </c>
      <c r="L24" s="64">
        <f t="shared" ca="1" si="4"/>
        <v>43323.192912942235</v>
      </c>
      <c r="M24" s="65">
        <f t="shared" ca="1" si="5"/>
        <v>39963.557926574525</v>
      </c>
      <c r="N24" s="66"/>
      <c r="O24" s="67">
        <f ca="1">IF($C24="",0,
K24*'2.c Decrements'!D20+(O23-P23-Q23)*(1+G23))</f>
        <v>29391.063283241267</v>
      </c>
      <c r="P24" s="68">
        <f ca="1">M24*'1.a Assumptions'!$C$13*'2.c Decrements'!E20</f>
        <v>1132.1548795435626</v>
      </c>
      <c r="Q24" s="68">
        <f ca="1">L25*('2.c Decrements'!F20+'2.c Decrements'!G20)</f>
        <v>0</v>
      </c>
      <c r="R24" s="68">
        <f ca="1">O24-L25*'2.c Decrements'!D20</f>
        <v>6075.8579355604597</v>
      </c>
      <c r="S24" s="68">
        <f ca="1">IF(B25&lt;=$S$13,OFFSET('2.c Decrements'!$J$11,0,$S$13-B24),"")</f>
        <v>0</v>
      </c>
      <c r="V24" s="69">
        <f t="shared" ca="1" si="6"/>
        <v>4323.6193505153351</v>
      </c>
      <c r="W24" s="70">
        <f t="shared" ca="1" si="3"/>
        <v>-2.0918378140777349E-11</v>
      </c>
    </row>
    <row r="25" spans="2:23" ht="15" customHeight="1" x14ac:dyDescent="0.25">
      <c r="B25" s="57">
        <f t="shared" ca="1" si="7"/>
        <v>10</v>
      </c>
      <c r="C25" s="71">
        <f t="shared" ca="1" si="8"/>
        <v>55</v>
      </c>
      <c r="D25" s="72">
        <f t="shared" ca="1" si="9"/>
        <v>0.05</v>
      </c>
      <c r="E25" s="73">
        <f t="shared" ca="1" si="10"/>
        <v>106253.27228471296</v>
      </c>
      <c r="F25" s="62">
        <f t="shared" ca="1" si="11"/>
        <v>1.1257768431897297E-2</v>
      </c>
      <c r="G25" s="62">
        <f t="shared" ca="1" si="11"/>
        <v>0.04</v>
      </c>
      <c r="I25" s="94">
        <f t="shared" ca="1" si="0"/>
        <v>4.6004112481324393</v>
      </c>
      <c r="J25" s="63">
        <f t="shared" ca="1" si="1"/>
        <v>4.0691634784949679E-2</v>
      </c>
      <c r="K25" s="65">
        <f t="shared" ca="1" si="2"/>
        <v>4372.2936559511281</v>
      </c>
      <c r="L25" s="64">
        <f t="shared" ca="1" si="4"/>
        <v>49379.73997997526</v>
      </c>
      <c r="M25" s="65">
        <f t="shared" ca="1" si="5"/>
        <v>46180.111381819457</v>
      </c>
      <c r="N25" s="66"/>
      <c r="O25" s="67">
        <f ca="1">IF($C25="",0,
K25*'2.c Decrements'!D21+(O24-P24-Q24)*(1+G24))</f>
        <v>31288.538622466018</v>
      </c>
      <c r="P25" s="68">
        <f ca="1">M25*'1.a Assumptions'!$C$13*'2.c Decrements'!E21</f>
        <v>1203.6064319414229</v>
      </c>
      <c r="Q25" s="68">
        <f ca="1">L26*('2.c Decrements'!F21+'2.c Decrements'!G21)</f>
        <v>0</v>
      </c>
      <c r="R25" s="68">
        <f ca="1">O25-L26*'2.c Decrements'!D21</f>
        <v>7081.2762631846053</v>
      </c>
      <c r="S25" s="68">
        <f ca="1">IF(B26&lt;=$S$13,OFFSET('2.c Decrements'!$J$11,0,$S$13-B25),"")</f>
        <v>0</v>
      </c>
      <c r="V25" s="69">
        <f t="shared" ca="1" si="6"/>
        <v>4372.2936559511509</v>
      </c>
      <c r="W25" s="70">
        <f t="shared" ca="1" si="3"/>
        <v>2.2737367544323206E-11</v>
      </c>
    </row>
    <row r="26" spans="2:23" ht="15" customHeight="1" x14ac:dyDescent="0.25">
      <c r="B26" s="57">
        <f t="shared" ca="1" si="7"/>
        <v>11</v>
      </c>
      <c r="C26" s="71">
        <f t="shared" ca="1" si="8"/>
        <v>56</v>
      </c>
      <c r="D26" s="72">
        <f t="shared" ca="1" si="9"/>
        <v>0.05</v>
      </c>
      <c r="E26" s="73">
        <f t="shared" ca="1" si="10"/>
        <v>107449.4470192256</v>
      </c>
      <c r="F26" s="62">
        <f t="shared" ca="1" si="11"/>
        <v>1.1257768431897297E-2</v>
      </c>
      <c r="G26" s="62">
        <f t="shared" ca="1" si="11"/>
        <v>0.04</v>
      </c>
      <c r="I26" s="94">
        <f t="shared" ca="1" si="0"/>
        <v>3.7311653343110422</v>
      </c>
      <c r="J26" s="63">
        <f t="shared" ca="1" si="1"/>
        <v>4.0691634784949679E-2</v>
      </c>
      <c r="K26" s="65">
        <f t="shared" ca="1" si="2"/>
        <v>4421.5159254460796</v>
      </c>
      <c r="L26" s="64">
        <f t="shared" ca="1" si="4"/>
        <v>55727.223235125421</v>
      </c>
      <c r="M26" s="65">
        <f t="shared" ca="1" si="5"/>
        <v>52830.047420801464</v>
      </c>
      <c r="N26" s="66"/>
      <c r="O26" s="67">
        <f ca="1">IF($C26="",0,
K26*'2.c Decrements'!D22+(O25-P25-Q25)*(1+G25))</f>
        <v>33055.332508870903</v>
      </c>
      <c r="P26" s="68">
        <f ca="1">M26*'1.a Assumptions'!$C$13*'2.c Decrements'!E22</f>
        <v>1266.7716974897089</v>
      </c>
      <c r="Q26" s="68">
        <f ca="1">L27*('2.c Decrements'!F22+'2.c Decrements'!G22)</f>
        <v>0</v>
      </c>
      <c r="R26" s="68">
        <f ca="1">O26-L27*'2.c Decrements'!D22</f>
        <v>8126.8208527851384</v>
      </c>
      <c r="S26" s="68">
        <f ca="1">IF(B27&lt;=$S$13,OFFSET('2.c Decrements'!$J$11,0,$S$13-B26),"")</f>
        <v>0</v>
      </c>
      <c r="V26" s="69">
        <f t="shared" ca="1" si="6"/>
        <v>4421.5159254460523</v>
      </c>
      <c r="W26" s="70">
        <f t="shared" ca="1" si="3"/>
        <v>-2.7284841053187847E-11</v>
      </c>
    </row>
    <row r="27" spans="2:23" ht="15" customHeight="1" x14ac:dyDescent="0.25">
      <c r="B27" s="57">
        <f t="shared" ca="1" si="7"/>
        <v>12</v>
      </c>
      <c r="C27" s="71">
        <f t="shared" ca="1" si="8"/>
        <v>57</v>
      </c>
      <c r="D27" s="72">
        <f t="shared" ca="1" si="9"/>
        <v>0.05</v>
      </c>
      <c r="E27" s="73">
        <f t="shared" ca="1" si="10"/>
        <v>108659.08801190346</v>
      </c>
      <c r="F27" s="62">
        <f t="shared" ca="1" si="11"/>
        <v>1.1257768431897297E-2</v>
      </c>
      <c r="G27" s="62">
        <f t="shared" ca="1" si="11"/>
        <v>0.04</v>
      </c>
      <c r="I27" s="94">
        <f t="shared" ca="1" si="0"/>
        <v>2.8372134868250596</v>
      </c>
      <c r="J27" s="63">
        <f t="shared" ca="1" si="1"/>
        <v>4.0691634784949679E-2</v>
      </c>
      <c r="K27" s="65">
        <f t="shared" ca="1" si="2"/>
        <v>4471.2923278526978</v>
      </c>
      <c r="L27" s="64">
        <f t="shared" ca="1" si="4"/>
        <v>62377.828089976494</v>
      </c>
      <c r="M27" s="65">
        <f t="shared" ca="1" si="5"/>
        <v>59938.09016469113</v>
      </c>
      <c r="N27" s="66"/>
      <c r="O27" s="67">
        <f ca="1">IF($C27="",0,
K27*'2.c Decrements'!D23+(O26-P26-Q26)*(1+G26))</f>
        <v>34704.04714216703</v>
      </c>
      <c r="P27" s="68">
        <f ca="1">M27*'1.a Assumptions'!$C$13*'2.c Decrements'!E23</f>
        <v>1322.2332656270771</v>
      </c>
      <c r="Q27" s="68">
        <f ca="1">L28*('2.c Decrements'!F23+'2.c Decrements'!G23)</f>
        <v>0</v>
      </c>
      <c r="R27" s="68">
        <f ca="1">O27-L28*'2.c Decrements'!D23</f>
        <v>9208.5032912935785</v>
      </c>
      <c r="S27" s="68">
        <f ca="1">IF(B28&lt;=$S$13,OFFSET('2.c Decrements'!$J$11,0,$S$13-B27),"")</f>
        <v>14.399999999999999</v>
      </c>
      <c r="V27" s="69">
        <f t="shared" ca="1" si="6"/>
        <v>4471.2923278527014</v>
      </c>
      <c r="W27" s="70">
        <f t="shared" ca="1" si="3"/>
        <v>3.637978807091713E-12</v>
      </c>
    </row>
    <row r="28" spans="2:23" ht="15" customHeight="1" x14ac:dyDescent="0.25">
      <c r="B28" s="57">
        <f t="shared" ca="1" si="7"/>
        <v>13</v>
      </c>
      <c r="C28" s="71">
        <f t="shared" ca="1" si="8"/>
        <v>58</v>
      </c>
      <c r="D28" s="72">
        <f t="shared" ca="1" si="9"/>
        <v>0.05</v>
      </c>
      <c r="E28" s="73">
        <f t="shared" ca="1" si="10"/>
        <v>109882.34686276261</v>
      </c>
      <c r="F28" s="62">
        <f t="shared" ca="1" si="11"/>
        <v>1.1257768431897297E-2</v>
      </c>
      <c r="G28" s="62">
        <f t="shared" ca="1" si="11"/>
        <v>0.04</v>
      </c>
      <c r="I28" s="94">
        <f t="shared" ca="1" si="0"/>
        <v>1.9178535071958516</v>
      </c>
      <c r="J28" s="63">
        <f t="shared" ca="1" si="1"/>
        <v>4.0691634784949679E-2</v>
      </c>
      <c r="K28" s="65">
        <f t="shared" ca="1" si="2"/>
        <v>4521.6291014709823</v>
      </c>
      <c r="L28" s="64">
        <f t="shared" ca="1" si="4"/>
        <v>69344.233541428257</v>
      </c>
      <c r="M28" s="65">
        <f t="shared" ca="1" si="5"/>
        <v>67530.248252218662</v>
      </c>
      <c r="N28" s="66"/>
      <c r="O28" s="67">
        <f ca="1">IF($C28="",0,
K28*'2.c Decrements'!D24+(O27-P27-Q27)*(1+G27))</f>
        <v>36246.541386610341</v>
      </c>
      <c r="P28" s="68">
        <f ca="1">M28*'1.a Assumptions'!$C$13*'2.c Decrements'!E24</f>
        <v>1370.5388542646529</v>
      </c>
      <c r="Q28" s="68">
        <f ca="1">L29*('2.c Decrements'!F24+'2.c Decrements'!G24)</f>
        <v>0</v>
      </c>
      <c r="R28" s="68">
        <f ca="1">O28-L29*'2.c Decrements'!D24</f>
        <v>10322.950075085842</v>
      </c>
      <c r="S28" s="68">
        <f ca="1">IF(B29&lt;=$S$13,OFFSET('2.c Decrements'!$J$11,0,$S$13-B28),"")</f>
        <v>14.399999999999999</v>
      </c>
      <c r="V28" s="69">
        <f t="shared" ca="1" si="6"/>
        <v>4521.6291014709714</v>
      </c>
      <c r="W28" s="70">
        <f t="shared" ca="1" si="3"/>
        <v>-1.0913936421275139E-11</v>
      </c>
    </row>
    <row r="29" spans="2:23" ht="15" customHeight="1" x14ac:dyDescent="0.25">
      <c r="B29" s="57">
        <f t="shared" ca="1" si="7"/>
        <v>14</v>
      </c>
      <c r="C29" s="71">
        <f t="shared" ca="1" si="8"/>
        <v>59</v>
      </c>
      <c r="D29" s="72">
        <f t="shared" ca="1" si="9"/>
        <v>0.05</v>
      </c>
      <c r="E29" s="73">
        <f t="shared" ca="1" si="10"/>
        <v>111119.37687849702</v>
      </c>
      <c r="F29" s="62">
        <f t="shared" ca="1" si="11"/>
        <v>1.1257768431897297E-2</v>
      </c>
      <c r="G29" s="62">
        <f t="shared" ca="1" si="11"/>
        <v>0.04</v>
      </c>
      <c r="I29" s="94">
        <f t="shared" ca="1" si="0"/>
        <v>0.9723632388768253</v>
      </c>
      <c r="J29" s="63">
        <f t="shared" ca="1" si="1"/>
        <v>4.0691634784949679E-2</v>
      </c>
      <c r="K29" s="65">
        <f t="shared" ca="1" si="2"/>
        <v>4572.5325548302708</v>
      </c>
      <c r="L29" s="64">
        <f t="shared" ca="1" si="4"/>
        <v>76639.631984556356</v>
      </c>
      <c r="M29" s="65">
        <f t="shared" ca="1" si="5"/>
        <v>75633.87804248491</v>
      </c>
      <c r="N29" s="66"/>
      <c r="O29" s="67">
        <f ca="1">IF($C29="",0,
K29*'2.c Decrements'!D25+(O28-P28-Q28)*(1+G28))</f>
        <v>37693.981981981269</v>
      </c>
      <c r="P29" s="68">
        <f ca="1">M29*'1.a Assumptions'!$C$13*'2.c Decrements'!E25</f>
        <v>0</v>
      </c>
      <c r="Q29" s="68">
        <f ca="1">L30*('2.c Decrements'!F25+'2.c Decrements'!G25)</f>
        <v>26226.631515208399</v>
      </c>
      <c r="R29" s="68">
        <f ca="1">O29-L30*'2.c Decrements'!D25</f>
        <v>11467.35046677287</v>
      </c>
      <c r="S29" s="68">
        <f ca="1">IF(B30&lt;=$S$13,OFFSET('2.c Decrements'!$J$11,0,$S$13-B29),"")</f>
        <v>240</v>
      </c>
      <c r="V29" s="69">
        <f t="shared" ca="1" si="6"/>
        <v>4572.5325548302935</v>
      </c>
      <c r="W29" s="70">
        <f t="shared" ca="1" si="3"/>
        <v>2.2737367544323206E-11</v>
      </c>
    </row>
    <row r="30" spans="2:23" ht="15" customHeight="1" x14ac:dyDescent="0.25">
      <c r="B30" s="57">
        <f t="shared" ca="1" si="7"/>
        <v>15</v>
      </c>
      <c r="C30" s="71">
        <f t="shared" ca="1" si="8"/>
        <v>60</v>
      </c>
      <c r="D30" s="72">
        <f t="shared" ca="1" si="9"/>
        <v>0.05</v>
      </c>
      <c r="E30" s="73">
        <f t="shared" ca="1" si="10"/>
        <v>112370.33309169186</v>
      </c>
      <c r="F30" s="62">
        <f t="shared" ca="1" si="11"/>
        <v>1.1257768431897297E-2</v>
      </c>
      <c r="G30" s="62">
        <f t="shared" ca="1" si="11"/>
        <v>0.04</v>
      </c>
      <c r="I30" s="94">
        <f t="shared" ca="1" si="0"/>
        <v>0</v>
      </c>
      <c r="J30" s="63">
        <f t="shared" ca="1" si="1"/>
        <v>4.0691634784949679E-2</v>
      </c>
      <c r="K30" s="65">
        <f t="shared" ca="1" si="2"/>
        <v>0</v>
      </c>
      <c r="L30" s="64">
        <f t="shared" ca="1" si="4"/>
        <v>84277.749818768905</v>
      </c>
      <c r="M30" s="65">
        <f t="shared" ca="1" si="5"/>
        <v>84277.749818768905</v>
      </c>
      <c r="N30" s="66"/>
      <c r="O30" s="67">
        <f ca="1">IF($C30="",0,
K30*'2.c Decrements'!D26+(O29-P29-Q29)*(1+G29))</f>
        <v>11926.044485443785</v>
      </c>
      <c r="P30" s="68">
        <f ca="1">M30*'1.a Assumptions'!$C$13*'2.c Decrements'!E26</f>
        <v>0</v>
      </c>
      <c r="Q30" s="68">
        <f ca="1">L31*('2.c Decrements'!F26+'2.c Decrements'!G26)</f>
        <v>0</v>
      </c>
      <c r="R30" s="68">
        <f ca="1">O30-L31*'2.c Decrements'!D26</f>
        <v>11926.044485443785</v>
      </c>
      <c r="S30" s="68" t="str">
        <f ca="1">IF(B31&lt;=$S$13,OFFSET('2.c Decrements'!$J$11,0,$S$13-B30),"")</f>
        <v/>
      </c>
      <c r="V30" s="69" t="str">
        <f t="shared" ca="1" si="6"/>
        <v/>
      </c>
      <c r="W30" s="70" t="str">
        <f t="shared" ca="1" si="3"/>
        <v/>
      </c>
    </row>
    <row r="31" spans="2:23" ht="15" customHeight="1" x14ac:dyDescent="0.25">
      <c r="B31" s="57" t="str">
        <f t="shared" ca="1" si="7"/>
        <v/>
      </c>
      <c r="C31" s="71" t="str">
        <f t="shared" ca="1" si="8"/>
        <v/>
      </c>
      <c r="D31" s="72" t="str">
        <f t="shared" ca="1" si="9"/>
        <v/>
      </c>
      <c r="E31" s="73" t="str">
        <f t="shared" ca="1" si="10"/>
        <v/>
      </c>
      <c r="F31" s="62" t="str">
        <f t="shared" ca="1" si="11"/>
        <v/>
      </c>
      <c r="G31" s="62" t="str">
        <f t="shared" ca="1" si="11"/>
        <v/>
      </c>
      <c r="I31" s="94">
        <f t="shared" ca="1" si="0"/>
        <v>0</v>
      </c>
      <c r="J31" s="63" t="str">
        <f t="shared" ca="1" si="1"/>
        <v/>
      </c>
      <c r="K31" s="65">
        <f t="shared" ca="1" si="2"/>
        <v>0</v>
      </c>
      <c r="L31" s="64">
        <f t="shared" ca="1" si="4"/>
        <v>0</v>
      </c>
      <c r="M31" s="65">
        <f t="shared" ca="1" si="5"/>
        <v>0</v>
      </c>
      <c r="N31" s="66"/>
      <c r="O31" s="67">
        <f ca="1">IF($C31="",0,
K31*'2.c Decrements'!D27+(O30-P30-Q30)*(1+G30))</f>
        <v>0</v>
      </c>
      <c r="P31" s="68">
        <f ca="1">M31*'1.a Assumptions'!$C$13*'2.c Decrements'!E27</f>
        <v>0</v>
      </c>
      <c r="Q31" s="68">
        <f ca="1">L32*('2.c Decrements'!F27+'2.c Decrements'!G27)</f>
        <v>0</v>
      </c>
      <c r="R31" s="68">
        <f ca="1">O31-L32*'2.c Decrements'!D27</f>
        <v>0</v>
      </c>
      <c r="S31" s="68" t="str">
        <f ca="1">IF(B32&lt;=$S$13,OFFSET('2.c Decrements'!$J$11,0,$S$13-B31),"")</f>
        <v/>
      </c>
      <c r="V31" s="69" t="str">
        <f t="shared" ca="1" si="6"/>
        <v/>
      </c>
      <c r="W31" s="70" t="str">
        <f t="shared" ca="1" si="3"/>
        <v/>
      </c>
    </row>
    <row r="32" spans="2:23" ht="15" customHeight="1" x14ac:dyDescent="0.25">
      <c r="B32" s="57" t="str">
        <f t="shared" ca="1" si="7"/>
        <v/>
      </c>
      <c r="C32" s="71" t="str">
        <f t="shared" ca="1" si="8"/>
        <v/>
      </c>
      <c r="D32" s="72" t="str">
        <f t="shared" ca="1" si="9"/>
        <v/>
      </c>
      <c r="E32" s="73" t="str">
        <f t="shared" ca="1" si="10"/>
        <v/>
      </c>
      <c r="F32" s="62" t="str">
        <f t="shared" ca="1" si="11"/>
        <v/>
      </c>
      <c r="G32" s="62" t="str">
        <f t="shared" ca="1" si="11"/>
        <v/>
      </c>
      <c r="I32" s="94">
        <f t="shared" ca="1" si="0"/>
        <v>0</v>
      </c>
      <c r="J32" s="63" t="str">
        <f t="shared" ca="1" si="1"/>
        <v/>
      </c>
      <c r="K32" s="65">
        <f t="shared" ca="1" si="2"/>
        <v>0</v>
      </c>
      <c r="L32" s="64">
        <f t="shared" ca="1" si="4"/>
        <v>0</v>
      </c>
      <c r="M32" s="65">
        <f t="shared" ca="1" si="5"/>
        <v>0</v>
      </c>
      <c r="N32" s="66"/>
      <c r="O32" s="67">
        <f ca="1">IF($C32="",0,
K32*'2.c Decrements'!D28+(O31-P31-Q31)*(1+G31))</f>
        <v>0</v>
      </c>
      <c r="P32" s="68">
        <f ca="1">M32*'1.a Assumptions'!$C$13*'2.c Decrements'!E28</f>
        <v>0</v>
      </c>
      <c r="Q32" s="68">
        <f ca="1">L33*('2.c Decrements'!F28+'2.c Decrements'!G28)</f>
        <v>0</v>
      </c>
      <c r="R32" s="68">
        <f ca="1">O32-L33*'2.c Decrements'!D28</f>
        <v>0</v>
      </c>
      <c r="S32" s="68" t="str">
        <f ca="1">IF(B33&lt;=$S$13,OFFSET('2.c Decrements'!$J$11,0,$S$13-B32),"")</f>
        <v/>
      </c>
      <c r="V32" s="69" t="str">
        <f t="shared" ca="1" si="6"/>
        <v/>
      </c>
      <c r="W32" s="70" t="str">
        <f t="shared" ca="1" si="3"/>
        <v/>
      </c>
    </row>
    <row r="33" spans="2:23" ht="15" customHeight="1" x14ac:dyDescent="0.25">
      <c r="B33" s="57" t="str">
        <f t="shared" ca="1" si="7"/>
        <v/>
      </c>
      <c r="C33" s="71" t="str">
        <f t="shared" ca="1" si="8"/>
        <v/>
      </c>
      <c r="D33" s="72" t="str">
        <f t="shared" ca="1" si="9"/>
        <v/>
      </c>
      <c r="E33" s="73" t="str">
        <f t="shared" ca="1" si="10"/>
        <v/>
      </c>
      <c r="F33" s="62" t="str">
        <f t="shared" ref="F33:G48" ca="1" si="12">IF($C33="","",F32)</f>
        <v/>
      </c>
      <c r="G33" s="62" t="str">
        <f t="shared" ca="1" si="12"/>
        <v/>
      </c>
      <c r="I33" s="94">
        <f t="shared" ca="1" si="0"/>
        <v>0</v>
      </c>
      <c r="J33" s="63" t="str">
        <f t="shared" ca="1" si="1"/>
        <v/>
      </c>
      <c r="K33" s="65">
        <f t="shared" ca="1" si="2"/>
        <v>0</v>
      </c>
      <c r="L33" s="64">
        <f t="shared" ca="1" si="4"/>
        <v>0</v>
      </c>
      <c r="M33" s="65">
        <f t="shared" ca="1" si="5"/>
        <v>0</v>
      </c>
      <c r="N33" s="66"/>
      <c r="O33" s="67">
        <f ca="1">IF($C33="",0,
K33*'2.c Decrements'!D29+(O32-P32-Q32)*(1+G32))</f>
        <v>0</v>
      </c>
      <c r="P33" s="68">
        <f ca="1">M33*'1.a Assumptions'!$C$13*'2.c Decrements'!E29</f>
        <v>0</v>
      </c>
      <c r="Q33" s="68">
        <f ca="1">L34*('2.c Decrements'!F29+'2.c Decrements'!G29)</f>
        <v>0</v>
      </c>
      <c r="R33" s="68">
        <f ca="1">O33-L34*'2.c Decrements'!D29</f>
        <v>0</v>
      </c>
      <c r="S33" s="68" t="str">
        <f ca="1">IF(B34&lt;=$S$13,OFFSET('2.c Decrements'!$J$11,0,$S$13-B33),"")</f>
        <v/>
      </c>
      <c r="V33" s="69" t="str">
        <f t="shared" ca="1" si="6"/>
        <v/>
      </c>
      <c r="W33" s="70" t="str">
        <f t="shared" ca="1" si="3"/>
        <v/>
      </c>
    </row>
    <row r="34" spans="2:23" ht="15" customHeight="1" x14ac:dyDescent="0.25">
      <c r="B34" s="57" t="str">
        <f t="shared" ca="1" si="7"/>
        <v/>
      </c>
      <c r="C34" s="71" t="str">
        <f t="shared" ca="1" si="8"/>
        <v/>
      </c>
      <c r="D34" s="72" t="str">
        <f t="shared" ca="1" si="9"/>
        <v/>
      </c>
      <c r="E34" s="73" t="str">
        <f t="shared" ca="1" si="10"/>
        <v/>
      </c>
      <c r="F34" s="62" t="str">
        <f t="shared" ca="1" si="12"/>
        <v/>
      </c>
      <c r="G34" s="62" t="str">
        <f t="shared" ca="1" si="12"/>
        <v/>
      </c>
      <c r="I34" s="94">
        <f t="shared" ca="1" si="0"/>
        <v>0</v>
      </c>
      <c r="J34" s="63" t="str">
        <f t="shared" ca="1" si="1"/>
        <v/>
      </c>
      <c r="K34" s="65">
        <f t="shared" ca="1" si="2"/>
        <v>0</v>
      </c>
      <c r="L34" s="64">
        <f t="shared" ca="1" si="4"/>
        <v>0</v>
      </c>
      <c r="M34" s="65">
        <f t="shared" ca="1" si="5"/>
        <v>0</v>
      </c>
      <c r="N34" s="66"/>
      <c r="O34" s="67">
        <f ca="1">IF($C34="",0,
K34*'2.c Decrements'!D30+(O33-P33-Q33)*(1+G33))</f>
        <v>0</v>
      </c>
      <c r="P34" s="68">
        <f ca="1">M34*'1.a Assumptions'!$C$13*'2.c Decrements'!E30</f>
        <v>0</v>
      </c>
      <c r="Q34" s="68">
        <f ca="1">L35*('2.c Decrements'!F30+'2.c Decrements'!G30)</f>
        <v>0</v>
      </c>
      <c r="R34" s="68">
        <f ca="1">O34-L35*'2.c Decrements'!D30</f>
        <v>0</v>
      </c>
      <c r="S34" s="68" t="str">
        <f ca="1">IF(B35&lt;=$S$13,OFFSET('2.c Decrements'!$J$11,0,$S$13-B34),"")</f>
        <v/>
      </c>
      <c r="V34" s="69" t="str">
        <f t="shared" ca="1" si="6"/>
        <v/>
      </c>
      <c r="W34" s="70" t="str">
        <f t="shared" ca="1" si="3"/>
        <v/>
      </c>
    </row>
    <row r="35" spans="2:23" ht="15" customHeight="1" x14ac:dyDescent="0.25">
      <c r="B35" s="57" t="str">
        <f t="shared" ca="1" si="7"/>
        <v/>
      </c>
      <c r="C35" s="71" t="str">
        <f t="shared" ca="1" si="8"/>
        <v/>
      </c>
      <c r="D35" s="72" t="str">
        <f t="shared" ca="1" si="9"/>
        <v/>
      </c>
      <c r="E35" s="73" t="str">
        <f t="shared" ca="1" si="10"/>
        <v/>
      </c>
      <c r="F35" s="62" t="str">
        <f t="shared" ca="1" si="12"/>
        <v/>
      </c>
      <c r="G35" s="62" t="str">
        <f t="shared" ca="1" si="12"/>
        <v/>
      </c>
      <c r="I35" s="94">
        <f t="shared" ca="1" si="0"/>
        <v>0</v>
      </c>
      <c r="J35" s="63" t="str">
        <f t="shared" ca="1" si="1"/>
        <v/>
      </c>
      <c r="K35" s="65">
        <f t="shared" ca="1" si="2"/>
        <v>0</v>
      </c>
      <c r="L35" s="64">
        <f t="shared" ca="1" si="4"/>
        <v>0</v>
      </c>
      <c r="M35" s="65">
        <f t="shared" ca="1" si="5"/>
        <v>0</v>
      </c>
      <c r="N35" s="66"/>
      <c r="O35" s="67">
        <f ca="1">IF($C35="",0,
K35*'2.c Decrements'!D31+(O34-P34-Q34)*(1+G34))</f>
        <v>0</v>
      </c>
      <c r="P35" s="68">
        <f ca="1">M35*'1.a Assumptions'!$C$13*'2.c Decrements'!E31</f>
        <v>0</v>
      </c>
      <c r="Q35" s="68">
        <f ca="1">L36*('2.c Decrements'!F31+'2.c Decrements'!G31)</f>
        <v>0</v>
      </c>
      <c r="R35" s="68">
        <f ca="1">O35-L36*'2.c Decrements'!D31</f>
        <v>0</v>
      </c>
      <c r="S35" s="68" t="str">
        <f ca="1">IF(B36&lt;=$S$13,OFFSET('2.c Decrements'!$J$11,0,$S$13-B35),"")</f>
        <v/>
      </c>
      <c r="V35" s="69" t="str">
        <f t="shared" ca="1" si="6"/>
        <v/>
      </c>
      <c r="W35" s="70" t="str">
        <f t="shared" ca="1" si="3"/>
        <v/>
      </c>
    </row>
    <row r="36" spans="2:23" ht="15" customHeight="1" x14ac:dyDescent="0.25">
      <c r="B36" s="57" t="str">
        <f t="shared" ca="1" si="7"/>
        <v/>
      </c>
      <c r="C36" s="71" t="str">
        <f t="shared" ca="1" si="8"/>
        <v/>
      </c>
      <c r="D36" s="72" t="str">
        <f t="shared" ca="1" si="9"/>
        <v/>
      </c>
      <c r="E36" s="73" t="str">
        <f t="shared" ca="1" si="10"/>
        <v/>
      </c>
      <c r="F36" s="62" t="str">
        <f t="shared" ca="1" si="12"/>
        <v/>
      </c>
      <c r="G36" s="62" t="str">
        <f t="shared" ca="1" si="12"/>
        <v/>
      </c>
      <c r="I36" s="94">
        <f t="shared" ca="1" si="0"/>
        <v>0</v>
      </c>
      <c r="J36" s="63" t="str">
        <f t="shared" ca="1" si="1"/>
        <v/>
      </c>
      <c r="K36" s="65">
        <f t="shared" ca="1" si="2"/>
        <v>0</v>
      </c>
      <c r="L36" s="64">
        <f t="shared" ca="1" si="4"/>
        <v>0</v>
      </c>
      <c r="M36" s="65">
        <f t="shared" ca="1" si="5"/>
        <v>0</v>
      </c>
      <c r="N36" s="66"/>
      <c r="O36" s="67">
        <f ca="1">IF($C36="",0,
K36*'2.c Decrements'!D32+(O35-P35-Q35)*(1+G35))</f>
        <v>0</v>
      </c>
      <c r="P36" s="68">
        <f ca="1">M36*'1.a Assumptions'!$C$13*'2.c Decrements'!E32</f>
        <v>0</v>
      </c>
      <c r="Q36" s="68">
        <f ca="1">L37*('2.c Decrements'!F32+'2.c Decrements'!G32)</f>
        <v>0</v>
      </c>
      <c r="R36" s="68">
        <f ca="1">O36-L37*'2.c Decrements'!D32</f>
        <v>0</v>
      </c>
      <c r="S36" s="68" t="str">
        <f ca="1">IF(B37&lt;=$S$13,OFFSET('2.c Decrements'!$J$11,0,$S$13-B36),"")</f>
        <v/>
      </c>
      <c r="V36" s="69" t="str">
        <f t="shared" ca="1" si="6"/>
        <v/>
      </c>
      <c r="W36" s="70" t="str">
        <f t="shared" ca="1" si="3"/>
        <v/>
      </c>
    </row>
    <row r="37" spans="2:23" ht="15" customHeight="1" x14ac:dyDescent="0.25">
      <c r="B37" s="57" t="str">
        <f t="shared" ca="1" si="7"/>
        <v/>
      </c>
      <c r="C37" s="71" t="str">
        <f t="shared" ca="1" si="8"/>
        <v/>
      </c>
      <c r="D37" s="72" t="str">
        <f t="shared" ca="1" si="9"/>
        <v/>
      </c>
      <c r="E37" s="73" t="str">
        <f t="shared" ca="1" si="10"/>
        <v/>
      </c>
      <c r="F37" s="62" t="str">
        <f t="shared" ca="1" si="12"/>
        <v/>
      </c>
      <c r="G37" s="62" t="str">
        <f t="shared" ca="1" si="12"/>
        <v/>
      </c>
      <c r="I37" s="94">
        <f t="shared" ca="1" si="0"/>
        <v>0</v>
      </c>
      <c r="J37" s="63" t="str">
        <f t="shared" ca="1" si="1"/>
        <v/>
      </c>
      <c r="K37" s="65">
        <f t="shared" ca="1" si="2"/>
        <v>0</v>
      </c>
      <c r="L37" s="64">
        <f t="shared" ca="1" si="4"/>
        <v>0</v>
      </c>
      <c r="M37" s="65">
        <f t="shared" ca="1" si="5"/>
        <v>0</v>
      </c>
      <c r="N37" s="66"/>
      <c r="O37" s="67">
        <f ca="1">IF($C37="",0,
K37*'2.c Decrements'!D33+(O36-P36-Q36)*(1+G36))</f>
        <v>0</v>
      </c>
      <c r="P37" s="68">
        <f ca="1">M37*'1.a Assumptions'!$C$13*'2.c Decrements'!E33</f>
        <v>0</v>
      </c>
      <c r="Q37" s="68">
        <f ca="1">L38*('2.c Decrements'!F33+'2.c Decrements'!G33)</f>
        <v>0</v>
      </c>
      <c r="R37" s="68">
        <f ca="1">O37-L38*'2.c Decrements'!D33</f>
        <v>0</v>
      </c>
      <c r="S37" s="68" t="str">
        <f ca="1">IF(B38&lt;=$S$13,OFFSET('2.c Decrements'!$J$11,0,$S$13-B37),"")</f>
        <v/>
      </c>
      <c r="V37" s="69" t="str">
        <f t="shared" ca="1" si="6"/>
        <v/>
      </c>
      <c r="W37" s="70" t="str">
        <f t="shared" ca="1" si="3"/>
        <v/>
      </c>
    </row>
    <row r="38" spans="2:23" ht="15" customHeight="1" x14ac:dyDescent="0.25">
      <c r="B38" s="57" t="str">
        <f t="shared" ca="1" si="7"/>
        <v/>
      </c>
      <c r="C38" s="71" t="str">
        <f t="shared" ca="1" si="8"/>
        <v/>
      </c>
      <c r="D38" s="72" t="str">
        <f t="shared" ca="1" si="9"/>
        <v/>
      </c>
      <c r="E38" s="73" t="str">
        <f t="shared" ca="1" si="10"/>
        <v/>
      </c>
      <c r="F38" s="62" t="str">
        <f t="shared" ca="1" si="12"/>
        <v/>
      </c>
      <c r="G38" s="62" t="str">
        <f t="shared" ca="1" si="12"/>
        <v/>
      </c>
      <c r="I38" s="94">
        <f t="shared" ca="1" si="0"/>
        <v>0</v>
      </c>
      <c r="J38" s="63" t="str">
        <f t="shared" ca="1" si="1"/>
        <v/>
      </c>
      <c r="K38" s="65">
        <f t="shared" ca="1" si="2"/>
        <v>0</v>
      </c>
      <c r="L38" s="64">
        <f t="shared" ca="1" si="4"/>
        <v>0</v>
      </c>
      <c r="M38" s="65">
        <f t="shared" ca="1" si="5"/>
        <v>0</v>
      </c>
      <c r="N38" s="66"/>
      <c r="O38" s="67">
        <f ca="1">IF($C38="",0,
K38*'2.c Decrements'!D34+(O37-P37-Q37)*(1+G37))</f>
        <v>0</v>
      </c>
      <c r="P38" s="68">
        <f ca="1">M38*'1.a Assumptions'!$C$13*'2.c Decrements'!E34</f>
        <v>0</v>
      </c>
      <c r="Q38" s="68">
        <f ca="1">L39*('2.c Decrements'!F34+'2.c Decrements'!G34)</f>
        <v>0</v>
      </c>
      <c r="R38" s="68">
        <f ca="1">O38-L39*'2.c Decrements'!D34</f>
        <v>0</v>
      </c>
      <c r="S38" s="68" t="str">
        <f ca="1">IF(B39&lt;=$S$13,OFFSET('2.c Decrements'!$J$11,0,$S$13-B38),"")</f>
        <v/>
      </c>
      <c r="V38" s="69" t="str">
        <f t="shared" ca="1" si="6"/>
        <v/>
      </c>
      <c r="W38" s="70" t="str">
        <f t="shared" ca="1" si="3"/>
        <v/>
      </c>
    </row>
    <row r="39" spans="2:23" ht="15" customHeight="1" x14ac:dyDescent="0.25">
      <c r="B39" s="57" t="str">
        <f t="shared" ca="1" si="7"/>
        <v/>
      </c>
      <c r="C39" s="71" t="str">
        <f t="shared" ca="1" si="8"/>
        <v/>
      </c>
      <c r="D39" s="72" t="str">
        <f t="shared" ca="1" si="9"/>
        <v/>
      </c>
      <c r="E39" s="73" t="str">
        <f t="shared" ca="1" si="10"/>
        <v/>
      </c>
      <c r="F39" s="62" t="str">
        <f t="shared" ca="1" si="12"/>
        <v/>
      </c>
      <c r="G39" s="62" t="str">
        <f t="shared" ca="1" si="12"/>
        <v/>
      </c>
      <c r="I39" s="94">
        <f t="shared" ca="1" si="0"/>
        <v>0</v>
      </c>
      <c r="J39" s="63" t="str">
        <f t="shared" ca="1" si="1"/>
        <v/>
      </c>
      <c r="K39" s="65">
        <f t="shared" ca="1" si="2"/>
        <v>0</v>
      </c>
      <c r="L39" s="64">
        <f t="shared" ca="1" si="4"/>
        <v>0</v>
      </c>
      <c r="M39" s="65">
        <f t="shared" ca="1" si="5"/>
        <v>0</v>
      </c>
      <c r="N39" s="66"/>
      <c r="O39" s="67">
        <f ca="1">IF($C39="",0,
K39*'2.c Decrements'!D35+(O38-P38-Q38)*(1+G38))</f>
        <v>0</v>
      </c>
      <c r="P39" s="68">
        <f ca="1">M39*'1.a Assumptions'!$C$13*'2.c Decrements'!E35</f>
        <v>0</v>
      </c>
      <c r="Q39" s="68">
        <f ca="1">L40*('2.c Decrements'!F35+'2.c Decrements'!G35)</f>
        <v>0</v>
      </c>
      <c r="R39" s="68">
        <f ca="1">O39-L40*'2.c Decrements'!D35</f>
        <v>0</v>
      </c>
      <c r="S39" s="68" t="str">
        <f ca="1">IF(B40&lt;=$S$13,OFFSET('2.c Decrements'!$J$11,0,$S$13-B39),"")</f>
        <v/>
      </c>
      <c r="V39" s="69" t="str">
        <f t="shared" ca="1" si="6"/>
        <v/>
      </c>
      <c r="W39" s="70" t="str">
        <f t="shared" ca="1" si="3"/>
        <v/>
      </c>
    </row>
    <row r="40" spans="2:23" ht="15" customHeight="1" x14ac:dyDescent="0.25">
      <c r="B40" s="57" t="str">
        <f t="shared" ca="1" si="7"/>
        <v/>
      </c>
      <c r="C40" s="71" t="str">
        <f t="shared" ca="1" si="8"/>
        <v/>
      </c>
      <c r="D40" s="72" t="str">
        <f t="shared" ca="1" si="9"/>
        <v/>
      </c>
      <c r="E40" s="73" t="str">
        <f t="shared" ca="1" si="10"/>
        <v/>
      </c>
      <c r="F40" s="62" t="str">
        <f t="shared" ca="1" si="12"/>
        <v/>
      </c>
      <c r="G40" s="62" t="str">
        <f t="shared" ca="1" si="12"/>
        <v/>
      </c>
      <c r="I40" s="94">
        <f t="shared" ca="1" si="0"/>
        <v>0</v>
      </c>
      <c r="J40" s="63" t="str">
        <f t="shared" ca="1" si="1"/>
        <v/>
      </c>
      <c r="K40" s="65">
        <f t="shared" ca="1" si="2"/>
        <v>0</v>
      </c>
      <c r="L40" s="64">
        <f t="shared" ca="1" si="4"/>
        <v>0</v>
      </c>
      <c r="M40" s="65">
        <f t="shared" ca="1" si="5"/>
        <v>0</v>
      </c>
      <c r="N40" s="66"/>
      <c r="O40" s="67">
        <f ca="1">IF($C40="",0,
K40*'2.c Decrements'!D36+(O39-P39-Q39)*(1+G39))</f>
        <v>0</v>
      </c>
      <c r="P40" s="68">
        <f ca="1">M40*'1.a Assumptions'!$C$13*'2.c Decrements'!E36</f>
        <v>0</v>
      </c>
      <c r="Q40" s="68">
        <f ca="1">L41*('2.c Decrements'!F36+'2.c Decrements'!G36)</f>
        <v>0</v>
      </c>
      <c r="R40" s="68">
        <f ca="1">O40-L41*'2.c Decrements'!D36</f>
        <v>0</v>
      </c>
      <c r="S40" s="68" t="str">
        <f ca="1">IF(B41&lt;=$S$13,OFFSET('2.c Decrements'!$J$11,0,$S$13-B40),"")</f>
        <v/>
      </c>
      <c r="V40" s="69" t="str">
        <f t="shared" ca="1" si="6"/>
        <v/>
      </c>
      <c r="W40" s="70" t="str">
        <f t="shared" ca="1" si="3"/>
        <v/>
      </c>
    </row>
    <row r="41" spans="2:23" ht="15" customHeight="1" x14ac:dyDescent="0.25">
      <c r="B41" s="57" t="str">
        <f t="shared" ca="1" si="7"/>
        <v/>
      </c>
      <c r="C41" s="71" t="str">
        <f t="shared" ca="1" si="8"/>
        <v/>
      </c>
      <c r="D41" s="72" t="str">
        <f t="shared" ca="1" si="9"/>
        <v/>
      </c>
      <c r="E41" s="73" t="str">
        <f t="shared" ca="1" si="10"/>
        <v/>
      </c>
      <c r="F41" s="62" t="str">
        <f t="shared" ca="1" si="12"/>
        <v/>
      </c>
      <c r="G41" s="62" t="str">
        <f t="shared" ca="1" si="12"/>
        <v/>
      </c>
      <c r="I41" s="94">
        <f t="shared" ca="1" si="0"/>
        <v>0</v>
      </c>
      <c r="J41" s="63" t="str">
        <f t="shared" ca="1" si="1"/>
        <v/>
      </c>
      <c r="K41" s="65">
        <f t="shared" ca="1" si="2"/>
        <v>0</v>
      </c>
      <c r="L41" s="64">
        <f t="shared" ca="1" si="4"/>
        <v>0</v>
      </c>
      <c r="M41" s="65">
        <f t="shared" ca="1" si="5"/>
        <v>0</v>
      </c>
      <c r="N41" s="66"/>
      <c r="O41" s="67">
        <f ca="1">IF($C41="",0,
K41*'2.c Decrements'!D37+(O40-P40-Q40)*(1+G40))</f>
        <v>0</v>
      </c>
      <c r="P41" s="68">
        <f ca="1">M41*'1.a Assumptions'!$C$13*'2.c Decrements'!E37</f>
        <v>0</v>
      </c>
      <c r="Q41" s="68">
        <f ca="1">L42*('2.c Decrements'!F37+'2.c Decrements'!G37)</f>
        <v>0</v>
      </c>
      <c r="R41" s="68">
        <f ca="1">O41-L42*'2.c Decrements'!D37</f>
        <v>0</v>
      </c>
      <c r="S41" s="68" t="str">
        <f ca="1">IF(B42&lt;=$S$13,OFFSET('2.c Decrements'!$J$11,0,$S$13-B41),"")</f>
        <v/>
      </c>
      <c r="V41" s="69" t="str">
        <f t="shared" ca="1" si="6"/>
        <v/>
      </c>
      <c r="W41" s="70" t="str">
        <f t="shared" ca="1" si="3"/>
        <v/>
      </c>
    </row>
    <row r="42" spans="2:23" ht="15" customHeight="1" x14ac:dyDescent="0.25">
      <c r="B42" s="57" t="str">
        <f t="shared" ca="1" si="7"/>
        <v/>
      </c>
      <c r="C42" s="71" t="str">
        <f t="shared" ca="1" si="8"/>
        <v/>
      </c>
      <c r="D42" s="72" t="str">
        <f t="shared" ca="1" si="9"/>
        <v/>
      </c>
      <c r="E42" s="73" t="str">
        <f t="shared" ca="1" si="10"/>
        <v/>
      </c>
      <c r="F42" s="62" t="str">
        <f t="shared" ca="1" si="12"/>
        <v/>
      </c>
      <c r="G42" s="62" t="str">
        <f t="shared" ca="1" si="12"/>
        <v/>
      </c>
      <c r="I42" s="94">
        <f t="shared" ca="1" si="0"/>
        <v>0</v>
      </c>
      <c r="J42" s="63" t="str">
        <f t="shared" ca="1" si="1"/>
        <v/>
      </c>
      <c r="K42" s="65">
        <f t="shared" ca="1" si="2"/>
        <v>0</v>
      </c>
      <c r="L42" s="64">
        <f t="shared" ca="1" si="4"/>
        <v>0</v>
      </c>
      <c r="M42" s="65">
        <f t="shared" ca="1" si="5"/>
        <v>0</v>
      </c>
      <c r="N42" s="66"/>
      <c r="O42" s="67">
        <f ca="1">IF($C42="",0,
K42*'2.c Decrements'!D38+(O41-P41-Q41)*(1+G41))</f>
        <v>0</v>
      </c>
      <c r="P42" s="68">
        <f ca="1">M42*'1.a Assumptions'!$C$13*'2.c Decrements'!E38</f>
        <v>0</v>
      </c>
      <c r="Q42" s="68">
        <f ca="1">L43*('2.c Decrements'!F38+'2.c Decrements'!G38)</f>
        <v>0</v>
      </c>
      <c r="R42" s="68">
        <f ca="1">O42-L43*'2.c Decrements'!D38</f>
        <v>0</v>
      </c>
      <c r="S42" s="68" t="str">
        <f ca="1">IF(B43&lt;=$S$13,OFFSET('2.c Decrements'!$J$11,0,$S$13-B42),"")</f>
        <v/>
      </c>
      <c r="V42" s="69" t="str">
        <f t="shared" ca="1" si="6"/>
        <v/>
      </c>
      <c r="W42" s="70" t="str">
        <f t="shared" ca="1" si="3"/>
        <v/>
      </c>
    </row>
    <row r="43" spans="2:23" ht="15" customHeight="1" x14ac:dyDescent="0.25">
      <c r="B43" s="57" t="str">
        <f t="shared" ca="1" si="7"/>
        <v/>
      </c>
      <c r="C43" s="71" t="str">
        <f t="shared" ca="1" si="8"/>
        <v/>
      </c>
      <c r="D43" s="72" t="str">
        <f t="shared" ca="1" si="9"/>
        <v/>
      </c>
      <c r="E43" s="73" t="str">
        <f t="shared" ca="1" si="10"/>
        <v/>
      </c>
      <c r="F43" s="62" t="str">
        <f t="shared" ca="1" si="12"/>
        <v/>
      </c>
      <c r="G43" s="62" t="str">
        <f t="shared" ca="1" si="12"/>
        <v/>
      </c>
      <c r="I43" s="94">
        <f t="shared" ca="1" si="0"/>
        <v>0</v>
      </c>
      <c r="J43" s="63" t="str">
        <f t="shared" ca="1" si="1"/>
        <v/>
      </c>
      <c r="K43" s="65">
        <f t="shared" ca="1" si="2"/>
        <v>0</v>
      </c>
      <c r="L43" s="64">
        <f t="shared" ca="1" si="4"/>
        <v>0</v>
      </c>
      <c r="M43" s="65">
        <f t="shared" ca="1" si="5"/>
        <v>0</v>
      </c>
      <c r="N43" s="66"/>
      <c r="O43" s="67">
        <f ca="1">IF($C43="",0,
K43*'2.c Decrements'!D39+(O42-P42-Q42)*(1+G42))</f>
        <v>0</v>
      </c>
      <c r="P43" s="68">
        <f ca="1">M43*'1.a Assumptions'!$C$13*'2.c Decrements'!E39</f>
        <v>0</v>
      </c>
      <c r="Q43" s="68">
        <f ca="1">L44*('2.c Decrements'!F39+'2.c Decrements'!G39)</f>
        <v>0</v>
      </c>
      <c r="R43" s="68">
        <f ca="1">O43-L44*'2.c Decrements'!D39</f>
        <v>0</v>
      </c>
      <c r="S43" s="68" t="str">
        <f ca="1">IF(B44&lt;=$S$13,OFFSET('2.c Decrements'!$J$11,0,$S$13-B43),"")</f>
        <v/>
      </c>
      <c r="V43" s="69" t="str">
        <f t="shared" ca="1" si="6"/>
        <v/>
      </c>
      <c r="W43" s="70" t="str">
        <f t="shared" ca="1" si="3"/>
        <v/>
      </c>
    </row>
    <row r="44" spans="2:23" ht="15" customHeight="1" x14ac:dyDescent="0.25">
      <c r="B44" s="57" t="str">
        <f t="shared" ca="1" si="7"/>
        <v/>
      </c>
      <c r="C44" s="71" t="str">
        <f t="shared" ca="1" si="8"/>
        <v/>
      </c>
      <c r="D44" s="72" t="str">
        <f t="shared" ca="1" si="9"/>
        <v/>
      </c>
      <c r="E44" s="73" t="str">
        <f t="shared" ca="1" si="10"/>
        <v/>
      </c>
      <c r="F44" s="62" t="str">
        <f t="shared" ca="1" si="12"/>
        <v/>
      </c>
      <c r="G44" s="62" t="str">
        <f t="shared" ca="1" si="12"/>
        <v/>
      </c>
      <c r="I44" s="94">
        <f t="shared" ca="1" si="0"/>
        <v>0</v>
      </c>
      <c r="J44" s="63" t="str">
        <f t="shared" ca="1" si="1"/>
        <v/>
      </c>
      <c r="K44" s="65">
        <f t="shared" ca="1" si="2"/>
        <v>0</v>
      </c>
      <c r="L44" s="64">
        <f t="shared" ca="1" si="4"/>
        <v>0</v>
      </c>
      <c r="M44" s="65">
        <f t="shared" ca="1" si="5"/>
        <v>0</v>
      </c>
      <c r="N44" s="66"/>
      <c r="O44" s="67">
        <f ca="1">IF($C44="",0,
K44*'2.c Decrements'!D40+(O43-P43-Q43)*(1+G43))</f>
        <v>0</v>
      </c>
      <c r="P44" s="68">
        <f ca="1">M44*'1.a Assumptions'!$C$13*'2.c Decrements'!E40</f>
        <v>0</v>
      </c>
      <c r="Q44" s="68">
        <f ca="1">L45*('2.c Decrements'!F40+'2.c Decrements'!G40)</f>
        <v>0</v>
      </c>
      <c r="R44" s="68">
        <f ca="1">O44-L45*'2.c Decrements'!D40</f>
        <v>0</v>
      </c>
      <c r="S44" s="68" t="str">
        <f ca="1">IF(B45&lt;=$S$13,OFFSET('2.c Decrements'!$J$11,0,$S$13-B44),"")</f>
        <v/>
      </c>
      <c r="V44" s="69" t="str">
        <f t="shared" ca="1" si="6"/>
        <v/>
      </c>
      <c r="W44" s="70" t="str">
        <f t="shared" ca="1" si="3"/>
        <v/>
      </c>
    </row>
    <row r="45" spans="2:23" ht="15" customHeight="1" x14ac:dyDescent="0.25">
      <c r="B45" s="57" t="str">
        <f t="shared" ca="1" si="7"/>
        <v/>
      </c>
      <c r="C45" s="71" t="str">
        <f t="shared" ca="1" si="8"/>
        <v/>
      </c>
      <c r="D45" s="72" t="str">
        <f t="shared" ca="1" si="9"/>
        <v/>
      </c>
      <c r="E45" s="73" t="str">
        <f t="shared" ca="1" si="10"/>
        <v/>
      </c>
      <c r="F45" s="62" t="str">
        <f t="shared" ca="1" si="12"/>
        <v/>
      </c>
      <c r="G45" s="62" t="str">
        <f t="shared" ca="1" si="12"/>
        <v/>
      </c>
      <c r="I45" s="94">
        <f t="shared" ca="1" si="0"/>
        <v>0</v>
      </c>
      <c r="J45" s="63" t="str">
        <f t="shared" ca="1" si="1"/>
        <v/>
      </c>
      <c r="K45" s="65">
        <f t="shared" ca="1" si="2"/>
        <v>0</v>
      </c>
      <c r="L45" s="64">
        <f t="shared" ca="1" si="4"/>
        <v>0</v>
      </c>
      <c r="M45" s="65">
        <f t="shared" ca="1" si="5"/>
        <v>0</v>
      </c>
      <c r="N45" s="66"/>
      <c r="O45" s="67">
        <f ca="1">IF($C45="",0,
K45*'2.c Decrements'!D41+(O44-P44-Q44)*(1+G44))</f>
        <v>0</v>
      </c>
      <c r="P45" s="68">
        <f ca="1">M45*'1.a Assumptions'!$C$13*'2.c Decrements'!E41</f>
        <v>0</v>
      </c>
      <c r="Q45" s="68">
        <f ca="1">L46*('2.c Decrements'!F41+'2.c Decrements'!G41)</f>
        <v>0</v>
      </c>
      <c r="R45" s="68">
        <f ca="1">O45-L46*'2.c Decrements'!D41</f>
        <v>0</v>
      </c>
      <c r="S45" s="68" t="str">
        <f ca="1">IF(B46&lt;=$S$13,OFFSET('2.c Decrements'!$J$11,0,$S$13-B45),"")</f>
        <v/>
      </c>
      <c r="V45" s="69" t="str">
        <f t="shared" ca="1" si="6"/>
        <v/>
      </c>
      <c r="W45" s="70" t="str">
        <f t="shared" ca="1" si="3"/>
        <v/>
      </c>
    </row>
    <row r="46" spans="2:23" ht="15" customHeight="1" x14ac:dyDescent="0.25">
      <c r="B46" s="57" t="str">
        <f t="shared" ca="1" si="7"/>
        <v/>
      </c>
      <c r="C46" s="71" t="str">
        <f t="shared" ca="1" si="8"/>
        <v/>
      </c>
      <c r="D46" s="72" t="str">
        <f t="shared" ca="1" si="9"/>
        <v/>
      </c>
      <c r="E46" s="73" t="str">
        <f t="shared" ca="1" si="10"/>
        <v/>
      </c>
      <c r="F46" s="62" t="str">
        <f t="shared" ca="1" si="12"/>
        <v/>
      </c>
      <c r="G46" s="62" t="str">
        <f t="shared" ca="1" si="12"/>
        <v/>
      </c>
      <c r="I46" s="94">
        <f t="shared" ca="1" si="0"/>
        <v>0</v>
      </c>
      <c r="J46" s="63" t="str">
        <f t="shared" ca="1" si="1"/>
        <v/>
      </c>
      <c r="K46" s="65">
        <f t="shared" ca="1" si="2"/>
        <v>0</v>
      </c>
      <c r="L46" s="64">
        <f t="shared" ca="1" si="4"/>
        <v>0</v>
      </c>
      <c r="M46" s="65">
        <f t="shared" ca="1" si="5"/>
        <v>0</v>
      </c>
      <c r="N46" s="66"/>
      <c r="O46" s="67">
        <f ca="1">IF($C46="",0,
K46*'2.c Decrements'!D42+(O45-P45-Q45)*(1+G45))</f>
        <v>0</v>
      </c>
      <c r="P46" s="68">
        <f ca="1">M46*'1.a Assumptions'!$C$13*'2.c Decrements'!E42</f>
        <v>0</v>
      </c>
      <c r="Q46" s="68">
        <f ca="1">L47*('2.c Decrements'!F42+'2.c Decrements'!G42)</f>
        <v>0</v>
      </c>
      <c r="R46" s="68">
        <f ca="1">O46-L47*'2.c Decrements'!D42</f>
        <v>0</v>
      </c>
      <c r="S46" s="68" t="str">
        <f ca="1">IF(B47&lt;=$S$13,OFFSET('2.c Decrements'!$J$11,0,$S$13-B46),"")</f>
        <v/>
      </c>
      <c r="V46" s="69" t="str">
        <f t="shared" ca="1" si="6"/>
        <v/>
      </c>
      <c r="W46" s="70" t="str">
        <f t="shared" ca="1" si="3"/>
        <v/>
      </c>
    </row>
    <row r="47" spans="2:23" ht="15" customHeight="1" x14ac:dyDescent="0.25">
      <c r="B47" s="57" t="str">
        <f t="shared" ca="1" si="7"/>
        <v/>
      </c>
      <c r="C47" s="71" t="str">
        <f t="shared" ca="1" si="8"/>
        <v/>
      </c>
      <c r="D47" s="72" t="str">
        <f t="shared" ca="1" si="9"/>
        <v/>
      </c>
      <c r="E47" s="73" t="str">
        <f t="shared" ca="1" si="10"/>
        <v/>
      </c>
      <c r="F47" s="62" t="str">
        <f t="shared" ca="1" si="12"/>
        <v/>
      </c>
      <c r="G47" s="62" t="str">
        <f t="shared" ca="1" si="12"/>
        <v/>
      </c>
      <c r="I47" s="94">
        <f t="shared" ca="1" si="0"/>
        <v>0</v>
      </c>
      <c r="J47" s="63" t="str">
        <f t="shared" ca="1" si="1"/>
        <v/>
      </c>
      <c r="K47" s="65">
        <f t="shared" ca="1" si="2"/>
        <v>0</v>
      </c>
      <c r="L47" s="64">
        <f t="shared" ca="1" si="4"/>
        <v>0</v>
      </c>
      <c r="M47" s="65">
        <f t="shared" ca="1" si="5"/>
        <v>0</v>
      </c>
      <c r="N47" s="66"/>
      <c r="O47" s="67">
        <f ca="1">IF($C47="",0,
K47*'2.c Decrements'!D43+(O46-P46-Q46)*(1+G46))</f>
        <v>0</v>
      </c>
      <c r="P47" s="68">
        <f ca="1">M47*'1.a Assumptions'!$C$13*'2.c Decrements'!E43</f>
        <v>0</v>
      </c>
      <c r="Q47" s="68">
        <f ca="1">L48*('2.c Decrements'!F43+'2.c Decrements'!G43)</f>
        <v>0</v>
      </c>
      <c r="R47" s="68">
        <f ca="1">O47-L48*'2.c Decrements'!D43</f>
        <v>0</v>
      </c>
      <c r="S47" s="68" t="str">
        <f ca="1">IF(B48&lt;=$S$13,OFFSET('2.c Decrements'!$J$11,0,$S$13-B47),"")</f>
        <v/>
      </c>
      <c r="V47" s="69" t="str">
        <f t="shared" ca="1" si="6"/>
        <v/>
      </c>
      <c r="W47" s="70" t="str">
        <f t="shared" ca="1" si="3"/>
        <v/>
      </c>
    </row>
    <row r="48" spans="2:23" ht="15" customHeight="1" x14ac:dyDescent="0.25">
      <c r="B48" s="57" t="str">
        <f t="shared" ca="1" si="7"/>
        <v/>
      </c>
      <c r="C48" s="71" t="str">
        <f t="shared" ca="1" si="8"/>
        <v/>
      </c>
      <c r="D48" s="72" t="str">
        <f t="shared" ca="1" si="9"/>
        <v/>
      </c>
      <c r="E48" s="73" t="str">
        <f t="shared" ca="1" si="10"/>
        <v/>
      </c>
      <c r="F48" s="62" t="str">
        <f t="shared" ca="1" si="12"/>
        <v/>
      </c>
      <c r="G48" s="62" t="str">
        <f t="shared" ca="1" si="12"/>
        <v/>
      </c>
      <c r="I48" s="94">
        <f t="shared" ca="1" si="0"/>
        <v>0</v>
      </c>
      <c r="J48" s="63" t="str">
        <f t="shared" ca="1" si="1"/>
        <v/>
      </c>
      <c r="K48" s="65">
        <f t="shared" ca="1" si="2"/>
        <v>0</v>
      </c>
      <c r="L48" s="64">
        <f t="shared" ca="1" si="4"/>
        <v>0</v>
      </c>
      <c r="M48" s="65">
        <f t="shared" ca="1" si="5"/>
        <v>0</v>
      </c>
      <c r="N48" s="66"/>
      <c r="O48" s="67">
        <f ca="1">IF($C48="",0,
K48*'2.c Decrements'!D44+(O47-P47-Q47)*(1+G47))</f>
        <v>0</v>
      </c>
      <c r="P48" s="68">
        <f ca="1">M48*'1.a Assumptions'!$C$13*'2.c Decrements'!E44</f>
        <v>0</v>
      </c>
      <c r="Q48" s="68">
        <f ca="1">L49*('2.c Decrements'!F44+'2.c Decrements'!G44)</f>
        <v>0</v>
      </c>
      <c r="R48" s="68">
        <f ca="1">O48-L49*'2.c Decrements'!D44</f>
        <v>0</v>
      </c>
      <c r="S48" s="68" t="str">
        <f ca="1">IF(B49&lt;=$S$13,OFFSET('2.c Decrements'!$J$11,0,$S$13-B48),"")</f>
        <v/>
      </c>
      <c r="V48" s="69" t="str">
        <f t="shared" ca="1" si="6"/>
        <v/>
      </c>
      <c r="W48" s="70" t="str">
        <f t="shared" ca="1" si="3"/>
        <v/>
      </c>
    </row>
    <row r="49" spans="2:23" ht="15" customHeight="1" x14ac:dyDescent="0.25">
      <c r="B49" s="57" t="str">
        <f t="shared" ca="1" si="7"/>
        <v/>
      </c>
      <c r="C49" s="71" t="str">
        <f t="shared" ca="1" si="8"/>
        <v/>
      </c>
      <c r="D49" s="72" t="str">
        <f t="shared" ca="1" si="9"/>
        <v/>
      </c>
      <c r="E49" s="73" t="str">
        <f t="shared" ca="1" si="10"/>
        <v/>
      </c>
      <c r="F49" s="62" t="str">
        <f t="shared" ref="F49:G64" ca="1" si="13">IF($C49="","",F48)</f>
        <v/>
      </c>
      <c r="G49" s="62" t="str">
        <f t="shared" ca="1" si="13"/>
        <v/>
      </c>
      <c r="I49" s="94">
        <f t="shared" ca="1" si="0"/>
        <v>0</v>
      </c>
      <c r="J49" s="63" t="str">
        <f t="shared" ca="1" si="1"/>
        <v/>
      </c>
      <c r="K49" s="65">
        <f t="shared" ca="1" si="2"/>
        <v>0</v>
      </c>
      <c r="L49" s="64">
        <f t="shared" ca="1" si="4"/>
        <v>0</v>
      </c>
      <c r="M49" s="65">
        <f t="shared" ca="1" si="5"/>
        <v>0</v>
      </c>
      <c r="N49" s="66"/>
      <c r="O49" s="67">
        <f ca="1">IF($C49="",0,
K49*'2.c Decrements'!D45+(O48-P48-Q48)*(1+G48))</f>
        <v>0</v>
      </c>
      <c r="P49" s="68">
        <f ca="1">M49*'1.a Assumptions'!$C$13*'2.c Decrements'!E45</f>
        <v>0</v>
      </c>
      <c r="Q49" s="68">
        <f ca="1">L50*('2.c Decrements'!F45+'2.c Decrements'!G45)</f>
        <v>0</v>
      </c>
      <c r="R49" s="68">
        <f ca="1">O49-L50*'2.c Decrements'!D45</f>
        <v>0</v>
      </c>
      <c r="S49" s="68" t="str">
        <f ca="1">IF(B50&lt;=$S$13,OFFSET('2.c Decrements'!$J$11,0,$S$13-B49),"")</f>
        <v/>
      </c>
      <c r="V49" s="69" t="str">
        <f t="shared" ca="1" si="6"/>
        <v/>
      </c>
      <c r="W49" s="70" t="str">
        <f t="shared" ca="1" si="3"/>
        <v/>
      </c>
    </row>
    <row r="50" spans="2:23" ht="15" customHeight="1" x14ac:dyDescent="0.25">
      <c r="B50" s="57" t="str">
        <f t="shared" ca="1" si="7"/>
        <v/>
      </c>
      <c r="C50" s="71" t="str">
        <f t="shared" ca="1" si="8"/>
        <v/>
      </c>
      <c r="D50" s="72" t="str">
        <f t="shared" ca="1" si="9"/>
        <v/>
      </c>
      <c r="E50" s="73" t="str">
        <f t="shared" ca="1" si="10"/>
        <v/>
      </c>
      <c r="F50" s="62" t="str">
        <f t="shared" ca="1" si="13"/>
        <v/>
      </c>
      <c r="G50" s="62" t="str">
        <f t="shared" ca="1" si="13"/>
        <v/>
      </c>
      <c r="I50" s="94">
        <f t="shared" ca="1" si="0"/>
        <v>0</v>
      </c>
      <c r="J50" s="63" t="str">
        <f t="shared" ca="1" si="1"/>
        <v/>
      </c>
      <c r="K50" s="65">
        <f t="shared" ca="1" si="2"/>
        <v>0</v>
      </c>
      <c r="L50" s="64">
        <f t="shared" ca="1" si="4"/>
        <v>0</v>
      </c>
      <c r="M50" s="65">
        <f t="shared" ca="1" si="5"/>
        <v>0</v>
      </c>
      <c r="N50" s="66"/>
      <c r="O50" s="67">
        <f ca="1">IF($C50="",0,
K50*'2.c Decrements'!D46+(O49-P49-Q49)*(1+G49))</f>
        <v>0</v>
      </c>
      <c r="P50" s="68">
        <f ca="1">M50*'1.a Assumptions'!$C$13*'2.c Decrements'!E46</f>
        <v>0</v>
      </c>
      <c r="Q50" s="68">
        <f ca="1">L51*('2.c Decrements'!F46+'2.c Decrements'!G46)</f>
        <v>0</v>
      </c>
      <c r="R50" s="68">
        <f ca="1">O50-L51*'2.c Decrements'!D46</f>
        <v>0</v>
      </c>
      <c r="S50" s="68" t="str">
        <f ca="1">IF(B51&lt;=$S$13,OFFSET('2.c Decrements'!$J$11,0,$S$13-B50),"")</f>
        <v/>
      </c>
      <c r="V50" s="69" t="str">
        <f t="shared" ca="1" si="6"/>
        <v/>
      </c>
      <c r="W50" s="70" t="str">
        <f t="shared" ca="1" si="3"/>
        <v/>
      </c>
    </row>
    <row r="51" spans="2:23" ht="15" customHeight="1" x14ac:dyDescent="0.25">
      <c r="B51" s="57" t="str">
        <f t="shared" ca="1" si="7"/>
        <v/>
      </c>
      <c r="C51" s="71" t="str">
        <f t="shared" ca="1" si="8"/>
        <v/>
      </c>
      <c r="D51" s="72" t="str">
        <f t="shared" ca="1" si="9"/>
        <v/>
      </c>
      <c r="E51" s="73" t="str">
        <f t="shared" ca="1" si="10"/>
        <v/>
      </c>
      <c r="F51" s="62" t="str">
        <f t="shared" ca="1" si="13"/>
        <v/>
      </c>
      <c r="G51" s="62" t="str">
        <f t="shared" ca="1" si="13"/>
        <v/>
      </c>
      <c r="I51" s="94">
        <f t="shared" ca="1" si="0"/>
        <v>0</v>
      </c>
      <c r="J51" s="63" t="str">
        <f t="shared" ca="1" si="1"/>
        <v/>
      </c>
      <c r="K51" s="65">
        <f t="shared" ca="1" si="2"/>
        <v>0</v>
      </c>
      <c r="L51" s="64">
        <f t="shared" ca="1" si="4"/>
        <v>0</v>
      </c>
      <c r="M51" s="65">
        <f t="shared" ca="1" si="5"/>
        <v>0</v>
      </c>
      <c r="N51" s="66"/>
      <c r="O51" s="67">
        <f ca="1">IF($C51="",0,
K51*'2.c Decrements'!D47+(O50-P50-Q50)*(1+G50))</f>
        <v>0</v>
      </c>
      <c r="P51" s="68">
        <f ca="1">M51*'1.a Assumptions'!$C$13*'2.c Decrements'!E47</f>
        <v>0</v>
      </c>
      <c r="Q51" s="68">
        <f ca="1">L52*('2.c Decrements'!F47+'2.c Decrements'!G47)</f>
        <v>0</v>
      </c>
      <c r="R51" s="68">
        <f ca="1">O51-L52*'2.c Decrements'!D47</f>
        <v>0</v>
      </c>
      <c r="S51" s="68" t="str">
        <f ca="1">IF(B52&lt;=$S$13,OFFSET('2.c Decrements'!$J$11,0,$S$13-B51),"")</f>
        <v/>
      </c>
      <c r="V51" s="69" t="str">
        <f t="shared" ca="1" si="6"/>
        <v/>
      </c>
      <c r="W51" s="70" t="str">
        <f t="shared" ca="1" si="3"/>
        <v/>
      </c>
    </row>
    <row r="52" spans="2:23" ht="15" customHeight="1" x14ac:dyDescent="0.25">
      <c r="B52" s="57" t="str">
        <f t="shared" ca="1" si="7"/>
        <v/>
      </c>
      <c r="C52" s="71" t="str">
        <f t="shared" ca="1" si="8"/>
        <v/>
      </c>
      <c r="D52" s="72" t="str">
        <f t="shared" ca="1" si="9"/>
        <v/>
      </c>
      <c r="E52" s="73" t="str">
        <f t="shared" ca="1" si="10"/>
        <v/>
      </c>
      <c r="F52" s="62" t="str">
        <f t="shared" ca="1" si="13"/>
        <v/>
      </c>
      <c r="G52" s="62" t="str">
        <f t="shared" ca="1" si="13"/>
        <v/>
      </c>
      <c r="I52" s="94">
        <f t="shared" ca="1" si="0"/>
        <v>0</v>
      </c>
      <c r="J52" s="63" t="str">
        <f t="shared" ca="1" si="1"/>
        <v/>
      </c>
      <c r="K52" s="65">
        <f t="shared" ca="1" si="2"/>
        <v>0</v>
      </c>
      <c r="L52" s="64">
        <f t="shared" ca="1" si="4"/>
        <v>0</v>
      </c>
      <c r="M52" s="65">
        <f t="shared" ca="1" si="5"/>
        <v>0</v>
      </c>
      <c r="N52" s="66"/>
      <c r="O52" s="67">
        <f ca="1">IF($C52="",0,
K52*'2.c Decrements'!D48+(O51-P51-Q51)*(1+G51))</f>
        <v>0</v>
      </c>
      <c r="P52" s="68">
        <f ca="1">M52*'1.a Assumptions'!$C$13*'2.c Decrements'!E48</f>
        <v>0</v>
      </c>
      <c r="Q52" s="68">
        <f ca="1">L53*('2.c Decrements'!F48+'2.c Decrements'!G48)</f>
        <v>0</v>
      </c>
      <c r="R52" s="68">
        <f ca="1">O52-L53*'2.c Decrements'!D48</f>
        <v>0</v>
      </c>
      <c r="S52" s="68" t="str">
        <f ca="1">IF(B53&lt;=$S$13,OFFSET('2.c Decrements'!$J$11,0,$S$13-B52),"")</f>
        <v/>
      </c>
      <c r="V52" s="69" t="str">
        <f t="shared" ca="1" si="6"/>
        <v/>
      </c>
      <c r="W52" s="70" t="str">
        <f t="shared" ca="1" si="3"/>
        <v/>
      </c>
    </row>
    <row r="53" spans="2:23" ht="15" customHeight="1" x14ac:dyDescent="0.25">
      <c r="B53" s="57" t="str">
        <f t="shared" ca="1" si="7"/>
        <v/>
      </c>
      <c r="C53" s="71" t="str">
        <f t="shared" ca="1" si="8"/>
        <v/>
      </c>
      <c r="D53" s="72" t="str">
        <f t="shared" ca="1" si="9"/>
        <v/>
      </c>
      <c r="E53" s="73" t="str">
        <f t="shared" ca="1" si="10"/>
        <v/>
      </c>
      <c r="F53" s="62" t="str">
        <f t="shared" ca="1" si="13"/>
        <v/>
      </c>
      <c r="G53" s="62" t="str">
        <f t="shared" ca="1" si="13"/>
        <v/>
      </c>
      <c r="I53" s="94">
        <f t="shared" ca="1" si="0"/>
        <v>0</v>
      </c>
      <c r="J53" s="63" t="str">
        <f t="shared" ca="1" si="1"/>
        <v/>
      </c>
      <c r="K53" s="65">
        <f t="shared" ca="1" si="2"/>
        <v>0</v>
      </c>
      <c r="L53" s="64">
        <f t="shared" ca="1" si="4"/>
        <v>0</v>
      </c>
      <c r="M53" s="65">
        <f t="shared" ca="1" si="5"/>
        <v>0</v>
      </c>
      <c r="N53" s="66"/>
      <c r="O53" s="67">
        <f ca="1">IF($C53="",0,
K53*'2.c Decrements'!D49+(O52-P52-Q52)*(1+G52))</f>
        <v>0</v>
      </c>
      <c r="P53" s="68">
        <f ca="1">M53*'1.a Assumptions'!$C$13*'2.c Decrements'!E49</f>
        <v>0</v>
      </c>
      <c r="Q53" s="68">
        <f ca="1">L54*('2.c Decrements'!F49+'2.c Decrements'!G49)</f>
        <v>0</v>
      </c>
      <c r="R53" s="68">
        <f ca="1">O53-L54*'2.c Decrements'!D49</f>
        <v>0</v>
      </c>
      <c r="S53" s="68" t="str">
        <f ca="1">IF(B54&lt;=$S$13,OFFSET('2.c Decrements'!$J$11,0,$S$13-B53),"")</f>
        <v/>
      </c>
      <c r="V53" s="69" t="str">
        <f t="shared" ca="1" si="6"/>
        <v/>
      </c>
      <c r="W53" s="70" t="str">
        <f t="shared" ca="1" si="3"/>
        <v/>
      </c>
    </row>
    <row r="54" spans="2:23" ht="15" customHeight="1" x14ac:dyDescent="0.25">
      <c r="B54" s="57" t="str">
        <f t="shared" ca="1" si="7"/>
        <v/>
      </c>
      <c r="C54" s="71" t="str">
        <f t="shared" ca="1" si="8"/>
        <v/>
      </c>
      <c r="D54" s="72" t="str">
        <f t="shared" ca="1" si="9"/>
        <v/>
      </c>
      <c r="E54" s="73" t="str">
        <f t="shared" ca="1" si="10"/>
        <v/>
      </c>
      <c r="F54" s="62" t="str">
        <f t="shared" ca="1" si="13"/>
        <v/>
      </c>
      <c r="G54" s="62" t="str">
        <f t="shared" ca="1" si="13"/>
        <v/>
      </c>
      <c r="I54" s="94">
        <f t="shared" ca="1" si="0"/>
        <v>0</v>
      </c>
      <c r="J54" s="63" t="str">
        <f t="shared" ca="1" si="1"/>
        <v/>
      </c>
      <c r="K54" s="65">
        <f t="shared" ca="1" si="2"/>
        <v>0</v>
      </c>
      <c r="L54" s="64">
        <f t="shared" ca="1" si="4"/>
        <v>0</v>
      </c>
      <c r="M54" s="65">
        <f t="shared" ca="1" si="5"/>
        <v>0</v>
      </c>
      <c r="N54" s="66"/>
      <c r="O54" s="67">
        <f ca="1">IF($C54="",0,
K54*'2.c Decrements'!D50+(O53-P53-Q53)*(1+G53))</f>
        <v>0</v>
      </c>
      <c r="P54" s="68">
        <f ca="1">M54*'1.a Assumptions'!$C$13*'2.c Decrements'!E50</f>
        <v>0</v>
      </c>
      <c r="Q54" s="68">
        <f ca="1">L55*('2.c Decrements'!F50+'2.c Decrements'!G50)</f>
        <v>0</v>
      </c>
      <c r="R54" s="68">
        <f ca="1">O54-L55*'2.c Decrements'!D50</f>
        <v>0</v>
      </c>
      <c r="S54" s="68" t="str">
        <f ca="1">IF(B55&lt;=$S$13,OFFSET('2.c Decrements'!$J$11,0,$S$13-B54),"")</f>
        <v/>
      </c>
      <c r="V54" s="69" t="str">
        <f t="shared" ca="1" si="6"/>
        <v/>
      </c>
      <c r="W54" s="70" t="str">
        <f t="shared" ca="1" si="3"/>
        <v/>
      </c>
    </row>
    <row r="55" spans="2:23" ht="15" customHeight="1" x14ac:dyDescent="0.25">
      <c r="B55" s="57" t="str">
        <f t="shared" ca="1" si="7"/>
        <v/>
      </c>
      <c r="C55" s="71" t="str">
        <f t="shared" ca="1" si="8"/>
        <v/>
      </c>
      <c r="D55" s="72" t="str">
        <f t="shared" ca="1" si="9"/>
        <v/>
      </c>
      <c r="E55" s="73" t="str">
        <f t="shared" ca="1" si="10"/>
        <v/>
      </c>
      <c r="F55" s="62" t="str">
        <f t="shared" ca="1" si="13"/>
        <v/>
      </c>
      <c r="G55" s="62" t="str">
        <f t="shared" ca="1" si="13"/>
        <v/>
      </c>
      <c r="I55" s="94">
        <f t="shared" ca="1" si="0"/>
        <v>0</v>
      </c>
      <c r="J55" s="63" t="str">
        <f t="shared" ca="1" si="1"/>
        <v/>
      </c>
      <c r="K55" s="65">
        <f t="shared" ca="1" si="2"/>
        <v>0</v>
      </c>
      <c r="L55" s="64">
        <f t="shared" ca="1" si="4"/>
        <v>0</v>
      </c>
      <c r="M55" s="65">
        <f t="shared" ca="1" si="5"/>
        <v>0</v>
      </c>
      <c r="N55" s="66"/>
      <c r="O55" s="67">
        <f ca="1">IF($C55="",0,
K55*'2.c Decrements'!D51+(O54-P54-Q54)*(1+G54))</f>
        <v>0</v>
      </c>
      <c r="P55" s="68">
        <f ca="1">M55*'1.a Assumptions'!$C$13*'2.c Decrements'!E51</f>
        <v>0</v>
      </c>
      <c r="Q55" s="68">
        <f ca="1">L56*('2.c Decrements'!F51+'2.c Decrements'!G51)</f>
        <v>0</v>
      </c>
      <c r="R55" s="68">
        <f ca="1">O55-L56*'2.c Decrements'!D51</f>
        <v>0</v>
      </c>
      <c r="S55" s="68" t="str">
        <f ca="1">IF(B56&lt;=$S$13,OFFSET('2.c Decrements'!$J$11,0,$S$13-B55),"")</f>
        <v/>
      </c>
      <c r="V55" s="69" t="str">
        <f t="shared" ca="1" si="6"/>
        <v/>
      </c>
      <c r="W55" s="70" t="str">
        <f t="shared" ca="1" si="3"/>
        <v/>
      </c>
    </row>
    <row r="56" spans="2:23" ht="15" customHeight="1" x14ac:dyDescent="0.25">
      <c r="B56" s="57" t="str">
        <f t="shared" ca="1" si="7"/>
        <v/>
      </c>
      <c r="C56" s="71" t="str">
        <f t="shared" ca="1" si="8"/>
        <v/>
      </c>
      <c r="D56" s="72" t="str">
        <f t="shared" ca="1" si="9"/>
        <v/>
      </c>
      <c r="E56" s="73" t="str">
        <f t="shared" ca="1" si="10"/>
        <v/>
      </c>
      <c r="F56" s="62" t="str">
        <f t="shared" ca="1" si="13"/>
        <v/>
      </c>
      <c r="G56" s="62" t="str">
        <f t="shared" ca="1" si="13"/>
        <v/>
      </c>
      <c r="I56" s="94">
        <f t="shared" ca="1" si="0"/>
        <v>0</v>
      </c>
      <c r="J56" s="63" t="str">
        <f t="shared" ca="1" si="1"/>
        <v/>
      </c>
      <c r="K56" s="65">
        <f t="shared" ca="1" si="2"/>
        <v>0</v>
      </c>
      <c r="L56" s="64">
        <f t="shared" ca="1" si="4"/>
        <v>0</v>
      </c>
      <c r="M56" s="65">
        <f t="shared" ca="1" si="5"/>
        <v>0</v>
      </c>
      <c r="N56" s="66"/>
      <c r="O56" s="67">
        <f ca="1">IF($C56="",0,
K56*'2.c Decrements'!D52+(O55-P55-Q55)*(1+G55))</f>
        <v>0</v>
      </c>
      <c r="P56" s="68">
        <f ca="1">M56*'1.a Assumptions'!$C$13*'2.c Decrements'!E52</f>
        <v>0</v>
      </c>
      <c r="Q56" s="68">
        <f ca="1">L57*('2.c Decrements'!F52+'2.c Decrements'!G52)</f>
        <v>0</v>
      </c>
      <c r="R56" s="68">
        <f ca="1">O56-L57*'2.c Decrements'!D52</f>
        <v>0</v>
      </c>
      <c r="S56" s="68" t="str">
        <f ca="1">IF(B57&lt;=$S$13,OFFSET('2.c Decrements'!$J$11,0,$S$13-B56),"")</f>
        <v/>
      </c>
      <c r="V56" s="69" t="str">
        <f t="shared" ca="1" si="6"/>
        <v/>
      </c>
      <c r="W56" s="70" t="str">
        <f t="shared" ca="1" si="3"/>
        <v/>
      </c>
    </row>
    <row r="57" spans="2:23" ht="15" customHeight="1" x14ac:dyDescent="0.25">
      <c r="B57" s="57" t="str">
        <f t="shared" ca="1" si="7"/>
        <v/>
      </c>
      <c r="C57" s="71" t="str">
        <f t="shared" ca="1" si="8"/>
        <v/>
      </c>
      <c r="D57" s="72" t="str">
        <f t="shared" ca="1" si="9"/>
        <v/>
      </c>
      <c r="E57" s="73" t="str">
        <f t="shared" ca="1" si="10"/>
        <v/>
      </c>
      <c r="F57" s="62" t="str">
        <f t="shared" ca="1" si="13"/>
        <v/>
      </c>
      <c r="G57" s="62" t="str">
        <f t="shared" ca="1" si="13"/>
        <v/>
      </c>
      <c r="I57" s="94">
        <f t="shared" ca="1" si="0"/>
        <v>0</v>
      </c>
      <c r="J57" s="63" t="str">
        <f t="shared" ca="1" si="1"/>
        <v/>
      </c>
      <c r="K57" s="65">
        <f t="shared" ca="1" si="2"/>
        <v>0</v>
      </c>
      <c r="L57" s="64">
        <f t="shared" ca="1" si="4"/>
        <v>0</v>
      </c>
      <c r="M57" s="65">
        <f t="shared" ca="1" si="5"/>
        <v>0</v>
      </c>
      <c r="N57" s="66"/>
      <c r="O57" s="67">
        <f ca="1">IF($C57="",0,
K57*'2.c Decrements'!D53+(O56-P56-Q56)*(1+G56))</f>
        <v>0</v>
      </c>
      <c r="P57" s="68">
        <f ca="1">M57*'1.a Assumptions'!$C$13*'2.c Decrements'!E53</f>
        <v>0</v>
      </c>
      <c r="Q57" s="68">
        <f ca="1">L58*('2.c Decrements'!F53+'2.c Decrements'!G53)</f>
        <v>0</v>
      </c>
      <c r="R57" s="68">
        <f ca="1">O57-L58*'2.c Decrements'!D53</f>
        <v>0</v>
      </c>
      <c r="S57" s="68" t="str">
        <f ca="1">IF(B58&lt;=$S$13,OFFSET('2.c Decrements'!$J$11,0,$S$13-B57),"")</f>
        <v/>
      </c>
      <c r="V57" s="69" t="str">
        <f t="shared" ca="1" si="6"/>
        <v/>
      </c>
      <c r="W57" s="70" t="str">
        <f t="shared" ca="1" si="3"/>
        <v/>
      </c>
    </row>
    <row r="58" spans="2:23" ht="15" customHeight="1" x14ac:dyDescent="0.25">
      <c r="B58" s="57" t="str">
        <f t="shared" ca="1" si="7"/>
        <v/>
      </c>
      <c r="C58" s="71" t="str">
        <f t="shared" ca="1" si="8"/>
        <v/>
      </c>
      <c r="D58" s="72" t="str">
        <f t="shared" ca="1" si="9"/>
        <v/>
      </c>
      <c r="E58" s="73" t="str">
        <f t="shared" ca="1" si="10"/>
        <v/>
      </c>
      <c r="F58" s="62" t="str">
        <f t="shared" ca="1" si="13"/>
        <v/>
      </c>
      <c r="G58" s="62" t="str">
        <f t="shared" ca="1" si="13"/>
        <v/>
      </c>
      <c r="I58" s="94">
        <f t="shared" ca="1" si="0"/>
        <v>0</v>
      </c>
      <c r="J58" s="63" t="str">
        <f t="shared" ca="1" si="1"/>
        <v/>
      </c>
      <c r="K58" s="65">
        <f t="shared" ca="1" si="2"/>
        <v>0</v>
      </c>
      <c r="L58" s="64">
        <f t="shared" ca="1" si="4"/>
        <v>0</v>
      </c>
      <c r="M58" s="65">
        <f t="shared" ca="1" si="5"/>
        <v>0</v>
      </c>
      <c r="N58" s="66"/>
      <c r="O58" s="67">
        <f ca="1">IF($C58="",0,
K58*'2.c Decrements'!D54+(O57-P57-Q57)*(1+G57))</f>
        <v>0</v>
      </c>
      <c r="P58" s="68">
        <f ca="1">M58*'1.a Assumptions'!$C$13*'2.c Decrements'!E54</f>
        <v>0</v>
      </c>
      <c r="Q58" s="68">
        <f ca="1">L59*('2.c Decrements'!F54+'2.c Decrements'!G54)</f>
        <v>0</v>
      </c>
      <c r="R58" s="68">
        <f ca="1">O58-L59*'2.c Decrements'!D54</f>
        <v>0</v>
      </c>
      <c r="S58" s="68" t="str">
        <f ca="1">IF(B59&lt;=$S$13,OFFSET('2.c Decrements'!$J$11,0,$S$13-B58),"")</f>
        <v/>
      </c>
      <c r="V58" s="69" t="str">
        <f t="shared" ca="1" si="6"/>
        <v/>
      </c>
      <c r="W58" s="70" t="str">
        <f t="shared" ca="1" si="3"/>
        <v/>
      </c>
    </row>
    <row r="59" spans="2:23" ht="15" customHeight="1" x14ac:dyDescent="0.25">
      <c r="B59" s="57" t="str">
        <f t="shared" ca="1" si="7"/>
        <v/>
      </c>
      <c r="C59" s="71" t="str">
        <f t="shared" ca="1" si="8"/>
        <v/>
      </c>
      <c r="D59" s="72" t="str">
        <f t="shared" ca="1" si="9"/>
        <v/>
      </c>
      <c r="E59" s="73" t="str">
        <f t="shared" ca="1" si="10"/>
        <v/>
      </c>
      <c r="F59" s="62" t="str">
        <f t="shared" ca="1" si="13"/>
        <v/>
      </c>
      <c r="G59" s="62" t="str">
        <f t="shared" ca="1" si="13"/>
        <v/>
      </c>
      <c r="I59" s="94">
        <f t="shared" ca="1" si="0"/>
        <v>0</v>
      </c>
      <c r="J59" s="63" t="str">
        <f t="shared" ca="1" si="1"/>
        <v/>
      </c>
      <c r="K59" s="65">
        <f t="shared" ca="1" si="2"/>
        <v>0</v>
      </c>
      <c r="L59" s="64">
        <f t="shared" ca="1" si="4"/>
        <v>0</v>
      </c>
      <c r="M59" s="65">
        <f t="shared" ca="1" si="5"/>
        <v>0</v>
      </c>
      <c r="N59" s="66"/>
      <c r="O59" s="67">
        <f ca="1">IF($C59="",0,
K59*'2.c Decrements'!D55+(O58-P58-Q58)*(1+G58))</f>
        <v>0</v>
      </c>
      <c r="P59" s="68">
        <f ca="1">M59*'1.a Assumptions'!$C$13*'2.c Decrements'!E55</f>
        <v>0</v>
      </c>
      <c r="Q59" s="68">
        <f ca="1">L60*('2.c Decrements'!F55+'2.c Decrements'!G55)</f>
        <v>0</v>
      </c>
      <c r="R59" s="68">
        <f ca="1">O59-L60*'2.c Decrements'!D55</f>
        <v>0</v>
      </c>
      <c r="S59" s="68" t="str">
        <f ca="1">IF(B60&lt;=$S$13,OFFSET('2.c Decrements'!$J$11,0,$S$13-B59),"")</f>
        <v/>
      </c>
      <c r="V59" s="69" t="str">
        <f t="shared" ca="1" si="6"/>
        <v/>
      </c>
      <c r="W59" s="70" t="str">
        <f t="shared" ca="1" si="3"/>
        <v/>
      </c>
    </row>
    <row r="60" spans="2:23" ht="15" customHeight="1" x14ac:dyDescent="0.25">
      <c r="B60" s="57" t="str">
        <f t="shared" ca="1" si="7"/>
        <v/>
      </c>
      <c r="C60" s="71" t="str">
        <f t="shared" ca="1" si="8"/>
        <v/>
      </c>
      <c r="D60" s="72" t="str">
        <f t="shared" ca="1" si="9"/>
        <v/>
      </c>
      <c r="E60" s="73" t="str">
        <f t="shared" ca="1" si="10"/>
        <v/>
      </c>
      <c r="F60" s="62" t="str">
        <f t="shared" ca="1" si="13"/>
        <v/>
      </c>
      <c r="G60" s="62" t="str">
        <f t="shared" ca="1" si="13"/>
        <v/>
      </c>
      <c r="I60" s="94">
        <f t="shared" ca="1" si="0"/>
        <v>0</v>
      </c>
      <c r="J60" s="63" t="str">
        <f t="shared" ca="1" si="1"/>
        <v/>
      </c>
      <c r="K60" s="65">
        <f t="shared" ca="1" si="2"/>
        <v>0</v>
      </c>
      <c r="L60" s="64">
        <f t="shared" ca="1" si="4"/>
        <v>0</v>
      </c>
      <c r="M60" s="65">
        <f t="shared" ca="1" si="5"/>
        <v>0</v>
      </c>
      <c r="N60" s="66"/>
      <c r="O60" s="67">
        <f ca="1">IF($C60="",0,
K60*'2.c Decrements'!D56+(O59-P59-Q59)*(1+G59))</f>
        <v>0</v>
      </c>
      <c r="P60" s="68">
        <f ca="1">M60*'1.a Assumptions'!$C$13*'2.c Decrements'!E56</f>
        <v>0</v>
      </c>
      <c r="Q60" s="68">
        <f ca="1">L61*('2.c Decrements'!F56+'2.c Decrements'!G56)</f>
        <v>0</v>
      </c>
      <c r="R60" s="68">
        <f ca="1">O60-L61*'2.c Decrements'!D56</f>
        <v>0</v>
      </c>
      <c r="S60" s="68" t="str">
        <f ca="1">IF(B61&lt;=$S$13,OFFSET('2.c Decrements'!$J$11,0,$S$13-B60),"")</f>
        <v/>
      </c>
      <c r="V60" s="69" t="str">
        <f t="shared" ca="1" si="6"/>
        <v/>
      </c>
      <c r="W60" s="70" t="str">
        <f t="shared" ca="1" si="3"/>
        <v/>
      </c>
    </row>
    <row r="61" spans="2:23" ht="15" customHeight="1" x14ac:dyDescent="0.25">
      <c r="B61" s="57" t="str">
        <f t="shared" ca="1" si="7"/>
        <v/>
      </c>
      <c r="C61" s="71" t="str">
        <f t="shared" ca="1" si="8"/>
        <v/>
      </c>
      <c r="D61" s="72" t="str">
        <f t="shared" ca="1" si="9"/>
        <v/>
      </c>
      <c r="E61" s="73" t="str">
        <f t="shared" ca="1" si="10"/>
        <v/>
      </c>
      <c r="F61" s="62" t="str">
        <f t="shared" ca="1" si="13"/>
        <v/>
      </c>
      <c r="G61" s="62" t="str">
        <f t="shared" ca="1" si="13"/>
        <v/>
      </c>
      <c r="I61" s="94">
        <f t="shared" ca="1" si="0"/>
        <v>0</v>
      </c>
      <c r="J61" s="63" t="str">
        <f t="shared" ca="1" si="1"/>
        <v/>
      </c>
      <c r="K61" s="65">
        <f t="shared" ca="1" si="2"/>
        <v>0</v>
      </c>
      <c r="L61" s="64">
        <f t="shared" ca="1" si="4"/>
        <v>0</v>
      </c>
      <c r="M61" s="65">
        <f t="shared" ca="1" si="5"/>
        <v>0</v>
      </c>
      <c r="N61" s="66"/>
      <c r="O61" s="67">
        <f ca="1">IF($C61="",0,
K61*'2.c Decrements'!D57+(O60-P60-Q60)*(1+G60))</f>
        <v>0</v>
      </c>
      <c r="P61" s="68">
        <f ca="1">M61*'1.a Assumptions'!$C$13*'2.c Decrements'!E57</f>
        <v>0</v>
      </c>
      <c r="Q61" s="68">
        <f ca="1">L62*('2.c Decrements'!F57+'2.c Decrements'!G57)</f>
        <v>0</v>
      </c>
      <c r="R61" s="68">
        <f ca="1">O61-L62*'2.c Decrements'!D57</f>
        <v>0</v>
      </c>
      <c r="S61" s="68" t="str">
        <f ca="1">IF(B62&lt;=$S$13,OFFSET('2.c Decrements'!$J$11,0,$S$13-B61),"")</f>
        <v/>
      </c>
      <c r="V61" s="69" t="str">
        <f t="shared" ca="1" si="6"/>
        <v/>
      </c>
      <c r="W61" s="70" t="str">
        <f t="shared" ca="1" si="3"/>
        <v/>
      </c>
    </row>
    <row r="62" spans="2:23" ht="15" customHeight="1" x14ac:dyDescent="0.25">
      <c r="B62" s="57" t="str">
        <f t="shared" ca="1" si="7"/>
        <v/>
      </c>
      <c r="C62" s="71" t="str">
        <f t="shared" ca="1" si="8"/>
        <v/>
      </c>
      <c r="D62" s="72" t="str">
        <f t="shared" ca="1" si="9"/>
        <v/>
      </c>
      <c r="E62" s="73" t="str">
        <f t="shared" ca="1" si="10"/>
        <v/>
      </c>
      <c r="F62" s="62" t="str">
        <f t="shared" ca="1" si="13"/>
        <v/>
      </c>
      <c r="G62" s="62" t="str">
        <f t="shared" ca="1" si="13"/>
        <v/>
      </c>
      <c r="I62" s="94">
        <f t="shared" ca="1" si="0"/>
        <v>0</v>
      </c>
      <c r="J62" s="63" t="str">
        <f t="shared" ca="1" si="1"/>
        <v/>
      </c>
      <c r="K62" s="65">
        <f t="shared" ca="1" si="2"/>
        <v>0</v>
      </c>
      <c r="L62" s="64">
        <f t="shared" ca="1" si="4"/>
        <v>0</v>
      </c>
      <c r="M62" s="65">
        <f t="shared" ca="1" si="5"/>
        <v>0</v>
      </c>
      <c r="N62" s="66"/>
      <c r="O62" s="67">
        <f ca="1">IF($C62="",0,
K62*'2.c Decrements'!D58+(O61-P61-Q61)*(1+G61))</f>
        <v>0</v>
      </c>
      <c r="P62" s="68">
        <f ca="1">M62*'1.a Assumptions'!$C$13*'2.c Decrements'!E58</f>
        <v>0</v>
      </c>
      <c r="Q62" s="68">
        <f ca="1">L63*('2.c Decrements'!F58+'2.c Decrements'!G58)</f>
        <v>0</v>
      </c>
      <c r="R62" s="68">
        <f ca="1">O62-L63*'2.c Decrements'!D58</f>
        <v>0</v>
      </c>
      <c r="S62" s="68" t="str">
        <f ca="1">IF(B63&lt;=$S$13,OFFSET('2.c Decrements'!$J$11,0,$S$13-B62),"")</f>
        <v/>
      </c>
      <c r="V62" s="69" t="str">
        <f t="shared" ca="1" si="6"/>
        <v/>
      </c>
      <c r="W62" s="70" t="str">
        <f t="shared" ca="1" si="3"/>
        <v/>
      </c>
    </row>
    <row r="63" spans="2:23" ht="15" customHeight="1" x14ac:dyDescent="0.25">
      <c r="B63" s="57" t="str">
        <f t="shared" ca="1" si="7"/>
        <v/>
      </c>
      <c r="C63" s="71" t="str">
        <f t="shared" ca="1" si="8"/>
        <v/>
      </c>
      <c r="D63" s="72" t="str">
        <f t="shared" ca="1" si="9"/>
        <v/>
      </c>
      <c r="E63" s="73" t="str">
        <f t="shared" ca="1" si="10"/>
        <v/>
      </c>
      <c r="F63" s="62" t="str">
        <f t="shared" ca="1" si="13"/>
        <v/>
      </c>
      <c r="G63" s="62" t="str">
        <f t="shared" ca="1" si="13"/>
        <v/>
      </c>
      <c r="I63" s="94">
        <f t="shared" ca="1" si="0"/>
        <v>0</v>
      </c>
      <c r="J63" s="63" t="str">
        <f t="shared" ca="1" si="1"/>
        <v/>
      </c>
      <c r="K63" s="65">
        <f t="shared" ca="1" si="2"/>
        <v>0</v>
      </c>
      <c r="L63" s="64">
        <f t="shared" ca="1" si="4"/>
        <v>0</v>
      </c>
      <c r="M63" s="65">
        <f t="shared" ca="1" si="5"/>
        <v>0</v>
      </c>
      <c r="N63" s="66"/>
      <c r="O63" s="67">
        <f ca="1">IF($C63="",0,
K63*'2.c Decrements'!D59+(O62-P62-Q62)*(1+G62))</f>
        <v>0</v>
      </c>
      <c r="P63" s="68">
        <f ca="1">M63*'1.a Assumptions'!$C$13*'2.c Decrements'!E59</f>
        <v>0</v>
      </c>
      <c r="Q63" s="68">
        <f ca="1">L64*('2.c Decrements'!F59+'2.c Decrements'!G59)</f>
        <v>0</v>
      </c>
      <c r="R63" s="68">
        <f ca="1">O63-L64*'2.c Decrements'!D59</f>
        <v>0</v>
      </c>
      <c r="S63" s="68" t="str">
        <f ca="1">IF(B64&lt;=$S$13,OFFSET('2.c Decrements'!$J$11,0,$S$13-B63),"")</f>
        <v/>
      </c>
      <c r="V63" s="69" t="str">
        <f t="shared" ca="1" si="6"/>
        <v/>
      </c>
      <c r="W63" s="70" t="str">
        <f t="shared" ca="1" si="3"/>
        <v/>
      </c>
    </row>
    <row r="64" spans="2:23" ht="15" customHeight="1" x14ac:dyDescent="0.25">
      <c r="B64" s="57" t="str">
        <f t="shared" ca="1" si="7"/>
        <v/>
      </c>
      <c r="C64" s="71" t="str">
        <f t="shared" ca="1" si="8"/>
        <v/>
      </c>
      <c r="D64" s="72" t="str">
        <f t="shared" ca="1" si="9"/>
        <v/>
      </c>
      <c r="E64" s="73" t="str">
        <f t="shared" ca="1" si="10"/>
        <v/>
      </c>
      <c r="F64" s="62" t="str">
        <f t="shared" ca="1" si="13"/>
        <v/>
      </c>
      <c r="G64" s="62" t="str">
        <f t="shared" ca="1" si="13"/>
        <v/>
      </c>
      <c r="I64" s="94">
        <f t="shared" ca="1" si="0"/>
        <v>0</v>
      </c>
      <c r="J64" s="63" t="str">
        <f t="shared" ca="1" si="1"/>
        <v/>
      </c>
      <c r="K64" s="65">
        <f t="shared" ca="1" si="2"/>
        <v>0</v>
      </c>
      <c r="L64" s="64">
        <f t="shared" ca="1" si="4"/>
        <v>0</v>
      </c>
      <c r="M64" s="65">
        <f t="shared" ca="1" si="5"/>
        <v>0</v>
      </c>
      <c r="N64" s="66"/>
      <c r="O64" s="67">
        <f ca="1">IF($C64="",0,
K64*'2.c Decrements'!D60+(O63-P63-Q63)*(1+G63))</f>
        <v>0</v>
      </c>
      <c r="P64" s="68">
        <f ca="1">M64*'1.a Assumptions'!$C$13*'2.c Decrements'!E60</f>
        <v>0</v>
      </c>
      <c r="Q64" s="68">
        <f ca="1">L65*('2.c Decrements'!F60+'2.c Decrements'!G60)</f>
        <v>0</v>
      </c>
      <c r="R64" s="68">
        <f ca="1">O64-L65*'2.c Decrements'!D60</f>
        <v>0</v>
      </c>
      <c r="S64" s="68" t="str">
        <f ca="1">IF(B65&lt;=$S$13,OFFSET('2.c Decrements'!$J$11,0,$S$13-B64),"")</f>
        <v/>
      </c>
      <c r="V64" s="69" t="str">
        <f t="shared" ca="1" si="6"/>
        <v/>
      </c>
      <c r="W64" s="70" t="str">
        <f t="shared" ca="1" si="3"/>
        <v/>
      </c>
    </row>
    <row r="65" spans="2:23" ht="15" customHeight="1" x14ac:dyDescent="0.25">
      <c r="B65" s="57" t="str">
        <f t="shared" ca="1" si="7"/>
        <v/>
      </c>
      <c r="C65" s="71" t="str">
        <f t="shared" ca="1" si="8"/>
        <v/>
      </c>
      <c r="D65" s="72" t="str">
        <f t="shared" ca="1" si="9"/>
        <v/>
      </c>
      <c r="E65" s="73" t="str">
        <f t="shared" ca="1" si="10"/>
        <v/>
      </c>
      <c r="F65" s="62" t="str">
        <f t="shared" ref="F65:G80" ca="1" si="14">IF($C65="","",F64)</f>
        <v/>
      </c>
      <c r="G65" s="62" t="str">
        <f t="shared" ca="1" si="14"/>
        <v/>
      </c>
      <c r="I65" s="94">
        <f t="shared" ca="1" si="0"/>
        <v>0</v>
      </c>
      <c r="J65" s="63" t="str">
        <f t="shared" ca="1" si="1"/>
        <v/>
      </c>
      <c r="K65" s="65">
        <f t="shared" ca="1" si="2"/>
        <v>0</v>
      </c>
      <c r="L65" s="64">
        <f t="shared" ca="1" si="4"/>
        <v>0</v>
      </c>
      <c r="M65" s="65">
        <f t="shared" ca="1" si="5"/>
        <v>0</v>
      </c>
      <c r="N65" s="66"/>
      <c r="O65" s="67">
        <f ca="1">IF($C65="",0,
K65*'2.c Decrements'!D61+(O64-P64-Q64)*(1+G64))</f>
        <v>0</v>
      </c>
      <c r="P65" s="68">
        <f ca="1">M65*'1.a Assumptions'!$C$13*'2.c Decrements'!E61</f>
        <v>0</v>
      </c>
      <c r="Q65" s="68">
        <f ca="1">L66*('2.c Decrements'!F61+'2.c Decrements'!G61)</f>
        <v>0</v>
      </c>
      <c r="R65" s="68">
        <f ca="1">O65-L66*'2.c Decrements'!D61</f>
        <v>0</v>
      </c>
      <c r="S65" s="68" t="str">
        <f ca="1">IF(B66&lt;=$S$13,OFFSET('2.c Decrements'!$J$11,0,$S$13-B65),"")</f>
        <v/>
      </c>
      <c r="V65" s="69" t="str">
        <f t="shared" ca="1" si="6"/>
        <v/>
      </c>
      <c r="W65" s="70" t="str">
        <f t="shared" ca="1" si="3"/>
        <v/>
      </c>
    </row>
    <row r="66" spans="2:23" ht="15" customHeight="1" x14ac:dyDescent="0.25">
      <c r="B66" s="57" t="str">
        <f t="shared" ca="1" si="7"/>
        <v/>
      </c>
      <c r="C66" s="71" t="str">
        <f t="shared" ca="1" si="8"/>
        <v/>
      </c>
      <c r="D66" s="72" t="str">
        <f t="shared" ca="1" si="9"/>
        <v/>
      </c>
      <c r="E66" s="73" t="str">
        <f t="shared" ca="1" si="10"/>
        <v/>
      </c>
      <c r="F66" s="62" t="str">
        <f t="shared" ca="1" si="14"/>
        <v/>
      </c>
      <c r="G66" s="62" t="str">
        <f t="shared" ca="1" si="14"/>
        <v/>
      </c>
      <c r="I66" s="94">
        <f t="shared" ca="1" si="0"/>
        <v>0</v>
      </c>
      <c r="J66" s="63" t="str">
        <f t="shared" ca="1" si="1"/>
        <v/>
      </c>
      <c r="K66" s="65">
        <f t="shared" ca="1" si="2"/>
        <v>0</v>
      </c>
      <c r="L66" s="64">
        <f t="shared" ca="1" si="4"/>
        <v>0</v>
      </c>
      <c r="M66" s="65">
        <f t="shared" ca="1" si="5"/>
        <v>0</v>
      </c>
      <c r="N66" s="66"/>
      <c r="O66" s="67">
        <f ca="1">IF($C66="",0,
K66*'2.c Decrements'!D62+(O65-P65-Q65)*(1+G65))</f>
        <v>0</v>
      </c>
      <c r="P66" s="68">
        <f ca="1">M66*'1.a Assumptions'!$C$13*'2.c Decrements'!E62</f>
        <v>0</v>
      </c>
      <c r="Q66" s="68">
        <f ca="1">L67*('2.c Decrements'!F62+'2.c Decrements'!G62)</f>
        <v>0</v>
      </c>
      <c r="R66" s="68">
        <f ca="1">O66-L67*'2.c Decrements'!D62</f>
        <v>0</v>
      </c>
      <c r="S66" s="68" t="str">
        <f ca="1">IF(B67&lt;=$S$13,OFFSET('2.c Decrements'!$J$11,0,$S$13-B66),"")</f>
        <v/>
      </c>
      <c r="V66" s="69" t="str">
        <f t="shared" ca="1" si="6"/>
        <v/>
      </c>
      <c r="W66" s="70" t="str">
        <f t="shared" ca="1" si="3"/>
        <v/>
      </c>
    </row>
    <row r="67" spans="2:23" ht="15" customHeight="1" x14ac:dyDescent="0.25">
      <c r="B67" s="57" t="str">
        <f t="shared" ca="1" si="7"/>
        <v/>
      </c>
      <c r="C67" s="71" t="str">
        <f t="shared" ca="1" si="8"/>
        <v/>
      </c>
      <c r="D67" s="72" t="str">
        <f t="shared" ca="1" si="9"/>
        <v/>
      </c>
      <c r="E67" s="73" t="str">
        <f t="shared" ca="1" si="10"/>
        <v/>
      </c>
      <c r="F67" s="62" t="str">
        <f t="shared" ca="1" si="14"/>
        <v/>
      </c>
      <c r="G67" s="62" t="str">
        <f t="shared" ca="1" si="14"/>
        <v/>
      </c>
      <c r="I67" s="94">
        <f t="shared" ca="1" si="0"/>
        <v>0</v>
      </c>
      <c r="J67" s="63" t="str">
        <f t="shared" ca="1" si="1"/>
        <v/>
      </c>
      <c r="K67" s="65">
        <f t="shared" ca="1" si="2"/>
        <v>0</v>
      </c>
      <c r="L67" s="64">
        <f t="shared" ca="1" si="4"/>
        <v>0</v>
      </c>
      <c r="M67" s="65">
        <f t="shared" ca="1" si="5"/>
        <v>0</v>
      </c>
      <c r="N67" s="66"/>
      <c r="O67" s="67">
        <f ca="1">IF($C67="",0,
K67*'2.c Decrements'!D63+(O66-P66-Q66)*(1+G66))</f>
        <v>0</v>
      </c>
      <c r="P67" s="68">
        <f ca="1">M67*'1.a Assumptions'!$C$13*'2.c Decrements'!E63</f>
        <v>0</v>
      </c>
      <c r="Q67" s="68">
        <f ca="1">L68*('2.c Decrements'!F63+'2.c Decrements'!G63)</f>
        <v>0</v>
      </c>
      <c r="R67" s="68">
        <f ca="1">O67-L68*'2.c Decrements'!D63</f>
        <v>0</v>
      </c>
      <c r="S67" s="68" t="str">
        <f ca="1">IF(B68&lt;=$S$13,OFFSET('2.c Decrements'!$J$11,0,$S$13-B67),"")</f>
        <v/>
      </c>
      <c r="V67" s="69" t="str">
        <f t="shared" ca="1" si="6"/>
        <v/>
      </c>
      <c r="W67" s="70" t="str">
        <f t="shared" ca="1" si="3"/>
        <v/>
      </c>
    </row>
    <row r="68" spans="2:23" ht="15" customHeight="1" x14ac:dyDescent="0.25">
      <c r="B68" s="57" t="str">
        <f t="shared" ca="1" si="7"/>
        <v/>
      </c>
      <c r="C68" s="71" t="str">
        <f t="shared" ca="1" si="8"/>
        <v/>
      </c>
      <c r="D68" s="72" t="str">
        <f t="shared" ca="1" si="9"/>
        <v/>
      </c>
      <c r="E68" s="73" t="str">
        <f t="shared" ca="1" si="10"/>
        <v/>
      </c>
      <c r="F68" s="62" t="str">
        <f t="shared" ca="1" si="14"/>
        <v/>
      </c>
      <c r="G68" s="62" t="str">
        <f t="shared" ca="1" si="14"/>
        <v/>
      </c>
      <c r="I68" s="94">
        <f t="shared" ca="1" si="0"/>
        <v>0</v>
      </c>
      <c r="J68" s="63" t="str">
        <f t="shared" ca="1" si="1"/>
        <v/>
      </c>
      <c r="K68" s="65">
        <f t="shared" ca="1" si="2"/>
        <v>0</v>
      </c>
      <c r="L68" s="64">
        <f t="shared" ca="1" si="4"/>
        <v>0</v>
      </c>
      <c r="M68" s="65">
        <f t="shared" ca="1" si="5"/>
        <v>0</v>
      </c>
      <c r="N68" s="66"/>
      <c r="O68" s="67">
        <f ca="1">IF($C68="",0,
K68*'2.c Decrements'!D64+(O67-P67-Q67)*(1+G67))</f>
        <v>0</v>
      </c>
      <c r="P68" s="68">
        <f ca="1">M68*'1.a Assumptions'!$C$13*'2.c Decrements'!E64</f>
        <v>0</v>
      </c>
      <c r="Q68" s="68">
        <f ca="1">L69*('2.c Decrements'!F64+'2.c Decrements'!G64)</f>
        <v>0</v>
      </c>
      <c r="R68" s="68">
        <f ca="1">O68-L69*'2.c Decrements'!D64</f>
        <v>0</v>
      </c>
      <c r="S68" s="68" t="str">
        <f ca="1">IF(B69&lt;=$S$13,OFFSET('2.c Decrements'!$J$11,0,$S$13-B68),"")</f>
        <v/>
      </c>
      <c r="V68" s="69" t="str">
        <f t="shared" ca="1" si="6"/>
        <v/>
      </c>
      <c r="W68" s="70" t="str">
        <f t="shared" ca="1" si="3"/>
        <v/>
      </c>
    </row>
    <row r="69" spans="2:23" ht="15" customHeight="1" x14ac:dyDescent="0.25">
      <c r="B69" s="57" t="str">
        <f t="shared" ca="1" si="7"/>
        <v/>
      </c>
      <c r="C69" s="71" t="str">
        <f t="shared" ca="1" si="8"/>
        <v/>
      </c>
      <c r="D69" s="72" t="str">
        <f t="shared" ca="1" si="9"/>
        <v/>
      </c>
      <c r="E69" s="73" t="str">
        <f t="shared" ca="1" si="10"/>
        <v/>
      </c>
      <c r="F69" s="62" t="str">
        <f t="shared" ca="1" si="14"/>
        <v/>
      </c>
      <c r="G69" s="62" t="str">
        <f t="shared" ca="1" si="14"/>
        <v/>
      </c>
      <c r="I69" s="94">
        <f t="shared" ca="1" si="0"/>
        <v>0</v>
      </c>
      <c r="J69" s="63" t="str">
        <f t="shared" ca="1" si="1"/>
        <v/>
      </c>
      <c r="K69" s="65">
        <f t="shared" ca="1" si="2"/>
        <v>0</v>
      </c>
      <c r="L69" s="64">
        <f t="shared" ca="1" si="4"/>
        <v>0</v>
      </c>
      <c r="M69" s="65">
        <f t="shared" ca="1" si="5"/>
        <v>0</v>
      </c>
      <c r="N69" s="66"/>
      <c r="O69" s="67">
        <f ca="1">IF($C69="",0,
K69*'2.c Decrements'!D65+(O68-P68-Q68)*(1+G68))</f>
        <v>0</v>
      </c>
      <c r="P69" s="68">
        <f ca="1">M69*'1.a Assumptions'!$C$13*'2.c Decrements'!E65</f>
        <v>0</v>
      </c>
      <c r="Q69" s="68">
        <f ca="1">L70*('2.c Decrements'!F65+'2.c Decrements'!G65)</f>
        <v>0</v>
      </c>
      <c r="R69" s="68">
        <f ca="1">O69-L70*'2.c Decrements'!D65</f>
        <v>0</v>
      </c>
      <c r="S69" s="68" t="str">
        <f ca="1">IF(B70&lt;=$S$13,OFFSET('2.c Decrements'!$J$11,0,$S$13-B69),"")</f>
        <v/>
      </c>
      <c r="V69" s="69" t="str">
        <f t="shared" ca="1" si="6"/>
        <v/>
      </c>
      <c r="W69" s="70" t="str">
        <f t="shared" ca="1" si="3"/>
        <v/>
      </c>
    </row>
    <row r="70" spans="2:23" ht="15" customHeight="1" x14ac:dyDescent="0.25">
      <c r="B70" s="57" t="str">
        <f t="shared" ca="1" si="7"/>
        <v/>
      </c>
      <c r="C70" s="71" t="str">
        <f t="shared" ca="1" si="8"/>
        <v/>
      </c>
      <c r="D70" s="72" t="str">
        <f t="shared" ca="1" si="9"/>
        <v/>
      </c>
      <c r="E70" s="73" t="str">
        <f t="shared" ca="1" si="10"/>
        <v/>
      </c>
      <c r="F70" s="62" t="str">
        <f t="shared" ca="1" si="14"/>
        <v/>
      </c>
      <c r="G70" s="62" t="str">
        <f t="shared" ca="1" si="14"/>
        <v/>
      </c>
      <c r="I70" s="94">
        <f t="shared" ca="1" si="0"/>
        <v>0</v>
      </c>
      <c r="J70" s="63" t="str">
        <f t="shared" ca="1" si="1"/>
        <v/>
      </c>
      <c r="K70" s="65">
        <f t="shared" ca="1" si="2"/>
        <v>0</v>
      </c>
      <c r="L70" s="64">
        <f t="shared" ca="1" si="4"/>
        <v>0</v>
      </c>
      <c r="M70" s="65">
        <f t="shared" ca="1" si="5"/>
        <v>0</v>
      </c>
      <c r="N70" s="66"/>
      <c r="O70" s="67">
        <f ca="1">IF($C70="",0,
K70*'2.c Decrements'!D66+(O69-P69-Q69)*(1+G69))</f>
        <v>0</v>
      </c>
      <c r="P70" s="68">
        <f ca="1">M70*'1.a Assumptions'!$C$13*'2.c Decrements'!E66</f>
        <v>0</v>
      </c>
      <c r="Q70" s="68">
        <f ca="1">L71*('2.c Decrements'!F66+'2.c Decrements'!G66)</f>
        <v>0</v>
      </c>
      <c r="R70" s="68">
        <f ca="1">O70-L71*'2.c Decrements'!D66</f>
        <v>0</v>
      </c>
      <c r="S70" s="68" t="str">
        <f ca="1">IF(B71&lt;=$S$13,OFFSET('2.c Decrements'!$J$11,0,$S$13-B70),"")</f>
        <v/>
      </c>
      <c r="V70" s="69" t="str">
        <f t="shared" ca="1" si="6"/>
        <v/>
      </c>
      <c r="W70" s="70" t="str">
        <f t="shared" ca="1" si="3"/>
        <v/>
      </c>
    </row>
    <row r="71" spans="2:23" ht="15" customHeight="1" x14ac:dyDescent="0.25">
      <c r="B71" s="57" t="str">
        <f t="shared" ca="1" si="7"/>
        <v/>
      </c>
      <c r="C71" s="71" t="str">
        <f t="shared" ca="1" si="8"/>
        <v/>
      </c>
      <c r="D71" s="72" t="str">
        <f t="shared" ca="1" si="9"/>
        <v/>
      </c>
      <c r="E71" s="73" t="str">
        <f t="shared" ca="1" si="10"/>
        <v/>
      </c>
      <c r="F71" s="62" t="str">
        <f t="shared" ca="1" si="14"/>
        <v/>
      </c>
      <c r="G71" s="62" t="str">
        <f t="shared" ca="1" si="14"/>
        <v/>
      </c>
      <c r="I71" s="94">
        <f t="shared" ca="1" si="0"/>
        <v>0</v>
      </c>
      <c r="J71" s="63" t="str">
        <f t="shared" ca="1" si="1"/>
        <v/>
      </c>
      <c r="K71" s="65">
        <f t="shared" ca="1" si="2"/>
        <v>0</v>
      </c>
      <c r="L71" s="64">
        <f t="shared" ca="1" si="4"/>
        <v>0</v>
      </c>
      <c r="M71" s="65">
        <f t="shared" ca="1" si="5"/>
        <v>0</v>
      </c>
      <c r="N71" s="66"/>
      <c r="O71" s="67">
        <f ca="1">IF($C71="",0,
K71*'2.c Decrements'!D67+(O70-P70-Q70)*(1+G70))</f>
        <v>0</v>
      </c>
      <c r="P71" s="68">
        <f ca="1">M71*'1.a Assumptions'!$C$13*'2.c Decrements'!E67</f>
        <v>0</v>
      </c>
      <c r="Q71" s="68">
        <f ca="1">L72*('2.c Decrements'!F67+'2.c Decrements'!G67)</f>
        <v>0</v>
      </c>
      <c r="R71" s="68">
        <f ca="1">O71-L72*'2.c Decrements'!D67</f>
        <v>0</v>
      </c>
      <c r="S71" s="68" t="str">
        <f ca="1">IF(B72&lt;=$S$13,OFFSET('2.c Decrements'!$J$11,0,$S$13-B71),"")</f>
        <v/>
      </c>
      <c r="V71" s="69" t="str">
        <f t="shared" ca="1" si="6"/>
        <v/>
      </c>
      <c r="W71" s="70" t="str">
        <f t="shared" ca="1" si="3"/>
        <v/>
      </c>
    </row>
    <row r="72" spans="2:23" ht="15" customHeight="1" x14ac:dyDescent="0.25">
      <c r="B72" s="57" t="str">
        <f t="shared" ca="1" si="7"/>
        <v/>
      </c>
      <c r="C72" s="71" t="str">
        <f t="shared" ca="1" si="8"/>
        <v/>
      </c>
      <c r="D72" s="72" t="str">
        <f t="shared" ca="1" si="9"/>
        <v/>
      </c>
      <c r="E72" s="73" t="str">
        <f t="shared" ca="1" si="10"/>
        <v/>
      </c>
      <c r="F72" s="62" t="str">
        <f t="shared" ca="1" si="14"/>
        <v/>
      </c>
      <c r="G72" s="62" t="str">
        <f t="shared" ca="1" si="14"/>
        <v/>
      </c>
      <c r="I72" s="94">
        <f t="shared" ca="1" si="0"/>
        <v>0</v>
      </c>
      <c r="J72" s="63" t="str">
        <f t="shared" ca="1" si="1"/>
        <v/>
      </c>
      <c r="K72" s="65">
        <f t="shared" ca="1" si="2"/>
        <v>0</v>
      </c>
      <c r="L72" s="64">
        <f t="shared" ca="1" si="4"/>
        <v>0</v>
      </c>
      <c r="M72" s="65">
        <f t="shared" ca="1" si="5"/>
        <v>0</v>
      </c>
      <c r="N72" s="66"/>
      <c r="O72" s="67">
        <f ca="1">IF($C72="",0,
K72*'2.c Decrements'!D68+(O71-P71-Q71)*(1+G71))</f>
        <v>0</v>
      </c>
      <c r="P72" s="68">
        <f ca="1">M72*'1.a Assumptions'!$C$13*'2.c Decrements'!E68</f>
        <v>0</v>
      </c>
      <c r="Q72" s="68">
        <f ca="1">L73*('2.c Decrements'!F68+'2.c Decrements'!G68)</f>
        <v>0</v>
      </c>
      <c r="R72" s="68">
        <f ca="1">O72-L73*'2.c Decrements'!D68</f>
        <v>0</v>
      </c>
      <c r="S72" s="68" t="str">
        <f ca="1">IF(B73&lt;=$S$13,OFFSET('2.c Decrements'!$J$11,0,$S$13-B72),"")</f>
        <v/>
      </c>
      <c r="V72" s="69" t="str">
        <f t="shared" ca="1" si="6"/>
        <v/>
      </c>
      <c r="W72" s="70" t="str">
        <f t="shared" ca="1" si="3"/>
        <v/>
      </c>
    </row>
    <row r="73" spans="2:23" ht="15" customHeight="1" x14ac:dyDescent="0.25">
      <c r="B73" s="57" t="str">
        <f t="shared" ca="1" si="7"/>
        <v/>
      </c>
      <c r="C73" s="71" t="str">
        <f t="shared" ca="1" si="8"/>
        <v/>
      </c>
      <c r="D73" s="72" t="str">
        <f t="shared" ca="1" si="9"/>
        <v/>
      </c>
      <c r="E73" s="73" t="str">
        <f t="shared" ca="1" si="10"/>
        <v/>
      </c>
      <c r="F73" s="62" t="str">
        <f t="shared" ca="1" si="14"/>
        <v/>
      </c>
      <c r="G73" s="62" t="str">
        <f t="shared" ca="1" si="14"/>
        <v/>
      </c>
      <c r="I73" s="94">
        <f t="shared" ca="1" si="0"/>
        <v>0</v>
      </c>
      <c r="J73" s="63" t="str">
        <f t="shared" ca="1" si="1"/>
        <v/>
      </c>
      <c r="K73" s="65">
        <f t="shared" ca="1" si="2"/>
        <v>0</v>
      </c>
      <c r="L73" s="64">
        <f t="shared" ca="1" si="4"/>
        <v>0</v>
      </c>
      <c r="M73" s="65">
        <f t="shared" ca="1" si="5"/>
        <v>0</v>
      </c>
      <c r="N73" s="66"/>
      <c r="O73" s="67">
        <f ca="1">IF($C73="",0,
K73*'2.c Decrements'!D69+(O72-P72-Q72)*(1+G72))</f>
        <v>0</v>
      </c>
      <c r="P73" s="68">
        <f ca="1">M73*'1.a Assumptions'!$C$13*'2.c Decrements'!E69</f>
        <v>0</v>
      </c>
      <c r="Q73" s="68">
        <f ca="1">L74*('2.c Decrements'!F69+'2.c Decrements'!G69)</f>
        <v>0</v>
      </c>
      <c r="R73" s="68">
        <f ca="1">O73-L74*'2.c Decrements'!D69</f>
        <v>0</v>
      </c>
      <c r="S73" s="68" t="str">
        <f ca="1">IF(B74&lt;=$S$13,OFFSET('2.c Decrements'!$J$11,0,$S$13-B73),"")</f>
        <v/>
      </c>
      <c r="V73" s="69" t="str">
        <f t="shared" ca="1" si="6"/>
        <v/>
      </c>
      <c r="W73" s="70" t="str">
        <f t="shared" ca="1" si="3"/>
        <v/>
      </c>
    </row>
    <row r="74" spans="2:23" ht="15" customHeight="1" x14ac:dyDescent="0.25">
      <c r="B74" s="57" t="str">
        <f t="shared" ca="1" si="7"/>
        <v/>
      </c>
      <c r="C74" s="71" t="str">
        <f t="shared" ca="1" si="8"/>
        <v/>
      </c>
      <c r="D74" s="72" t="str">
        <f t="shared" ca="1" si="9"/>
        <v/>
      </c>
      <c r="E74" s="73" t="str">
        <f t="shared" ca="1" si="10"/>
        <v/>
      </c>
      <c r="F74" s="62" t="str">
        <f t="shared" ca="1" si="14"/>
        <v/>
      </c>
      <c r="G74" s="62" t="str">
        <f t="shared" ca="1" si="14"/>
        <v/>
      </c>
      <c r="I74" s="94">
        <f t="shared" ca="1" si="0"/>
        <v>0</v>
      </c>
      <c r="J74" s="63" t="str">
        <f t="shared" ca="1" si="1"/>
        <v/>
      </c>
      <c r="K74" s="65">
        <f t="shared" ca="1" si="2"/>
        <v>0</v>
      </c>
      <c r="L74" s="64">
        <f t="shared" ca="1" si="4"/>
        <v>0</v>
      </c>
      <c r="M74" s="65">
        <f t="shared" ca="1" si="5"/>
        <v>0</v>
      </c>
      <c r="N74" s="66"/>
      <c r="O74" s="67">
        <f ca="1">IF($C74="",0,
K74*'2.c Decrements'!D70+(O73-P73-Q73)*(1+G73))</f>
        <v>0</v>
      </c>
      <c r="P74" s="68">
        <f ca="1">M74*'1.a Assumptions'!$C$13*'2.c Decrements'!E70</f>
        <v>0</v>
      </c>
      <c r="Q74" s="68">
        <f ca="1">L75*('2.c Decrements'!F70+'2.c Decrements'!G70)</f>
        <v>0</v>
      </c>
      <c r="R74" s="68">
        <f ca="1">O74-L75*'2.c Decrements'!D70</f>
        <v>0</v>
      </c>
      <c r="S74" s="68" t="str">
        <f ca="1">IF(B75&lt;=$S$13,OFFSET('2.c Decrements'!$J$11,0,$S$13-B74),"")</f>
        <v/>
      </c>
      <c r="V74" s="69" t="str">
        <f t="shared" ca="1" si="6"/>
        <v/>
      </c>
      <c r="W74" s="70" t="str">
        <f t="shared" ca="1" si="3"/>
        <v/>
      </c>
    </row>
    <row r="75" spans="2:23" ht="15" customHeight="1" x14ac:dyDescent="0.25">
      <c r="B75" s="57" t="str">
        <f t="shared" ca="1" si="7"/>
        <v/>
      </c>
      <c r="C75" s="71" t="str">
        <f t="shared" ca="1" si="8"/>
        <v/>
      </c>
      <c r="D75" s="72" t="str">
        <f t="shared" ca="1" si="9"/>
        <v/>
      </c>
      <c r="E75" s="73" t="str">
        <f t="shared" ca="1" si="10"/>
        <v/>
      </c>
      <c r="F75" s="62" t="str">
        <f t="shared" ca="1" si="14"/>
        <v/>
      </c>
      <c r="G75" s="62" t="str">
        <f t="shared" ca="1" si="14"/>
        <v/>
      </c>
      <c r="I75" s="94">
        <f t="shared" ca="1" si="0"/>
        <v>0</v>
      </c>
      <c r="J75" s="63" t="str">
        <f t="shared" ca="1" si="1"/>
        <v/>
      </c>
      <c r="K75" s="65">
        <f t="shared" ca="1" si="2"/>
        <v>0</v>
      </c>
      <c r="L75" s="64">
        <f t="shared" ca="1" si="4"/>
        <v>0</v>
      </c>
      <c r="M75" s="65">
        <f t="shared" ca="1" si="5"/>
        <v>0</v>
      </c>
      <c r="N75" s="66"/>
      <c r="O75" s="67">
        <f ca="1">IF($C75="",0,
K75*'2.c Decrements'!D71+(O74-P74-Q74)*(1+G74))</f>
        <v>0</v>
      </c>
      <c r="P75" s="68">
        <f ca="1">M75*'1.a Assumptions'!$C$13*'2.c Decrements'!E71</f>
        <v>0</v>
      </c>
      <c r="Q75" s="68">
        <f ca="1">L76*('2.c Decrements'!F71+'2.c Decrements'!G71)</f>
        <v>0</v>
      </c>
      <c r="R75" s="68">
        <f ca="1">O75-L76*'2.c Decrements'!D71</f>
        <v>0</v>
      </c>
      <c r="S75" s="68" t="str">
        <f ca="1">IF(B76&lt;=$S$13,OFFSET('2.c Decrements'!$J$11,0,$S$13-B75),"")</f>
        <v/>
      </c>
      <c r="V75" s="69" t="str">
        <f t="shared" ca="1" si="6"/>
        <v/>
      </c>
      <c r="W75" s="70" t="str">
        <f t="shared" ca="1" si="3"/>
        <v/>
      </c>
    </row>
    <row r="76" spans="2:23" ht="15" customHeight="1" x14ac:dyDescent="0.25">
      <c r="B76" s="57" t="str">
        <f t="shared" ca="1" si="7"/>
        <v/>
      </c>
      <c r="C76" s="71" t="str">
        <f t="shared" ca="1" si="8"/>
        <v/>
      </c>
      <c r="D76" s="72" t="str">
        <f t="shared" ca="1" si="9"/>
        <v/>
      </c>
      <c r="E76" s="73" t="str">
        <f t="shared" ca="1" si="10"/>
        <v/>
      </c>
      <c r="F76" s="62" t="str">
        <f t="shared" ca="1" si="14"/>
        <v/>
      </c>
      <c r="G76" s="62" t="str">
        <f t="shared" ca="1" si="14"/>
        <v/>
      </c>
      <c r="I76" s="94">
        <f t="shared" ca="1" si="0"/>
        <v>0</v>
      </c>
      <c r="J76" s="63" t="str">
        <f t="shared" ca="1" si="1"/>
        <v/>
      </c>
      <c r="K76" s="65">
        <f t="shared" ca="1" si="2"/>
        <v>0</v>
      </c>
      <c r="L76" s="64">
        <f t="shared" ca="1" si="4"/>
        <v>0</v>
      </c>
      <c r="M76" s="65">
        <f t="shared" ca="1" si="5"/>
        <v>0</v>
      </c>
      <c r="N76" s="66"/>
      <c r="O76" s="67">
        <f ca="1">IF($C76="",0,
K76*'2.c Decrements'!D72+(O75-P75-Q75)*(1+G75))</f>
        <v>0</v>
      </c>
      <c r="P76" s="68">
        <f ca="1">M76*'1.a Assumptions'!$C$13*'2.c Decrements'!E72</f>
        <v>0</v>
      </c>
      <c r="Q76" s="68">
        <f ca="1">L77*('2.c Decrements'!F72+'2.c Decrements'!G72)</f>
        <v>0</v>
      </c>
      <c r="R76" s="68">
        <f ca="1">O76-L77*'2.c Decrements'!D72</f>
        <v>0</v>
      </c>
      <c r="S76" s="68" t="str">
        <f ca="1">IF(B77&lt;=$S$13,OFFSET('2.c Decrements'!$J$11,0,$S$13-B76),"")</f>
        <v/>
      </c>
      <c r="V76" s="69" t="str">
        <f t="shared" ca="1" si="6"/>
        <v/>
      </c>
      <c r="W76" s="70" t="str">
        <f t="shared" ca="1" si="3"/>
        <v/>
      </c>
    </row>
    <row r="77" spans="2:23" ht="15" customHeight="1" x14ac:dyDescent="0.25">
      <c r="B77" s="57" t="str">
        <f t="shared" ca="1" si="7"/>
        <v/>
      </c>
      <c r="C77" s="71" t="str">
        <f t="shared" ca="1" si="8"/>
        <v/>
      </c>
      <c r="D77" s="72" t="str">
        <f t="shared" ca="1" si="9"/>
        <v/>
      </c>
      <c r="E77" s="73" t="str">
        <f t="shared" ca="1" si="10"/>
        <v/>
      </c>
      <c r="F77" s="62" t="str">
        <f t="shared" ca="1" si="14"/>
        <v/>
      </c>
      <c r="G77" s="62" t="str">
        <f t="shared" ca="1" si="14"/>
        <v/>
      </c>
      <c r="I77" s="94">
        <f t="shared" ca="1" si="0"/>
        <v>0</v>
      </c>
      <c r="J77" s="63" t="str">
        <f t="shared" ca="1" si="1"/>
        <v/>
      </c>
      <c r="K77" s="65">
        <f t="shared" ca="1" si="2"/>
        <v>0</v>
      </c>
      <c r="L77" s="64">
        <f t="shared" ca="1" si="4"/>
        <v>0</v>
      </c>
      <c r="M77" s="65">
        <f t="shared" ca="1" si="5"/>
        <v>0</v>
      </c>
      <c r="N77" s="66"/>
      <c r="O77" s="67">
        <f ca="1">IF($C77="",0,
K77*'2.c Decrements'!D73+(O76-P76-Q76)*(1+G76))</f>
        <v>0</v>
      </c>
      <c r="P77" s="68">
        <f ca="1">M77*'1.a Assumptions'!$C$13*'2.c Decrements'!E73</f>
        <v>0</v>
      </c>
      <c r="Q77" s="68">
        <f ca="1">L78*('2.c Decrements'!F73+'2.c Decrements'!G73)</f>
        <v>0</v>
      </c>
      <c r="R77" s="68">
        <f ca="1">O77-L78*'2.c Decrements'!D73</f>
        <v>0</v>
      </c>
      <c r="S77" s="68" t="str">
        <f ca="1">IF(B78&lt;=$S$13,OFFSET('2.c Decrements'!$J$11,0,$S$13-B77),"")</f>
        <v/>
      </c>
      <c r="V77" s="69" t="str">
        <f t="shared" ca="1" si="6"/>
        <v/>
      </c>
      <c r="W77" s="70" t="str">
        <f t="shared" ca="1" si="3"/>
        <v/>
      </c>
    </row>
    <row r="78" spans="2:23" ht="15" customHeight="1" x14ac:dyDescent="0.25">
      <c r="B78" s="57" t="str">
        <f t="shared" ca="1" si="7"/>
        <v/>
      </c>
      <c r="C78" s="71" t="str">
        <f t="shared" ca="1" si="8"/>
        <v/>
      </c>
      <c r="D78" s="72" t="str">
        <f t="shared" ca="1" si="9"/>
        <v/>
      </c>
      <c r="E78" s="73" t="str">
        <f t="shared" ca="1" si="10"/>
        <v/>
      </c>
      <c r="F78" s="62" t="str">
        <f t="shared" ca="1" si="14"/>
        <v/>
      </c>
      <c r="G78" s="62" t="str">
        <f t="shared" ca="1" si="14"/>
        <v/>
      </c>
      <c r="I78" s="94">
        <f t="shared" ca="1" si="0"/>
        <v>0</v>
      </c>
      <c r="J78" s="63" t="str">
        <f t="shared" ca="1" si="1"/>
        <v/>
      </c>
      <c r="K78" s="65">
        <f t="shared" ca="1" si="2"/>
        <v>0</v>
      </c>
      <c r="L78" s="64">
        <f t="shared" ca="1" si="4"/>
        <v>0</v>
      </c>
      <c r="M78" s="65">
        <f t="shared" ca="1" si="5"/>
        <v>0</v>
      </c>
      <c r="N78" s="66"/>
      <c r="O78" s="67">
        <f ca="1">IF($C78="",0,
K78*'2.c Decrements'!D74+(O77-P77-Q77)*(1+G77))</f>
        <v>0</v>
      </c>
      <c r="P78" s="68">
        <f ca="1">M78*'1.a Assumptions'!$C$13*'2.c Decrements'!E74</f>
        <v>0</v>
      </c>
      <c r="Q78" s="68">
        <f ca="1">L79*('2.c Decrements'!F74+'2.c Decrements'!G74)</f>
        <v>0</v>
      </c>
      <c r="R78" s="68">
        <f ca="1">O78-L79*'2.c Decrements'!D74</f>
        <v>0</v>
      </c>
      <c r="S78" s="68" t="str">
        <f ca="1">IF(B79&lt;=$S$13,OFFSET('2.c Decrements'!$J$11,0,$S$13-B78),"")</f>
        <v/>
      </c>
      <c r="V78" s="69" t="str">
        <f t="shared" ca="1" si="6"/>
        <v/>
      </c>
      <c r="W78" s="70" t="str">
        <f t="shared" ca="1" si="3"/>
        <v/>
      </c>
    </row>
    <row r="79" spans="2:23" ht="15" customHeight="1" x14ac:dyDescent="0.25">
      <c r="B79" s="57" t="str">
        <f t="shared" ca="1" si="7"/>
        <v/>
      </c>
      <c r="C79" s="71" t="str">
        <f t="shared" ca="1" si="8"/>
        <v/>
      </c>
      <c r="D79" s="72" t="str">
        <f t="shared" ca="1" si="9"/>
        <v/>
      </c>
      <c r="E79" s="73" t="str">
        <f t="shared" ca="1" si="10"/>
        <v/>
      </c>
      <c r="F79" s="62" t="str">
        <f t="shared" ca="1" si="14"/>
        <v/>
      </c>
      <c r="G79" s="62" t="str">
        <f t="shared" ca="1" si="14"/>
        <v/>
      </c>
      <c r="I79" s="94">
        <f t="shared" ref="I79:I85" ca="1" si="15">IFERROR((1-(1+$D$10)^-($D$5-$C79))/$D$10,0)</f>
        <v>0</v>
      </c>
      <c r="J79" s="63" t="str">
        <f t="shared" ref="J79:J85" ca="1" si="16">IF($C79="","",
D79*($D$5-$D$9)*((1+F79)/(1+G79))^($D$5-$D$9)/$H$15)</f>
        <v/>
      </c>
      <c r="K79" s="65">
        <f t="shared" ref="K79:K85" ca="1" si="17">IF($C80="",0,
J79*E79*(1+F79))</f>
        <v>0</v>
      </c>
      <c r="L79" s="64">
        <f t="shared" ca="1" si="4"/>
        <v>0</v>
      </c>
      <c r="M79" s="65">
        <f t="shared" ca="1" si="5"/>
        <v>0</v>
      </c>
      <c r="N79" s="66"/>
      <c r="O79" s="67">
        <f ca="1">IF($C79="",0,
K79*'2.c Decrements'!D75+(O78-P78-Q78)*(1+G78))</f>
        <v>0</v>
      </c>
      <c r="P79" s="68">
        <f ca="1">M79*'1.a Assumptions'!$C$13*'2.c Decrements'!E75</f>
        <v>0</v>
      </c>
      <c r="Q79" s="68">
        <f ca="1">L80*('2.c Decrements'!F75+'2.c Decrements'!G75)</f>
        <v>0</v>
      </c>
      <c r="R79" s="68">
        <f ca="1">O79-L80*'2.c Decrements'!D75</f>
        <v>0</v>
      </c>
      <c r="S79" s="68" t="str">
        <f ca="1">IF(B80&lt;=$S$13,OFFSET('2.c Decrements'!$J$11,0,$S$13-B79),"")</f>
        <v/>
      </c>
      <c r="V79" s="69" t="str">
        <f t="shared" ca="1" si="6"/>
        <v/>
      </c>
      <c r="W79" s="70" t="str">
        <f t="shared" ref="W79:W84" ca="1" si="18">IF(V79="","",V79-K79)</f>
        <v/>
      </c>
    </row>
    <row r="80" spans="2:23" ht="15" customHeight="1" x14ac:dyDescent="0.25">
      <c r="B80" s="57" t="str">
        <f t="shared" ca="1" si="7"/>
        <v/>
      </c>
      <c r="C80" s="71" t="str">
        <f t="shared" ca="1" si="8"/>
        <v/>
      </c>
      <c r="D80" s="72" t="str">
        <f t="shared" ca="1" si="9"/>
        <v/>
      </c>
      <c r="E80" s="73" t="str">
        <f t="shared" ca="1" si="10"/>
        <v/>
      </c>
      <c r="F80" s="62" t="str">
        <f t="shared" ca="1" si="14"/>
        <v/>
      </c>
      <c r="G80" s="62" t="str">
        <f t="shared" ca="1" si="14"/>
        <v/>
      </c>
      <c r="I80" s="94">
        <f t="shared" ca="1" si="15"/>
        <v>0</v>
      </c>
      <c r="J80" s="63" t="str">
        <f t="shared" ca="1" si="16"/>
        <v/>
      </c>
      <c r="K80" s="65">
        <f t="shared" ca="1" si="17"/>
        <v>0</v>
      </c>
      <c r="L80" s="64">
        <f t="shared" ref="L80:L85" ca="1" si="19">IF($C80="",0,
IF($C80&gt;$D$5,D80*B80*E80,
D80*($D$5-$D$4)*E80*((1+F80)/(1+G80))^($D$5-C80)-J80*E80*I80))</f>
        <v>0</v>
      </c>
      <c r="M80" s="65">
        <f t="shared" ref="M80:M85" ca="1" si="20">IF($C80="",0,
D80*B80*E80*((1+F80)/(1+G80))^MAX(0,$D$5-C80))</f>
        <v>0</v>
      </c>
      <c r="N80" s="66"/>
      <c r="O80" s="67">
        <f ca="1">IF($C80="",0,
K80*'2.c Decrements'!D76+(O79-P79-Q79)*(1+G79))</f>
        <v>0</v>
      </c>
      <c r="P80" s="68">
        <f ca="1">M80*'1.a Assumptions'!$C$13*'2.c Decrements'!E76</f>
        <v>0</v>
      </c>
      <c r="Q80" s="68">
        <f ca="1">L81*('2.c Decrements'!F76+'2.c Decrements'!G76)</f>
        <v>0</v>
      </c>
      <c r="R80" s="68">
        <f ca="1">O80-L81*'2.c Decrements'!D76</f>
        <v>0</v>
      </c>
      <c r="S80" s="68" t="str">
        <f ca="1">IF(B81&lt;=$S$13,OFFSET('2.c Decrements'!$J$11,0,$S$13-B80),"")</f>
        <v/>
      </c>
      <c r="V80" s="69" t="str">
        <f t="shared" ref="V80:V84" ca="1" si="21">IF($C81&lt;=$D$5,L81-L80*(1+G80),"")</f>
        <v/>
      </c>
      <c r="W80" s="70" t="str">
        <f t="shared" ca="1" si="18"/>
        <v/>
      </c>
    </row>
    <row r="81" spans="2:23" ht="15" customHeight="1" x14ac:dyDescent="0.25">
      <c r="B81" s="57" t="str">
        <f t="shared" ref="B81:B85" ca="1" si="22">IF($C81="","",B80+1)</f>
        <v/>
      </c>
      <c r="C81" s="71" t="str">
        <f t="shared" ref="C81:C85" ca="1" si="23">IF(C80="","",IF($D$2="A",IF(C80+1&gt;$D$5+15,"",C80+1),IF(C80+1&gt;$D$5,"",C80+1)))</f>
        <v/>
      </c>
      <c r="D81" s="72" t="str">
        <f t="shared" ref="D81:D85" ca="1" si="24">IF($C81="","",D80)</f>
        <v/>
      </c>
      <c r="E81" s="73" t="str">
        <f t="shared" ref="E81:E85" ca="1" si="25">IF($C81="","",E80*(1+F80))</f>
        <v/>
      </c>
      <c r="F81" s="62" t="str">
        <f t="shared" ref="F81:G85" ca="1" si="26">IF($C81="","",F80)</f>
        <v/>
      </c>
      <c r="G81" s="62" t="str">
        <f t="shared" ca="1" si="26"/>
        <v/>
      </c>
      <c r="I81" s="94">
        <f t="shared" ca="1" si="15"/>
        <v>0</v>
      </c>
      <c r="J81" s="63" t="str">
        <f t="shared" ca="1" si="16"/>
        <v/>
      </c>
      <c r="K81" s="65">
        <f t="shared" ca="1" si="17"/>
        <v>0</v>
      </c>
      <c r="L81" s="64">
        <f t="shared" ca="1" si="19"/>
        <v>0</v>
      </c>
      <c r="M81" s="65">
        <f t="shared" ca="1" si="20"/>
        <v>0</v>
      </c>
      <c r="N81" s="66"/>
      <c r="O81" s="67">
        <f ca="1">IF($C81="",0,
K81*'2.c Decrements'!D77+(O80-P80-Q80)*(1+G80))</f>
        <v>0</v>
      </c>
      <c r="P81" s="68">
        <f ca="1">M81*'1.a Assumptions'!$C$13*'2.c Decrements'!E77</f>
        <v>0</v>
      </c>
      <c r="Q81" s="68">
        <f ca="1">L82*('2.c Decrements'!F77+'2.c Decrements'!G77)</f>
        <v>0</v>
      </c>
      <c r="R81" s="68">
        <f ca="1">O81-L82*'2.c Decrements'!D77</f>
        <v>0</v>
      </c>
      <c r="S81" s="68" t="str">
        <f ca="1">IF(B82&lt;=$S$13,OFFSET('2.c Decrements'!$J$11,0,$S$13-B81),"")</f>
        <v/>
      </c>
      <c r="V81" s="69" t="str">
        <f t="shared" ca="1" si="21"/>
        <v/>
      </c>
      <c r="W81" s="70" t="str">
        <f t="shared" ca="1" si="18"/>
        <v/>
      </c>
    </row>
    <row r="82" spans="2:23" ht="15" customHeight="1" x14ac:dyDescent="0.25">
      <c r="B82" s="57" t="str">
        <f t="shared" ca="1" si="22"/>
        <v/>
      </c>
      <c r="C82" s="71" t="str">
        <f t="shared" ca="1" si="23"/>
        <v/>
      </c>
      <c r="D82" s="72" t="str">
        <f t="shared" ca="1" si="24"/>
        <v/>
      </c>
      <c r="E82" s="73" t="str">
        <f t="shared" ca="1" si="25"/>
        <v/>
      </c>
      <c r="F82" s="62" t="str">
        <f t="shared" ca="1" si="26"/>
        <v/>
      </c>
      <c r="G82" s="62" t="str">
        <f t="shared" ca="1" si="26"/>
        <v/>
      </c>
      <c r="I82" s="94">
        <f t="shared" ca="1" si="15"/>
        <v>0</v>
      </c>
      <c r="J82" s="63" t="str">
        <f t="shared" ca="1" si="16"/>
        <v/>
      </c>
      <c r="K82" s="65">
        <f t="shared" ca="1" si="17"/>
        <v>0</v>
      </c>
      <c r="L82" s="64">
        <f t="shared" ca="1" si="19"/>
        <v>0</v>
      </c>
      <c r="M82" s="65">
        <f t="shared" ca="1" si="20"/>
        <v>0</v>
      </c>
      <c r="N82" s="66"/>
      <c r="O82" s="67">
        <f ca="1">IF($C82="",0,
K82*'2.c Decrements'!D78+(O81-P81-Q81)*(1+G81))</f>
        <v>0</v>
      </c>
      <c r="P82" s="68">
        <f ca="1">M82*'1.a Assumptions'!$C$13*'2.c Decrements'!E78</f>
        <v>0</v>
      </c>
      <c r="Q82" s="68">
        <f ca="1">L83*('2.c Decrements'!F78+'2.c Decrements'!G78)</f>
        <v>0</v>
      </c>
      <c r="R82" s="68">
        <f ca="1">O82-L83*'2.c Decrements'!D78</f>
        <v>0</v>
      </c>
      <c r="S82" s="68" t="str">
        <f ca="1">IF(B83&lt;=$S$13,OFFSET('2.c Decrements'!$J$11,0,$S$13-B82),"")</f>
        <v/>
      </c>
      <c r="V82" s="69" t="str">
        <f t="shared" ca="1" si="21"/>
        <v/>
      </c>
      <c r="W82" s="70" t="str">
        <f t="shared" ca="1" si="18"/>
        <v/>
      </c>
    </row>
    <row r="83" spans="2:23" ht="15" customHeight="1" x14ac:dyDescent="0.25">
      <c r="B83" s="57" t="str">
        <f t="shared" ca="1" si="22"/>
        <v/>
      </c>
      <c r="C83" s="71" t="str">
        <f t="shared" ca="1" si="23"/>
        <v/>
      </c>
      <c r="D83" s="72" t="str">
        <f t="shared" ca="1" si="24"/>
        <v/>
      </c>
      <c r="E83" s="73" t="str">
        <f t="shared" ca="1" si="25"/>
        <v/>
      </c>
      <c r="F83" s="62" t="str">
        <f t="shared" ca="1" si="26"/>
        <v/>
      </c>
      <c r="G83" s="62" t="str">
        <f t="shared" ca="1" si="26"/>
        <v/>
      </c>
      <c r="I83" s="94">
        <f t="shared" ca="1" si="15"/>
        <v>0</v>
      </c>
      <c r="J83" s="63" t="str">
        <f t="shared" ca="1" si="16"/>
        <v/>
      </c>
      <c r="K83" s="65">
        <f t="shared" ca="1" si="17"/>
        <v>0</v>
      </c>
      <c r="L83" s="64">
        <f t="shared" ca="1" si="19"/>
        <v>0</v>
      </c>
      <c r="M83" s="65">
        <f t="shared" ca="1" si="20"/>
        <v>0</v>
      </c>
      <c r="N83" s="66"/>
      <c r="O83" s="67">
        <f ca="1">IF($C83="",0,
K83*'2.c Decrements'!D79+(O82-P82-Q82)*(1+G82))</f>
        <v>0</v>
      </c>
      <c r="P83" s="68">
        <f ca="1">M83*'1.a Assumptions'!$C$13*'2.c Decrements'!E79</f>
        <v>0</v>
      </c>
      <c r="Q83" s="68">
        <f ca="1">L84*('2.c Decrements'!F79+'2.c Decrements'!G79)</f>
        <v>0</v>
      </c>
      <c r="R83" s="68">
        <f ca="1">O83-L84*'2.c Decrements'!D79</f>
        <v>0</v>
      </c>
      <c r="S83" s="68" t="str">
        <f ca="1">IF(B84&lt;=$S$13,OFFSET('2.c Decrements'!$J$11,0,$S$13-B83),"")</f>
        <v/>
      </c>
      <c r="V83" s="69" t="str">
        <f t="shared" ca="1" si="21"/>
        <v/>
      </c>
      <c r="W83" s="70" t="str">
        <f t="shared" ca="1" si="18"/>
        <v/>
      </c>
    </row>
    <row r="84" spans="2:23" ht="15" customHeight="1" x14ac:dyDescent="0.25">
      <c r="B84" s="57" t="str">
        <f t="shared" ca="1" si="22"/>
        <v/>
      </c>
      <c r="C84" s="71" t="str">
        <f t="shared" ca="1" si="23"/>
        <v/>
      </c>
      <c r="D84" s="72" t="str">
        <f t="shared" ca="1" si="24"/>
        <v/>
      </c>
      <c r="E84" s="73" t="str">
        <f t="shared" ca="1" si="25"/>
        <v/>
      </c>
      <c r="F84" s="62" t="str">
        <f t="shared" ca="1" si="26"/>
        <v/>
      </c>
      <c r="G84" s="62" t="str">
        <f t="shared" ca="1" si="26"/>
        <v/>
      </c>
      <c r="I84" s="94">
        <f t="shared" ca="1" si="15"/>
        <v>0</v>
      </c>
      <c r="J84" s="63" t="str">
        <f t="shared" ca="1" si="16"/>
        <v/>
      </c>
      <c r="K84" s="65">
        <f t="shared" ca="1" si="17"/>
        <v>0</v>
      </c>
      <c r="L84" s="64">
        <f t="shared" ca="1" si="19"/>
        <v>0</v>
      </c>
      <c r="M84" s="65">
        <f t="shared" ca="1" si="20"/>
        <v>0</v>
      </c>
      <c r="N84" s="66"/>
      <c r="O84" s="67">
        <f ca="1">IF($C84="",0,
K84*'2.c Decrements'!D80+(O83-P83-Q83)*(1+G83))</f>
        <v>0</v>
      </c>
      <c r="P84" s="68">
        <f ca="1">M84*'1.a Assumptions'!$C$13*'2.c Decrements'!E80</f>
        <v>0</v>
      </c>
      <c r="Q84" s="68">
        <f ca="1">L85*('2.c Decrements'!F80+'2.c Decrements'!G80)</f>
        <v>0</v>
      </c>
      <c r="R84" s="68">
        <f ca="1">O84-L85*'2.c Decrements'!D80</f>
        <v>0</v>
      </c>
      <c r="S84" s="68" t="str">
        <f ca="1">IF(B85&lt;=$S$13,OFFSET('2.c Decrements'!$J$11,0,$S$13-B84),"")</f>
        <v/>
      </c>
      <c r="V84" s="69" t="str">
        <f t="shared" ca="1" si="21"/>
        <v/>
      </c>
      <c r="W84" s="70" t="str">
        <f t="shared" ca="1" si="18"/>
        <v/>
      </c>
    </row>
    <row r="85" spans="2:23" ht="15" customHeight="1" x14ac:dyDescent="0.25">
      <c r="B85" s="57" t="str">
        <f t="shared" ca="1" si="22"/>
        <v/>
      </c>
      <c r="C85" s="71" t="str">
        <f t="shared" ca="1" si="23"/>
        <v/>
      </c>
      <c r="D85" s="72" t="str">
        <f t="shared" ca="1" si="24"/>
        <v/>
      </c>
      <c r="E85" s="73" t="str">
        <f t="shared" ca="1" si="25"/>
        <v/>
      </c>
      <c r="F85" s="62" t="str">
        <f t="shared" ca="1" si="26"/>
        <v/>
      </c>
      <c r="G85" s="62" t="str">
        <f t="shared" ca="1" si="26"/>
        <v/>
      </c>
      <c r="I85" s="94">
        <f t="shared" ca="1" si="15"/>
        <v>0</v>
      </c>
      <c r="J85" s="63" t="str">
        <f t="shared" ca="1" si="16"/>
        <v/>
      </c>
      <c r="K85" s="65">
        <f t="shared" si="17"/>
        <v>0</v>
      </c>
      <c r="L85" s="64">
        <f t="shared" ca="1" si="19"/>
        <v>0</v>
      </c>
      <c r="M85" s="65">
        <f t="shared" ca="1" si="20"/>
        <v>0</v>
      </c>
      <c r="N85" s="66"/>
      <c r="O85" s="67">
        <f ca="1">IF($C85="",0,
K85*'2.c Decrements'!D81+(O84-P84-Q84)*(1+G84))</f>
        <v>0</v>
      </c>
      <c r="P85" s="68">
        <f ca="1">M85*'1.a Assumptions'!$C$13*'2.c Decrements'!E81</f>
        <v>0</v>
      </c>
      <c r="Q85" s="68">
        <f ca="1">L86*('2.c Decrements'!F81+'2.c Decrements'!G81)</f>
        <v>0</v>
      </c>
      <c r="R85" s="68">
        <f ca="1">O85-L86*'2.c Decrements'!D81</f>
        <v>0</v>
      </c>
      <c r="S85" s="68"/>
      <c r="V85" s="69"/>
      <c r="W85" s="70"/>
    </row>
  </sheetData>
  <conditionalFormatting sqref="W14">
    <cfRule type="cellIs" dxfId="13" priority="7" operator="equal">
      <formula>"Pass"</formula>
    </cfRule>
    <cfRule type="cellIs" dxfId="12" priority="8" operator="equal">
      <formula>"Check!"</formula>
    </cfRule>
  </conditionalFormatting>
  <conditionalFormatting sqref="H8">
    <cfRule type="cellIs" dxfId="11" priority="3" operator="equal">
      <formula>"Pass"</formula>
    </cfRule>
    <cfRule type="cellIs" dxfId="10" priority="4" operator="equal">
      <formula>"Check!"</formula>
    </cfRule>
  </conditionalFormatting>
  <conditionalFormatting sqref="I8:Q8">
    <cfRule type="cellIs" dxfId="9" priority="1" operator="equal">
      <formula>"Pass"</formula>
    </cfRule>
    <cfRule type="cellIs" dxfId="8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59999389629810485"/>
  </sheetPr>
  <dimension ref="A1:AB81"/>
  <sheetViews>
    <sheetView zoomScale="85" zoomScaleNormal="85" workbookViewId="0"/>
  </sheetViews>
  <sheetFormatPr defaultRowHeight="16.5" x14ac:dyDescent="0.3"/>
  <cols>
    <col min="1" max="1" width="2.85546875" style="14" customWidth="1"/>
    <col min="2" max="2" width="14.85546875" style="14" customWidth="1"/>
    <col min="3" max="3" width="17.85546875" style="14" bestFit="1" customWidth="1"/>
    <col min="4" max="4" width="11.140625" style="14" customWidth="1"/>
    <col min="5" max="9" width="14.28515625" style="14" customWidth="1"/>
    <col min="10" max="10" width="9.140625" style="14"/>
    <col min="11" max="11" width="14.28515625" style="14" customWidth="1"/>
    <col min="12" max="12" width="19.85546875" style="14" bestFit="1" customWidth="1"/>
    <col min="13" max="13" width="10.28515625" style="14" bestFit="1" customWidth="1"/>
    <col min="14" max="16384" width="9.140625" style="14"/>
  </cols>
  <sheetData>
    <row r="1" spans="1:28" ht="15" customHeight="1" thickBot="1" x14ac:dyDescent="0.35">
      <c r="A1" s="103" t="s">
        <v>29</v>
      </c>
      <c r="B1" s="13"/>
      <c r="C1" s="13"/>
      <c r="D1" s="13"/>
      <c r="E1" s="13"/>
      <c r="F1" s="13"/>
      <c r="G1" s="13"/>
      <c r="H1" s="13"/>
      <c r="I1" s="13"/>
    </row>
    <row r="2" spans="1:28" ht="15" customHeight="1" x14ac:dyDescent="0.3">
      <c r="A2" s="13"/>
      <c r="B2" s="15" t="s">
        <v>12</v>
      </c>
      <c r="C2" s="16" t="s">
        <v>19</v>
      </c>
      <c r="D2" s="17" t="str">
        <f>RIGHT($B$3,1)</f>
        <v>B</v>
      </c>
      <c r="E2" s="13"/>
      <c r="F2" s="160" t="s">
        <v>490</v>
      </c>
      <c r="G2" s="13"/>
      <c r="H2" s="13"/>
      <c r="I2" s="13"/>
    </row>
    <row r="3" spans="1:28" ht="15" customHeight="1" thickBot="1" x14ac:dyDescent="0.35">
      <c r="A3" s="13"/>
      <c r="B3" s="20" t="str">
        <f>'2.d EAN_Projection'!B3</f>
        <v>45B</v>
      </c>
      <c r="C3" s="16" t="s">
        <v>49</v>
      </c>
      <c r="D3" s="17">
        <f>VLOOKUP($B$3,'opening demographics'!$A$1:$E$11,3,FALSE)</f>
        <v>240</v>
      </c>
      <c r="E3" s="13"/>
      <c r="F3" s="161">
        <v>0.7</v>
      </c>
      <c r="G3" s="13"/>
      <c r="H3" s="13"/>
      <c r="I3" s="13"/>
    </row>
    <row r="4" spans="1:28" ht="15" customHeight="1" x14ac:dyDescent="0.3">
      <c r="A4" s="13"/>
      <c r="B4" s="13"/>
      <c r="C4" s="16" t="s">
        <v>20</v>
      </c>
      <c r="D4" s="17">
        <f>VALUE(LEFT($B$3,2))</f>
        <v>45</v>
      </c>
      <c r="E4" s="13"/>
      <c r="F4" s="13"/>
      <c r="G4" s="13"/>
      <c r="H4" s="13"/>
      <c r="I4" s="13"/>
    </row>
    <row r="5" spans="1:28" ht="15" customHeight="1" x14ac:dyDescent="0.3">
      <c r="A5" s="13"/>
      <c r="B5" s="13"/>
      <c r="C5" s="16" t="s">
        <v>21</v>
      </c>
      <c r="D5" s="17">
        <f ca="1">INDIRECT("NRA_"&amp;$D$2)</f>
        <v>60</v>
      </c>
      <c r="E5" s="13"/>
      <c r="F5" s="13"/>
      <c r="G5" s="13"/>
      <c r="H5" s="13"/>
      <c r="I5" s="13"/>
    </row>
    <row r="6" spans="1:28" ht="15" customHeight="1" x14ac:dyDescent="0.3">
      <c r="A6" s="13"/>
      <c r="B6" s="13"/>
      <c r="C6" s="16" t="s">
        <v>22</v>
      </c>
      <c r="D6" s="36">
        <f ca="1">INDIRECT("accrual_rate_"&amp;$D$2)</f>
        <v>0.05</v>
      </c>
      <c r="E6" s="13"/>
      <c r="F6" s="13"/>
      <c r="G6" s="13"/>
      <c r="H6" s="13"/>
      <c r="I6" s="13"/>
    </row>
    <row r="7" spans="1:28" ht="15" customHeight="1" x14ac:dyDescent="0.3">
      <c r="A7" s="13"/>
      <c r="B7" s="13"/>
      <c r="C7" s="16" t="s">
        <v>23</v>
      </c>
      <c r="D7" s="37">
        <f>VLOOKUP($B$3,'opening demographics'!$A$1:$E$11,4,FALSE)</f>
        <v>95000</v>
      </c>
      <c r="E7" s="13"/>
      <c r="F7" s="13"/>
      <c r="G7" s="13"/>
      <c r="H7" s="13"/>
      <c r="I7" s="13"/>
    </row>
    <row r="8" spans="1:28" ht="15" customHeight="1" x14ac:dyDescent="0.3">
      <c r="A8" s="13"/>
      <c r="B8" s="13"/>
      <c r="C8" s="16" t="s">
        <v>24</v>
      </c>
      <c r="D8" s="44">
        <f ca="1">INDIRECT("e_"&amp;$D$2)</f>
        <v>1.1257768431897297E-2</v>
      </c>
      <c r="E8" s="13"/>
      <c r="F8" s="13"/>
      <c r="G8" s="13"/>
      <c r="H8" s="13"/>
      <c r="I8" s="13"/>
    </row>
    <row r="9" spans="1:28" ht="36" customHeight="1" x14ac:dyDescent="0.3">
      <c r="A9" s="13"/>
      <c r="B9" s="13"/>
      <c r="C9" s="13"/>
      <c r="D9" s="13"/>
      <c r="E9" s="13"/>
      <c r="F9" s="13"/>
      <c r="G9" s="13"/>
      <c r="H9" s="13"/>
      <c r="I9" s="13"/>
      <c r="K9" s="99" t="s">
        <v>480</v>
      </c>
      <c r="L9" s="99" t="s">
        <v>80</v>
      </c>
      <c r="M9" s="109"/>
    </row>
    <row r="10" spans="1:28" ht="43.5" customHeight="1" x14ac:dyDescent="0.3">
      <c r="A10" s="13"/>
      <c r="B10" s="99" t="s">
        <v>48</v>
      </c>
      <c r="C10" s="99" t="s">
        <v>16</v>
      </c>
      <c r="D10" s="99" t="s">
        <v>26</v>
      </c>
      <c r="E10" s="99" t="s">
        <v>0</v>
      </c>
      <c r="F10" s="130" t="s">
        <v>489</v>
      </c>
      <c r="G10" s="99" t="s">
        <v>70</v>
      </c>
      <c r="H10" s="99" t="s">
        <v>28</v>
      </c>
      <c r="I10" s="99" t="s">
        <v>27</v>
      </c>
      <c r="K10" s="99" t="s">
        <v>16</v>
      </c>
      <c r="L10" s="132">
        <v>1</v>
      </c>
      <c r="M10" s="132">
        <f>L10+1</f>
        <v>2</v>
      </c>
      <c r="N10" s="132">
        <f>M10+1</f>
        <v>3</v>
      </c>
      <c r="O10" s="132">
        <f>N10+1</f>
        <v>4</v>
      </c>
      <c r="P10" s="132">
        <f>O10+1</f>
        <v>5</v>
      </c>
      <c r="Q10" s="132">
        <f t="shared" ref="Q10:Z10" si="0">P10+1</f>
        <v>6</v>
      </c>
      <c r="R10" s="132">
        <f t="shared" si="0"/>
        <v>7</v>
      </c>
      <c r="S10" s="132">
        <f t="shared" si="0"/>
        <v>8</v>
      </c>
      <c r="T10" s="132">
        <f t="shared" si="0"/>
        <v>9</v>
      </c>
      <c r="U10" s="132">
        <f t="shared" si="0"/>
        <v>10</v>
      </c>
      <c r="V10" s="132">
        <f t="shared" si="0"/>
        <v>11</v>
      </c>
      <c r="W10" s="132">
        <f>V10+1</f>
        <v>12</v>
      </c>
      <c r="X10" s="132">
        <f t="shared" si="0"/>
        <v>13</v>
      </c>
      <c r="Y10" s="132">
        <f t="shared" si="0"/>
        <v>14</v>
      </c>
      <c r="Z10" s="140">
        <f t="shared" si="0"/>
        <v>15</v>
      </c>
    </row>
    <row r="11" spans="1:28" ht="15" customHeight="1" x14ac:dyDescent="0.3">
      <c r="A11" s="13"/>
      <c r="B11" s="57">
        <v>0</v>
      </c>
      <c r="C11" s="58">
        <f>D4</f>
        <v>45</v>
      </c>
      <c r="D11" s="101">
        <v>1</v>
      </c>
      <c r="E11" s="159">
        <f ca="1">IF($D$2="A",(D11-H11)*INDIRECT("withdraw_rate_"&amp;$D$2)*(C11&lt;$D$5),(D11-H11)*INDIRECT("withdraw_rate_"&amp;$D$2)*(C11&lt;&gt;$D$5-1))</f>
        <v>0.06</v>
      </c>
      <c r="F11" s="102">
        <f>IFERROR(I10*IF(B11+1=10,$F$3,0),0)</f>
        <v>0</v>
      </c>
      <c r="G11" s="102">
        <f ca="1">IF($D$2="A",
(D11-H11)*IFERROR(VLOOKUP(C11,'1.a Assumptions'!$G$19:$I$34,2,FALSE),0),
(D11-H11)*100%*(C11=$D$5-1))</f>
        <v>0</v>
      </c>
      <c r="H11" s="102">
        <f>IF($D$2="A",
D11*IFERROR(VLOOKUP(C11,'1.a Assumptions'!$G$19:$I$34,3,FALSE),0),
0)</f>
        <v>0</v>
      </c>
      <c r="I11" s="102">
        <f ca="1">D11-E11-G11-H11</f>
        <v>0.94</v>
      </c>
      <c r="K11" s="57">
        <f t="shared" ref="K11:K25" si="1">C11</f>
        <v>45</v>
      </c>
      <c r="L11" s="133">
        <f>$D$3*D11</f>
        <v>240</v>
      </c>
      <c r="M11" s="134">
        <f t="shared" ref="M11:T11" ca="1" si="2">$L11*INDIRECT("turnover_rate_"&amp;$D$2)</f>
        <v>14.399999999999999</v>
      </c>
      <c r="N11" s="134">
        <f t="shared" ca="1" si="2"/>
        <v>14.399999999999999</v>
      </c>
      <c r="O11" s="134">
        <f t="shared" ca="1" si="2"/>
        <v>14.399999999999999</v>
      </c>
      <c r="P11" s="134">
        <f t="shared" ca="1" si="2"/>
        <v>14.399999999999999</v>
      </c>
      <c r="Q11" s="134">
        <f t="shared" ca="1" si="2"/>
        <v>14.399999999999999</v>
      </c>
      <c r="R11" s="134">
        <f t="shared" ca="1" si="2"/>
        <v>14.399999999999999</v>
      </c>
      <c r="S11" s="134">
        <f t="shared" ca="1" si="2"/>
        <v>14.399999999999999</v>
      </c>
      <c r="T11" s="134">
        <f t="shared" ca="1" si="2"/>
        <v>14.399999999999999</v>
      </c>
      <c r="U11" s="162">
        <f ca="1">$L11*INDIRECT("turnover_rate_"&amp;$D$2)*(1-$F$3)</f>
        <v>4.32</v>
      </c>
      <c r="V11" s="162">
        <f t="shared" ref="V11:Z11" ca="1" si="3">$L11*INDIRECT("turnover_rate_"&amp;$D$2)*(1-$F$3)</f>
        <v>4.32</v>
      </c>
      <c r="W11" s="162">
        <f t="shared" ca="1" si="3"/>
        <v>4.32</v>
      </c>
      <c r="X11" s="162">
        <f t="shared" ca="1" si="3"/>
        <v>4.32</v>
      </c>
      <c r="Y11" s="162">
        <f t="shared" ca="1" si="3"/>
        <v>4.32</v>
      </c>
      <c r="Z11" s="162">
        <f t="shared" ca="1" si="3"/>
        <v>4.32</v>
      </c>
      <c r="AB11" s="108"/>
    </row>
    <row r="12" spans="1:28" ht="15" customHeight="1" x14ac:dyDescent="0.3">
      <c r="A12" s="13"/>
      <c r="B12" s="57">
        <f ca="1">IF($C12="","",B11+1)</f>
        <v>1</v>
      </c>
      <c r="C12" s="71">
        <f t="shared" ref="C12:C75" ca="1" si="4">IF(C11="","",IF($D$2="A",C11+1,IF(C11+1&gt;$D$5,"",C11+1)))</f>
        <v>46</v>
      </c>
      <c r="D12" s="159">
        <f ca="1">IFERROR(I11*IF(B12+1=10,1-$F$3,1),0)</f>
        <v>0.94</v>
      </c>
      <c r="E12" s="102">
        <f t="shared" ref="E12:E75" ca="1" si="5">IF($D$2="A",(D12-H12)*INDIRECT("withdraw_rate_"&amp;$D$2)*(C12&lt;$D$5),(D12-H12)*INDIRECT("withdraw_rate_"&amp;$D$2)*(C12&lt;&gt;$D$5-1))</f>
        <v>5.6399999999999992E-2</v>
      </c>
      <c r="F12" s="102">
        <f t="shared" ref="F12:F75" ca="1" si="6">IFERROR(I11*IF(B12+1=10,$F$3,0),0)</f>
        <v>0</v>
      </c>
      <c r="G12" s="102">
        <f ca="1">IF($D$2="A",
(D12-H12)*IFERROR(VLOOKUP(C12,'1.a Assumptions'!$G$19:$I$34,2,FALSE),0),
(D12-H12)*100%*(C12=$D$5-1))</f>
        <v>0</v>
      </c>
      <c r="H12" s="102">
        <f>IF($D$2="A",
D12*IFERROR(VLOOKUP(C12,'1.a Assumptions'!$G$19:$I$34,3,FALSE),0),
0)</f>
        <v>0</v>
      </c>
      <c r="I12" s="102">
        <f t="shared" ref="I12:I75" ca="1" si="7">D12-E12-G12-H12</f>
        <v>0.88359999999999994</v>
      </c>
      <c r="K12" s="57">
        <f t="shared" ca="1" si="1"/>
        <v>46</v>
      </c>
      <c r="L12" s="135">
        <f t="shared" ref="L12:L25" ca="1" si="8">L$11*D12</f>
        <v>225.6</v>
      </c>
      <c r="M12" s="136">
        <f t="shared" ref="M12:Y22" ca="1" si="9">M$11*$D12</f>
        <v>13.535999999999998</v>
      </c>
      <c r="N12" s="136">
        <f t="shared" ca="1" si="9"/>
        <v>13.535999999999998</v>
      </c>
      <c r="O12" s="136">
        <f t="shared" ca="1" si="9"/>
        <v>13.535999999999998</v>
      </c>
      <c r="P12" s="136">
        <f t="shared" ca="1" si="9"/>
        <v>13.535999999999998</v>
      </c>
      <c r="Q12" s="136">
        <f t="shared" ca="1" si="9"/>
        <v>13.535999999999998</v>
      </c>
      <c r="R12" s="136">
        <f t="shared" ca="1" si="9"/>
        <v>13.535999999999998</v>
      </c>
      <c r="S12" s="136">
        <f t="shared" ca="1" si="9"/>
        <v>13.535999999999998</v>
      </c>
      <c r="T12" s="136">
        <f t="shared" ca="1" si="9"/>
        <v>13.535999999999998</v>
      </c>
      <c r="U12" s="136">
        <f t="shared" ca="1" si="9"/>
        <v>4.0608000000000004</v>
      </c>
      <c r="V12" s="136">
        <f t="shared" ca="1" si="9"/>
        <v>4.0608000000000004</v>
      </c>
      <c r="W12" s="136">
        <f t="shared" ca="1" si="9"/>
        <v>4.0608000000000004</v>
      </c>
      <c r="X12" s="136">
        <f t="shared" ca="1" si="9"/>
        <v>4.0608000000000004</v>
      </c>
      <c r="Y12" s="138">
        <f t="shared" ca="1" si="9"/>
        <v>4.0608000000000004</v>
      </c>
      <c r="Z12" s="136"/>
      <c r="AB12" s="108"/>
    </row>
    <row r="13" spans="1:28" ht="15" customHeight="1" x14ac:dyDescent="0.3">
      <c r="A13" s="13"/>
      <c r="B13" s="57">
        <f t="shared" ref="B13:B76" ca="1" si="10">IF($C13="","",B12+1)</f>
        <v>2</v>
      </c>
      <c r="C13" s="71">
        <f t="shared" ca="1" si="4"/>
        <v>47</v>
      </c>
      <c r="D13" s="102">
        <f t="shared" ref="D13:D76" ca="1" si="11">IFERROR(I12*IF(B13+1=10,1-$F$3,1),0)</f>
        <v>0.88359999999999994</v>
      </c>
      <c r="E13" s="102">
        <f t="shared" ca="1" si="5"/>
        <v>5.3015999999999994E-2</v>
      </c>
      <c r="F13" s="102">
        <f t="shared" ca="1" si="6"/>
        <v>0</v>
      </c>
      <c r="G13" s="102">
        <f ca="1">IF($D$2="A",
(D13-H13)*IFERROR(VLOOKUP(C13,'1.a Assumptions'!$G$19:$I$34,2,FALSE),0),
(D13-H13)*100%*(C13=$D$5-1))</f>
        <v>0</v>
      </c>
      <c r="H13" s="102">
        <f>IF($D$2="A",
D13*IFERROR(VLOOKUP(C13,'1.a Assumptions'!$G$19:$I$34,3,FALSE),0),
0)</f>
        <v>0</v>
      </c>
      <c r="I13" s="102">
        <f t="shared" ca="1" si="7"/>
        <v>0.83058399999999999</v>
      </c>
      <c r="K13" s="57">
        <f t="shared" ca="1" si="1"/>
        <v>47</v>
      </c>
      <c r="L13" s="135">
        <f t="shared" ca="1" si="8"/>
        <v>212.06399999999999</v>
      </c>
      <c r="M13" s="136">
        <f t="shared" ca="1" si="9"/>
        <v>12.723839999999997</v>
      </c>
      <c r="N13" s="136">
        <f t="shared" ca="1" si="9"/>
        <v>12.723839999999997</v>
      </c>
      <c r="O13" s="136">
        <f t="shared" ca="1" si="9"/>
        <v>12.723839999999997</v>
      </c>
      <c r="P13" s="136">
        <f t="shared" ca="1" si="9"/>
        <v>12.723839999999997</v>
      </c>
      <c r="Q13" s="136">
        <f t="shared" ca="1" si="9"/>
        <v>12.723839999999997</v>
      </c>
      <c r="R13" s="136">
        <f t="shared" ca="1" si="9"/>
        <v>12.723839999999997</v>
      </c>
      <c r="S13" s="136">
        <f t="shared" ca="1" si="9"/>
        <v>12.723839999999997</v>
      </c>
      <c r="T13" s="136">
        <f t="shared" ca="1" si="9"/>
        <v>12.723839999999997</v>
      </c>
      <c r="U13" s="136">
        <f t="shared" ca="1" si="9"/>
        <v>3.8171520000000001</v>
      </c>
      <c r="V13" s="136">
        <f t="shared" ca="1" si="9"/>
        <v>3.8171520000000001</v>
      </c>
      <c r="W13" s="136">
        <f t="shared" ca="1" si="9"/>
        <v>3.8171520000000001</v>
      </c>
      <c r="X13" s="138">
        <f t="shared" ca="1" si="9"/>
        <v>3.8171520000000001</v>
      </c>
      <c r="Y13" s="136"/>
      <c r="Z13" s="136"/>
      <c r="AB13" s="108"/>
    </row>
    <row r="14" spans="1:28" ht="15" customHeight="1" x14ac:dyDescent="0.3">
      <c r="A14" s="13"/>
      <c r="B14" s="57">
        <f t="shared" ca="1" si="10"/>
        <v>3</v>
      </c>
      <c r="C14" s="71">
        <f t="shared" ca="1" si="4"/>
        <v>48</v>
      </c>
      <c r="D14" s="102">
        <f t="shared" ca="1" si="11"/>
        <v>0.83058399999999999</v>
      </c>
      <c r="E14" s="102">
        <f t="shared" ca="1" si="5"/>
        <v>4.9835039999999997E-2</v>
      </c>
      <c r="F14" s="102">
        <f t="shared" ca="1" si="6"/>
        <v>0</v>
      </c>
      <c r="G14" s="102">
        <f ca="1">IF($D$2="A",
(D14-H14)*IFERROR(VLOOKUP(C14,'1.a Assumptions'!$G$19:$I$34,2,FALSE),0),
(D14-H14)*100%*(C14=$D$5-1))</f>
        <v>0</v>
      </c>
      <c r="H14" s="102">
        <f>IF($D$2="A",
D14*IFERROR(VLOOKUP(C14,'1.a Assumptions'!$G$19:$I$34,3,FALSE),0),
0)</f>
        <v>0</v>
      </c>
      <c r="I14" s="102">
        <f t="shared" ca="1" si="7"/>
        <v>0.78074895999999994</v>
      </c>
      <c r="K14" s="57">
        <f t="shared" ca="1" si="1"/>
        <v>48</v>
      </c>
      <c r="L14" s="135">
        <f t="shared" ca="1" si="8"/>
        <v>199.34016</v>
      </c>
      <c r="M14" s="136">
        <f t="shared" ca="1" si="9"/>
        <v>11.960409599999998</v>
      </c>
      <c r="N14" s="136">
        <f t="shared" ca="1" si="9"/>
        <v>11.960409599999998</v>
      </c>
      <c r="O14" s="136">
        <f t="shared" ca="1" si="9"/>
        <v>11.960409599999998</v>
      </c>
      <c r="P14" s="136">
        <f t="shared" ca="1" si="9"/>
        <v>11.960409599999998</v>
      </c>
      <c r="Q14" s="136">
        <f t="shared" ca="1" si="9"/>
        <v>11.960409599999998</v>
      </c>
      <c r="R14" s="136">
        <f t="shared" ca="1" si="9"/>
        <v>11.960409599999998</v>
      </c>
      <c r="S14" s="136">
        <f t="shared" ca="1" si="9"/>
        <v>11.960409599999998</v>
      </c>
      <c r="T14" s="136">
        <f t="shared" ca="1" si="9"/>
        <v>11.960409599999998</v>
      </c>
      <c r="U14" s="136">
        <f t="shared" ca="1" si="9"/>
        <v>3.5881228800000002</v>
      </c>
      <c r="V14" s="136">
        <f t="shared" ca="1" si="9"/>
        <v>3.5881228800000002</v>
      </c>
      <c r="W14" s="138">
        <f t="shared" ca="1" si="9"/>
        <v>3.5881228800000002</v>
      </c>
      <c r="X14" s="136"/>
      <c r="Y14" s="136"/>
      <c r="Z14" s="136"/>
      <c r="AB14" s="108"/>
    </row>
    <row r="15" spans="1:28" ht="15" customHeight="1" x14ac:dyDescent="0.3">
      <c r="A15" s="13"/>
      <c r="B15" s="57">
        <f t="shared" ca="1" si="10"/>
        <v>4</v>
      </c>
      <c r="C15" s="71">
        <f t="shared" ca="1" si="4"/>
        <v>49</v>
      </c>
      <c r="D15" s="102">
        <f t="shared" ca="1" si="11"/>
        <v>0.78074895999999994</v>
      </c>
      <c r="E15" s="102">
        <f t="shared" ca="1" si="5"/>
        <v>4.6844937599999997E-2</v>
      </c>
      <c r="F15" s="102">
        <f t="shared" ca="1" si="6"/>
        <v>0</v>
      </c>
      <c r="G15" s="102">
        <f ca="1">IF($D$2="A",
(D15-H15)*IFERROR(VLOOKUP(C15,'1.a Assumptions'!$G$19:$I$34,2,FALSE),0),
(D15-H15)*100%*(C15=$D$5-1))</f>
        <v>0</v>
      </c>
      <c r="H15" s="102">
        <f>IF($D$2="A",
D15*IFERROR(VLOOKUP(C15,'1.a Assumptions'!$G$19:$I$34,3,FALSE),0),
0)</f>
        <v>0</v>
      </c>
      <c r="I15" s="102">
        <f t="shared" ca="1" si="7"/>
        <v>0.73390402239999997</v>
      </c>
      <c r="K15" s="57">
        <f t="shared" ca="1" si="1"/>
        <v>49</v>
      </c>
      <c r="L15" s="135">
        <f t="shared" ca="1" si="8"/>
        <v>187.37975039999998</v>
      </c>
      <c r="M15" s="136">
        <f t="shared" ca="1" si="9"/>
        <v>11.242785023999998</v>
      </c>
      <c r="N15" s="136">
        <f t="shared" ca="1" si="9"/>
        <v>11.242785023999998</v>
      </c>
      <c r="O15" s="136">
        <f t="shared" ca="1" si="9"/>
        <v>11.242785023999998</v>
      </c>
      <c r="P15" s="136">
        <f t="shared" ca="1" si="9"/>
        <v>11.242785023999998</v>
      </c>
      <c r="Q15" s="136">
        <f t="shared" ca="1" si="9"/>
        <v>11.242785023999998</v>
      </c>
      <c r="R15" s="136">
        <f t="shared" ca="1" si="9"/>
        <v>11.242785023999998</v>
      </c>
      <c r="S15" s="136">
        <f t="shared" ca="1" si="9"/>
        <v>11.242785023999998</v>
      </c>
      <c r="T15" s="136">
        <f t="shared" ca="1" si="9"/>
        <v>11.242785023999998</v>
      </c>
      <c r="U15" s="136">
        <f t="shared" ca="1" si="9"/>
        <v>3.3728355072</v>
      </c>
      <c r="V15" s="138">
        <f t="shared" ca="1" si="9"/>
        <v>3.3728355072</v>
      </c>
      <c r="W15" s="136"/>
      <c r="X15" s="136"/>
      <c r="Y15" s="136"/>
      <c r="Z15" s="136"/>
      <c r="AB15" s="108"/>
    </row>
    <row r="16" spans="1:28" ht="15" customHeight="1" x14ac:dyDescent="0.3">
      <c r="A16" s="13"/>
      <c r="B16" s="57">
        <f t="shared" ca="1" si="10"/>
        <v>5</v>
      </c>
      <c r="C16" s="71">
        <f t="shared" ca="1" si="4"/>
        <v>50</v>
      </c>
      <c r="D16" s="102">
        <f t="shared" ca="1" si="11"/>
        <v>0.73390402239999997</v>
      </c>
      <c r="E16" s="102">
        <f t="shared" ca="1" si="5"/>
        <v>4.4034241343999997E-2</v>
      </c>
      <c r="F16" s="102">
        <f t="shared" ca="1" si="6"/>
        <v>0</v>
      </c>
      <c r="G16" s="102">
        <f ca="1">IF($D$2="A",
(D16-H16)*IFERROR(VLOOKUP(C16,'1.a Assumptions'!$G$19:$I$34,2,FALSE),0),
(D16-H16)*100%*(C16=$D$5-1))</f>
        <v>0</v>
      </c>
      <c r="H16" s="102">
        <f>IF($D$2="A",
D16*IFERROR(VLOOKUP(C16,'1.a Assumptions'!$G$19:$I$34,3,FALSE),0),
0)</f>
        <v>0</v>
      </c>
      <c r="I16" s="102">
        <f t="shared" ca="1" si="7"/>
        <v>0.68986978105599994</v>
      </c>
      <c r="K16" s="57">
        <f t="shared" ca="1" si="1"/>
        <v>50</v>
      </c>
      <c r="L16" s="135">
        <f t="shared" ca="1" si="8"/>
        <v>176.13696537599998</v>
      </c>
      <c r="M16" s="136">
        <f t="shared" ca="1" si="9"/>
        <v>10.568217922559999</v>
      </c>
      <c r="N16" s="136">
        <f t="shared" ca="1" si="9"/>
        <v>10.568217922559999</v>
      </c>
      <c r="O16" s="136">
        <f t="shared" ca="1" si="9"/>
        <v>10.568217922559999</v>
      </c>
      <c r="P16" s="136">
        <f t="shared" ca="1" si="9"/>
        <v>10.568217922559999</v>
      </c>
      <c r="Q16" s="136">
        <f t="shared" ca="1" si="9"/>
        <v>10.568217922559999</v>
      </c>
      <c r="R16" s="136">
        <f t="shared" ca="1" si="9"/>
        <v>10.568217922559999</v>
      </c>
      <c r="S16" s="136">
        <f t="shared" ca="1" si="9"/>
        <v>10.568217922559999</v>
      </c>
      <c r="T16" s="136">
        <f t="shared" ca="1" si="9"/>
        <v>10.568217922559999</v>
      </c>
      <c r="U16" s="138">
        <f t="shared" ca="1" si="9"/>
        <v>3.170465376768</v>
      </c>
      <c r="V16" s="136"/>
      <c r="W16" s="136"/>
      <c r="X16" s="136"/>
      <c r="Y16" s="136"/>
      <c r="Z16" s="136"/>
      <c r="AB16" s="108"/>
    </row>
    <row r="17" spans="1:28" ht="15" customHeight="1" x14ac:dyDescent="0.3">
      <c r="A17" s="13"/>
      <c r="B17" s="57">
        <f t="shared" ca="1" si="10"/>
        <v>6</v>
      </c>
      <c r="C17" s="71">
        <f t="shared" ca="1" si="4"/>
        <v>51</v>
      </c>
      <c r="D17" s="102">
        <f t="shared" ca="1" si="11"/>
        <v>0.68986978105599994</v>
      </c>
      <c r="E17" s="102">
        <f t="shared" ca="1" si="5"/>
        <v>4.1392186863359992E-2</v>
      </c>
      <c r="F17" s="102">
        <f t="shared" ca="1" si="6"/>
        <v>0</v>
      </c>
      <c r="G17" s="102">
        <f ca="1">IF($D$2="A",
(D17-H17)*IFERROR(VLOOKUP(C17,'1.a Assumptions'!$G$19:$I$34,2,FALSE),0),
(D17-H17)*100%*(C17=$D$5-1))</f>
        <v>0</v>
      </c>
      <c r="H17" s="102">
        <f>IF($D$2="A",
D17*IFERROR(VLOOKUP(C17,'1.a Assumptions'!$G$19:$I$34,3,FALSE),0),
0)</f>
        <v>0</v>
      </c>
      <c r="I17" s="102">
        <f t="shared" ca="1" si="7"/>
        <v>0.64847759419263995</v>
      </c>
      <c r="K17" s="57">
        <f t="shared" ca="1" si="1"/>
        <v>51</v>
      </c>
      <c r="L17" s="135">
        <f t="shared" ca="1" si="8"/>
        <v>165.56874745343998</v>
      </c>
      <c r="M17" s="136">
        <f t="shared" ca="1" si="9"/>
        <v>9.9341248472063981</v>
      </c>
      <c r="N17" s="136">
        <f t="shared" ca="1" si="9"/>
        <v>9.9341248472063981</v>
      </c>
      <c r="O17" s="136">
        <f t="shared" ca="1" si="9"/>
        <v>9.9341248472063981</v>
      </c>
      <c r="P17" s="136">
        <f t="shared" ca="1" si="9"/>
        <v>9.9341248472063981</v>
      </c>
      <c r="Q17" s="136">
        <f t="shared" ca="1" si="9"/>
        <v>9.9341248472063981</v>
      </c>
      <c r="R17" s="136">
        <f t="shared" ca="1" si="9"/>
        <v>9.9341248472063981</v>
      </c>
      <c r="S17" s="136">
        <f t="shared" ca="1" si="9"/>
        <v>9.9341248472063981</v>
      </c>
      <c r="T17" s="138">
        <f t="shared" ca="1" si="9"/>
        <v>9.9341248472063981</v>
      </c>
      <c r="U17" s="136"/>
      <c r="V17" s="136"/>
      <c r="W17" s="136"/>
      <c r="X17" s="136"/>
      <c r="Y17" s="136"/>
      <c r="Z17" s="136"/>
      <c r="AB17" s="108"/>
    </row>
    <row r="18" spans="1:28" ht="15" customHeight="1" x14ac:dyDescent="0.3">
      <c r="A18" s="13"/>
      <c r="B18" s="57">
        <f t="shared" ca="1" si="10"/>
        <v>7</v>
      </c>
      <c r="C18" s="71">
        <f t="shared" ca="1" si="4"/>
        <v>52</v>
      </c>
      <c r="D18" s="102">
        <f t="shared" ca="1" si="11"/>
        <v>0.64847759419263995</v>
      </c>
      <c r="E18" s="102">
        <f t="shared" ca="1" si="5"/>
        <v>3.8908655651558398E-2</v>
      </c>
      <c r="F18" s="102">
        <f t="shared" ca="1" si="6"/>
        <v>0</v>
      </c>
      <c r="G18" s="102">
        <f ca="1">IF($D$2="A",
(D18-H18)*IFERROR(VLOOKUP(C18,'1.a Assumptions'!$G$19:$I$34,2,FALSE),0),
(D18-H18)*100%*(C18=$D$5-1))</f>
        <v>0</v>
      </c>
      <c r="H18" s="102">
        <f>IF($D$2="A",
D18*IFERROR(VLOOKUP(C18,'1.a Assumptions'!$G$19:$I$34,3,FALSE),0),
0)</f>
        <v>0</v>
      </c>
      <c r="I18" s="102">
        <f t="shared" ca="1" si="7"/>
        <v>0.60956893854108152</v>
      </c>
      <c r="K18" s="57">
        <f t="shared" ca="1" si="1"/>
        <v>52</v>
      </c>
      <c r="L18" s="135">
        <f t="shared" ca="1" si="8"/>
        <v>155.63462260623359</v>
      </c>
      <c r="M18" s="136">
        <f t="shared" ca="1" si="9"/>
        <v>9.3380773563740149</v>
      </c>
      <c r="N18" s="136">
        <f t="shared" ca="1" si="9"/>
        <v>9.3380773563740149</v>
      </c>
      <c r="O18" s="136">
        <f t="shared" ca="1" si="9"/>
        <v>9.3380773563740149</v>
      </c>
      <c r="P18" s="136">
        <f t="shared" ca="1" si="9"/>
        <v>9.3380773563740149</v>
      </c>
      <c r="Q18" s="136">
        <f t="shared" ca="1" si="9"/>
        <v>9.3380773563740149</v>
      </c>
      <c r="R18" s="136">
        <f t="shared" ca="1" si="9"/>
        <v>9.3380773563740149</v>
      </c>
      <c r="S18" s="138">
        <f t="shared" ca="1" si="9"/>
        <v>9.3380773563740149</v>
      </c>
      <c r="T18" s="136"/>
      <c r="U18" s="136"/>
      <c r="V18" s="136"/>
      <c r="W18" s="136"/>
      <c r="X18" s="136"/>
      <c r="Y18" s="136"/>
      <c r="Z18" s="136"/>
      <c r="AB18" s="108"/>
    </row>
    <row r="19" spans="1:28" ht="15" customHeight="1" x14ac:dyDescent="0.3">
      <c r="A19" s="13"/>
      <c r="B19" s="57">
        <f t="shared" ca="1" si="10"/>
        <v>8</v>
      </c>
      <c r="C19" s="71">
        <f t="shared" ca="1" si="4"/>
        <v>53</v>
      </c>
      <c r="D19" s="102">
        <f t="shared" ca="1" si="11"/>
        <v>0.60956893854108152</v>
      </c>
      <c r="E19" s="102">
        <f t="shared" ca="1" si="5"/>
        <v>3.6574136312464887E-2</v>
      </c>
      <c r="F19" s="102">
        <f t="shared" ca="1" si="6"/>
        <v>0</v>
      </c>
      <c r="G19" s="102">
        <f ca="1">IF($D$2="A",
(D19-H19)*IFERROR(VLOOKUP(C19,'1.a Assumptions'!$G$19:$I$34,2,FALSE),0),
(D19-H19)*100%*(C19=$D$5-1))</f>
        <v>0</v>
      </c>
      <c r="H19" s="102">
        <f>IF($D$2="A",
D19*IFERROR(VLOOKUP(C19,'1.a Assumptions'!$G$19:$I$34,3,FALSE),0),
0)</f>
        <v>0</v>
      </c>
      <c r="I19" s="102">
        <f t="shared" ca="1" si="7"/>
        <v>0.57299480222861665</v>
      </c>
      <c r="K19" s="57">
        <f t="shared" ca="1" si="1"/>
        <v>53</v>
      </c>
      <c r="L19" s="135">
        <f t="shared" ca="1" si="8"/>
        <v>146.29654524985958</v>
      </c>
      <c r="M19" s="136">
        <f t="shared" ca="1" si="9"/>
        <v>8.7777927149915733</v>
      </c>
      <c r="N19" s="136">
        <f t="shared" ca="1" si="9"/>
        <v>8.7777927149915733</v>
      </c>
      <c r="O19" s="136">
        <f t="shared" ca="1" si="9"/>
        <v>8.7777927149915733</v>
      </c>
      <c r="P19" s="136">
        <f t="shared" ca="1" si="9"/>
        <v>8.7777927149915733</v>
      </c>
      <c r="Q19" s="136">
        <f t="shared" ca="1" si="9"/>
        <v>8.7777927149915733</v>
      </c>
      <c r="R19" s="138">
        <f t="shared" ca="1" si="9"/>
        <v>8.7777927149915733</v>
      </c>
      <c r="S19" s="136"/>
      <c r="T19" s="136"/>
      <c r="U19" s="136"/>
      <c r="V19" s="136"/>
      <c r="W19" s="136"/>
      <c r="X19" s="136"/>
      <c r="Y19" s="136"/>
      <c r="Z19" s="136"/>
      <c r="AB19" s="108"/>
    </row>
    <row r="20" spans="1:28" ht="15" customHeight="1" x14ac:dyDescent="0.3">
      <c r="A20" s="13"/>
      <c r="B20" s="57">
        <f t="shared" ca="1" si="10"/>
        <v>9</v>
      </c>
      <c r="C20" s="71">
        <f t="shared" ca="1" si="4"/>
        <v>54</v>
      </c>
      <c r="D20" s="102">
        <f t="shared" ca="1" si="11"/>
        <v>0.17189844066858503</v>
      </c>
      <c r="E20" s="102">
        <f t="shared" ca="1" si="5"/>
        <v>1.0313906440115102E-2</v>
      </c>
      <c r="F20" s="102">
        <f t="shared" ca="1" si="6"/>
        <v>0.40109636156003164</v>
      </c>
      <c r="G20" s="102">
        <f ca="1">IF($D$2="A",
(D20-H20)*IFERROR(VLOOKUP(C20,'1.a Assumptions'!$G$19:$I$34,2,FALSE),0),
(D20-H20)*100%*(C20=$D$5-1))</f>
        <v>0</v>
      </c>
      <c r="H20" s="102">
        <f>IF($D$2="A",
D20*IFERROR(VLOOKUP(C20,'1.a Assumptions'!$G$19:$I$34,3,FALSE),0),
0)</f>
        <v>0</v>
      </c>
      <c r="I20" s="102">
        <f t="shared" ca="1" si="7"/>
        <v>0.16158453422846994</v>
      </c>
      <c r="K20" s="57">
        <f t="shared" ca="1" si="1"/>
        <v>54</v>
      </c>
      <c r="L20" s="135">
        <f t="shared" ca="1" si="8"/>
        <v>41.255625760460411</v>
      </c>
      <c r="M20" s="136">
        <f t="shared" ca="1" si="9"/>
        <v>2.4753375456276241</v>
      </c>
      <c r="N20" s="136">
        <f t="shared" ca="1" si="9"/>
        <v>2.4753375456276241</v>
      </c>
      <c r="O20" s="136">
        <f t="shared" ca="1" si="9"/>
        <v>2.4753375456276241</v>
      </c>
      <c r="P20" s="136">
        <f t="shared" ca="1" si="9"/>
        <v>2.4753375456276241</v>
      </c>
      <c r="Q20" s="138">
        <f t="shared" ca="1" si="9"/>
        <v>2.4753375456276241</v>
      </c>
      <c r="R20" s="136"/>
      <c r="S20" s="136"/>
      <c r="T20" s="136"/>
      <c r="U20" s="136"/>
      <c r="V20" s="136"/>
      <c r="W20" s="136"/>
      <c r="X20" s="136"/>
      <c r="Y20" s="136"/>
      <c r="Z20" s="136"/>
      <c r="AB20" s="108"/>
    </row>
    <row r="21" spans="1:28" ht="15" customHeight="1" x14ac:dyDescent="0.3">
      <c r="A21" s="13"/>
      <c r="B21" s="57">
        <f t="shared" ca="1" si="10"/>
        <v>10</v>
      </c>
      <c r="C21" s="71">
        <f t="shared" ca="1" si="4"/>
        <v>55</v>
      </c>
      <c r="D21" s="102">
        <f t="shared" ca="1" si="11"/>
        <v>0.16158453422846994</v>
      </c>
      <c r="E21" s="102">
        <f t="shared" ca="1" si="5"/>
        <v>9.6950720537081966E-3</v>
      </c>
      <c r="F21" s="102">
        <f t="shared" ca="1" si="6"/>
        <v>0</v>
      </c>
      <c r="G21" s="102">
        <f ca="1">IF($D$2="A",
(D21-H21)*IFERROR(VLOOKUP(C21,'1.a Assumptions'!$G$19:$I$34,2,FALSE),0),
(D21-H21)*100%*(C21=$D$5-1))</f>
        <v>0</v>
      </c>
      <c r="H21" s="102">
        <f>IF($D$2="A",
D21*IFERROR(VLOOKUP(C21,'1.a Assumptions'!$G$19:$I$34,3,FALSE),0),
0)</f>
        <v>0</v>
      </c>
      <c r="I21" s="102">
        <f t="shared" ca="1" si="7"/>
        <v>0.15188946217476174</v>
      </c>
      <c r="K21" s="57">
        <f t="shared" ca="1" si="1"/>
        <v>55</v>
      </c>
      <c r="L21" s="135">
        <f t="shared" ca="1" si="8"/>
        <v>38.780288214832787</v>
      </c>
      <c r="M21" s="136">
        <f t="shared" ca="1" si="9"/>
        <v>2.3268172928899671</v>
      </c>
      <c r="N21" s="136">
        <f t="shared" ca="1" si="9"/>
        <v>2.3268172928899671</v>
      </c>
      <c r="O21" s="136">
        <f t="shared" ca="1" si="9"/>
        <v>2.3268172928899671</v>
      </c>
      <c r="P21" s="138">
        <f t="shared" ca="1" si="9"/>
        <v>2.3268172928899671</v>
      </c>
      <c r="Q21" s="136"/>
      <c r="R21" s="136"/>
      <c r="S21" s="136"/>
      <c r="T21" s="136"/>
      <c r="U21" s="136"/>
      <c r="V21" s="136"/>
      <c r="W21" s="136"/>
      <c r="X21" s="136"/>
      <c r="Y21" s="136"/>
      <c r="Z21" s="136"/>
      <c r="AB21" s="108"/>
    </row>
    <row r="22" spans="1:28" ht="15" customHeight="1" x14ac:dyDescent="0.3">
      <c r="A22" s="13"/>
      <c r="B22" s="57">
        <f t="shared" ca="1" si="10"/>
        <v>11</v>
      </c>
      <c r="C22" s="71">
        <f t="shared" ca="1" si="4"/>
        <v>56</v>
      </c>
      <c r="D22" s="102">
        <f t="shared" ca="1" si="11"/>
        <v>0.15188946217476174</v>
      </c>
      <c r="E22" s="102">
        <f t="shared" ca="1" si="5"/>
        <v>9.1133677304857039E-3</v>
      </c>
      <c r="F22" s="102">
        <f t="shared" ca="1" si="6"/>
        <v>0</v>
      </c>
      <c r="G22" s="102">
        <f ca="1">IF($D$2="A",
(D22-H22)*IFERROR(VLOOKUP(C22,'1.a Assumptions'!$G$19:$I$34,2,FALSE),0),
(D22-H22)*100%*(C22=$D$5-1))</f>
        <v>0</v>
      </c>
      <c r="H22" s="102">
        <f>IF($D$2="A",
D22*IFERROR(VLOOKUP(C22,'1.a Assumptions'!$G$19:$I$34,3,FALSE),0),
0)</f>
        <v>0</v>
      </c>
      <c r="I22" s="102">
        <f t="shared" ca="1" si="7"/>
        <v>0.14277609444427602</v>
      </c>
      <c r="K22" s="57">
        <f t="shared" ca="1" si="1"/>
        <v>56</v>
      </c>
      <c r="L22" s="135">
        <f t="shared" ca="1" si="8"/>
        <v>36.453470921942817</v>
      </c>
      <c r="M22" s="136">
        <f t="shared" ca="1" si="9"/>
        <v>2.1872082553165688</v>
      </c>
      <c r="N22" s="136">
        <f t="shared" ca="1" si="9"/>
        <v>2.1872082553165688</v>
      </c>
      <c r="O22" s="138">
        <f t="shared" ca="1" si="9"/>
        <v>2.1872082553165688</v>
      </c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B22" s="108"/>
    </row>
    <row r="23" spans="1:28" ht="15" customHeight="1" x14ac:dyDescent="0.3">
      <c r="A23" s="13"/>
      <c r="B23" s="57">
        <f t="shared" ca="1" si="10"/>
        <v>12</v>
      </c>
      <c r="C23" s="71">
        <f t="shared" ca="1" si="4"/>
        <v>57</v>
      </c>
      <c r="D23" s="102">
        <f t="shared" ca="1" si="11"/>
        <v>0.14277609444427602</v>
      </c>
      <c r="E23" s="102">
        <f t="shared" ca="1" si="5"/>
        <v>8.5665656666565615E-3</v>
      </c>
      <c r="F23" s="102">
        <f t="shared" ca="1" si="6"/>
        <v>0</v>
      </c>
      <c r="G23" s="102">
        <f ca="1">IF($D$2="A",
(D23-H23)*IFERROR(VLOOKUP(C23,'1.a Assumptions'!$G$19:$I$34,2,FALSE),0),
(D23-H23)*100%*(C23=$D$5-1))</f>
        <v>0</v>
      </c>
      <c r="H23" s="102">
        <f>IF($D$2="A",
D23*IFERROR(VLOOKUP(C23,'1.a Assumptions'!$G$19:$I$34,3,FALSE),0),
0)</f>
        <v>0</v>
      </c>
      <c r="I23" s="102">
        <f t="shared" ca="1" si="7"/>
        <v>0.13420952877761946</v>
      </c>
      <c r="K23" s="57">
        <f t="shared" ca="1" si="1"/>
        <v>57</v>
      </c>
      <c r="L23" s="135">
        <f t="shared" ca="1" si="8"/>
        <v>34.266262666626247</v>
      </c>
      <c r="M23" s="136">
        <f ca="1">M$11*$D23</f>
        <v>2.0559757599975748</v>
      </c>
      <c r="N23" s="138">
        <f ca="1">N$11*$D23</f>
        <v>2.0559757599975748</v>
      </c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B23" s="108"/>
    </row>
    <row r="24" spans="1:28" ht="15" customHeight="1" x14ac:dyDescent="0.3">
      <c r="A24" s="13"/>
      <c r="B24" s="57">
        <f t="shared" ca="1" si="10"/>
        <v>13</v>
      </c>
      <c r="C24" s="71">
        <f t="shared" ca="1" si="4"/>
        <v>58</v>
      </c>
      <c r="D24" s="102">
        <f t="shared" ca="1" si="11"/>
        <v>0.13420952877761946</v>
      </c>
      <c r="E24" s="102">
        <f t="shared" ca="1" si="5"/>
        <v>8.0525717266571682E-3</v>
      </c>
      <c r="F24" s="102">
        <f t="shared" ca="1" si="6"/>
        <v>0</v>
      </c>
      <c r="G24" s="102">
        <f ca="1">IF($D$2="A",
(D24-H24)*IFERROR(VLOOKUP(C24,'1.a Assumptions'!$G$19:$I$34,2,FALSE),0),
(D24-H24)*100%*(C24=$D$5-1))</f>
        <v>0</v>
      </c>
      <c r="H24" s="102">
        <f>IF($D$2="A",
D24*IFERROR(VLOOKUP(C24,'1.a Assumptions'!$G$19:$I$34,3,FALSE),0),
0)</f>
        <v>0</v>
      </c>
      <c r="I24" s="102">
        <f t="shared" ca="1" si="7"/>
        <v>0.1261569570509623</v>
      </c>
      <c r="K24" s="57">
        <f t="shared" ca="1" si="1"/>
        <v>58</v>
      </c>
      <c r="L24" s="135">
        <f t="shared" ca="1" si="8"/>
        <v>32.210286906628674</v>
      </c>
      <c r="M24" s="138">
        <f ca="1">M$11*$D24</f>
        <v>1.9326172143977201</v>
      </c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B24" s="108"/>
    </row>
    <row r="25" spans="1:28" ht="15" customHeight="1" x14ac:dyDescent="0.3">
      <c r="A25" s="13"/>
      <c r="B25" s="57">
        <f t="shared" ca="1" si="10"/>
        <v>14</v>
      </c>
      <c r="C25" s="71">
        <f t="shared" ca="1" si="4"/>
        <v>59</v>
      </c>
      <c r="D25" s="102">
        <f t="shared" ca="1" si="11"/>
        <v>0.1261569570509623</v>
      </c>
      <c r="E25" s="102">
        <f t="shared" ca="1" si="5"/>
        <v>0</v>
      </c>
      <c r="F25" s="102">
        <f t="shared" ca="1" si="6"/>
        <v>0</v>
      </c>
      <c r="G25" s="102">
        <f ca="1">IF($D$2="A",
(D25-H25)*IFERROR(VLOOKUP(C25,'1.a Assumptions'!$G$19:$I$34,2,FALSE),0),
(D25-H25)*100%*(C25=$D$5-1))</f>
        <v>0.1261569570509623</v>
      </c>
      <c r="H25" s="102">
        <f>IF($D$2="A",
D25*IFERROR(VLOOKUP(C25,'1.a Assumptions'!$G$19:$I$34,3,FALSE),0),
0)</f>
        <v>0</v>
      </c>
      <c r="I25" s="102">
        <f t="shared" ca="1" si="7"/>
        <v>0</v>
      </c>
      <c r="K25" s="57">
        <f t="shared" ca="1" si="1"/>
        <v>59</v>
      </c>
      <c r="L25" s="137">
        <f t="shared" ca="1" si="8"/>
        <v>30.277669692230951</v>
      </c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B25" s="108"/>
    </row>
    <row r="26" spans="1:28" ht="15" customHeight="1" x14ac:dyDescent="0.3">
      <c r="A26" s="13"/>
      <c r="B26" s="57">
        <f t="shared" ca="1" si="10"/>
        <v>15</v>
      </c>
      <c r="C26" s="71">
        <f t="shared" ca="1" si="4"/>
        <v>60</v>
      </c>
      <c r="D26" s="102">
        <f t="shared" ca="1" si="11"/>
        <v>0</v>
      </c>
      <c r="E26" s="102">
        <f t="shared" ca="1" si="5"/>
        <v>0</v>
      </c>
      <c r="F26" s="102">
        <f t="shared" ca="1" si="6"/>
        <v>0</v>
      </c>
      <c r="G26" s="102">
        <f ca="1">IF($D$2="A",
(D26-H26)*IFERROR(VLOOKUP(C26,'1.a Assumptions'!$G$19:$I$34,2,FALSE),0),
(D26-H26)*100%*(C26=$D$5-1))</f>
        <v>0</v>
      </c>
      <c r="H26" s="102">
        <f>IF($D$2="A",
D26*IFERROR(VLOOKUP(C26,'1.a Assumptions'!$G$19:$I$34,3,FALSE),0),
0)</f>
        <v>0</v>
      </c>
      <c r="I26" s="102">
        <f t="shared" ca="1" si="7"/>
        <v>0</v>
      </c>
      <c r="K26" s="57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</row>
    <row r="27" spans="1:28" ht="15" customHeight="1" x14ac:dyDescent="0.3">
      <c r="A27" s="13"/>
      <c r="B27" s="57" t="str">
        <f t="shared" ca="1" si="10"/>
        <v/>
      </c>
      <c r="C27" s="71" t="str">
        <f t="shared" ca="1" si="4"/>
        <v/>
      </c>
      <c r="D27" s="102">
        <f t="shared" ca="1" si="11"/>
        <v>0</v>
      </c>
      <c r="E27" s="102">
        <f t="shared" ca="1" si="5"/>
        <v>0</v>
      </c>
      <c r="F27" s="102">
        <f t="shared" ca="1" si="6"/>
        <v>0</v>
      </c>
      <c r="G27" s="102">
        <f ca="1">IF($D$2="A",
(D27-H27)*IFERROR(VLOOKUP(C27,'1.a Assumptions'!$G$19:$I$34,2,FALSE),0),
(D27-H27)*100%*(C27=$D$5-1))</f>
        <v>0</v>
      </c>
      <c r="H27" s="102">
        <f>IF($D$2="A",
D27*IFERROR(VLOOKUP(C27,'1.a Assumptions'!$G$19:$I$34,3,FALSE),0),
0)</f>
        <v>0</v>
      </c>
      <c r="I27" s="102">
        <f t="shared" ca="1" si="7"/>
        <v>0</v>
      </c>
      <c r="K27" s="118" t="s">
        <v>18</v>
      </c>
      <c r="L27" s="119">
        <f ca="1">L25+M24+N23+O22+P21+Q20+R19+S18+T17+U16+V15+W14+X13+Y12+Z11</f>
        <v>91.634996443000375</v>
      </c>
      <c r="AA27" s="107"/>
    </row>
    <row r="28" spans="1:28" ht="15" customHeight="1" x14ac:dyDescent="0.3">
      <c r="A28" s="13"/>
      <c r="B28" s="57" t="str">
        <f t="shared" ca="1" si="10"/>
        <v/>
      </c>
      <c r="C28" s="71" t="str">
        <f t="shared" ca="1" si="4"/>
        <v/>
      </c>
      <c r="D28" s="102">
        <f t="shared" ca="1" si="11"/>
        <v>0</v>
      </c>
      <c r="E28" s="102">
        <f t="shared" ca="1" si="5"/>
        <v>0</v>
      </c>
      <c r="F28" s="102">
        <f t="shared" ca="1" si="6"/>
        <v>0</v>
      </c>
      <c r="G28" s="102">
        <f ca="1">IF($D$2="A",
(D28-H28)*IFERROR(VLOOKUP(C28,'1.a Assumptions'!$G$19:$I$34,2,FALSE),0),
(D28-H28)*100%*(C28=$D$5-1))</f>
        <v>0</v>
      </c>
      <c r="H28" s="102">
        <f>IF($D$2="A",
D28*IFERROR(VLOOKUP(C28,'1.a Assumptions'!$G$19:$I$34,3,FALSE),0),
0)</f>
        <v>0</v>
      </c>
      <c r="I28" s="102">
        <f t="shared" ca="1" si="7"/>
        <v>0</v>
      </c>
      <c r="L28" s="106"/>
      <c r="AA28" s="107"/>
    </row>
    <row r="29" spans="1:28" ht="15" customHeight="1" x14ac:dyDescent="0.3">
      <c r="A29" s="13"/>
      <c r="B29" s="57" t="str">
        <f t="shared" ca="1" si="10"/>
        <v/>
      </c>
      <c r="C29" s="71" t="str">
        <f t="shared" ca="1" si="4"/>
        <v/>
      </c>
      <c r="D29" s="102">
        <f t="shared" ca="1" si="11"/>
        <v>0</v>
      </c>
      <c r="E29" s="102">
        <f t="shared" ca="1" si="5"/>
        <v>0</v>
      </c>
      <c r="F29" s="102">
        <f t="shared" ca="1" si="6"/>
        <v>0</v>
      </c>
      <c r="G29" s="102">
        <f ca="1">IF($D$2="A",
(D29-H29)*IFERROR(VLOOKUP(C29,'1.a Assumptions'!$G$19:$I$34,2,FALSE),0),
(D29-H29)*100%*(C29=$D$5-1))</f>
        <v>0</v>
      </c>
      <c r="H29" s="102">
        <f>IF($D$2="A",
D29*IFERROR(VLOOKUP(C29,'1.a Assumptions'!$G$19:$I$34,3,FALSE),0),
0)</f>
        <v>0</v>
      </c>
      <c r="I29" s="102">
        <f t="shared" ca="1" si="7"/>
        <v>0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 s="107"/>
    </row>
    <row r="30" spans="1:28" ht="15" customHeight="1" x14ac:dyDescent="0.3">
      <c r="A30" s="13"/>
      <c r="B30" s="57" t="str">
        <f t="shared" ca="1" si="10"/>
        <v/>
      </c>
      <c r="C30" s="71" t="str">
        <f t="shared" ca="1" si="4"/>
        <v/>
      </c>
      <c r="D30" s="102">
        <f t="shared" ca="1" si="11"/>
        <v>0</v>
      </c>
      <c r="E30" s="102">
        <f t="shared" ca="1" si="5"/>
        <v>0</v>
      </c>
      <c r="F30" s="102">
        <f t="shared" ca="1" si="6"/>
        <v>0</v>
      </c>
      <c r="G30" s="102">
        <f ca="1">IF($D$2="A",
(D30-H30)*IFERROR(VLOOKUP(C30,'1.a Assumptions'!$G$19:$I$34,2,FALSE),0),
(D30-H30)*100%*(C30=$D$5-1))</f>
        <v>0</v>
      </c>
      <c r="H30" s="102">
        <f>IF($D$2="A",
D30*IFERROR(VLOOKUP(C30,'1.a Assumptions'!$G$19:$I$34,3,FALSE),0),
0)</f>
        <v>0</v>
      </c>
      <c r="I30" s="102">
        <f t="shared" ca="1" si="7"/>
        <v>0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8" ht="15" customHeight="1" x14ac:dyDescent="0.3">
      <c r="A31" s="13"/>
      <c r="B31" s="57" t="str">
        <f t="shared" ca="1" si="10"/>
        <v/>
      </c>
      <c r="C31" s="71" t="str">
        <f t="shared" ca="1" si="4"/>
        <v/>
      </c>
      <c r="D31" s="102">
        <f t="shared" ca="1" si="11"/>
        <v>0</v>
      </c>
      <c r="E31" s="102">
        <f t="shared" ca="1" si="5"/>
        <v>0</v>
      </c>
      <c r="F31" s="102">
        <f t="shared" ca="1" si="6"/>
        <v>0</v>
      </c>
      <c r="G31" s="102">
        <f ca="1">IF($D$2="A",
(D31-H31)*IFERROR(VLOOKUP(C31,'1.a Assumptions'!$G$19:$I$34,2,FALSE),0),
(D31-H31)*100%*(C31=$D$5-1))</f>
        <v>0</v>
      </c>
      <c r="H31" s="102">
        <f>IF($D$2="A",
D31*IFERROR(VLOOKUP(C31,'1.a Assumptions'!$G$19:$I$34,3,FALSE),0),
0)</f>
        <v>0</v>
      </c>
      <c r="I31" s="102">
        <f t="shared" ca="1" si="7"/>
        <v>0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8" ht="15" customHeight="1" x14ac:dyDescent="0.3">
      <c r="A32" s="13"/>
      <c r="B32" s="57" t="str">
        <f t="shared" ca="1" si="10"/>
        <v/>
      </c>
      <c r="C32" s="71" t="str">
        <f t="shared" ca="1" si="4"/>
        <v/>
      </c>
      <c r="D32" s="102">
        <f t="shared" ca="1" si="11"/>
        <v>0</v>
      </c>
      <c r="E32" s="102">
        <f t="shared" ca="1" si="5"/>
        <v>0</v>
      </c>
      <c r="F32" s="102">
        <f t="shared" ca="1" si="6"/>
        <v>0</v>
      </c>
      <c r="G32" s="102">
        <f ca="1">IF($D$2="A",
(D32-H32)*IFERROR(VLOOKUP(C32,'1.a Assumptions'!$G$19:$I$34,2,FALSE),0),
(D32-H32)*100%*(C32=$D$5-1))</f>
        <v>0</v>
      </c>
      <c r="H32" s="102">
        <f>IF($D$2="A",
D32*IFERROR(VLOOKUP(C32,'1.a Assumptions'!$G$19:$I$34,3,FALSE),0),
0)</f>
        <v>0</v>
      </c>
      <c r="I32" s="102">
        <f t="shared" ca="1" si="7"/>
        <v>0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ht="15" customHeight="1" x14ac:dyDescent="0.3">
      <c r="A33" s="13"/>
      <c r="B33" s="57" t="str">
        <f t="shared" ca="1" si="10"/>
        <v/>
      </c>
      <c r="C33" s="71" t="str">
        <f t="shared" ca="1" si="4"/>
        <v/>
      </c>
      <c r="D33" s="102">
        <f t="shared" ca="1" si="11"/>
        <v>0</v>
      </c>
      <c r="E33" s="102">
        <f t="shared" ca="1" si="5"/>
        <v>0</v>
      </c>
      <c r="F33" s="102">
        <f t="shared" ca="1" si="6"/>
        <v>0</v>
      </c>
      <c r="G33" s="102">
        <f ca="1">IF($D$2="A",
(D33-H33)*IFERROR(VLOOKUP(C33,'1.a Assumptions'!$G$19:$I$34,2,FALSE),0),
(D33-H33)*100%*(C33=$D$5-1))</f>
        <v>0</v>
      </c>
      <c r="H33" s="102">
        <f>IF($D$2="A",
D33*IFERROR(VLOOKUP(C33,'1.a Assumptions'!$G$19:$I$34,3,FALSE),0),
0)</f>
        <v>0</v>
      </c>
      <c r="I33" s="102">
        <f t="shared" ca="1" si="7"/>
        <v>0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ht="15" customHeight="1" x14ac:dyDescent="0.3">
      <c r="A34" s="13"/>
      <c r="B34" s="57" t="str">
        <f t="shared" ca="1" si="10"/>
        <v/>
      </c>
      <c r="C34" s="71" t="str">
        <f t="shared" ca="1" si="4"/>
        <v/>
      </c>
      <c r="D34" s="102">
        <f t="shared" ca="1" si="11"/>
        <v>0</v>
      </c>
      <c r="E34" s="102">
        <f t="shared" ca="1" si="5"/>
        <v>0</v>
      </c>
      <c r="F34" s="102">
        <f t="shared" ca="1" si="6"/>
        <v>0</v>
      </c>
      <c r="G34" s="102">
        <f ca="1">IF($D$2="A",
(D34-H34)*IFERROR(VLOOKUP(C34,'1.a Assumptions'!$G$19:$I$34,2,FALSE),0),
(D34-H34)*100%*(C34=$D$5-1))</f>
        <v>0</v>
      </c>
      <c r="H34" s="102">
        <f>IF($D$2="A",
D34*IFERROR(VLOOKUP(C34,'1.a Assumptions'!$G$19:$I$34,3,FALSE),0),
0)</f>
        <v>0</v>
      </c>
      <c r="I34" s="102">
        <f t="shared" ca="1" si="7"/>
        <v>0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ht="15" customHeight="1" x14ac:dyDescent="0.3">
      <c r="A35" s="13"/>
      <c r="B35" s="57" t="str">
        <f t="shared" ca="1" si="10"/>
        <v/>
      </c>
      <c r="C35" s="71" t="str">
        <f t="shared" ca="1" si="4"/>
        <v/>
      </c>
      <c r="D35" s="102">
        <f t="shared" ca="1" si="11"/>
        <v>0</v>
      </c>
      <c r="E35" s="102">
        <f t="shared" ca="1" si="5"/>
        <v>0</v>
      </c>
      <c r="F35" s="102">
        <f t="shared" ca="1" si="6"/>
        <v>0</v>
      </c>
      <c r="G35" s="102">
        <f ca="1">IF($D$2="A",
(D35-H35)*IFERROR(VLOOKUP(C35,'1.a Assumptions'!$G$19:$I$34,2,FALSE),0),
(D35-H35)*100%*(C35=$D$5-1))</f>
        <v>0</v>
      </c>
      <c r="H35" s="102">
        <f>IF($D$2="A",
D35*IFERROR(VLOOKUP(C35,'1.a Assumptions'!$G$19:$I$34,3,FALSE),0),
0)</f>
        <v>0</v>
      </c>
      <c r="I35" s="102">
        <f t="shared" ca="1" si="7"/>
        <v>0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ht="15" customHeight="1" x14ac:dyDescent="0.3">
      <c r="A36" s="13"/>
      <c r="B36" s="57" t="str">
        <f t="shared" ca="1" si="10"/>
        <v/>
      </c>
      <c r="C36" s="71" t="str">
        <f t="shared" ca="1" si="4"/>
        <v/>
      </c>
      <c r="D36" s="102">
        <f t="shared" ca="1" si="11"/>
        <v>0</v>
      </c>
      <c r="E36" s="102">
        <f t="shared" ca="1" si="5"/>
        <v>0</v>
      </c>
      <c r="F36" s="102">
        <f t="shared" ca="1" si="6"/>
        <v>0</v>
      </c>
      <c r="G36" s="102">
        <f ca="1">IF($D$2="A",
(D36-H36)*IFERROR(VLOOKUP(C36,'1.a Assumptions'!$G$19:$I$34,2,FALSE),0),
(D36-H36)*100%*(C36=$D$5-1))</f>
        <v>0</v>
      </c>
      <c r="H36" s="102">
        <f>IF($D$2="A",
D36*IFERROR(VLOOKUP(C36,'1.a Assumptions'!$G$19:$I$34,3,FALSE),0),
0)</f>
        <v>0</v>
      </c>
      <c r="I36" s="102">
        <f t="shared" ca="1" si="7"/>
        <v>0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ht="15" customHeight="1" x14ac:dyDescent="0.3">
      <c r="A37" s="13"/>
      <c r="B37" s="57" t="str">
        <f t="shared" ca="1" si="10"/>
        <v/>
      </c>
      <c r="C37" s="71" t="str">
        <f t="shared" ca="1" si="4"/>
        <v/>
      </c>
      <c r="D37" s="102">
        <f t="shared" ca="1" si="11"/>
        <v>0</v>
      </c>
      <c r="E37" s="102">
        <f t="shared" ca="1" si="5"/>
        <v>0</v>
      </c>
      <c r="F37" s="102">
        <f t="shared" ca="1" si="6"/>
        <v>0</v>
      </c>
      <c r="G37" s="102">
        <f ca="1">IF($D$2="A",
(D37-H37)*IFERROR(VLOOKUP(C37,'1.a Assumptions'!$G$19:$I$34,2,FALSE),0),
(D37-H37)*100%*(C37=$D$5-1))</f>
        <v>0</v>
      </c>
      <c r="H37" s="102">
        <f>IF($D$2="A",
D37*IFERROR(VLOOKUP(C37,'1.a Assumptions'!$G$19:$I$34,3,FALSE),0),
0)</f>
        <v>0</v>
      </c>
      <c r="I37" s="102">
        <f t="shared" ca="1" si="7"/>
        <v>0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ht="15" customHeight="1" x14ac:dyDescent="0.3">
      <c r="A38" s="13"/>
      <c r="B38" s="57" t="str">
        <f t="shared" ca="1" si="10"/>
        <v/>
      </c>
      <c r="C38" s="71" t="str">
        <f t="shared" ca="1" si="4"/>
        <v/>
      </c>
      <c r="D38" s="102">
        <f t="shared" ca="1" si="11"/>
        <v>0</v>
      </c>
      <c r="E38" s="102">
        <f t="shared" ca="1" si="5"/>
        <v>0</v>
      </c>
      <c r="F38" s="102">
        <f t="shared" ca="1" si="6"/>
        <v>0</v>
      </c>
      <c r="G38" s="102">
        <f ca="1">IF($D$2="A",
(D38-H38)*IFERROR(VLOOKUP(C38,'1.a Assumptions'!$G$19:$I$34,2,FALSE),0),
(D38-H38)*100%*(C38=$D$5-1))</f>
        <v>0</v>
      </c>
      <c r="H38" s="102">
        <f>IF($D$2="A",
D38*IFERROR(VLOOKUP(C38,'1.a Assumptions'!$G$19:$I$34,3,FALSE),0),
0)</f>
        <v>0</v>
      </c>
      <c r="I38" s="102">
        <f t="shared" ca="1" si="7"/>
        <v>0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ht="15" customHeight="1" x14ac:dyDescent="0.3">
      <c r="A39" s="13"/>
      <c r="B39" s="57" t="str">
        <f t="shared" ca="1" si="10"/>
        <v/>
      </c>
      <c r="C39" s="71" t="str">
        <f t="shared" ca="1" si="4"/>
        <v/>
      </c>
      <c r="D39" s="102">
        <f t="shared" ca="1" si="11"/>
        <v>0</v>
      </c>
      <c r="E39" s="102">
        <f t="shared" ca="1" si="5"/>
        <v>0</v>
      </c>
      <c r="F39" s="102">
        <f t="shared" ca="1" si="6"/>
        <v>0</v>
      </c>
      <c r="G39" s="102">
        <f ca="1">IF($D$2="A",
(D39-H39)*IFERROR(VLOOKUP(C39,'1.a Assumptions'!$G$19:$I$34,2,FALSE),0),
(D39-H39)*100%*(C39=$D$5-1))</f>
        <v>0</v>
      </c>
      <c r="H39" s="102">
        <f>IF($D$2="A",
D39*IFERROR(VLOOKUP(C39,'1.a Assumptions'!$G$19:$I$34,3,FALSE),0),
0)</f>
        <v>0</v>
      </c>
      <c r="I39" s="102">
        <f t="shared" ca="1" si="7"/>
        <v>0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ht="15" customHeight="1" x14ac:dyDescent="0.3">
      <c r="A40" s="13"/>
      <c r="B40" s="57" t="str">
        <f t="shared" ca="1" si="10"/>
        <v/>
      </c>
      <c r="C40" s="71" t="str">
        <f t="shared" ca="1" si="4"/>
        <v/>
      </c>
      <c r="D40" s="102">
        <f t="shared" ca="1" si="11"/>
        <v>0</v>
      </c>
      <c r="E40" s="102">
        <f t="shared" ca="1" si="5"/>
        <v>0</v>
      </c>
      <c r="F40" s="102">
        <f t="shared" ca="1" si="6"/>
        <v>0</v>
      </c>
      <c r="G40" s="102">
        <f ca="1">IF($D$2="A",
(D40-H40)*IFERROR(VLOOKUP(C40,'1.a Assumptions'!$G$19:$I$34,2,FALSE),0),
(D40-H40)*100%*(C40=$D$5-1))</f>
        <v>0</v>
      </c>
      <c r="H40" s="102">
        <f>IF($D$2="A",
D40*IFERROR(VLOOKUP(C40,'1.a Assumptions'!$G$19:$I$34,3,FALSE),0),
0)</f>
        <v>0</v>
      </c>
      <c r="I40" s="102">
        <f t="shared" ca="1" si="7"/>
        <v>0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ht="15" customHeight="1" x14ac:dyDescent="0.3">
      <c r="A41" s="13"/>
      <c r="B41" s="57" t="str">
        <f t="shared" ca="1" si="10"/>
        <v/>
      </c>
      <c r="C41" s="71" t="str">
        <f t="shared" ca="1" si="4"/>
        <v/>
      </c>
      <c r="D41" s="102">
        <f t="shared" ca="1" si="11"/>
        <v>0</v>
      </c>
      <c r="E41" s="102">
        <f t="shared" ca="1" si="5"/>
        <v>0</v>
      </c>
      <c r="F41" s="102">
        <f t="shared" ca="1" si="6"/>
        <v>0</v>
      </c>
      <c r="G41" s="102">
        <f ca="1">IF($D$2="A",
(D41-H41)*IFERROR(VLOOKUP(C41,'1.a Assumptions'!$G$19:$I$34,2,FALSE),0),
(D41-H41)*100%*(C41=$D$5-1))</f>
        <v>0</v>
      </c>
      <c r="H41" s="102">
        <f>IF($D$2="A",
D41*IFERROR(VLOOKUP(C41,'1.a Assumptions'!$G$19:$I$34,3,FALSE),0),
0)</f>
        <v>0</v>
      </c>
      <c r="I41" s="102">
        <f t="shared" ca="1" si="7"/>
        <v>0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ht="15" customHeight="1" x14ac:dyDescent="0.3">
      <c r="A42" s="13"/>
      <c r="B42" s="57" t="str">
        <f t="shared" ca="1" si="10"/>
        <v/>
      </c>
      <c r="C42" s="71" t="str">
        <f t="shared" ca="1" si="4"/>
        <v/>
      </c>
      <c r="D42" s="102">
        <f t="shared" ca="1" si="11"/>
        <v>0</v>
      </c>
      <c r="E42" s="102">
        <f t="shared" ca="1" si="5"/>
        <v>0</v>
      </c>
      <c r="F42" s="102">
        <f t="shared" ca="1" si="6"/>
        <v>0</v>
      </c>
      <c r="G42" s="102">
        <f ca="1">IF($D$2="A",
(D42-H42)*IFERROR(VLOOKUP(C42,'1.a Assumptions'!$G$19:$I$34,2,FALSE),0),
(D42-H42)*100%*(C42=$D$5-1))</f>
        <v>0</v>
      </c>
      <c r="H42" s="102">
        <f>IF($D$2="A",
D42*IFERROR(VLOOKUP(C42,'1.a Assumptions'!$G$19:$I$34,3,FALSE),0),
0)</f>
        <v>0</v>
      </c>
      <c r="I42" s="102">
        <f t="shared" ca="1" si="7"/>
        <v>0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ht="15" customHeight="1" x14ac:dyDescent="0.3">
      <c r="A43" s="13"/>
      <c r="B43" s="57" t="str">
        <f t="shared" ca="1" si="10"/>
        <v/>
      </c>
      <c r="C43" s="71" t="str">
        <f t="shared" ca="1" si="4"/>
        <v/>
      </c>
      <c r="D43" s="102">
        <f t="shared" ca="1" si="11"/>
        <v>0</v>
      </c>
      <c r="E43" s="102">
        <f t="shared" ca="1" si="5"/>
        <v>0</v>
      </c>
      <c r="F43" s="102">
        <f t="shared" ca="1" si="6"/>
        <v>0</v>
      </c>
      <c r="G43" s="102">
        <f ca="1">IF($D$2="A",
(D43-H43)*IFERROR(VLOOKUP(C43,'1.a Assumptions'!$G$19:$I$34,2,FALSE),0),
(D43-H43)*100%*(C43=$D$5-1))</f>
        <v>0</v>
      </c>
      <c r="H43" s="102">
        <f>IF($D$2="A",
D43*IFERROR(VLOOKUP(C43,'1.a Assumptions'!$G$19:$I$34,3,FALSE),0),
0)</f>
        <v>0</v>
      </c>
      <c r="I43" s="102">
        <f t="shared" ca="1" si="7"/>
        <v>0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ht="15" customHeight="1" x14ac:dyDescent="0.3">
      <c r="A44" s="13"/>
      <c r="B44" s="57" t="str">
        <f t="shared" ca="1" si="10"/>
        <v/>
      </c>
      <c r="C44" s="71" t="str">
        <f t="shared" ca="1" si="4"/>
        <v/>
      </c>
      <c r="D44" s="102">
        <f t="shared" ca="1" si="11"/>
        <v>0</v>
      </c>
      <c r="E44" s="102">
        <f t="shared" ca="1" si="5"/>
        <v>0</v>
      </c>
      <c r="F44" s="102">
        <f t="shared" ca="1" si="6"/>
        <v>0</v>
      </c>
      <c r="G44" s="102">
        <f ca="1">IF($D$2="A",
(D44-H44)*IFERROR(VLOOKUP(C44,'1.a Assumptions'!$G$19:$I$34,2,FALSE),0),
(D44-H44)*100%*(C44=$D$5-1))</f>
        <v>0</v>
      </c>
      <c r="H44" s="102">
        <f>IF($D$2="A",
D44*IFERROR(VLOOKUP(C44,'1.a Assumptions'!$G$19:$I$34,3,FALSE),0),
0)</f>
        <v>0</v>
      </c>
      <c r="I44" s="102">
        <f t="shared" ca="1" si="7"/>
        <v>0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ht="15" customHeight="1" x14ac:dyDescent="0.3">
      <c r="A45" s="13"/>
      <c r="B45" s="57" t="str">
        <f t="shared" ca="1" si="10"/>
        <v/>
      </c>
      <c r="C45" s="71" t="str">
        <f t="shared" ca="1" si="4"/>
        <v/>
      </c>
      <c r="D45" s="102">
        <f t="shared" ca="1" si="11"/>
        <v>0</v>
      </c>
      <c r="E45" s="102">
        <f t="shared" ca="1" si="5"/>
        <v>0</v>
      </c>
      <c r="F45" s="102">
        <f t="shared" ca="1" si="6"/>
        <v>0</v>
      </c>
      <c r="G45" s="102">
        <f ca="1">IF($D$2="A",
(D45-H45)*IFERROR(VLOOKUP(C45,'1.a Assumptions'!$G$19:$I$34,2,FALSE),0),
(D45-H45)*100%*(C45=$D$5-1))</f>
        <v>0</v>
      </c>
      <c r="H45" s="102">
        <f>IF($D$2="A",
D45*IFERROR(VLOOKUP(C45,'1.a Assumptions'!$G$19:$I$34,3,FALSE),0),
0)</f>
        <v>0</v>
      </c>
      <c r="I45" s="102">
        <f t="shared" ca="1" si="7"/>
        <v>0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ht="15" customHeight="1" x14ac:dyDescent="0.3">
      <c r="A46" s="13"/>
      <c r="B46" s="57" t="str">
        <f t="shared" ca="1" si="10"/>
        <v/>
      </c>
      <c r="C46" s="71" t="str">
        <f t="shared" ca="1" si="4"/>
        <v/>
      </c>
      <c r="D46" s="102">
        <f t="shared" ca="1" si="11"/>
        <v>0</v>
      </c>
      <c r="E46" s="102">
        <f t="shared" ca="1" si="5"/>
        <v>0</v>
      </c>
      <c r="F46" s="102">
        <f t="shared" ca="1" si="6"/>
        <v>0</v>
      </c>
      <c r="G46" s="102">
        <f ca="1">IF($D$2="A",
(D46-H46)*IFERROR(VLOOKUP(C46,'1.a Assumptions'!$G$19:$I$34,2,FALSE),0),
(D46-H46)*100%*(C46=$D$5-1))</f>
        <v>0</v>
      </c>
      <c r="H46" s="102">
        <f>IF($D$2="A",
D46*IFERROR(VLOOKUP(C46,'1.a Assumptions'!$G$19:$I$34,3,FALSE),0),
0)</f>
        <v>0</v>
      </c>
      <c r="I46" s="102">
        <f t="shared" ca="1" si="7"/>
        <v>0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ht="15" customHeight="1" x14ac:dyDescent="0.3">
      <c r="A47" s="13"/>
      <c r="B47" s="57" t="str">
        <f t="shared" ca="1" si="10"/>
        <v/>
      </c>
      <c r="C47" s="71" t="str">
        <f t="shared" ca="1" si="4"/>
        <v/>
      </c>
      <c r="D47" s="102">
        <f t="shared" ca="1" si="11"/>
        <v>0</v>
      </c>
      <c r="E47" s="102">
        <f t="shared" ca="1" si="5"/>
        <v>0</v>
      </c>
      <c r="F47" s="102">
        <f t="shared" ca="1" si="6"/>
        <v>0</v>
      </c>
      <c r="G47" s="102">
        <f ca="1">IF($D$2="A",
(D47-H47)*IFERROR(VLOOKUP(C47,'1.a Assumptions'!$G$19:$I$34,2,FALSE),0),
(D47-H47)*100%*(C47=$D$5-1))</f>
        <v>0</v>
      </c>
      <c r="H47" s="102">
        <f>IF($D$2="A",
D47*IFERROR(VLOOKUP(C47,'1.a Assumptions'!$G$19:$I$34,3,FALSE),0),
0)</f>
        <v>0</v>
      </c>
      <c r="I47" s="102">
        <f t="shared" ca="1" si="7"/>
        <v>0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ht="15" customHeight="1" x14ac:dyDescent="0.3">
      <c r="A48" s="13"/>
      <c r="B48" s="57" t="str">
        <f t="shared" ca="1" si="10"/>
        <v/>
      </c>
      <c r="C48" s="71" t="str">
        <f t="shared" ca="1" si="4"/>
        <v/>
      </c>
      <c r="D48" s="102">
        <f t="shared" ca="1" si="11"/>
        <v>0</v>
      </c>
      <c r="E48" s="102">
        <f t="shared" ca="1" si="5"/>
        <v>0</v>
      </c>
      <c r="F48" s="102">
        <f t="shared" ca="1" si="6"/>
        <v>0</v>
      </c>
      <c r="G48" s="102">
        <f ca="1">IF($D$2="A",
(D48-H48)*IFERROR(VLOOKUP(C48,'1.a Assumptions'!$G$19:$I$34,2,FALSE),0),
(D48-H48)*100%*(C48=$D$5-1))</f>
        <v>0</v>
      </c>
      <c r="H48" s="102">
        <f>IF($D$2="A",
D48*IFERROR(VLOOKUP(C48,'1.a Assumptions'!$G$19:$I$34,3,FALSE),0),
0)</f>
        <v>0</v>
      </c>
      <c r="I48" s="102">
        <f t="shared" ca="1" si="7"/>
        <v>0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ht="15" customHeight="1" x14ac:dyDescent="0.3">
      <c r="A49" s="13"/>
      <c r="B49" s="57" t="str">
        <f t="shared" ca="1" si="10"/>
        <v/>
      </c>
      <c r="C49" s="71" t="str">
        <f t="shared" ca="1" si="4"/>
        <v/>
      </c>
      <c r="D49" s="102">
        <f t="shared" ca="1" si="11"/>
        <v>0</v>
      </c>
      <c r="E49" s="102">
        <f t="shared" ca="1" si="5"/>
        <v>0</v>
      </c>
      <c r="F49" s="102">
        <f t="shared" ca="1" si="6"/>
        <v>0</v>
      </c>
      <c r="G49" s="102">
        <f ca="1">IF($D$2="A",
(D49-H49)*IFERROR(VLOOKUP(C49,'1.a Assumptions'!$G$19:$I$34,2,FALSE),0),
(D49-H49)*100%*(C49=$D$5-1))</f>
        <v>0</v>
      </c>
      <c r="H49" s="102">
        <f>IF($D$2="A",
D49*IFERROR(VLOOKUP(C49,'1.a Assumptions'!$G$19:$I$34,3,FALSE),0),
0)</f>
        <v>0</v>
      </c>
      <c r="I49" s="102">
        <f t="shared" ca="1" si="7"/>
        <v>0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ht="15" customHeight="1" x14ac:dyDescent="0.3">
      <c r="A50" s="13"/>
      <c r="B50" s="57" t="str">
        <f t="shared" ca="1" si="10"/>
        <v/>
      </c>
      <c r="C50" s="71" t="str">
        <f t="shared" ca="1" si="4"/>
        <v/>
      </c>
      <c r="D50" s="102">
        <f t="shared" ca="1" si="11"/>
        <v>0</v>
      </c>
      <c r="E50" s="102">
        <f t="shared" ca="1" si="5"/>
        <v>0</v>
      </c>
      <c r="F50" s="102">
        <f t="shared" ca="1" si="6"/>
        <v>0</v>
      </c>
      <c r="G50" s="102">
        <f ca="1">IF($D$2="A",
(D50-H50)*IFERROR(VLOOKUP(C50,'1.a Assumptions'!$G$19:$I$34,2,FALSE),0),
(D50-H50)*100%*(C50=$D$5-1))</f>
        <v>0</v>
      </c>
      <c r="H50" s="102">
        <f>IF($D$2="A",
D50*IFERROR(VLOOKUP(C50,'1.a Assumptions'!$G$19:$I$34,3,FALSE),0),
0)</f>
        <v>0</v>
      </c>
      <c r="I50" s="102">
        <f t="shared" ca="1" si="7"/>
        <v>0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ht="15" customHeight="1" x14ac:dyDescent="0.3">
      <c r="A51" s="13"/>
      <c r="B51" s="57" t="str">
        <f t="shared" ca="1" si="10"/>
        <v/>
      </c>
      <c r="C51" s="71" t="str">
        <f t="shared" ca="1" si="4"/>
        <v/>
      </c>
      <c r="D51" s="102">
        <f t="shared" ca="1" si="11"/>
        <v>0</v>
      </c>
      <c r="E51" s="102">
        <f t="shared" ca="1" si="5"/>
        <v>0</v>
      </c>
      <c r="F51" s="102">
        <f t="shared" ca="1" si="6"/>
        <v>0</v>
      </c>
      <c r="G51" s="102">
        <f ca="1">IF($D$2="A",
(D51-H51)*IFERROR(VLOOKUP(C51,'1.a Assumptions'!$G$19:$I$34,2,FALSE),0),
(D51-H51)*100%*(C51=$D$5-1))</f>
        <v>0</v>
      </c>
      <c r="H51" s="102">
        <f>IF($D$2="A",
D51*IFERROR(VLOOKUP(C51,'1.a Assumptions'!$G$19:$I$34,3,FALSE),0),
0)</f>
        <v>0</v>
      </c>
      <c r="I51" s="102">
        <f t="shared" ca="1" si="7"/>
        <v>0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ht="15" customHeight="1" x14ac:dyDescent="0.3">
      <c r="A52" s="13"/>
      <c r="B52" s="57" t="str">
        <f t="shared" ca="1" si="10"/>
        <v/>
      </c>
      <c r="C52" s="71" t="str">
        <f t="shared" ca="1" si="4"/>
        <v/>
      </c>
      <c r="D52" s="102">
        <f t="shared" ca="1" si="11"/>
        <v>0</v>
      </c>
      <c r="E52" s="102">
        <f t="shared" ca="1" si="5"/>
        <v>0</v>
      </c>
      <c r="F52" s="102">
        <f t="shared" ca="1" si="6"/>
        <v>0</v>
      </c>
      <c r="G52" s="102">
        <f ca="1">IF($D$2="A",
(D52-H52)*IFERROR(VLOOKUP(C52,'1.a Assumptions'!$G$19:$I$34,2,FALSE),0),
(D52-H52)*100%*(C52=$D$5-1))</f>
        <v>0</v>
      </c>
      <c r="H52" s="102">
        <f>IF($D$2="A",
D52*IFERROR(VLOOKUP(C52,'1.a Assumptions'!$G$19:$I$34,3,FALSE),0),
0)</f>
        <v>0</v>
      </c>
      <c r="I52" s="102">
        <f t="shared" ca="1" si="7"/>
        <v>0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ht="15" customHeight="1" x14ac:dyDescent="0.3">
      <c r="A53" s="13"/>
      <c r="B53" s="57" t="str">
        <f t="shared" ca="1" si="10"/>
        <v/>
      </c>
      <c r="C53" s="71" t="str">
        <f t="shared" ca="1" si="4"/>
        <v/>
      </c>
      <c r="D53" s="102">
        <f t="shared" ca="1" si="11"/>
        <v>0</v>
      </c>
      <c r="E53" s="102">
        <f t="shared" ca="1" si="5"/>
        <v>0</v>
      </c>
      <c r="F53" s="102">
        <f t="shared" ca="1" si="6"/>
        <v>0</v>
      </c>
      <c r="G53" s="102">
        <f ca="1">IF($D$2="A",
(D53-H53)*IFERROR(VLOOKUP(C53,'1.a Assumptions'!$G$19:$I$34,2,FALSE),0),
(D53-H53)*100%*(C53=$D$5-1))</f>
        <v>0</v>
      </c>
      <c r="H53" s="102">
        <f>IF($D$2="A",
D53*IFERROR(VLOOKUP(C53,'1.a Assumptions'!$G$19:$I$34,3,FALSE),0),
0)</f>
        <v>0</v>
      </c>
      <c r="I53" s="102">
        <f t="shared" ca="1" si="7"/>
        <v>0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ht="15" customHeight="1" x14ac:dyDescent="0.3">
      <c r="A54" s="13"/>
      <c r="B54" s="57" t="str">
        <f t="shared" ca="1" si="10"/>
        <v/>
      </c>
      <c r="C54" s="71" t="str">
        <f t="shared" ca="1" si="4"/>
        <v/>
      </c>
      <c r="D54" s="102">
        <f t="shared" ca="1" si="11"/>
        <v>0</v>
      </c>
      <c r="E54" s="102">
        <f t="shared" ca="1" si="5"/>
        <v>0</v>
      </c>
      <c r="F54" s="102">
        <f t="shared" ca="1" si="6"/>
        <v>0</v>
      </c>
      <c r="G54" s="102">
        <f ca="1">IF($D$2="A",
(D54-H54)*IFERROR(VLOOKUP(C54,'1.a Assumptions'!$G$19:$I$34,2,FALSE),0),
(D54-H54)*100%*(C54=$D$5-1))</f>
        <v>0</v>
      </c>
      <c r="H54" s="102">
        <f>IF($D$2="A",
D54*IFERROR(VLOOKUP(C54,'1.a Assumptions'!$G$19:$I$34,3,FALSE),0),
0)</f>
        <v>0</v>
      </c>
      <c r="I54" s="102">
        <f t="shared" ca="1" si="7"/>
        <v>0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ht="15" customHeight="1" x14ac:dyDescent="0.3">
      <c r="A55" s="13"/>
      <c r="B55" s="57" t="str">
        <f t="shared" ca="1" si="10"/>
        <v/>
      </c>
      <c r="C55" s="71" t="str">
        <f t="shared" ca="1" si="4"/>
        <v/>
      </c>
      <c r="D55" s="102">
        <f t="shared" ca="1" si="11"/>
        <v>0</v>
      </c>
      <c r="E55" s="102">
        <f t="shared" ca="1" si="5"/>
        <v>0</v>
      </c>
      <c r="F55" s="102">
        <f t="shared" ca="1" si="6"/>
        <v>0</v>
      </c>
      <c r="G55" s="102">
        <f ca="1">IF($D$2="A",
(D55-H55)*IFERROR(VLOOKUP(C55,'1.a Assumptions'!$G$19:$I$34,2,FALSE),0),
(D55-H55)*100%*(C55=$D$5-1))</f>
        <v>0</v>
      </c>
      <c r="H55" s="102">
        <f>IF($D$2="A",
D55*IFERROR(VLOOKUP(C55,'1.a Assumptions'!$G$19:$I$34,3,FALSE),0),
0)</f>
        <v>0</v>
      </c>
      <c r="I55" s="102">
        <f t="shared" ca="1" si="7"/>
        <v>0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ht="15" customHeight="1" x14ac:dyDescent="0.3">
      <c r="A56" s="13"/>
      <c r="B56" s="57" t="str">
        <f t="shared" ca="1" si="10"/>
        <v/>
      </c>
      <c r="C56" s="71" t="str">
        <f t="shared" ca="1" si="4"/>
        <v/>
      </c>
      <c r="D56" s="102">
        <f t="shared" ca="1" si="11"/>
        <v>0</v>
      </c>
      <c r="E56" s="102">
        <f t="shared" ca="1" si="5"/>
        <v>0</v>
      </c>
      <c r="F56" s="102">
        <f t="shared" ca="1" si="6"/>
        <v>0</v>
      </c>
      <c r="G56" s="102">
        <f ca="1">IF($D$2="A",
(D56-H56)*IFERROR(VLOOKUP(C56,'1.a Assumptions'!$G$19:$I$34,2,FALSE),0),
(D56-H56)*100%*(C56=$D$5-1))</f>
        <v>0</v>
      </c>
      <c r="H56" s="102">
        <f>IF($D$2="A",
D56*IFERROR(VLOOKUP(C56,'1.a Assumptions'!$G$19:$I$34,3,FALSE),0),
0)</f>
        <v>0</v>
      </c>
      <c r="I56" s="102">
        <f t="shared" ca="1" si="7"/>
        <v>0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ht="15" customHeight="1" x14ac:dyDescent="0.3">
      <c r="A57" s="13"/>
      <c r="B57" s="57" t="str">
        <f t="shared" ca="1" si="10"/>
        <v/>
      </c>
      <c r="C57" s="71" t="str">
        <f t="shared" ca="1" si="4"/>
        <v/>
      </c>
      <c r="D57" s="102">
        <f t="shared" ca="1" si="11"/>
        <v>0</v>
      </c>
      <c r="E57" s="102">
        <f t="shared" ca="1" si="5"/>
        <v>0</v>
      </c>
      <c r="F57" s="102">
        <f t="shared" ca="1" si="6"/>
        <v>0</v>
      </c>
      <c r="G57" s="102">
        <f ca="1">IF($D$2="A",
(D57-H57)*IFERROR(VLOOKUP(C57,'1.a Assumptions'!$G$19:$I$34,2,FALSE),0),
(D57-H57)*100%*(C57=$D$5-1))</f>
        <v>0</v>
      </c>
      <c r="H57" s="102">
        <f>IF($D$2="A",
D57*IFERROR(VLOOKUP(C57,'1.a Assumptions'!$G$19:$I$34,3,FALSE),0),
0)</f>
        <v>0</v>
      </c>
      <c r="I57" s="102">
        <f t="shared" ca="1" si="7"/>
        <v>0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ht="15" customHeight="1" x14ac:dyDescent="0.3">
      <c r="A58" s="13"/>
      <c r="B58" s="57" t="str">
        <f t="shared" ca="1" si="10"/>
        <v/>
      </c>
      <c r="C58" s="71" t="str">
        <f t="shared" ca="1" si="4"/>
        <v/>
      </c>
      <c r="D58" s="102">
        <f t="shared" ca="1" si="11"/>
        <v>0</v>
      </c>
      <c r="E58" s="102">
        <f t="shared" ca="1" si="5"/>
        <v>0</v>
      </c>
      <c r="F58" s="102">
        <f t="shared" ca="1" si="6"/>
        <v>0</v>
      </c>
      <c r="G58" s="102">
        <f ca="1">IF($D$2="A",
(D58-H58)*IFERROR(VLOOKUP(C58,'1.a Assumptions'!$G$19:$I$34,2,FALSE),0),
(D58-H58)*100%*(C58=$D$5-1))</f>
        <v>0</v>
      </c>
      <c r="H58" s="102">
        <f>IF($D$2="A",
D58*IFERROR(VLOOKUP(C58,'1.a Assumptions'!$G$19:$I$34,3,FALSE),0),
0)</f>
        <v>0</v>
      </c>
      <c r="I58" s="102">
        <f t="shared" ca="1" si="7"/>
        <v>0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ht="15" customHeight="1" x14ac:dyDescent="0.3">
      <c r="A59" s="13"/>
      <c r="B59" s="57" t="str">
        <f t="shared" ca="1" si="10"/>
        <v/>
      </c>
      <c r="C59" s="71" t="str">
        <f t="shared" ca="1" si="4"/>
        <v/>
      </c>
      <c r="D59" s="102">
        <f t="shared" ca="1" si="11"/>
        <v>0</v>
      </c>
      <c r="E59" s="102">
        <f t="shared" ca="1" si="5"/>
        <v>0</v>
      </c>
      <c r="F59" s="102">
        <f t="shared" ca="1" si="6"/>
        <v>0</v>
      </c>
      <c r="G59" s="102">
        <f ca="1">IF($D$2="A",
(D59-H59)*IFERROR(VLOOKUP(C59,'1.a Assumptions'!$G$19:$I$34,2,FALSE),0),
(D59-H59)*100%*(C59=$D$5-1))</f>
        <v>0</v>
      </c>
      <c r="H59" s="102">
        <f>IF($D$2="A",
D59*IFERROR(VLOOKUP(C59,'1.a Assumptions'!$G$19:$I$34,3,FALSE),0),
0)</f>
        <v>0</v>
      </c>
      <c r="I59" s="102">
        <f t="shared" ca="1" si="7"/>
        <v>0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ht="15" customHeight="1" x14ac:dyDescent="0.3">
      <c r="A60" s="13"/>
      <c r="B60" s="57" t="str">
        <f t="shared" ca="1" si="10"/>
        <v/>
      </c>
      <c r="C60" s="71" t="str">
        <f t="shared" ca="1" si="4"/>
        <v/>
      </c>
      <c r="D60" s="102">
        <f t="shared" ca="1" si="11"/>
        <v>0</v>
      </c>
      <c r="E60" s="102">
        <f t="shared" ca="1" si="5"/>
        <v>0</v>
      </c>
      <c r="F60" s="102">
        <f t="shared" ca="1" si="6"/>
        <v>0</v>
      </c>
      <c r="G60" s="102">
        <f ca="1">IF($D$2="A",
(D60-H60)*IFERROR(VLOOKUP(C60,'1.a Assumptions'!$G$19:$I$34,2,FALSE),0),
(D60-H60)*100%*(C60=$D$5-1))</f>
        <v>0</v>
      </c>
      <c r="H60" s="102">
        <f>IF($D$2="A",
D60*IFERROR(VLOOKUP(C60,'1.a Assumptions'!$G$19:$I$34,3,FALSE),0),
0)</f>
        <v>0</v>
      </c>
      <c r="I60" s="102">
        <f t="shared" ca="1" si="7"/>
        <v>0</v>
      </c>
    </row>
    <row r="61" spans="1:26" ht="15" customHeight="1" x14ac:dyDescent="0.3">
      <c r="A61" s="13"/>
      <c r="B61" s="57" t="str">
        <f t="shared" ca="1" si="10"/>
        <v/>
      </c>
      <c r="C61" s="71" t="str">
        <f t="shared" ca="1" si="4"/>
        <v/>
      </c>
      <c r="D61" s="102">
        <f t="shared" ca="1" si="11"/>
        <v>0</v>
      </c>
      <c r="E61" s="102">
        <f t="shared" ca="1" si="5"/>
        <v>0</v>
      </c>
      <c r="F61" s="102">
        <f t="shared" ca="1" si="6"/>
        <v>0</v>
      </c>
      <c r="G61" s="102">
        <f ca="1">IF($D$2="A",
(D61-H61)*IFERROR(VLOOKUP(C61,'1.a Assumptions'!$G$19:$I$34,2,FALSE),0),
(D61-H61)*100%*(C61=$D$5-1))</f>
        <v>0</v>
      </c>
      <c r="H61" s="102">
        <f>IF($D$2="A",
D61*IFERROR(VLOOKUP(C61,'1.a Assumptions'!$G$19:$I$34,3,FALSE),0),
0)</f>
        <v>0</v>
      </c>
      <c r="I61" s="102">
        <f t="shared" ca="1" si="7"/>
        <v>0</v>
      </c>
    </row>
    <row r="62" spans="1:26" ht="15" customHeight="1" x14ac:dyDescent="0.3">
      <c r="A62" s="13"/>
      <c r="B62" s="57" t="str">
        <f t="shared" ca="1" si="10"/>
        <v/>
      </c>
      <c r="C62" s="71" t="str">
        <f t="shared" ca="1" si="4"/>
        <v/>
      </c>
      <c r="D62" s="102">
        <f t="shared" ca="1" si="11"/>
        <v>0</v>
      </c>
      <c r="E62" s="102">
        <f t="shared" ca="1" si="5"/>
        <v>0</v>
      </c>
      <c r="F62" s="102">
        <f t="shared" ca="1" si="6"/>
        <v>0</v>
      </c>
      <c r="G62" s="102">
        <f ca="1">IF($D$2="A",
(D62-H62)*IFERROR(VLOOKUP(C62,'1.a Assumptions'!$G$19:$I$34,2,FALSE),0),
(D62-H62)*100%*(C62=$D$5-1))</f>
        <v>0</v>
      </c>
      <c r="H62" s="102">
        <f>IF($D$2="A",
D62*IFERROR(VLOOKUP(C62,'1.a Assumptions'!$G$19:$I$34,3,FALSE),0),
0)</f>
        <v>0</v>
      </c>
      <c r="I62" s="102">
        <f t="shared" ca="1" si="7"/>
        <v>0</v>
      </c>
    </row>
    <row r="63" spans="1:26" ht="15" customHeight="1" x14ac:dyDescent="0.3">
      <c r="A63" s="13"/>
      <c r="B63" s="57" t="str">
        <f t="shared" ca="1" si="10"/>
        <v/>
      </c>
      <c r="C63" s="71" t="str">
        <f t="shared" ca="1" si="4"/>
        <v/>
      </c>
      <c r="D63" s="102">
        <f t="shared" ca="1" si="11"/>
        <v>0</v>
      </c>
      <c r="E63" s="102">
        <f t="shared" ca="1" si="5"/>
        <v>0</v>
      </c>
      <c r="F63" s="102">
        <f t="shared" ca="1" si="6"/>
        <v>0</v>
      </c>
      <c r="G63" s="102">
        <f ca="1">IF($D$2="A",
(D63-H63)*IFERROR(VLOOKUP(C63,'1.a Assumptions'!$G$19:$I$34,2,FALSE),0),
(D63-H63)*100%*(C63=$D$5-1))</f>
        <v>0</v>
      </c>
      <c r="H63" s="102">
        <f>IF($D$2="A",
D63*IFERROR(VLOOKUP(C63,'1.a Assumptions'!$G$19:$I$34,3,FALSE),0),
0)</f>
        <v>0</v>
      </c>
      <c r="I63" s="102">
        <f t="shared" ca="1" si="7"/>
        <v>0</v>
      </c>
    </row>
    <row r="64" spans="1:26" ht="15" customHeight="1" x14ac:dyDescent="0.3">
      <c r="A64" s="13"/>
      <c r="B64" s="57" t="str">
        <f t="shared" ca="1" si="10"/>
        <v/>
      </c>
      <c r="C64" s="71" t="str">
        <f t="shared" ca="1" si="4"/>
        <v/>
      </c>
      <c r="D64" s="102">
        <f t="shared" ca="1" si="11"/>
        <v>0</v>
      </c>
      <c r="E64" s="102">
        <f t="shared" ca="1" si="5"/>
        <v>0</v>
      </c>
      <c r="F64" s="102">
        <f t="shared" ca="1" si="6"/>
        <v>0</v>
      </c>
      <c r="G64" s="102">
        <f ca="1">IF($D$2="A",
(D64-H64)*IFERROR(VLOOKUP(C64,'1.a Assumptions'!$G$19:$I$34,2,FALSE),0),
(D64-H64)*100%*(C64=$D$5-1))</f>
        <v>0</v>
      </c>
      <c r="H64" s="102">
        <f>IF($D$2="A",
D64*IFERROR(VLOOKUP(C64,'1.a Assumptions'!$G$19:$I$34,3,FALSE),0),
0)</f>
        <v>0</v>
      </c>
      <c r="I64" s="102">
        <f t="shared" ca="1" si="7"/>
        <v>0</v>
      </c>
    </row>
    <row r="65" spans="1:9" ht="15" customHeight="1" x14ac:dyDescent="0.3">
      <c r="A65" s="13"/>
      <c r="B65" s="57" t="str">
        <f t="shared" ca="1" si="10"/>
        <v/>
      </c>
      <c r="C65" s="71" t="str">
        <f t="shared" ca="1" si="4"/>
        <v/>
      </c>
      <c r="D65" s="102">
        <f t="shared" ca="1" si="11"/>
        <v>0</v>
      </c>
      <c r="E65" s="102">
        <f t="shared" ca="1" si="5"/>
        <v>0</v>
      </c>
      <c r="F65" s="102">
        <f t="shared" ca="1" si="6"/>
        <v>0</v>
      </c>
      <c r="G65" s="102">
        <f ca="1">IF($D$2="A",
(D65-H65)*IFERROR(VLOOKUP(C65,'1.a Assumptions'!$G$19:$I$34,2,FALSE),0),
(D65-H65)*100%*(C65=$D$5-1))</f>
        <v>0</v>
      </c>
      <c r="H65" s="102">
        <f>IF($D$2="A",
D65*IFERROR(VLOOKUP(C65,'1.a Assumptions'!$G$19:$I$34,3,FALSE),0),
0)</f>
        <v>0</v>
      </c>
      <c r="I65" s="102">
        <f t="shared" ca="1" si="7"/>
        <v>0</v>
      </c>
    </row>
    <row r="66" spans="1:9" ht="15" customHeight="1" x14ac:dyDescent="0.3">
      <c r="A66" s="13"/>
      <c r="B66" s="57" t="str">
        <f t="shared" ca="1" si="10"/>
        <v/>
      </c>
      <c r="C66" s="71" t="str">
        <f t="shared" ca="1" si="4"/>
        <v/>
      </c>
      <c r="D66" s="102">
        <f t="shared" ca="1" si="11"/>
        <v>0</v>
      </c>
      <c r="E66" s="102">
        <f t="shared" ca="1" si="5"/>
        <v>0</v>
      </c>
      <c r="F66" s="102">
        <f t="shared" ca="1" si="6"/>
        <v>0</v>
      </c>
      <c r="G66" s="102">
        <f ca="1">IF($D$2="A",
(D66-H66)*IFERROR(VLOOKUP(C66,'1.a Assumptions'!$G$19:$I$34,2,FALSE),0),
(D66-H66)*100%*(C66=$D$5-1))</f>
        <v>0</v>
      </c>
      <c r="H66" s="102">
        <f>IF($D$2="A",
D66*IFERROR(VLOOKUP(C66,'1.a Assumptions'!$G$19:$I$34,3,FALSE),0),
0)</f>
        <v>0</v>
      </c>
      <c r="I66" s="102">
        <f t="shared" ca="1" si="7"/>
        <v>0</v>
      </c>
    </row>
    <row r="67" spans="1:9" ht="15" customHeight="1" x14ac:dyDescent="0.3">
      <c r="A67" s="13"/>
      <c r="B67" s="57" t="str">
        <f t="shared" ca="1" si="10"/>
        <v/>
      </c>
      <c r="C67" s="71" t="str">
        <f t="shared" ca="1" si="4"/>
        <v/>
      </c>
      <c r="D67" s="102">
        <f t="shared" ca="1" si="11"/>
        <v>0</v>
      </c>
      <c r="E67" s="102">
        <f t="shared" ca="1" si="5"/>
        <v>0</v>
      </c>
      <c r="F67" s="102">
        <f t="shared" ca="1" si="6"/>
        <v>0</v>
      </c>
      <c r="G67" s="102">
        <f ca="1">IF($D$2="A",
(D67-H67)*IFERROR(VLOOKUP(C67,'1.a Assumptions'!$G$19:$I$34,2,FALSE),0),
(D67-H67)*100%*(C67=$D$5-1))</f>
        <v>0</v>
      </c>
      <c r="H67" s="102">
        <f>IF($D$2="A",
D67*IFERROR(VLOOKUP(C67,'1.a Assumptions'!$G$19:$I$34,3,FALSE),0),
0)</f>
        <v>0</v>
      </c>
      <c r="I67" s="102">
        <f t="shared" ca="1" si="7"/>
        <v>0</v>
      </c>
    </row>
    <row r="68" spans="1:9" ht="15" customHeight="1" x14ac:dyDescent="0.3">
      <c r="A68" s="13"/>
      <c r="B68" s="57" t="str">
        <f t="shared" ca="1" si="10"/>
        <v/>
      </c>
      <c r="C68" s="71" t="str">
        <f t="shared" ca="1" si="4"/>
        <v/>
      </c>
      <c r="D68" s="102">
        <f t="shared" ca="1" si="11"/>
        <v>0</v>
      </c>
      <c r="E68" s="102">
        <f t="shared" ca="1" si="5"/>
        <v>0</v>
      </c>
      <c r="F68" s="102">
        <f t="shared" ca="1" si="6"/>
        <v>0</v>
      </c>
      <c r="G68" s="102">
        <f ca="1">IF($D$2="A",
(D68-H68)*IFERROR(VLOOKUP(C68,'1.a Assumptions'!$G$19:$I$34,2,FALSE),0),
(D68-H68)*100%*(C68=$D$5-1))</f>
        <v>0</v>
      </c>
      <c r="H68" s="102">
        <f>IF($D$2="A",
D68*IFERROR(VLOOKUP(C68,'1.a Assumptions'!$G$19:$I$34,3,FALSE),0),
0)</f>
        <v>0</v>
      </c>
      <c r="I68" s="102">
        <f t="shared" ca="1" si="7"/>
        <v>0</v>
      </c>
    </row>
    <row r="69" spans="1:9" ht="15" customHeight="1" x14ac:dyDescent="0.3">
      <c r="A69" s="13"/>
      <c r="B69" s="57" t="str">
        <f t="shared" ca="1" si="10"/>
        <v/>
      </c>
      <c r="C69" s="71" t="str">
        <f t="shared" ca="1" si="4"/>
        <v/>
      </c>
      <c r="D69" s="102">
        <f t="shared" ca="1" si="11"/>
        <v>0</v>
      </c>
      <c r="E69" s="102">
        <f t="shared" ca="1" si="5"/>
        <v>0</v>
      </c>
      <c r="F69" s="102">
        <f t="shared" ca="1" si="6"/>
        <v>0</v>
      </c>
      <c r="G69" s="102">
        <f ca="1">IF($D$2="A",
(D69-H69)*IFERROR(VLOOKUP(C69,'1.a Assumptions'!$G$19:$I$34,2,FALSE),0),
(D69-H69)*100%*(C69=$D$5-1))</f>
        <v>0</v>
      </c>
      <c r="H69" s="102">
        <f>IF($D$2="A",
D69*IFERROR(VLOOKUP(C69,'1.a Assumptions'!$G$19:$I$34,3,FALSE),0),
0)</f>
        <v>0</v>
      </c>
      <c r="I69" s="102">
        <f t="shared" ca="1" si="7"/>
        <v>0</v>
      </c>
    </row>
    <row r="70" spans="1:9" ht="15" customHeight="1" x14ac:dyDescent="0.3">
      <c r="A70" s="13"/>
      <c r="B70" s="57" t="str">
        <f t="shared" ca="1" si="10"/>
        <v/>
      </c>
      <c r="C70" s="71" t="str">
        <f t="shared" ca="1" si="4"/>
        <v/>
      </c>
      <c r="D70" s="102">
        <f t="shared" ca="1" si="11"/>
        <v>0</v>
      </c>
      <c r="E70" s="102">
        <f t="shared" ca="1" si="5"/>
        <v>0</v>
      </c>
      <c r="F70" s="102">
        <f t="shared" ca="1" si="6"/>
        <v>0</v>
      </c>
      <c r="G70" s="102">
        <f ca="1">IF($D$2="A",
(D70-H70)*IFERROR(VLOOKUP(C70,'1.a Assumptions'!$G$19:$I$34,2,FALSE),0),
(D70-H70)*100%*(C70=$D$5-1))</f>
        <v>0</v>
      </c>
      <c r="H70" s="102">
        <f>IF($D$2="A",
D70*IFERROR(VLOOKUP(C70,'1.a Assumptions'!$G$19:$I$34,3,FALSE),0),
0)</f>
        <v>0</v>
      </c>
      <c r="I70" s="102">
        <f t="shared" ca="1" si="7"/>
        <v>0</v>
      </c>
    </row>
    <row r="71" spans="1:9" ht="15" customHeight="1" x14ac:dyDescent="0.3">
      <c r="A71" s="13"/>
      <c r="B71" s="57" t="str">
        <f t="shared" ca="1" si="10"/>
        <v/>
      </c>
      <c r="C71" s="71" t="str">
        <f t="shared" ca="1" si="4"/>
        <v/>
      </c>
      <c r="D71" s="102">
        <f t="shared" ca="1" si="11"/>
        <v>0</v>
      </c>
      <c r="E71" s="102">
        <f t="shared" ca="1" si="5"/>
        <v>0</v>
      </c>
      <c r="F71" s="102">
        <f t="shared" ca="1" si="6"/>
        <v>0</v>
      </c>
      <c r="G71" s="102">
        <f ca="1">IF($D$2="A",
(D71-H71)*IFERROR(VLOOKUP(C71,'1.a Assumptions'!$G$19:$I$34,2,FALSE),0),
(D71-H71)*100%*(C71=$D$5-1))</f>
        <v>0</v>
      </c>
      <c r="H71" s="102">
        <f>IF($D$2="A",
D71*IFERROR(VLOOKUP(C71,'1.a Assumptions'!$G$19:$I$34,3,FALSE),0),
0)</f>
        <v>0</v>
      </c>
      <c r="I71" s="102">
        <f t="shared" ca="1" si="7"/>
        <v>0</v>
      </c>
    </row>
    <row r="72" spans="1:9" ht="15" customHeight="1" x14ac:dyDescent="0.3">
      <c r="A72" s="13"/>
      <c r="B72" s="57" t="str">
        <f t="shared" ca="1" si="10"/>
        <v/>
      </c>
      <c r="C72" s="71" t="str">
        <f t="shared" ca="1" si="4"/>
        <v/>
      </c>
      <c r="D72" s="102">
        <f t="shared" ca="1" si="11"/>
        <v>0</v>
      </c>
      <c r="E72" s="102">
        <f t="shared" ca="1" si="5"/>
        <v>0</v>
      </c>
      <c r="F72" s="102">
        <f t="shared" ca="1" si="6"/>
        <v>0</v>
      </c>
      <c r="G72" s="102">
        <f ca="1">IF($D$2="A",
(D72-H72)*IFERROR(VLOOKUP(C72,'1.a Assumptions'!$G$19:$I$34,2,FALSE),0),
(D72-H72)*100%*(C72=$D$5-1))</f>
        <v>0</v>
      </c>
      <c r="H72" s="102">
        <f>IF($D$2="A",
D72*IFERROR(VLOOKUP(C72,'1.a Assumptions'!$G$19:$I$34,3,FALSE),0),
0)</f>
        <v>0</v>
      </c>
      <c r="I72" s="102">
        <f t="shared" ca="1" si="7"/>
        <v>0</v>
      </c>
    </row>
    <row r="73" spans="1:9" ht="15" customHeight="1" x14ac:dyDescent="0.3">
      <c r="A73" s="13"/>
      <c r="B73" s="57" t="str">
        <f t="shared" ca="1" si="10"/>
        <v/>
      </c>
      <c r="C73" s="71" t="str">
        <f t="shared" ca="1" si="4"/>
        <v/>
      </c>
      <c r="D73" s="102">
        <f t="shared" ca="1" si="11"/>
        <v>0</v>
      </c>
      <c r="E73" s="102">
        <f t="shared" ca="1" si="5"/>
        <v>0</v>
      </c>
      <c r="F73" s="102">
        <f t="shared" ca="1" si="6"/>
        <v>0</v>
      </c>
      <c r="G73" s="102">
        <f ca="1">IF($D$2="A",
(D73-H73)*IFERROR(VLOOKUP(C73,'1.a Assumptions'!$G$19:$I$34,2,FALSE),0),
(D73-H73)*100%*(C73=$D$5-1))</f>
        <v>0</v>
      </c>
      <c r="H73" s="102">
        <f>IF($D$2="A",
D73*IFERROR(VLOOKUP(C73,'1.a Assumptions'!$G$19:$I$34,3,FALSE),0),
0)</f>
        <v>0</v>
      </c>
      <c r="I73" s="102">
        <f t="shared" ca="1" si="7"/>
        <v>0</v>
      </c>
    </row>
    <row r="74" spans="1:9" ht="15" customHeight="1" x14ac:dyDescent="0.3">
      <c r="A74" s="13"/>
      <c r="B74" s="57" t="str">
        <f t="shared" ca="1" si="10"/>
        <v/>
      </c>
      <c r="C74" s="71" t="str">
        <f t="shared" ca="1" si="4"/>
        <v/>
      </c>
      <c r="D74" s="102">
        <f t="shared" ca="1" si="11"/>
        <v>0</v>
      </c>
      <c r="E74" s="102">
        <f t="shared" ca="1" si="5"/>
        <v>0</v>
      </c>
      <c r="F74" s="102">
        <f t="shared" ca="1" si="6"/>
        <v>0</v>
      </c>
      <c r="G74" s="102">
        <f ca="1">IF($D$2="A",
(D74-H74)*IFERROR(VLOOKUP(C74,'1.a Assumptions'!$G$19:$I$34,2,FALSE),0),
(D74-H74)*100%*(C74=$D$5-1))</f>
        <v>0</v>
      </c>
      <c r="H74" s="102">
        <f>IF($D$2="A",
D74*IFERROR(VLOOKUP(C74,'1.a Assumptions'!$G$19:$I$34,3,FALSE),0),
0)</f>
        <v>0</v>
      </c>
      <c r="I74" s="102">
        <f t="shared" ca="1" si="7"/>
        <v>0</v>
      </c>
    </row>
    <row r="75" spans="1:9" ht="15" customHeight="1" x14ac:dyDescent="0.3">
      <c r="A75" s="13"/>
      <c r="B75" s="57" t="str">
        <f t="shared" ca="1" si="10"/>
        <v/>
      </c>
      <c r="C75" s="71" t="str">
        <f t="shared" ca="1" si="4"/>
        <v/>
      </c>
      <c r="D75" s="102">
        <f t="shared" ca="1" si="11"/>
        <v>0</v>
      </c>
      <c r="E75" s="102">
        <f t="shared" ca="1" si="5"/>
        <v>0</v>
      </c>
      <c r="F75" s="102">
        <f t="shared" ca="1" si="6"/>
        <v>0</v>
      </c>
      <c r="G75" s="102">
        <f ca="1">IF($D$2="A",
(D75-H75)*IFERROR(VLOOKUP(C75,'1.a Assumptions'!$G$19:$I$34,2,FALSE),0),
(D75-H75)*100%*(C75=$D$5-1))</f>
        <v>0</v>
      </c>
      <c r="H75" s="102">
        <f>IF($D$2="A",
D75*IFERROR(VLOOKUP(C75,'1.a Assumptions'!$G$19:$I$34,3,FALSE),0),
0)</f>
        <v>0</v>
      </c>
      <c r="I75" s="102">
        <f t="shared" ca="1" si="7"/>
        <v>0</v>
      </c>
    </row>
    <row r="76" spans="1:9" ht="15" customHeight="1" x14ac:dyDescent="0.3">
      <c r="A76" s="13"/>
      <c r="B76" s="57" t="str">
        <f t="shared" ca="1" si="10"/>
        <v/>
      </c>
      <c r="C76" s="71" t="str">
        <f t="shared" ref="C76:C81" ca="1" si="12">IF(C75="","",IF($D$2="A",C75+1,IF(C75+1&gt;$D$5,"",C75+1)))</f>
        <v/>
      </c>
      <c r="D76" s="102">
        <f t="shared" ca="1" si="11"/>
        <v>0</v>
      </c>
      <c r="E76" s="102">
        <f t="shared" ref="E76:E81" ca="1" si="13">IF($D$2="A",(D76-H76)*INDIRECT("withdraw_rate_"&amp;$D$2)*(C76&lt;$D$5),(D76-H76)*INDIRECT("withdraw_rate_"&amp;$D$2)*(C76&lt;&gt;$D$5-1))</f>
        <v>0</v>
      </c>
      <c r="F76" s="102">
        <f t="shared" ref="F76:F81" ca="1" si="14">IFERROR(I75*IF(B76+1=10,$F$3,0),0)</f>
        <v>0</v>
      </c>
      <c r="G76" s="102">
        <f ca="1">IF($D$2="A",
(D76-H76)*IFERROR(VLOOKUP(C76,'1.a Assumptions'!$G$19:$I$34,2,FALSE),0),
(D76-H76)*100%*(C76=$D$5-1))</f>
        <v>0</v>
      </c>
      <c r="H76" s="102">
        <f>IF($D$2="A",
D76*IFERROR(VLOOKUP(C76,'1.a Assumptions'!$G$19:$I$34,3,FALSE),0),
0)</f>
        <v>0</v>
      </c>
      <c r="I76" s="102">
        <f t="shared" ref="I76:I81" ca="1" si="15">D76-E76-G76-H76</f>
        <v>0</v>
      </c>
    </row>
    <row r="77" spans="1:9" ht="15" customHeight="1" x14ac:dyDescent="0.3">
      <c r="A77" s="13"/>
      <c r="B77" s="57" t="str">
        <f t="shared" ref="B77:B81" ca="1" si="16">IF($C77="","",B76+1)</f>
        <v/>
      </c>
      <c r="C77" s="71" t="str">
        <f t="shared" ca="1" si="12"/>
        <v/>
      </c>
      <c r="D77" s="102">
        <f t="shared" ref="D77:D81" ca="1" si="17">IFERROR(I76*IF(B77+1=10,1-$F$3,1),0)</f>
        <v>0</v>
      </c>
      <c r="E77" s="102">
        <f t="shared" ca="1" si="13"/>
        <v>0</v>
      </c>
      <c r="F77" s="102">
        <f t="shared" ca="1" si="14"/>
        <v>0</v>
      </c>
      <c r="G77" s="102">
        <f ca="1">IF($D$2="A",
(D77-H77)*IFERROR(VLOOKUP(C77,'1.a Assumptions'!$G$19:$I$34,2,FALSE),0),
(D77-H77)*100%*(C77=$D$5-1))</f>
        <v>0</v>
      </c>
      <c r="H77" s="102">
        <f>IF($D$2="A",
D77*IFERROR(VLOOKUP(C77,'1.a Assumptions'!$G$19:$I$34,3,FALSE),0),
0)</f>
        <v>0</v>
      </c>
      <c r="I77" s="102">
        <f t="shared" ca="1" si="15"/>
        <v>0</v>
      </c>
    </row>
    <row r="78" spans="1:9" ht="15" customHeight="1" x14ac:dyDescent="0.3">
      <c r="A78" s="13"/>
      <c r="B78" s="57" t="str">
        <f t="shared" ca="1" si="16"/>
        <v/>
      </c>
      <c r="C78" s="71" t="str">
        <f t="shared" ca="1" si="12"/>
        <v/>
      </c>
      <c r="D78" s="102">
        <f t="shared" ca="1" si="17"/>
        <v>0</v>
      </c>
      <c r="E78" s="102">
        <f t="shared" ca="1" si="13"/>
        <v>0</v>
      </c>
      <c r="F78" s="102">
        <f t="shared" ca="1" si="14"/>
        <v>0</v>
      </c>
      <c r="G78" s="102">
        <f ca="1">IF($D$2="A",
(D78-H78)*IFERROR(VLOOKUP(C78,'1.a Assumptions'!$G$19:$I$34,2,FALSE),0),
(D78-H78)*100%*(C78=$D$5-1))</f>
        <v>0</v>
      </c>
      <c r="H78" s="102">
        <f>IF($D$2="A",
D78*IFERROR(VLOOKUP(C78,'1.a Assumptions'!$G$19:$I$34,3,FALSE),0),
0)</f>
        <v>0</v>
      </c>
      <c r="I78" s="102">
        <f t="shared" ca="1" si="15"/>
        <v>0</v>
      </c>
    </row>
    <row r="79" spans="1:9" ht="15" customHeight="1" x14ac:dyDescent="0.3">
      <c r="A79" s="13"/>
      <c r="B79" s="57" t="str">
        <f t="shared" ca="1" si="16"/>
        <v/>
      </c>
      <c r="C79" s="71" t="str">
        <f t="shared" ca="1" si="12"/>
        <v/>
      </c>
      <c r="D79" s="102">
        <f t="shared" ca="1" si="17"/>
        <v>0</v>
      </c>
      <c r="E79" s="102">
        <f t="shared" ca="1" si="13"/>
        <v>0</v>
      </c>
      <c r="F79" s="102">
        <f t="shared" ca="1" si="14"/>
        <v>0</v>
      </c>
      <c r="G79" s="102">
        <f ca="1">IF($D$2="A",
(D79-H79)*IFERROR(VLOOKUP(C79,'1.a Assumptions'!$G$19:$I$34,2,FALSE),0),
(D79-H79)*100%*(C79=$D$5-1))</f>
        <v>0</v>
      </c>
      <c r="H79" s="102">
        <f>IF($D$2="A",
D79*IFERROR(VLOOKUP(C79,'1.a Assumptions'!$G$19:$I$34,3,FALSE),0),
0)</f>
        <v>0</v>
      </c>
      <c r="I79" s="102">
        <f t="shared" ca="1" si="15"/>
        <v>0</v>
      </c>
    </row>
    <row r="80" spans="1:9" ht="15" customHeight="1" x14ac:dyDescent="0.3">
      <c r="A80" s="13"/>
      <c r="B80" s="57" t="str">
        <f t="shared" ca="1" si="16"/>
        <v/>
      </c>
      <c r="C80" s="71" t="str">
        <f t="shared" ca="1" si="12"/>
        <v/>
      </c>
      <c r="D80" s="102">
        <f t="shared" ca="1" si="17"/>
        <v>0</v>
      </c>
      <c r="E80" s="102">
        <f t="shared" ca="1" si="13"/>
        <v>0</v>
      </c>
      <c r="F80" s="102">
        <f t="shared" ca="1" si="14"/>
        <v>0</v>
      </c>
      <c r="G80" s="102">
        <f ca="1">IF($D$2="A",
(D80-H80)*IFERROR(VLOOKUP(C80,'1.a Assumptions'!$G$19:$I$34,2,FALSE),0),
(D80-H80)*100%*(C80=$D$5-1))</f>
        <v>0</v>
      </c>
      <c r="H80" s="102">
        <f>IF($D$2="A",
D80*IFERROR(VLOOKUP(C80,'1.a Assumptions'!$G$19:$I$34,3,FALSE),0),
0)</f>
        <v>0</v>
      </c>
      <c r="I80" s="102">
        <f t="shared" ca="1" si="15"/>
        <v>0</v>
      </c>
    </row>
    <row r="81" spans="1:9" ht="15" customHeight="1" x14ac:dyDescent="0.3">
      <c r="A81" s="13"/>
      <c r="B81" s="57" t="str">
        <f t="shared" ca="1" si="16"/>
        <v/>
      </c>
      <c r="C81" s="71" t="str">
        <f t="shared" ca="1" si="12"/>
        <v/>
      </c>
      <c r="D81" s="102">
        <f t="shared" ca="1" si="17"/>
        <v>0</v>
      </c>
      <c r="E81" s="102">
        <f t="shared" ca="1" si="13"/>
        <v>0</v>
      </c>
      <c r="F81" s="102">
        <f t="shared" ca="1" si="14"/>
        <v>0</v>
      </c>
      <c r="G81" s="102">
        <f ca="1">IF($D$2="A",
(D81-H81)*IFERROR(VLOOKUP(C81,'1.a Assumptions'!$G$19:$I$34,2,FALSE),0),
(D81-H81)*100%*(C81=$D$5-1))</f>
        <v>0</v>
      </c>
      <c r="H81" s="102">
        <f>IF($D$2="A",
D81*IFERROR(VLOOKUP(C81,'1.a Assumptions'!$G$19:$I$34,3,FALSE),0),
0)</f>
        <v>0</v>
      </c>
      <c r="I81" s="102">
        <f t="shared" ca="1" si="15"/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6" tint="0.59999389629810485"/>
  </sheetPr>
  <dimension ref="A1:AB85"/>
  <sheetViews>
    <sheetView zoomScale="85" zoomScaleNormal="85" workbookViewId="0"/>
  </sheetViews>
  <sheetFormatPr defaultRowHeight="13.5" x14ac:dyDescent="0.25"/>
  <cols>
    <col min="1" max="1" width="3" style="13" customWidth="1"/>
    <col min="2" max="2" width="14.85546875" style="13" customWidth="1"/>
    <col min="3" max="3" width="17.85546875" style="13" bestFit="1" customWidth="1"/>
    <col min="4" max="4" width="11.140625" style="13" customWidth="1"/>
    <col min="5" max="5" width="16.28515625" style="13" customWidth="1"/>
    <col min="6" max="6" width="17.7109375" style="13" bestFit="1" customWidth="1"/>
    <col min="7" max="7" width="12.140625" style="13" customWidth="1"/>
    <col min="8" max="8" width="16.85546875" style="13" customWidth="1"/>
    <col min="9" max="9" width="15.7109375" style="13" customWidth="1"/>
    <col min="10" max="10" width="16.7109375" style="13" customWidth="1"/>
    <col min="11" max="21" width="15.7109375" style="13" customWidth="1"/>
    <col min="22" max="22" width="2.28515625" style="13" customWidth="1"/>
    <col min="23" max="23" width="13.5703125" style="13" customWidth="1"/>
    <col min="24" max="24" width="14.28515625" style="13" customWidth="1"/>
    <col min="25" max="25" width="2" style="13" customWidth="1"/>
    <col min="26" max="26" width="14.7109375" style="13" customWidth="1"/>
    <col min="27" max="27" width="14.140625" style="13" customWidth="1"/>
    <col min="28" max="28" width="13.42578125" style="13" customWidth="1"/>
    <col min="29" max="29" width="11.5703125" style="13" bestFit="1" customWidth="1"/>
    <col min="30" max="16384" width="9.140625" style="13"/>
  </cols>
  <sheetData>
    <row r="1" spans="1:28" ht="15" customHeight="1" thickBot="1" x14ac:dyDescent="0.3">
      <c r="A1" s="103" t="s">
        <v>33</v>
      </c>
    </row>
    <row r="2" spans="1:28" ht="15" customHeight="1" thickBot="1" x14ac:dyDescent="0.3">
      <c r="B2" s="15" t="s">
        <v>12</v>
      </c>
      <c r="C2" s="16" t="s">
        <v>19</v>
      </c>
      <c r="D2" s="114" t="str">
        <f>RIGHT($B$3,1)</f>
        <v>B</v>
      </c>
      <c r="H2" s="18" t="s">
        <v>485</v>
      </c>
      <c r="I2" s="19"/>
      <c r="J2" s="19"/>
      <c r="K2" s="19"/>
      <c r="L2" s="19"/>
      <c r="M2" s="19"/>
      <c r="N2" s="19"/>
      <c r="O2" s="19"/>
      <c r="P2" s="19"/>
      <c r="Q2" s="19"/>
    </row>
    <row r="3" spans="1:28" ht="15" customHeight="1" thickBot="1" x14ac:dyDescent="0.3">
      <c r="B3" s="20" t="str">
        <f>'1.a Assumptions'!C3</f>
        <v>45B</v>
      </c>
      <c r="C3" s="16" t="s">
        <v>49</v>
      </c>
      <c r="D3" s="114">
        <f>VLOOKUP($B$3,'opening demographics'!$A$1:$E$11,3,FALSE)</f>
        <v>240</v>
      </c>
      <c r="F3" s="21" t="s">
        <v>46</v>
      </c>
      <c r="G3" s="83" t="str">
        <f>B3</f>
        <v>45B</v>
      </c>
      <c r="H3" s="23" t="s">
        <v>13</v>
      </c>
      <c r="I3" s="24" t="s">
        <v>36</v>
      </c>
      <c r="J3" s="24" t="s">
        <v>38</v>
      </c>
      <c r="K3" s="24" t="s">
        <v>40</v>
      </c>
      <c r="L3" s="25" t="s">
        <v>42</v>
      </c>
      <c r="M3" s="26" t="s">
        <v>34</v>
      </c>
      <c r="N3" s="24" t="s">
        <v>35</v>
      </c>
      <c r="O3" s="24" t="s">
        <v>37</v>
      </c>
      <c r="P3" s="24" t="s">
        <v>39</v>
      </c>
      <c r="Q3" s="27" t="s">
        <v>41</v>
      </c>
    </row>
    <row r="4" spans="1:28" ht="15" customHeight="1" x14ac:dyDescent="0.25">
      <c r="C4" s="16" t="s">
        <v>20</v>
      </c>
      <c r="D4" s="114">
        <f>VALUE(LEFT($B$3,2))</f>
        <v>45</v>
      </c>
      <c r="F4" s="28" t="s">
        <v>47</v>
      </c>
      <c r="G4" s="84">
        <f>D3</f>
        <v>240</v>
      </c>
      <c r="H4" s="30">
        <f t="dataTable" ref="H4:Q8" dt2D="0" dtr="1" r1="B3" ca="1"/>
        <v>20</v>
      </c>
      <c r="I4" s="31">
        <v>15</v>
      </c>
      <c r="J4" s="31">
        <v>30</v>
      </c>
      <c r="K4" s="31">
        <v>25</v>
      </c>
      <c r="L4" s="32">
        <v>10</v>
      </c>
      <c r="M4" s="33">
        <v>210</v>
      </c>
      <c r="N4" s="31">
        <v>220</v>
      </c>
      <c r="O4" s="31">
        <v>240</v>
      </c>
      <c r="P4" s="31">
        <v>180</v>
      </c>
      <c r="Q4" s="34">
        <v>50</v>
      </c>
    </row>
    <row r="5" spans="1:28" ht="15" customHeight="1" x14ac:dyDescent="0.25">
      <c r="C5" s="16" t="s">
        <v>21</v>
      </c>
      <c r="D5" s="114">
        <f ca="1">INDIRECT("NRA_"&amp;$D$2)</f>
        <v>60</v>
      </c>
      <c r="F5" s="28" t="s">
        <v>79</v>
      </c>
      <c r="G5" s="85">
        <f ca="1">K15</f>
        <v>3412.156440499406</v>
      </c>
      <c r="H5" s="30">
        <v>9999.1803748249495</v>
      </c>
      <c r="I5" s="31">
        <v>14998.770562237423</v>
      </c>
      <c r="J5" s="31">
        <v>17498.565655943661</v>
      </c>
      <c r="K5" s="31">
        <v>18498.483693426158</v>
      </c>
      <c r="L5" s="32">
        <v>24997.950937062371</v>
      </c>
      <c r="M5" s="33">
        <v>2801.5600248310916</v>
      </c>
      <c r="N5" s="31">
        <v>3124.8169507731404</v>
      </c>
      <c r="O5" s="31">
        <v>3412.156440499406</v>
      </c>
      <c r="P5" s="31">
        <v>3699.4959302256716</v>
      </c>
      <c r="Q5" s="34">
        <v>3699.4959302256716</v>
      </c>
    </row>
    <row r="6" spans="1:28" ht="15" customHeight="1" x14ac:dyDescent="0.25">
      <c r="C6" s="16" t="s">
        <v>22</v>
      </c>
      <c r="D6" s="115">
        <f ca="1">INDIRECT("accrual_rate_"&amp;$D$2)</f>
        <v>0.05</v>
      </c>
      <c r="F6" s="28" t="s">
        <v>486</v>
      </c>
      <c r="G6" s="85">
        <f ca="1">E16</f>
        <v>96069.488001030244</v>
      </c>
      <c r="H6" s="30">
        <v>103648.4317092171</v>
      </c>
      <c r="I6" s="31">
        <v>155472.64756382565</v>
      </c>
      <c r="J6" s="31">
        <v>181384.75549112991</v>
      </c>
      <c r="K6" s="31">
        <v>191749.59866205163</v>
      </c>
      <c r="L6" s="32">
        <v>259121.07927304273</v>
      </c>
      <c r="M6" s="33">
        <v>78878.105937687986</v>
      </c>
      <c r="N6" s="31">
        <v>87979.425853575071</v>
      </c>
      <c r="O6" s="31">
        <v>96069.488001030244</v>
      </c>
      <c r="P6" s="31">
        <v>104159.55014848542</v>
      </c>
      <c r="Q6" s="34">
        <v>104159.55014848542</v>
      </c>
    </row>
    <row r="7" spans="1:28" ht="25.5" x14ac:dyDescent="0.25">
      <c r="C7" s="16" t="s">
        <v>23</v>
      </c>
      <c r="D7" s="116">
        <f>VLOOKUP($B$3,'opening demographics'!$A$1:$E$11,4,FALSE)</f>
        <v>95000</v>
      </c>
      <c r="F7" s="113" t="str">
        <f>"Total surplus / deficit at EOY "&amp;$T$13</f>
        <v>Total surplus / deficit at EOY 15</v>
      </c>
      <c r="G7" s="85">
        <f ca="1">U15</f>
        <v>-218591.47083881922</v>
      </c>
      <c r="H7" s="30">
        <v>753387.18325006159</v>
      </c>
      <c r="I7" s="31">
        <v>178305.25011696442</v>
      </c>
      <c r="J7" s="31">
        <v>193295.22717397998</v>
      </c>
      <c r="K7" s="31">
        <v>-174848.12970602489</v>
      </c>
      <c r="L7" s="32">
        <v>-5528.9513880578506</v>
      </c>
      <c r="M7" s="31">
        <v>5831933.3310344554</v>
      </c>
      <c r="N7" s="31">
        <v>1828092.1929173791</v>
      </c>
      <c r="O7" s="31">
        <v>-218591.47083881922</v>
      </c>
      <c r="P7" s="31">
        <v>-228532.23906799356</v>
      </c>
      <c r="Q7" s="34">
        <v>-20550.677369009485</v>
      </c>
      <c r="S7" s="122"/>
    </row>
    <row r="8" spans="1:28" ht="15" customHeight="1" thickBot="1" x14ac:dyDescent="0.3">
      <c r="C8" s="16" t="s">
        <v>24</v>
      </c>
      <c r="D8" s="117">
        <f ca="1">INDIRECT("e_"&amp;$D$2)</f>
        <v>1.1257768431897297E-2</v>
      </c>
      <c r="F8" s="38" t="s">
        <v>18</v>
      </c>
      <c r="G8" s="86" t="str">
        <f ca="1">X14</f>
        <v>Pass</v>
      </c>
      <c r="H8" s="40" t="str">
        <v>Pass</v>
      </c>
      <c r="I8" s="41" t="str">
        <v>Pass</v>
      </c>
      <c r="J8" s="41" t="str">
        <v>Pass</v>
      </c>
      <c r="K8" s="41" t="str">
        <v>Pass</v>
      </c>
      <c r="L8" s="42" t="str">
        <v>Pass</v>
      </c>
      <c r="M8" s="41" t="str">
        <v>Pass</v>
      </c>
      <c r="N8" s="41" t="str">
        <v>Pass</v>
      </c>
      <c r="O8" s="41" t="str">
        <v>Pass</v>
      </c>
      <c r="P8" s="41" t="str">
        <v>Pass</v>
      </c>
      <c r="Q8" s="43" t="str">
        <v>Pass</v>
      </c>
    </row>
    <row r="9" spans="1:28" ht="15" customHeight="1" x14ac:dyDescent="0.25">
      <c r="C9" s="16" t="s">
        <v>25</v>
      </c>
      <c r="D9" s="129">
        <f ca="1">INDIRECT("EA_"&amp;$D$2)</f>
        <v>41.833333333333336</v>
      </c>
      <c r="H9" s="146" t="s">
        <v>483</v>
      </c>
      <c r="I9" s="143"/>
      <c r="J9" s="143"/>
      <c r="K9" s="143"/>
      <c r="L9" s="47"/>
      <c r="M9" s="47"/>
      <c r="N9" s="47"/>
      <c r="O9" s="47"/>
      <c r="P9" s="47"/>
      <c r="Q9" s="48"/>
    </row>
    <row r="10" spans="1:28" ht="15" customHeight="1" x14ac:dyDescent="0.25">
      <c r="C10" s="16" t="s">
        <v>52</v>
      </c>
      <c r="D10" s="117">
        <f ca="1">(1+G15)/(1+D8)-1</f>
        <v>3.8310935923071554E-2</v>
      </c>
      <c r="E10" s="93"/>
      <c r="H10" s="144" t="s">
        <v>51</v>
      </c>
      <c r="I10" s="143" t="s">
        <v>6</v>
      </c>
      <c r="J10" s="143" t="s">
        <v>5</v>
      </c>
      <c r="K10" s="143" t="s">
        <v>484</v>
      </c>
      <c r="L10" s="47"/>
      <c r="M10" s="47"/>
      <c r="N10" s="47"/>
      <c r="O10" s="47"/>
      <c r="P10" s="47"/>
      <c r="Q10" s="48"/>
    </row>
    <row r="11" spans="1:28" ht="15" customHeight="1" thickBot="1" x14ac:dyDescent="0.3">
      <c r="C11" s="163" t="s">
        <v>491</v>
      </c>
      <c r="D11" s="164">
        <v>1.2</v>
      </c>
      <c r="E11" s="165" t="s">
        <v>492</v>
      </c>
      <c r="H11" s="145"/>
      <c r="I11" s="158">
        <f>SUM(H7:L7)</f>
        <v>944610.5794469231</v>
      </c>
      <c r="J11" s="158">
        <f>SUM(M7:Q7)</f>
        <v>7192351.1366760116</v>
      </c>
      <c r="K11" s="158">
        <f>I11+J11</f>
        <v>8136961.7161229346</v>
      </c>
      <c r="L11" s="53"/>
      <c r="M11" s="53"/>
      <c r="N11" s="53"/>
      <c r="O11" s="53"/>
      <c r="P11" s="53"/>
      <c r="Q11" s="54"/>
    </row>
    <row r="12" spans="1:28" ht="15" customHeight="1" x14ac:dyDescent="0.25">
      <c r="E12" s="93"/>
      <c r="M12" s="142"/>
      <c r="N12" s="156"/>
      <c r="O12" s="156"/>
      <c r="P12" s="156"/>
      <c r="T12" s="112" t="s">
        <v>77</v>
      </c>
    </row>
    <row r="13" spans="1:28" ht="15" customHeight="1" x14ac:dyDescent="0.25">
      <c r="T13" s="111">
        <v>15</v>
      </c>
    </row>
    <row r="14" spans="1:28" ht="51.75" customHeight="1" x14ac:dyDescent="0.25">
      <c r="B14" s="99" t="s">
        <v>48</v>
      </c>
      <c r="C14" s="99" t="s">
        <v>16</v>
      </c>
      <c r="D14" s="99" t="s">
        <v>14</v>
      </c>
      <c r="E14" s="99" t="s">
        <v>17</v>
      </c>
      <c r="F14" s="99" t="s">
        <v>55</v>
      </c>
      <c r="G14" s="99" t="s">
        <v>15</v>
      </c>
      <c r="H14" s="99" t="s">
        <v>62</v>
      </c>
      <c r="I14" s="99" t="s">
        <v>63</v>
      </c>
      <c r="J14" s="99" t="s">
        <v>64</v>
      </c>
      <c r="K14" s="99" t="s">
        <v>31</v>
      </c>
      <c r="L14" s="99" t="s">
        <v>56</v>
      </c>
      <c r="M14" s="99" t="s">
        <v>53</v>
      </c>
      <c r="N14" s="100" t="s">
        <v>57</v>
      </c>
      <c r="O14" s="99" t="s">
        <v>54</v>
      </c>
      <c r="P14" s="99" t="s">
        <v>58</v>
      </c>
      <c r="Q14" s="99" t="s">
        <v>59</v>
      </c>
      <c r="R14" s="130" t="s">
        <v>493</v>
      </c>
      <c r="S14" s="105" t="s">
        <v>74</v>
      </c>
      <c r="T14" s="141" t="str">
        <f>"No. of NEW entrants for the last "&amp;$T$13&amp;" years"</f>
        <v>No. of NEW entrants for the last 15 years</v>
      </c>
      <c r="U14" s="141" t="str">
        <f>"Total surplus/deficit at EOY "&amp;$T$13</f>
        <v>Total surplus/deficit at EOY 15</v>
      </c>
      <c r="W14" s="98" t="s">
        <v>50</v>
      </c>
      <c r="X14" s="56" t="str">
        <f ca="1">IF(ABS(SUM(X15:X85))&lt;0.0001,"Pass","Check!")</f>
        <v>Pass</v>
      </c>
      <c r="Z14" s="98" t="s">
        <v>60</v>
      </c>
      <c r="AA14" s="98" t="s">
        <v>61</v>
      </c>
      <c r="AB14" s="56" t="str">
        <f ca="1">IF(ABS(SUM(AB15:AB85))&lt;0.0001,"Pass","Check!")</f>
        <v>Pass</v>
      </c>
    </row>
    <row r="15" spans="1:28" ht="15" customHeight="1" x14ac:dyDescent="0.25">
      <c r="B15" s="57">
        <v>0</v>
      </c>
      <c r="C15" s="58">
        <f>D4</f>
        <v>45</v>
      </c>
      <c r="D15" s="59">
        <f ca="1">D6</f>
        <v>0.05</v>
      </c>
      <c r="E15" s="60">
        <f>D7</f>
        <v>95000</v>
      </c>
      <c r="F15" s="61">
        <f ca="1">D8</f>
        <v>1.1257768431897297E-2</v>
      </c>
      <c r="G15" s="62">
        <f t="shared" ref="G15" si="0">i</f>
        <v>0.05</v>
      </c>
      <c r="H15" s="94">
        <f ca="1">(1-(1+$D$10)^-($D$5-$D$9))/$D$10</f>
        <v>12.917749181702275</v>
      </c>
      <c r="I15" s="94">
        <f t="shared" ref="I15:I78" ca="1" si="1">IFERROR((1-(1+$D$10)^-($D$5-$C15))/$D$10,0)</f>
        <v>11.250861564338566</v>
      </c>
      <c r="J15" s="63">
        <f t="shared" ref="J15:J46" ca="1" si="2">IF($C15="","",
D15*($D$5-$D$9)*((1+F15)/(1+G15))^($D$5-$D$9)/$H$15)</f>
        <v>3.5517587441111526E-2</v>
      </c>
      <c r="K15" s="65">
        <f t="shared" ref="K15:K78" ca="1" si="3">IF($C16="",0,
J15*E15*(1+F15))</f>
        <v>3412.156440499406</v>
      </c>
      <c r="L15" s="64">
        <f ca="1">IF($C15="",0,
IF($C15&gt;$D$5,D15*B15*E15,
D15*($D$5-$D$4)*E15*((1+F15)/(1+G15))^($D$5-C15)-J15*E15*I15))</f>
        <v>2576.7100085336206</v>
      </c>
      <c r="M15" s="65">
        <f ca="1">IF($C15="",0,
D15*B15*E15*((1+F15)/(1+G15))^MAX(0,$D$5-C15))</f>
        <v>0</v>
      </c>
      <c r="N15" s="66"/>
      <c r="O15" s="67">
        <f ca="1">IF($C15="",0,
(K15)*'2.d Decrements'!D11)</f>
        <v>3412.156440499406</v>
      </c>
      <c r="P15" s="68">
        <f ca="1">M15*'1.a Assumptions'!$C$13*'2.d Decrements'!E11</f>
        <v>0</v>
      </c>
      <c r="Q15" s="68">
        <f ca="1">L16*('2.d Decrements'!G11+'2.d Decrements'!H11)</f>
        <v>0</v>
      </c>
      <c r="R15" s="68">
        <f ca="1">L15*$D$11*'2.d Decrements'!F11</f>
        <v>0</v>
      </c>
      <c r="S15" s="68">
        <f ca="1">O15-L16*'2.d Decrements'!D11</f>
        <v>-2705.5455089602983</v>
      </c>
      <c r="T15" s="68">
        <f ca="1">IF(B16&lt;=$T$13,OFFSET('2.d Decrements'!$K$11,0,$T$13-B15),"")</f>
        <v>4.32</v>
      </c>
      <c r="U15" s="110">
        <f ca="1">SUMPRODUCT(T15:T85,S15:S85)</f>
        <v>-218591.47083881922</v>
      </c>
      <c r="W15" s="69">
        <f t="shared" ref="W15:W46" ca="1" si="4">IF($C16&lt;=$D$5,L16-L15*(1+i),"")</f>
        <v>3412.1564404994028</v>
      </c>
      <c r="X15" s="70">
        <f t="shared" ref="X15:X46" ca="1" si="5">IF(W15="","",W15-K15)</f>
        <v>-3.1832314562052488E-12</v>
      </c>
      <c r="Y15" s="95"/>
      <c r="Z15" s="96">
        <f ca="1">IF(W15="","",J15/'1.c PUC_Projection'!H17)</f>
        <v>1.2024234818744921</v>
      </c>
      <c r="AA15" s="96">
        <f t="shared" ref="AA15:AA46" ca="1" si="6">IF(W15="","",($D$5-$D$9)/$H$15*(1+$D$10)^-(C15-$D$9+1))</f>
        <v>1.2024234818744921</v>
      </c>
      <c r="AB15" s="97">
        <f ca="1">IF(W15="","",Z15-AA15)</f>
        <v>0</v>
      </c>
    </row>
    <row r="16" spans="1:28" ht="15" customHeight="1" x14ac:dyDescent="0.25">
      <c r="B16" s="57">
        <f ca="1">IF($C16="","",B15+1)</f>
        <v>1</v>
      </c>
      <c r="C16" s="71">
        <f ca="1">IF(C15="","",IF($D$2="A",IF(C15+1&gt;$D$5+15,"",C15+1),IF(C15+1&gt;$D$5,"",C15+1)))</f>
        <v>46</v>
      </c>
      <c r="D16" s="72">
        <f ca="1">IF($C16="","",D15)</f>
        <v>0.05</v>
      </c>
      <c r="E16" s="73">
        <f ca="1">IF($C16="","",E15*(1+F15))</f>
        <v>96069.488001030244</v>
      </c>
      <c r="F16" s="62">
        <f ca="1">IF($C16="","",F15)</f>
        <v>1.1257768431897297E-2</v>
      </c>
      <c r="G16" s="62">
        <f ca="1">IF($C16="","",G15)</f>
        <v>0.05</v>
      </c>
      <c r="I16" s="94">
        <f t="shared" ca="1" si="1"/>
        <v>10.68189260080929</v>
      </c>
      <c r="J16" s="63">
        <f t="shared" ca="1" si="2"/>
        <v>3.5517587441111526E-2</v>
      </c>
      <c r="K16" s="65">
        <f t="shared" ca="1" si="3"/>
        <v>3450.5697075599551</v>
      </c>
      <c r="L16" s="64">
        <f t="shared" ref="L16:L79" ca="1" si="7">IF($C16="",0,
IF($C16&gt;$D$5,D16*B16*E16,
D16*($D$5-$D$4)*E16*((1+F16)/(1+G16))^($D$5-C16)-J16*E16*I16))</f>
        <v>6117.7019494597043</v>
      </c>
      <c r="M16" s="65">
        <f t="shared" ref="M16:M79" ca="1" si="8">IF($C16="",0,
D16*B16*E16*((1+F16)/(1+G16))^MAX(0,$D$5-C16))</f>
        <v>2837.7327056022714</v>
      </c>
      <c r="N16" s="66"/>
      <c r="O16" s="67">
        <f ca="1">IF($C16="",0,
K16*'2.d Decrements'!D12+(O15-P15-Q15-R16)*(1+G15))</f>
        <v>6826.2997876307345</v>
      </c>
      <c r="P16" s="68">
        <f ca="1">M16*'1.a Assumptions'!$C$13*'2.d Decrements'!E12</f>
        <v>120.03609344697607</v>
      </c>
      <c r="Q16" s="68">
        <f ca="1">L17*('2.d Decrements'!G12+'2.d Decrements'!H12)</f>
        <v>0</v>
      </c>
      <c r="R16" s="68">
        <f ca="1">L16*$D$11*'2.d Decrements'!F12</f>
        <v>0</v>
      </c>
      <c r="S16" s="68">
        <f ca="1">O16-L17*'2.d Decrements'!D12</f>
        <v>-2455.4075615923502</v>
      </c>
      <c r="T16" s="68">
        <f ca="1">IF(B17&lt;=$T$13,OFFSET('2.d Decrements'!$K$11,0,$T$13-B16),"")</f>
        <v>4.32</v>
      </c>
      <c r="W16" s="69">
        <f t="shared" ca="1" si="4"/>
        <v>3450.5697075599537</v>
      </c>
      <c r="X16" s="70">
        <f t="shared" ca="1" si="5"/>
        <v>-1.3642420526593924E-12</v>
      </c>
      <c r="Y16" s="95"/>
      <c r="Z16" s="96">
        <f ca="1">IF(W16="","",J16/'1.c PUC_Projection'!H18)</f>
        <v>1.1580572257052484</v>
      </c>
      <c r="AA16" s="96">
        <f t="shared" ca="1" si="6"/>
        <v>1.1580572257052486</v>
      </c>
      <c r="AB16" s="97">
        <f t="shared" ref="AB16:AB79" ca="1" si="9">IF(W16="","",Z16-AA16)</f>
        <v>-2.2204460492503131E-16</v>
      </c>
    </row>
    <row r="17" spans="2:28" ht="15" customHeight="1" x14ac:dyDescent="0.25">
      <c r="B17" s="57">
        <f t="shared" ref="B17:B80" ca="1" si="10">IF($C17="","",B16+1)</f>
        <v>2</v>
      </c>
      <c r="C17" s="71">
        <f t="shared" ref="C17:C80" ca="1" si="11">IF(C16="","",IF($D$2="A",IF(C16+1&gt;$D$5+15,"",C16+1),IF(C16+1&gt;$D$5,"",C16+1)))</f>
        <v>47</v>
      </c>
      <c r="D17" s="72">
        <f t="shared" ref="D17:D80" ca="1" si="12">IF($C17="","",D16)</f>
        <v>0.05</v>
      </c>
      <c r="E17" s="73">
        <f t="shared" ref="E17:E80" ca="1" si="13">IF($C17="","",E16*(1+F16))</f>
        <v>97151.016050316772</v>
      </c>
      <c r="F17" s="62">
        <f t="shared" ref="F17:G32" ca="1" si="14">IF($C17="","",F16)</f>
        <v>1.1257768431897297E-2</v>
      </c>
      <c r="G17" s="62">
        <f t="shared" ca="1" si="14"/>
        <v>0.05</v>
      </c>
      <c r="I17" s="94">
        <f t="shared" ca="1" si="1"/>
        <v>10.091125903776026</v>
      </c>
      <c r="J17" s="63">
        <f t="shared" ca="1" si="2"/>
        <v>3.5517587441111526E-2</v>
      </c>
      <c r="K17" s="65">
        <f t="shared" ca="1" si="3"/>
        <v>3489.4154222857846</v>
      </c>
      <c r="L17" s="64">
        <f t="shared" ca="1" si="7"/>
        <v>9874.1567544926438</v>
      </c>
      <c r="M17" s="65">
        <f t="shared" ca="1" si="8"/>
        <v>5959.2386817647694</v>
      </c>
      <c r="N17" s="66"/>
      <c r="O17" s="67">
        <f ca="1">IF($C17="",0,
K17*'2.d Decrements'!D13+(O16-P16-Q16-R17)*(1+G16))</f>
        <v>10124.824346024665</v>
      </c>
      <c r="P17" s="68">
        <f ca="1">M17*'1.a Assumptions'!$C$13*'2.d Decrements'!E13</f>
        <v>236.95124846433072</v>
      </c>
      <c r="Q17" s="68">
        <f ca="1">L18*('2.d Decrements'!G13+'2.d Decrements'!H13)</f>
        <v>0</v>
      </c>
      <c r="R17" s="68">
        <f ca="1">L17*$D$11*'2.d Decrements'!F13</f>
        <v>0</v>
      </c>
      <c r="S17" s="68">
        <f ca="1">O17-L18*'2.d Decrements'!D13</f>
        <v>-2119.4682747902352</v>
      </c>
      <c r="T17" s="68">
        <f ca="1">IF(B18&lt;=$T$13,OFFSET('2.d Decrements'!$K$11,0,$T$13-B17),"")</f>
        <v>4.32</v>
      </c>
      <c r="W17" s="69">
        <f t="shared" ca="1" si="4"/>
        <v>3489.4154222857796</v>
      </c>
      <c r="X17" s="70">
        <f t="shared" ca="1" si="5"/>
        <v>-5.0022208597511053E-12</v>
      </c>
      <c r="Y17" s="95"/>
      <c r="Z17" s="96">
        <f ca="1">IF(W17="","",J17/'1.c PUC_Projection'!H19)</f>
        <v>1.1153279674124985</v>
      </c>
      <c r="AA17" s="96">
        <f t="shared" ca="1" si="6"/>
        <v>1.1153279674124985</v>
      </c>
      <c r="AB17" s="97">
        <f t="shared" ca="1" si="9"/>
        <v>0</v>
      </c>
    </row>
    <row r="18" spans="2:28" ht="15" customHeight="1" x14ac:dyDescent="0.25">
      <c r="B18" s="57">
        <f t="shared" ca="1" si="10"/>
        <v>3</v>
      </c>
      <c r="C18" s="71">
        <f t="shared" ca="1" si="11"/>
        <v>48</v>
      </c>
      <c r="D18" s="72">
        <f t="shared" ca="1" si="12"/>
        <v>0.05</v>
      </c>
      <c r="E18" s="73">
        <f t="shared" ca="1" si="13"/>
        <v>98244.719691934777</v>
      </c>
      <c r="F18" s="62">
        <f t="shared" ca="1" si="14"/>
        <v>1.1257768431897297E-2</v>
      </c>
      <c r="G18" s="62">
        <f t="shared" ca="1" si="14"/>
        <v>0.05</v>
      </c>
      <c r="I18" s="94">
        <f t="shared" ca="1" si="1"/>
        <v>9.477726381667237</v>
      </c>
      <c r="J18" s="63">
        <f t="shared" ca="1" si="2"/>
        <v>3.5517587441111526E-2</v>
      </c>
      <c r="K18" s="65">
        <f t="shared" ca="1" si="3"/>
        <v>3528.698453072569</v>
      </c>
      <c r="L18" s="64">
        <f t="shared" ca="1" si="7"/>
        <v>13857.280014503056</v>
      </c>
      <c r="M18" s="65">
        <f t="shared" ca="1" si="8"/>
        <v>9385.8009237795141</v>
      </c>
      <c r="N18" s="66"/>
      <c r="O18" s="67">
        <f ca="1">IF($C18="",0,
K18*'2.d Decrements'!D14+(O17-P17-Q17-R18)*(1+G17))</f>
        <v>13313.147228385176</v>
      </c>
      <c r="P18" s="68">
        <f ca="1">M18*'1.a Assumptions'!$C$13*'2.d Decrements'!E14</f>
        <v>350.80632335144179</v>
      </c>
      <c r="Q18" s="68">
        <f ca="1">L19*('2.d Decrements'!G14+'2.d Decrements'!H14)</f>
        <v>0</v>
      </c>
      <c r="R18" s="68">
        <f ca="1">L18*$D$11*'2.d Decrements'!F14</f>
        <v>0</v>
      </c>
      <c r="S18" s="68">
        <f ca="1">O18-L19*'2.d Decrements'!D14</f>
        <v>-1702.8500643059579</v>
      </c>
      <c r="T18" s="68">
        <f ca="1">IF(B19&lt;=$T$13,OFFSET('2.d Decrements'!$K$11,0,$T$13-B18),"")</f>
        <v>4.32</v>
      </c>
      <c r="W18" s="69">
        <f t="shared" ca="1" si="4"/>
        <v>3528.6984530725695</v>
      </c>
      <c r="X18" s="70">
        <f t="shared" ca="1" si="5"/>
        <v>4.5474735088646412E-13</v>
      </c>
      <c r="Y18" s="95"/>
      <c r="Z18" s="96">
        <f ca="1">IF(W18="","",J18/'1.c PUC_Projection'!H20)</f>
        <v>1.0741753060907115</v>
      </c>
      <c r="AA18" s="96">
        <f t="shared" ca="1" si="6"/>
        <v>1.0741753060907115</v>
      </c>
      <c r="AB18" s="97">
        <f t="shared" ca="1" si="9"/>
        <v>0</v>
      </c>
    </row>
    <row r="19" spans="2:28" ht="15" customHeight="1" x14ac:dyDescent="0.25">
      <c r="B19" s="57">
        <f t="shared" ca="1" si="10"/>
        <v>4</v>
      </c>
      <c r="C19" s="71">
        <f t="shared" ca="1" si="11"/>
        <v>49</v>
      </c>
      <c r="D19" s="72">
        <f t="shared" ca="1" si="12"/>
        <v>0.05</v>
      </c>
      <c r="E19" s="73">
        <f t="shared" ca="1" si="13"/>
        <v>99350.735995883239</v>
      </c>
      <c r="F19" s="62">
        <f t="shared" ca="1" si="14"/>
        <v>1.1257768431897297E-2</v>
      </c>
      <c r="G19" s="62">
        <f t="shared" ca="1" si="14"/>
        <v>0.05</v>
      </c>
      <c r="I19" s="94">
        <f t="shared" ca="1" si="1"/>
        <v>8.8408269497716923</v>
      </c>
      <c r="J19" s="63">
        <f t="shared" ca="1" si="2"/>
        <v>3.5517587441111526E-2</v>
      </c>
      <c r="K19" s="65">
        <f t="shared" ca="1" si="3"/>
        <v>3568.4237231232546</v>
      </c>
      <c r="L19" s="64">
        <f t="shared" ca="1" si="7"/>
        <v>18078.84246830078</v>
      </c>
      <c r="M19" s="65">
        <f t="shared" ca="1" si="8"/>
        <v>13140.121293291317</v>
      </c>
      <c r="N19" s="66"/>
      <c r="O19" s="67">
        <f ca="1">IF($C19="",0,
K19*'2.d Decrements'!D15+(O18-P18-Q18-R19)*(1+G18))</f>
        <v>16396.501060953229</v>
      </c>
      <c r="P19" s="68">
        <f ca="1">M19*'1.a Assumptions'!$C$13*'2.d Decrements'!E15</f>
        <v>461.66112153049721</v>
      </c>
      <c r="Q19" s="68">
        <f ca="1">L20*('2.d Decrements'!G15+'2.d Decrements'!H15)</f>
        <v>0</v>
      </c>
      <c r="R19" s="68">
        <f ca="1">L19*$D$11*'2.d Decrements'!F15</f>
        <v>0</v>
      </c>
      <c r="S19" s="68">
        <f ca="1">O19-L20*'2.d Decrements'!D15</f>
        <v>-1210.3313776007271</v>
      </c>
      <c r="T19" s="68">
        <f ca="1">IF(B20&lt;=$T$13,OFFSET('2.d Decrements'!$K$11,0,$T$13-B19),"")</f>
        <v>4.32</v>
      </c>
      <c r="W19" s="69">
        <f t="shared" ca="1" si="4"/>
        <v>3568.4237231232546</v>
      </c>
      <c r="X19" s="70">
        <f t="shared" ca="1" si="5"/>
        <v>0</v>
      </c>
      <c r="Y19" s="95"/>
      <c r="Z19" s="96">
        <f ca="1">IF(W19="","",J19/'1.c PUC_Projection'!H21)</f>
        <v>1.0345410694685173</v>
      </c>
      <c r="AA19" s="96">
        <f t="shared" ca="1" si="6"/>
        <v>1.0345410694685173</v>
      </c>
      <c r="AB19" s="97">
        <f t="shared" ca="1" si="9"/>
        <v>0</v>
      </c>
    </row>
    <row r="20" spans="2:28" ht="15" customHeight="1" x14ac:dyDescent="0.25">
      <c r="B20" s="57">
        <f t="shared" ca="1" si="10"/>
        <v>5</v>
      </c>
      <c r="C20" s="71">
        <f t="shared" ca="1" si="11"/>
        <v>50</v>
      </c>
      <c r="D20" s="72">
        <f t="shared" ca="1" si="12"/>
        <v>0.05</v>
      </c>
      <c r="E20" s="73">
        <f t="shared" ca="1" si="13"/>
        <v>100469.20357526345</v>
      </c>
      <c r="F20" s="62">
        <f t="shared" ca="1" si="14"/>
        <v>1.1257768431897297E-2</v>
      </c>
      <c r="G20" s="62">
        <f t="shared" ca="1" si="14"/>
        <v>0.05</v>
      </c>
      <c r="I20" s="94">
        <f t="shared" ca="1" si="1"/>
        <v>8.1795273045513603</v>
      </c>
      <c r="J20" s="63">
        <f t="shared" ca="1" si="2"/>
        <v>3.5517587441111526E-2</v>
      </c>
      <c r="K20" s="65">
        <f t="shared" ca="1" si="3"/>
        <v>3608.5962110650648</v>
      </c>
      <c r="L20" s="64">
        <f t="shared" ca="1" si="7"/>
        <v>22551.208314839074</v>
      </c>
      <c r="M20" s="65">
        <f t="shared" ca="1" si="8"/>
        <v>17246.409197444853</v>
      </c>
      <c r="N20" s="66"/>
      <c r="O20" s="67">
        <f ca="1">IF($C20="",0,
K20*'2.d Decrements'!D16+(O19-P19-Q19-R20)*(1+G19))</f>
        <v>19379.945210911923</v>
      </c>
      <c r="P20" s="68">
        <f ca="1">M20*'1.a Assumptions'!$C$13*'2.d Decrements'!E16</f>
        <v>569.57440868825097</v>
      </c>
      <c r="Q20" s="68">
        <f ca="1">L21*('2.d Decrements'!G16+'2.d Decrements'!H16)</f>
        <v>0</v>
      </c>
      <c r="R20" s="68">
        <f ca="1">L20*$D$11*'2.d Decrements'!F16</f>
        <v>0</v>
      </c>
      <c r="S20" s="68">
        <f ca="1">O20-L21*'2.d Decrements'!D16</f>
        <v>-646.36168045888917</v>
      </c>
      <c r="T20" s="68">
        <f ca="1">IF(B21&lt;=$T$13,OFFSET('2.d Decrements'!$K$11,0,$T$13-B20),"")</f>
        <v>4.32</v>
      </c>
      <c r="W20" s="69">
        <f t="shared" ca="1" si="4"/>
        <v>3608.5962110650689</v>
      </c>
      <c r="X20" s="70">
        <f t="shared" ca="1" si="5"/>
        <v>4.0927261579781771E-12</v>
      </c>
      <c r="Y20" s="95"/>
      <c r="Z20" s="96">
        <f ca="1">IF(W20="","",J20/'1.c PUC_Projection'!H22)</f>
        <v>0.9963692316779823</v>
      </c>
      <c r="AA20" s="96">
        <f t="shared" ca="1" si="6"/>
        <v>0.99636923167798197</v>
      </c>
      <c r="AB20" s="97">
        <f t="shared" ca="1" si="9"/>
        <v>3.3306690738754696E-16</v>
      </c>
    </row>
    <row r="21" spans="2:28" ht="15" customHeight="1" x14ac:dyDescent="0.25">
      <c r="B21" s="57">
        <f t="shared" ca="1" si="10"/>
        <v>6</v>
      </c>
      <c r="C21" s="71">
        <f t="shared" ca="1" si="11"/>
        <v>51</v>
      </c>
      <c r="D21" s="72">
        <f t="shared" ca="1" si="12"/>
        <v>0.05</v>
      </c>
      <c r="E21" s="73">
        <f t="shared" ca="1" si="13"/>
        <v>101600.26260365092</v>
      </c>
      <c r="F21" s="62">
        <f t="shared" ca="1" si="14"/>
        <v>1.1257768431897297E-2</v>
      </c>
      <c r="G21" s="62">
        <f t="shared" ca="1" si="14"/>
        <v>0.05</v>
      </c>
      <c r="I21" s="94">
        <f t="shared" ca="1" si="1"/>
        <v>7.4928926509970397</v>
      </c>
      <c r="J21" s="63">
        <f t="shared" ca="1" si="2"/>
        <v>3.5517587441111526E-2</v>
      </c>
      <c r="K21" s="65">
        <f t="shared" ca="1" si="3"/>
        <v>3649.2209515734571</v>
      </c>
      <c r="L21" s="64">
        <f t="shared" ca="1" si="7"/>
        <v>27287.364941646098</v>
      </c>
      <c r="M21" s="65">
        <f t="shared" ca="1" si="8"/>
        <v>21730.475588780515</v>
      </c>
      <c r="N21" s="66"/>
      <c r="O21" s="67">
        <f ca="1">IF($C21="",0,
K21*'2.d Decrements'!D17+(O20-P20-Q20-R21)*(1+G20))</f>
        <v>22268.376601221804</v>
      </c>
      <c r="P21" s="68">
        <f ca="1">M21*'1.a Assumptions'!$C$13*'2.d Decrements'!E17</f>
        <v>674.60392965036442</v>
      </c>
      <c r="Q21" s="68">
        <f ca="1">L22*('2.d Decrements'!G17+'2.d Decrements'!H17)</f>
        <v>0</v>
      </c>
      <c r="R21" s="68">
        <f ca="1">L21*$D$11*'2.d Decrements'!F17</f>
        <v>0</v>
      </c>
      <c r="S21" s="68">
        <f ca="1">O21-L22*'2.d Decrements'!D17</f>
        <v>-15.075559448130662</v>
      </c>
      <c r="T21" s="68">
        <f ca="1">IF(B22&lt;=$T$13,OFFSET('2.d Decrements'!$K$11,0,$T$13-B21),"")</f>
        <v>14.399999999999999</v>
      </c>
      <c r="W21" s="69">
        <f t="shared" ca="1" si="4"/>
        <v>3649.2209515734467</v>
      </c>
      <c r="X21" s="70">
        <f t="shared" ca="1" si="5"/>
        <v>-1.0459189070388675E-11</v>
      </c>
      <c r="Y21" s="95"/>
      <c r="Z21" s="96">
        <f ca="1">IF(W21="","",J21/'1.c PUC_Projection'!H23)</f>
        <v>0.95960583405798139</v>
      </c>
      <c r="AA21" s="96">
        <f t="shared" ca="1" si="6"/>
        <v>0.95960583405798106</v>
      </c>
      <c r="AB21" s="97">
        <f t="shared" ca="1" si="9"/>
        <v>3.3306690738754696E-16</v>
      </c>
    </row>
    <row r="22" spans="2:28" ht="15" customHeight="1" x14ac:dyDescent="0.25">
      <c r="B22" s="57">
        <f t="shared" ca="1" si="10"/>
        <v>7</v>
      </c>
      <c r="C22" s="71">
        <f t="shared" ca="1" si="11"/>
        <v>52</v>
      </c>
      <c r="D22" s="72">
        <f t="shared" ca="1" si="12"/>
        <v>0.05</v>
      </c>
      <c r="E22" s="73">
        <f t="shared" ca="1" si="13"/>
        <v>102744.05483266278</v>
      </c>
      <c r="F22" s="62">
        <f t="shared" ca="1" si="14"/>
        <v>1.1257768431897297E-2</v>
      </c>
      <c r="G22" s="62">
        <f t="shared" ca="1" si="14"/>
        <v>0.05</v>
      </c>
      <c r="I22" s="94">
        <f t="shared" ca="1" si="1"/>
        <v>6.7799523812278411</v>
      </c>
      <c r="J22" s="63">
        <f t="shared" ca="1" si="2"/>
        <v>3.5517587441111526E-2</v>
      </c>
      <c r="K22" s="65">
        <f t="shared" ca="1" si="3"/>
        <v>3690.3030360030994</v>
      </c>
      <c r="L22" s="64">
        <f t="shared" ca="1" si="7"/>
        <v>32300.954140301852</v>
      </c>
      <c r="M22" s="65">
        <f t="shared" ca="1" si="8"/>
        <v>26619.832596256132</v>
      </c>
      <c r="N22" s="66"/>
      <c r="O22" s="67">
        <f ca="1">IF($C22="",0,
K22*'2.d Decrements'!D18+(O21-P21-Q21-R22)*(1+G21))</f>
        <v>25066.540139779096</v>
      </c>
      <c r="P22" s="68">
        <f ca="1">M22*'1.a Assumptions'!$C$13*'2.d Decrements'!E18</f>
        <v>776.80642499239468</v>
      </c>
      <c r="Q22" s="68">
        <f ca="1">L23*('2.d Decrements'!G18+'2.d Decrements'!H18)</f>
        <v>0</v>
      </c>
      <c r="R22" s="68">
        <f ca="1">L22*$D$11*'2.d Decrements'!F18</f>
        <v>0</v>
      </c>
      <c r="S22" s="68">
        <f ca="1">O22-L23*'2.d Decrements'!D18</f>
        <v>679.69402256877584</v>
      </c>
      <c r="T22" s="68">
        <f ca="1">IF(B23&lt;=$T$13,OFFSET('2.d Decrements'!$K$11,0,$T$13-B22),"")</f>
        <v>14.399999999999999</v>
      </c>
      <c r="W22" s="69">
        <f t="shared" ca="1" si="4"/>
        <v>3690.3030360031116</v>
      </c>
      <c r="X22" s="70">
        <f t="shared" ca="1" si="5"/>
        <v>1.2278178473934531E-11</v>
      </c>
      <c r="Y22" s="95"/>
      <c r="Z22" s="96">
        <f ca="1">IF(W22="","",J22/'1.c PUC_Projection'!H24)</f>
        <v>0.9241989088797179</v>
      </c>
      <c r="AA22" s="96">
        <f t="shared" ca="1" si="6"/>
        <v>0.92419890887971756</v>
      </c>
      <c r="AB22" s="97">
        <f t="shared" ca="1" si="9"/>
        <v>3.3306690738754696E-16</v>
      </c>
    </row>
    <row r="23" spans="2:28" ht="15" customHeight="1" x14ac:dyDescent="0.25">
      <c r="B23" s="57">
        <f t="shared" ca="1" si="10"/>
        <v>8</v>
      </c>
      <c r="C23" s="71">
        <f t="shared" ca="1" si="11"/>
        <v>53</v>
      </c>
      <c r="D23" s="72">
        <f t="shared" ca="1" si="12"/>
        <v>0.05</v>
      </c>
      <c r="E23" s="73">
        <f t="shared" ca="1" si="13"/>
        <v>103900.72360972305</v>
      </c>
      <c r="F23" s="62">
        <f t="shared" ca="1" si="14"/>
        <v>1.1257768431897297E-2</v>
      </c>
      <c r="G23" s="62">
        <f t="shared" ca="1" si="14"/>
        <v>0.05</v>
      </c>
      <c r="I23" s="94">
        <f t="shared" ca="1" si="1"/>
        <v>6.0396987024665334</v>
      </c>
      <c r="J23" s="63">
        <f t="shared" ca="1" si="2"/>
        <v>3.5517587441111526E-2</v>
      </c>
      <c r="K23" s="65">
        <f t="shared" ca="1" si="3"/>
        <v>3731.8476130259496</v>
      </c>
      <c r="L23" s="64">
        <f t="shared" ca="1" si="7"/>
        <v>37606.304883320059</v>
      </c>
      <c r="M23" s="65">
        <f t="shared" ca="1" si="8"/>
        <v>31943.799115507358</v>
      </c>
      <c r="N23" s="66"/>
      <c r="O23" s="67">
        <f ca="1">IF($C23="",0,
K23*'2.d Decrements'!D19+(O22-P22-Q22-R23)*(1+G22))</f>
        <v>27779.038788795333</v>
      </c>
      <c r="P23" s="68">
        <f ca="1">M23*'1.a Assumptions'!$C$13*'2.d Decrements'!E19</f>
        <v>876.23764739142109</v>
      </c>
      <c r="Q23" s="68">
        <f ca="1">L24*('2.d Decrements'!G19+'2.d Decrements'!H19)</f>
        <v>0</v>
      </c>
      <c r="R23" s="68">
        <f ca="1">L23*$D$11*'2.d Decrements'!F19</f>
        <v>0</v>
      </c>
      <c r="S23" s="68">
        <f ca="1">O23-L24*'2.d Decrements'!D19</f>
        <v>1434.403282839452</v>
      </c>
      <c r="T23" s="68">
        <f ca="1">IF(B24&lt;=$T$13,OFFSET('2.d Decrements'!$K$11,0,$T$13-B23),"")</f>
        <v>14.399999999999999</v>
      </c>
      <c r="W23" s="69">
        <f t="shared" ca="1" si="4"/>
        <v>3731.8476130259442</v>
      </c>
      <c r="X23" s="70">
        <f t="shared" ca="1" si="5"/>
        <v>-5.4569682106375694E-12</v>
      </c>
      <c r="Y23" s="95"/>
      <c r="Z23" s="96">
        <f ca="1">IF(W23="","",J23/'1.c PUC_Projection'!H25)</f>
        <v>0.89009840588656941</v>
      </c>
      <c r="AA23" s="96">
        <f t="shared" ca="1" si="6"/>
        <v>0.89009840588656897</v>
      </c>
      <c r="AB23" s="97">
        <f t="shared" ca="1" si="9"/>
        <v>4.4408920985006262E-16</v>
      </c>
    </row>
    <row r="24" spans="2:28" ht="15" customHeight="1" x14ac:dyDescent="0.25">
      <c r="B24" s="57">
        <f t="shared" ca="1" si="10"/>
        <v>9</v>
      </c>
      <c r="C24" s="71">
        <f t="shared" ca="1" si="11"/>
        <v>54</v>
      </c>
      <c r="D24" s="72">
        <f t="shared" ca="1" si="12"/>
        <v>0.05</v>
      </c>
      <c r="E24" s="73">
        <f t="shared" ca="1" si="13"/>
        <v>105070.41389602788</v>
      </c>
      <c r="F24" s="62">
        <f t="shared" ca="1" si="14"/>
        <v>1.1257768431897297E-2</v>
      </c>
      <c r="G24" s="62">
        <f t="shared" ca="1" si="14"/>
        <v>0.05</v>
      </c>
      <c r="I24" s="94">
        <f t="shared" ca="1" si="1"/>
        <v>5.2710852124513883</v>
      </c>
      <c r="J24" s="63">
        <f t="shared" ca="1" si="2"/>
        <v>3.5517587441111526E-2</v>
      </c>
      <c r="K24" s="65">
        <f t="shared" ca="1" si="3"/>
        <v>3773.8598892765244</v>
      </c>
      <c r="L24" s="64">
        <f t="shared" ca="1" si="7"/>
        <v>43218.467740512009</v>
      </c>
      <c r="M24" s="65">
        <f t="shared" ca="1" si="8"/>
        <v>37733.61270519306</v>
      </c>
      <c r="N24" s="66"/>
      <c r="O24" s="67">
        <f ca="1">IF($C24="",0,
K24*'2.d Decrements'!D20+(O23-P23-Q23-R24)*(1+G23))</f>
        <v>7054.8514234645609</v>
      </c>
      <c r="P24" s="68">
        <f ca="1">M24*'1.a Assumptions'!$C$13*'2.d Decrements'!E20</f>
        <v>291.88571331667481</v>
      </c>
      <c r="Q24" s="68">
        <f ca="1">L25*('2.d Decrements'!G20+'2.d Decrements'!H20)</f>
        <v>0</v>
      </c>
      <c r="R24" s="68">
        <f ca="1">L24*$D$11*'2.d Decrements'!F20</f>
        <v>20801.72419550276</v>
      </c>
      <c r="S24" s="68">
        <f ca="1">O24-L25*'2.d Decrements'!D20</f>
        <v>-1394.51578011733</v>
      </c>
      <c r="T24" s="68">
        <f ca="1">IF(B25&lt;=$T$13,OFFSET('2.d Decrements'!$K$11,0,$T$13-B24),"")</f>
        <v>14.399999999999999</v>
      </c>
      <c r="W24" s="69">
        <f t="shared" ca="1" si="4"/>
        <v>3773.8598892765222</v>
      </c>
      <c r="X24" s="70">
        <f t="shared" ca="1" si="5"/>
        <v>-2.2737367544323206E-12</v>
      </c>
      <c r="Y24" s="95"/>
      <c r="Z24" s="96">
        <f ca="1">IF(W24="","",J24/'1.c PUC_Projection'!H26)</f>
        <v>0.85725612154442021</v>
      </c>
      <c r="AA24" s="96">
        <f t="shared" ca="1" si="6"/>
        <v>0.85725612154441999</v>
      </c>
      <c r="AB24" s="97">
        <f t="shared" ca="1" si="9"/>
        <v>2.2204460492503131E-16</v>
      </c>
    </row>
    <row r="25" spans="2:28" ht="15" customHeight="1" x14ac:dyDescent="0.25">
      <c r="B25" s="57">
        <f t="shared" ca="1" si="10"/>
        <v>10</v>
      </c>
      <c r="C25" s="71">
        <f t="shared" ca="1" si="11"/>
        <v>55</v>
      </c>
      <c r="D25" s="72">
        <f t="shared" ca="1" si="12"/>
        <v>0.05</v>
      </c>
      <c r="E25" s="73">
        <f t="shared" ca="1" si="13"/>
        <v>106253.27228471296</v>
      </c>
      <c r="F25" s="62">
        <f t="shared" ca="1" si="14"/>
        <v>1.1257768431897297E-2</v>
      </c>
      <c r="G25" s="62">
        <f t="shared" ca="1" si="14"/>
        <v>0.05</v>
      </c>
      <c r="I25" s="94">
        <f t="shared" ca="1" si="1"/>
        <v>4.4730254202706634</v>
      </c>
      <c r="J25" s="63">
        <f t="shared" ca="1" si="2"/>
        <v>3.5517587441111526E-2</v>
      </c>
      <c r="K25" s="65">
        <f t="shared" ca="1" si="3"/>
        <v>3816.3451300044253</v>
      </c>
      <c r="L25" s="64">
        <f t="shared" ca="1" si="7"/>
        <v>49153.251016814131</v>
      </c>
      <c r="M25" s="65">
        <f t="shared" ca="1" si="8"/>
        <v>44022.548156058569</v>
      </c>
      <c r="N25" s="66"/>
      <c r="O25" s="67">
        <f ca="1">IF($C25="",0,
K25*'2.d Decrements'!D21+(O24-P24-Q24-R25)*(1+G24))</f>
        <v>7717.7763459421349</v>
      </c>
      <c r="P25" s="68">
        <f ca="1">M25*'1.a Assumptions'!$C$13*'2.d Decrements'!E21</f>
        <v>320.10133227062005</v>
      </c>
      <c r="Q25" s="68">
        <f ca="1">L26*('2.d Decrements'!G21+'2.d Decrements'!H21)</f>
        <v>0</v>
      </c>
      <c r="R25" s="68">
        <f ca="1">L25*$D$11*'2.d Decrements'!F21</f>
        <v>0</v>
      </c>
      <c r="S25" s="68">
        <f ca="1">O25-L26*'2.d Decrements'!D21</f>
        <v>-1238.4114342800476</v>
      </c>
      <c r="T25" s="68">
        <f ca="1">IF(B26&lt;=$T$13,OFFSET('2.d Decrements'!$K$11,0,$T$13-B25),"")</f>
        <v>14.399999999999999</v>
      </c>
      <c r="W25" s="69">
        <f t="shared" ca="1" si="4"/>
        <v>3816.3451300044326</v>
      </c>
      <c r="X25" s="70">
        <f t="shared" ca="1" si="5"/>
        <v>7.2759576141834259E-12</v>
      </c>
      <c r="Y25" s="95"/>
      <c r="Z25" s="96">
        <f ca="1">IF(W25="","",J25/'1.c PUC_Projection'!H27)</f>
        <v>0.82562563090247021</v>
      </c>
      <c r="AA25" s="96">
        <f t="shared" ca="1" si="6"/>
        <v>0.82562563090246988</v>
      </c>
      <c r="AB25" s="97">
        <f t="shared" ca="1" si="9"/>
        <v>3.3306690738754696E-16</v>
      </c>
    </row>
    <row r="26" spans="2:28" ht="15" customHeight="1" x14ac:dyDescent="0.25">
      <c r="B26" s="57">
        <f t="shared" ca="1" si="10"/>
        <v>11</v>
      </c>
      <c r="C26" s="71">
        <f t="shared" ca="1" si="11"/>
        <v>56</v>
      </c>
      <c r="D26" s="72">
        <f t="shared" ca="1" si="12"/>
        <v>0.05</v>
      </c>
      <c r="E26" s="73">
        <f t="shared" ca="1" si="13"/>
        <v>107449.4470192256</v>
      </c>
      <c r="F26" s="62">
        <f t="shared" ca="1" si="14"/>
        <v>1.1257768431897297E-2</v>
      </c>
      <c r="G26" s="62">
        <f t="shared" ca="1" si="14"/>
        <v>0.05</v>
      </c>
      <c r="I26" s="94">
        <f t="shared" ca="1" si="1"/>
        <v>3.6443912105289233</v>
      </c>
      <c r="J26" s="63">
        <f t="shared" ca="1" si="2"/>
        <v>3.5517587441111526E-2</v>
      </c>
      <c r="K26" s="65">
        <f t="shared" ca="1" si="3"/>
        <v>3859.308659734214</v>
      </c>
      <c r="L26" s="64">
        <f t="shared" ca="1" si="7"/>
        <v>55427.258697659272</v>
      </c>
      <c r="M26" s="65">
        <f t="shared" ca="1" si="8"/>
        <v>50846.043120247654</v>
      </c>
      <c r="N26" s="66"/>
      <c r="O26" s="67">
        <f ca="1">IF($C26="",0,
K26*'2.d Decrements'!D22+(O25-P25-Q25-R26)*(1+G25))</f>
        <v>8353.7470810485211</v>
      </c>
      <c r="P26" s="68">
        <f ca="1">M26*'1.a Assumptions'!$C$13*'2.d Decrements'!E22</f>
        <v>347.53401644621221</v>
      </c>
      <c r="Q26" s="68">
        <f ca="1">L27*('2.d Decrements'!G22+'2.d Decrements'!H22)</f>
        <v>0</v>
      </c>
      <c r="R26" s="68">
        <f ca="1">L26*$D$11*'2.d Decrements'!F22</f>
        <v>0</v>
      </c>
      <c r="S26" s="68">
        <f ca="1">O26-L27*'2.d Decrements'!D22</f>
        <v>-1072.1985747242034</v>
      </c>
      <c r="T26" s="68">
        <f ca="1">IF(B27&lt;=$T$13,OFFSET('2.d Decrements'!$K$11,0,$T$13-B26),"")</f>
        <v>14.399999999999999</v>
      </c>
      <c r="W26" s="69">
        <f t="shared" ca="1" si="4"/>
        <v>3859.308659734219</v>
      </c>
      <c r="X26" s="70">
        <f t="shared" ca="1" si="5"/>
        <v>5.0022208597511053E-12</v>
      </c>
      <c r="Y26" s="95"/>
      <c r="Z26" s="96">
        <f ca="1">IF(W26="","",J26/'1.c PUC_Projection'!H28)</f>
        <v>0.79516222196819952</v>
      </c>
      <c r="AA26" s="96">
        <f t="shared" ca="1" si="6"/>
        <v>0.79516222196819919</v>
      </c>
      <c r="AB26" s="97">
        <f t="shared" ca="1" si="9"/>
        <v>3.3306690738754696E-16</v>
      </c>
    </row>
    <row r="27" spans="2:28" ht="15" customHeight="1" x14ac:dyDescent="0.25">
      <c r="B27" s="57">
        <f t="shared" ca="1" si="10"/>
        <v>12</v>
      </c>
      <c r="C27" s="71">
        <f t="shared" ca="1" si="11"/>
        <v>57</v>
      </c>
      <c r="D27" s="72">
        <f t="shared" ca="1" si="12"/>
        <v>0.05</v>
      </c>
      <c r="E27" s="73">
        <f t="shared" ca="1" si="13"/>
        <v>108659.08801190346</v>
      </c>
      <c r="F27" s="62">
        <f t="shared" ca="1" si="14"/>
        <v>1.1257768431897297E-2</v>
      </c>
      <c r="G27" s="62">
        <f t="shared" ca="1" si="14"/>
        <v>0.05</v>
      </c>
      <c r="I27" s="94">
        <f t="shared" ca="1" si="1"/>
        <v>2.784011248674096</v>
      </c>
      <c r="J27" s="63">
        <f t="shared" ca="1" si="2"/>
        <v>3.5517587441111526E-2</v>
      </c>
      <c r="K27" s="65">
        <f t="shared" ca="1" si="3"/>
        <v>3902.7558629327177</v>
      </c>
      <c r="L27" s="64">
        <f t="shared" ca="1" si="7"/>
        <v>62057.930292276455</v>
      </c>
      <c r="M27" s="65">
        <f t="shared" ca="1" si="8"/>
        <v>58241.831210465498</v>
      </c>
      <c r="N27" s="66"/>
      <c r="O27" s="67">
        <f ca="1">IF($C27="",0,
K27*'2.d Decrements'!D23+(O26-P26-Q26-R27)*(1+G26))</f>
        <v>8963.7439575114586</v>
      </c>
      <c r="P27" s="68">
        <f ca="1">M27*'1.a Assumptions'!$C$13*'2.d Decrements'!E23</f>
        <v>374.19935370808525</v>
      </c>
      <c r="Q27" s="68">
        <f ca="1">L28*('2.d Decrements'!G23+'2.d Decrements'!H23)</f>
        <v>0</v>
      </c>
      <c r="R27" s="68">
        <f ca="1">L27*$D$11*'2.d Decrements'!F23</f>
        <v>0</v>
      </c>
      <c r="S27" s="68">
        <f ca="1">O27-L28*'2.d Decrements'!D23</f>
        <v>-896.88464441525684</v>
      </c>
      <c r="T27" s="68">
        <f ca="1">IF(B28&lt;=$T$13,OFFSET('2.d Decrements'!$K$11,0,$T$13-B27),"")</f>
        <v>14.399999999999999</v>
      </c>
      <c r="W27" s="69">
        <f t="shared" ca="1" si="4"/>
        <v>3902.755862932725</v>
      </c>
      <c r="X27" s="70">
        <f t="shared" ca="1" si="5"/>
        <v>7.2759576141834259E-12</v>
      </c>
      <c r="Y27" s="95"/>
      <c r="Z27" s="96">
        <f ca="1">IF(W27="","",J27/'1.c PUC_Projection'!H29)</f>
        <v>0.76582283250372418</v>
      </c>
      <c r="AA27" s="96">
        <f t="shared" ca="1" si="6"/>
        <v>0.76582283250372374</v>
      </c>
      <c r="AB27" s="97">
        <f t="shared" ca="1" si="9"/>
        <v>4.4408920985006262E-16</v>
      </c>
    </row>
    <row r="28" spans="2:28" ht="15" customHeight="1" x14ac:dyDescent="0.25">
      <c r="B28" s="57">
        <f t="shared" ca="1" si="10"/>
        <v>13</v>
      </c>
      <c r="C28" s="71">
        <f t="shared" ca="1" si="11"/>
        <v>58</v>
      </c>
      <c r="D28" s="72">
        <f t="shared" ca="1" si="12"/>
        <v>0.05</v>
      </c>
      <c r="E28" s="73">
        <f t="shared" ca="1" si="13"/>
        <v>109882.34686276261</v>
      </c>
      <c r="F28" s="62">
        <f t="shared" ca="1" si="14"/>
        <v>1.1257768431897297E-2</v>
      </c>
      <c r="G28" s="62">
        <f t="shared" ca="1" si="14"/>
        <v>0.05</v>
      </c>
      <c r="I28" s="94">
        <f t="shared" ca="1" si="1"/>
        <v>1.8906693252311599</v>
      </c>
      <c r="J28" s="63">
        <f t="shared" ca="1" si="2"/>
        <v>3.5517587441111526E-2</v>
      </c>
      <c r="K28" s="65">
        <f t="shared" ca="1" si="3"/>
        <v>3946.6921846838436</v>
      </c>
      <c r="L28" s="64">
        <f t="shared" ca="1" si="7"/>
        <v>69063.582669823008</v>
      </c>
      <c r="M28" s="65">
        <f t="shared" ca="1" si="8"/>
        <v>66250.083001904495</v>
      </c>
      <c r="N28" s="66"/>
      <c r="O28" s="67">
        <f ca="1">IF($C28="",0,
K28*'2.d Decrements'!D24+(O27-P27-Q27-R28)*(1+G27))</f>
        <v>9548.7055323302739</v>
      </c>
      <c r="P28" s="68">
        <f ca="1">M28*'1.a Assumptions'!$C$13*'2.d Decrements'!E24</f>
        <v>400.11265895237011</v>
      </c>
      <c r="Q28" s="68">
        <f ca="1">L29*('2.d Decrements'!G24+'2.d Decrements'!H24)</f>
        <v>0</v>
      </c>
      <c r="R28" s="68">
        <f ca="1">L28*$D$11*'2.d Decrements'!F24</f>
        <v>0</v>
      </c>
      <c r="S28" s="68">
        <f ca="1">O28-L29*'2.d Decrements'!D24</f>
        <v>-713.41859610812571</v>
      </c>
      <c r="T28" s="68">
        <f ca="1">IF(B29&lt;=$T$13,OFFSET('2.d Decrements'!$K$11,0,$T$13-B28),"")</f>
        <v>14.399999999999999</v>
      </c>
      <c r="W28" s="69">
        <f t="shared" ca="1" si="4"/>
        <v>3946.6921846838377</v>
      </c>
      <c r="X28" s="70">
        <f t="shared" ca="1" si="5"/>
        <v>-5.9117155615240335E-12</v>
      </c>
      <c r="Y28" s="95"/>
      <c r="Z28" s="96">
        <f ca="1">IF(W28="","",J28/'1.c PUC_Projection'!H30)</f>
        <v>0.7375659891542008</v>
      </c>
      <c r="AA28" s="96">
        <f t="shared" ca="1" si="6"/>
        <v>0.73756598915420035</v>
      </c>
      <c r="AB28" s="97">
        <f t="shared" ca="1" si="9"/>
        <v>4.4408920985006262E-16</v>
      </c>
    </row>
    <row r="29" spans="2:28" ht="15" customHeight="1" x14ac:dyDescent="0.25">
      <c r="B29" s="57">
        <f t="shared" ca="1" si="10"/>
        <v>14</v>
      </c>
      <c r="C29" s="71">
        <f t="shared" ca="1" si="11"/>
        <v>59</v>
      </c>
      <c r="D29" s="72">
        <f t="shared" ca="1" si="12"/>
        <v>0.05</v>
      </c>
      <c r="E29" s="73">
        <f t="shared" ca="1" si="13"/>
        <v>111119.37687849702</v>
      </c>
      <c r="F29" s="62">
        <f t="shared" ca="1" si="14"/>
        <v>1.1257768431897297E-2</v>
      </c>
      <c r="G29" s="62">
        <f t="shared" ca="1" si="14"/>
        <v>0.05</v>
      </c>
      <c r="I29" s="94">
        <f t="shared" ca="1" si="1"/>
        <v>0.96310263660180584</v>
      </c>
      <c r="J29" s="63">
        <f t="shared" ca="1" si="2"/>
        <v>3.5517587441111526E-2</v>
      </c>
      <c r="K29" s="65">
        <f t="shared" ca="1" si="3"/>
        <v>3991.1231313709936</v>
      </c>
      <c r="L29" s="64">
        <f t="shared" ca="1" si="7"/>
        <v>76463.453987998</v>
      </c>
      <c r="M29" s="65">
        <f t="shared" ca="1" si="8"/>
        <v>74913.555394461247</v>
      </c>
      <c r="N29" s="66"/>
      <c r="O29" s="67">
        <f ca="1">IF($C29="",0,
K29*'2.d Decrements'!D25+(O28-P28-Q28-R29)*(1+G28))</f>
        <v>10109.530466516273</v>
      </c>
      <c r="P29" s="68">
        <f ca="1">M29*'1.a Assumptions'!$C$13*'2.d Decrements'!E25</f>
        <v>0</v>
      </c>
      <c r="Q29" s="68">
        <f ca="1">L30*('2.d Decrements'!G25+'2.d Decrements'!H25)</f>
        <v>10632.224464238176</v>
      </c>
      <c r="R29" s="68">
        <f ca="1">L29*$D$11*'2.d Decrements'!F25</f>
        <v>0</v>
      </c>
      <c r="S29" s="68">
        <f ca="1">O29-L30*'2.d Decrements'!D25</f>
        <v>-522.69399772190263</v>
      </c>
      <c r="T29" s="68">
        <f ca="1">IF(B30&lt;=$T$13,OFFSET('2.d Decrements'!$K$11,0,$T$13-B29),"")</f>
        <v>240</v>
      </c>
      <c r="W29" s="69">
        <f t="shared" ca="1" si="4"/>
        <v>3991.1231313710014</v>
      </c>
      <c r="X29" s="70">
        <f t="shared" ca="1" si="5"/>
        <v>7.73070496506989E-12</v>
      </c>
      <c r="Y29" s="95"/>
      <c r="Z29" s="96">
        <f ca="1">IF(W29="","",J29/'1.c PUC_Projection'!H31)</f>
        <v>0.71035174882223051</v>
      </c>
      <c r="AA29" s="96">
        <f t="shared" ca="1" si="6"/>
        <v>0.71035174882223007</v>
      </c>
      <c r="AB29" s="97">
        <f t="shared" ca="1" si="9"/>
        <v>4.4408920985006262E-16</v>
      </c>
    </row>
    <row r="30" spans="2:28" ht="15" customHeight="1" x14ac:dyDescent="0.25">
      <c r="B30" s="57">
        <f t="shared" ca="1" si="10"/>
        <v>15</v>
      </c>
      <c r="C30" s="71">
        <f t="shared" ca="1" si="11"/>
        <v>60</v>
      </c>
      <c r="D30" s="72">
        <f t="shared" ca="1" si="12"/>
        <v>0.05</v>
      </c>
      <c r="E30" s="73">
        <f t="shared" ca="1" si="13"/>
        <v>112370.33309169186</v>
      </c>
      <c r="F30" s="62">
        <f t="shared" ca="1" si="14"/>
        <v>1.1257768431897297E-2</v>
      </c>
      <c r="G30" s="62">
        <f t="shared" ca="1" si="14"/>
        <v>0.05</v>
      </c>
      <c r="I30" s="94">
        <f t="shared" ca="1" si="1"/>
        <v>0</v>
      </c>
      <c r="J30" s="63">
        <f t="shared" ca="1" si="2"/>
        <v>3.5517587441111526E-2</v>
      </c>
      <c r="K30" s="65">
        <f t="shared" ca="1" si="3"/>
        <v>0</v>
      </c>
      <c r="L30" s="64">
        <f t="shared" ca="1" si="7"/>
        <v>84277.749818768905</v>
      </c>
      <c r="M30" s="65">
        <f t="shared" ca="1" si="8"/>
        <v>84277.749818768905</v>
      </c>
      <c r="N30" s="66"/>
      <c r="O30" s="67">
        <f ca="1">IF($C30="",0,
K30*'2.d Decrements'!D26+(O29-P29-Q29-R30)*(1+G29))</f>
        <v>-548.82869760799781</v>
      </c>
      <c r="P30" s="68">
        <f ca="1">M30*'1.a Assumptions'!$C$13*'2.d Decrements'!E26</f>
        <v>0</v>
      </c>
      <c r="Q30" s="68">
        <f ca="1">L31*('2.d Decrements'!G26+'2.d Decrements'!H26)</f>
        <v>0</v>
      </c>
      <c r="R30" s="68">
        <f ca="1">L30*$D$11*'2.d Decrements'!F26</f>
        <v>0</v>
      </c>
      <c r="S30" s="68">
        <f ca="1">O30-L31*'2.d Decrements'!D26</f>
        <v>-548.82869760799781</v>
      </c>
      <c r="T30" s="68" t="str">
        <f ca="1">IF(B31&lt;=$T$13,OFFSET('2.d Decrements'!$K$11,0,$T$13-B30),"")</f>
        <v/>
      </c>
      <c r="W30" s="69" t="str">
        <f t="shared" ca="1" si="4"/>
        <v/>
      </c>
      <c r="X30" s="70" t="str">
        <f t="shared" ca="1" si="5"/>
        <v/>
      </c>
      <c r="Y30" s="95"/>
      <c r="Z30" s="96" t="str">
        <f ca="1">IF(W30="","",J30/'1.c PUC_Projection'!H32)</f>
        <v/>
      </c>
      <c r="AA30" s="96" t="str">
        <f t="shared" ca="1" si="6"/>
        <v/>
      </c>
      <c r="AB30" s="97" t="str">
        <f t="shared" ca="1" si="9"/>
        <v/>
      </c>
    </row>
    <row r="31" spans="2:28" ht="15" customHeight="1" x14ac:dyDescent="0.25">
      <c r="B31" s="57" t="str">
        <f t="shared" ca="1" si="10"/>
        <v/>
      </c>
      <c r="C31" s="71" t="str">
        <f t="shared" ca="1" si="11"/>
        <v/>
      </c>
      <c r="D31" s="72" t="str">
        <f t="shared" ca="1" si="12"/>
        <v/>
      </c>
      <c r="E31" s="73" t="str">
        <f t="shared" ca="1" si="13"/>
        <v/>
      </c>
      <c r="F31" s="62" t="str">
        <f t="shared" ca="1" si="14"/>
        <v/>
      </c>
      <c r="G31" s="62" t="str">
        <f t="shared" ca="1" si="14"/>
        <v/>
      </c>
      <c r="I31" s="94">
        <f t="shared" ca="1" si="1"/>
        <v>0</v>
      </c>
      <c r="J31" s="63" t="str">
        <f t="shared" ca="1" si="2"/>
        <v/>
      </c>
      <c r="K31" s="65">
        <f t="shared" ca="1" si="3"/>
        <v>0</v>
      </c>
      <c r="L31" s="64">
        <f t="shared" ca="1" si="7"/>
        <v>0</v>
      </c>
      <c r="M31" s="65">
        <f t="shared" ca="1" si="8"/>
        <v>0</v>
      </c>
      <c r="N31" s="66"/>
      <c r="O31" s="67">
        <f ca="1">IF($C31="",0,
K31*'2.d Decrements'!D27+(O30-P30-Q30-R31)*(1+G30))</f>
        <v>0</v>
      </c>
      <c r="P31" s="68">
        <f ca="1">M31*'1.a Assumptions'!$C$13*'2.d Decrements'!E27</f>
        <v>0</v>
      </c>
      <c r="Q31" s="68">
        <f ca="1">L32*('2.d Decrements'!G27+'2.d Decrements'!H27)</f>
        <v>0</v>
      </c>
      <c r="R31" s="68">
        <f ca="1">L31*$D$11*'2.d Decrements'!F27</f>
        <v>0</v>
      </c>
      <c r="S31" s="68">
        <f ca="1">O31-L32*'2.d Decrements'!D27</f>
        <v>0</v>
      </c>
      <c r="T31" s="68" t="str">
        <f ca="1">IF(B32&lt;=$T$13,OFFSET('2.d Decrements'!$K$11,0,$T$13-B31),"")</f>
        <v/>
      </c>
      <c r="W31" s="69" t="str">
        <f t="shared" ca="1" si="4"/>
        <v/>
      </c>
      <c r="X31" s="70" t="str">
        <f t="shared" ca="1" si="5"/>
        <v/>
      </c>
      <c r="Y31" s="95"/>
      <c r="Z31" s="96" t="str">
        <f ca="1">IF(W31="","",J31/'1.c PUC_Projection'!H33)</f>
        <v/>
      </c>
      <c r="AA31" s="96" t="str">
        <f t="shared" ca="1" si="6"/>
        <v/>
      </c>
      <c r="AB31" s="97" t="str">
        <f t="shared" ca="1" si="9"/>
        <v/>
      </c>
    </row>
    <row r="32" spans="2:28" ht="15" customHeight="1" x14ac:dyDescent="0.25">
      <c r="B32" s="57" t="str">
        <f t="shared" ca="1" si="10"/>
        <v/>
      </c>
      <c r="C32" s="71" t="str">
        <f t="shared" ca="1" si="11"/>
        <v/>
      </c>
      <c r="D32" s="72" t="str">
        <f t="shared" ca="1" si="12"/>
        <v/>
      </c>
      <c r="E32" s="73" t="str">
        <f t="shared" ca="1" si="13"/>
        <v/>
      </c>
      <c r="F32" s="62" t="str">
        <f t="shared" ca="1" si="14"/>
        <v/>
      </c>
      <c r="G32" s="62" t="str">
        <f t="shared" ca="1" si="14"/>
        <v/>
      </c>
      <c r="I32" s="94">
        <f t="shared" ca="1" si="1"/>
        <v>0</v>
      </c>
      <c r="J32" s="63" t="str">
        <f t="shared" ca="1" si="2"/>
        <v/>
      </c>
      <c r="K32" s="65">
        <f t="shared" ca="1" si="3"/>
        <v>0</v>
      </c>
      <c r="L32" s="64">
        <f t="shared" ca="1" si="7"/>
        <v>0</v>
      </c>
      <c r="M32" s="65">
        <f t="shared" ca="1" si="8"/>
        <v>0</v>
      </c>
      <c r="N32" s="66"/>
      <c r="O32" s="67">
        <f ca="1">IF($C32="",0,
K32*'2.d Decrements'!D28+(O31-P31-Q31-R32)*(1+G31))</f>
        <v>0</v>
      </c>
      <c r="P32" s="68">
        <f ca="1">M32*'1.a Assumptions'!$C$13*'2.d Decrements'!E28</f>
        <v>0</v>
      </c>
      <c r="Q32" s="68">
        <f ca="1">L33*('2.d Decrements'!G28+'2.d Decrements'!H28)</f>
        <v>0</v>
      </c>
      <c r="R32" s="68">
        <f ca="1">L32*$D$11*'2.d Decrements'!F28</f>
        <v>0</v>
      </c>
      <c r="S32" s="68">
        <f ca="1">O32-L33*'2.d Decrements'!D28</f>
        <v>0</v>
      </c>
      <c r="T32" s="68" t="str">
        <f ca="1">IF(B33&lt;=$T$13,OFFSET('2.d Decrements'!$K$11,0,$T$13-B32),"")</f>
        <v/>
      </c>
      <c r="W32" s="69" t="str">
        <f t="shared" ca="1" si="4"/>
        <v/>
      </c>
      <c r="X32" s="70" t="str">
        <f t="shared" ca="1" si="5"/>
        <v/>
      </c>
      <c r="Y32" s="95"/>
      <c r="Z32" s="96" t="str">
        <f ca="1">IF(W32="","",J32/'1.c PUC_Projection'!H34)</f>
        <v/>
      </c>
      <c r="AA32" s="96" t="str">
        <f t="shared" ca="1" si="6"/>
        <v/>
      </c>
      <c r="AB32" s="97" t="str">
        <f t="shared" ca="1" si="9"/>
        <v/>
      </c>
    </row>
    <row r="33" spans="2:28" ht="15" customHeight="1" x14ac:dyDescent="0.25">
      <c r="B33" s="57" t="str">
        <f t="shared" ca="1" si="10"/>
        <v/>
      </c>
      <c r="C33" s="71" t="str">
        <f t="shared" ca="1" si="11"/>
        <v/>
      </c>
      <c r="D33" s="72" t="str">
        <f t="shared" ca="1" si="12"/>
        <v/>
      </c>
      <c r="E33" s="73" t="str">
        <f t="shared" ca="1" si="13"/>
        <v/>
      </c>
      <c r="F33" s="62" t="str">
        <f t="shared" ref="F33:G48" ca="1" si="15">IF($C33="","",F32)</f>
        <v/>
      </c>
      <c r="G33" s="62" t="str">
        <f t="shared" ca="1" si="15"/>
        <v/>
      </c>
      <c r="I33" s="94">
        <f t="shared" ca="1" si="1"/>
        <v>0</v>
      </c>
      <c r="J33" s="63" t="str">
        <f t="shared" ca="1" si="2"/>
        <v/>
      </c>
      <c r="K33" s="65">
        <f t="shared" ca="1" si="3"/>
        <v>0</v>
      </c>
      <c r="L33" s="64">
        <f t="shared" ca="1" si="7"/>
        <v>0</v>
      </c>
      <c r="M33" s="65">
        <f t="shared" ca="1" si="8"/>
        <v>0</v>
      </c>
      <c r="N33" s="66"/>
      <c r="O33" s="67">
        <f ca="1">IF($C33="",0,
K33*'2.d Decrements'!D29+(O32-P32-Q32-R33)*(1+G32))</f>
        <v>0</v>
      </c>
      <c r="P33" s="68">
        <f ca="1">M33*'1.a Assumptions'!$C$13*'2.d Decrements'!E29</f>
        <v>0</v>
      </c>
      <c r="Q33" s="68">
        <f ca="1">L34*('2.d Decrements'!G29+'2.d Decrements'!H29)</f>
        <v>0</v>
      </c>
      <c r="R33" s="68">
        <f ca="1">L33*$D$11*'2.d Decrements'!F29</f>
        <v>0</v>
      </c>
      <c r="S33" s="68">
        <f ca="1">O33-L34*'2.d Decrements'!D29</f>
        <v>0</v>
      </c>
      <c r="T33" s="68" t="str">
        <f ca="1">IF(B34&lt;=$T$13,OFFSET('2.d Decrements'!$K$11,0,$T$13-B33),"")</f>
        <v/>
      </c>
      <c r="W33" s="69" t="str">
        <f t="shared" ca="1" si="4"/>
        <v/>
      </c>
      <c r="X33" s="70" t="str">
        <f t="shared" ca="1" si="5"/>
        <v/>
      </c>
      <c r="Y33" s="95"/>
      <c r="Z33" s="96" t="str">
        <f ca="1">IF(W33="","",J33/'1.c PUC_Projection'!H35)</f>
        <v/>
      </c>
      <c r="AA33" s="96" t="str">
        <f t="shared" ca="1" si="6"/>
        <v/>
      </c>
      <c r="AB33" s="97" t="str">
        <f t="shared" ca="1" si="9"/>
        <v/>
      </c>
    </row>
    <row r="34" spans="2:28" ht="15" customHeight="1" x14ac:dyDescent="0.25">
      <c r="B34" s="57" t="str">
        <f t="shared" ca="1" si="10"/>
        <v/>
      </c>
      <c r="C34" s="71" t="str">
        <f t="shared" ca="1" si="11"/>
        <v/>
      </c>
      <c r="D34" s="72" t="str">
        <f t="shared" ca="1" si="12"/>
        <v/>
      </c>
      <c r="E34" s="73" t="str">
        <f t="shared" ca="1" si="13"/>
        <v/>
      </c>
      <c r="F34" s="62" t="str">
        <f t="shared" ca="1" si="15"/>
        <v/>
      </c>
      <c r="G34" s="62" t="str">
        <f t="shared" ca="1" si="15"/>
        <v/>
      </c>
      <c r="I34" s="94">
        <f t="shared" ca="1" si="1"/>
        <v>0</v>
      </c>
      <c r="J34" s="63" t="str">
        <f t="shared" ca="1" si="2"/>
        <v/>
      </c>
      <c r="K34" s="65">
        <f t="shared" ca="1" si="3"/>
        <v>0</v>
      </c>
      <c r="L34" s="64">
        <f t="shared" ca="1" si="7"/>
        <v>0</v>
      </c>
      <c r="M34" s="65">
        <f t="shared" ca="1" si="8"/>
        <v>0</v>
      </c>
      <c r="N34" s="66"/>
      <c r="O34" s="67">
        <f ca="1">IF($C34="",0,
K34*'2.d Decrements'!D30+(O33-P33-Q33-R34)*(1+G33))</f>
        <v>0</v>
      </c>
      <c r="P34" s="68">
        <f ca="1">M34*'1.a Assumptions'!$C$13*'2.d Decrements'!E30</f>
        <v>0</v>
      </c>
      <c r="Q34" s="68">
        <f ca="1">L35*('2.d Decrements'!G30+'2.d Decrements'!H30)</f>
        <v>0</v>
      </c>
      <c r="R34" s="68">
        <f ca="1">L34*$D$11*'2.d Decrements'!F30</f>
        <v>0</v>
      </c>
      <c r="S34" s="68">
        <f ca="1">O34-L35*'2.d Decrements'!D30</f>
        <v>0</v>
      </c>
      <c r="T34" s="68" t="str">
        <f ca="1">IF(B35&lt;=$T$13,OFFSET('2.d Decrements'!$K$11,0,$T$13-B34),"")</f>
        <v/>
      </c>
      <c r="W34" s="69" t="str">
        <f t="shared" ca="1" si="4"/>
        <v/>
      </c>
      <c r="X34" s="70" t="str">
        <f t="shared" ca="1" si="5"/>
        <v/>
      </c>
      <c r="Y34" s="95"/>
      <c r="Z34" s="96" t="str">
        <f ca="1">IF(W34="","",J34/'1.c PUC_Projection'!H36)</f>
        <v/>
      </c>
      <c r="AA34" s="96" t="str">
        <f t="shared" ca="1" si="6"/>
        <v/>
      </c>
      <c r="AB34" s="97" t="str">
        <f t="shared" ca="1" si="9"/>
        <v/>
      </c>
    </row>
    <row r="35" spans="2:28" ht="15" customHeight="1" x14ac:dyDescent="0.25">
      <c r="B35" s="57" t="str">
        <f t="shared" ca="1" si="10"/>
        <v/>
      </c>
      <c r="C35" s="71" t="str">
        <f t="shared" ca="1" si="11"/>
        <v/>
      </c>
      <c r="D35" s="72" t="str">
        <f t="shared" ca="1" si="12"/>
        <v/>
      </c>
      <c r="E35" s="73" t="str">
        <f t="shared" ca="1" si="13"/>
        <v/>
      </c>
      <c r="F35" s="62" t="str">
        <f t="shared" ca="1" si="15"/>
        <v/>
      </c>
      <c r="G35" s="62" t="str">
        <f t="shared" ca="1" si="15"/>
        <v/>
      </c>
      <c r="I35" s="94">
        <f t="shared" ca="1" si="1"/>
        <v>0</v>
      </c>
      <c r="J35" s="63" t="str">
        <f t="shared" ca="1" si="2"/>
        <v/>
      </c>
      <c r="K35" s="65">
        <f t="shared" ca="1" si="3"/>
        <v>0</v>
      </c>
      <c r="L35" s="64">
        <f t="shared" ca="1" si="7"/>
        <v>0</v>
      </c>
      <c r="M35" s="65">
        <f t="shared" ca="1" si="8"/>
        <v>0</v>
      </c>
      <c r="N35" s="66"/>
      <c r="O35" s="67">
        <f ca="1">IF($C35="",0,
K35*'2.d Decrements'!D31+(O34-P34-Q34-R35)*(1+G34))</f>
        <v>0</v>
      </c>
      <c r="P35" s="68">
        <f ca="1">M35*'1.a Assumptions'!$C$13*'2.d Decrements'!E31</f>
        <v>0</v>
      </c>
      <c r="Q35" s="68">
        <f ca="1">L36*('2.d Decrements'!G31+'2.d Decrements'!H31)</f>
        <v>0</v>
      </c>
      <c r="R35" s="68">
        <f ca="1">L35*$D$11*'2.d Decrements'!F31</f>
        <v>0</v>
      </c>
      <c r="S35" s="68">
        <f ca="1">O35-L36*'2.d Decrements'!D31</f>
        <v>0</v>
      </c>
      <c r="T35" s="68" t="str">
        <f ca="1">IF(B36&lt;=$T$13,OFFSET('2.d Decrements'!$K$11,0,$T$13-B35),"")</f>
        <v/>
      </c>
      <c r="W35" s="69" t="str">
        <f t="shared" ca="1" si="4"/>
        <v/>
      </c>
      <c r="X35" s="70" t="str">
        <f t="shared" ca="1" si="5"/>
        <v/>
      </c>
      <c r="Y35" s="95"/>
      <c r="Z35" s="96" t="str">
        <f ca="1">IF(W35="","",J35/'1.c PUC_Projection'!H37)</f>
        <v/>
      </c>
      <c r="AA35" s="96" t="str">
        <f t="shared" ca="1" si="6"/>
        <v/>
      </c>
      <c r="AB35" s="97" t="str">
        <f t="shared" ca="1" si="9"/>
        <v/>
      </c>
    </row>
    <row r="36" spans="2:28" ht="15" customHeight="1" x14ac:dyDescent="0.25">
      <c r="B36" s="57" t="str">
        <f t="shared" ca="1" si="10"/>
        <v/>
      </c>
      <c r="C36" s="71" t="str">
        <f t="shared" ca="1" si="11"/>
        <v/>
      </c>
      <c r="D36" s="72" t="str">
        <f t="shared" ca="1" si="12"/>
        <v/>
      </c>
      <c r="E36" s="73" t="str">
        <f t="shared" ca="1" si="13"/>
        <v/>
      </c>
      <c r="F36" s="62" t="str">
        <f t="shared" ca="1" si="15"/>
        <v/>
      </c>
      <c r="G36" s="62" t="str">
        <f t="shared" ca="1" si="15"/>
        <v/>
      </c>
      <c r="I36" s="94">
        <f t="shared" ca="1" si="1"/>
        <v>0</v>
      </c>
      <c r="J36" s="63" t="str">
        <f t="shared" ca="1" si="2"/>
        <v/>
      </c>
      <c r="K36" s="65">
        <f t="shared" ca="1" si="3"/>
        <v>0</v>
      </c>
      <c r="L36" s="64">
        <f t="shared" ca="1" si="7"/>
        <v>0</v>
      </c>
      <c r="M36" s="65">
        <f t="shared" ca="1" si="8"/>
        <v>0</v>
      </c>
      <c r="N36" s="66"/>
      <c r="O36" s="67">
        <f ca="1">IF($C36="",0,
K36*'2.d Decrements'!D32+(O35-P35-Q35-R36)*(1+G35))</f>
        <v>0</v>
      </c>
      <c r="P36" s="68">
        <f ca="1">M36*'1.a Assumptions'!$C$13*'2.d Decrements'!E32</f>
        <v>0</v>
      </c>
      <c r="Q36" s="68">
        <f ca="1">L37*('2.d Decrements'!G32+'2.d Decrements'!H32)</f>
        <v>0</v>
      </c>
      <c r="R36" s="68">
        <f ca="1">L36*$D$11*'2.d Decrements'!F32</f>
        <v>0</v>
      </c>
      <c r="S36" s="68">
        <f ca="1">O36-L37*'2.d Decrements'!D32</f>
        <v>0</v>
      </c>
      <c r="T36" s="68" t="str">
        <f ca="1">IF(B37&lt;=$T$13,OFFSET('2.d Decrements'!$K$11,0,$T$13-B36),"")</f>
        <v/>
      </c>
      <c r="W36" s="69" t="str">
        <f t="shared" ca="1" si="4"/>
        <v/>
      </c>
      <c r="X36" s="70" t="str">
        <f t="shared" ca="1" si="5"/>
        <v/>
      </c>
      <c r="Y36" s="95"/>
      <c r="Z36" s="96" t="str">
        <f ca="1">IF(W36="","",J36/'1.c PUC_Projection'!H38)</f>
        <v/>
      </c>
      <c r="AA36" s="96" t="str">
        <f t="shared" ca="1" si="6"/>
        <v/>
      </c>
      <c r="AB36" s="97" t="str">
        <f t="shared" ca="1" si="9"/>
        <v/>
      </c>
    </row>
    <row r="37" spans="2:28" ht="15" customHeight="1" x14ac:dyDescent="0.25">
      <c r="B37" s="57" t="str">
        <f t="shared" ca="1" si="10"/>
        <v/>
      </c>
      <c r="C37" s="71" t="str">
        <f t="shared" ca="1" si="11"/>
        <v/>
      </c>
      <c r="D37" s="72" t="str">
        <f t="shared" ca="1" si="12"/>
        <v/>
      </c>
      <c r="E37" s="73" t="str">
        <f t="shared" ca="1" si="13"/>
        <v/>
      </c>
      <c r="F37" s="62" t="str">
        <f t="shared" ca="1" si="15"/>
        <v/>
      </c>
      <c r="G37" s="62" t="str">
        <f t="shared" ca="1" si="15"/>
        <v/>
      </c>
      <c r="I37" s="94">
        <f t="shared" ca="1" si="1"/>
        <v>0</v>
      </c>
      <c r="J37" s="63" t="str">
        <f t="shared" ca="1" si="2"/>
        <v/>
      </c>
      <c r="K37" s="65">
        <f t="shared" ca="1" si="3"/>
        <v>0</v>
      </c>
      <c r="L37" s="64">
        <f t="shared" ca="1" si="7"/>
        <v>0</v>
      </c>
      <c r="M37" s="65">
        <f t="shared" ca="1" si="8"/>
        <v>0</v>
      </c>
      <c r="N37" s="66"/>
      <c r="O37" s="67">
        <f ca="1">IF($C37="",0,
K37*'2.d Decrements'!D33+(O36-P36-Q36-R37)*(1+G36))</f>
        <v>0</v>
      </c>
      <c r="P37" s="68">
        <f ca="1">M37*'1.a Assumptions'!$C$13*'2.d Decrements'!E33</f>
        <v>0</v>
      </c>
      <c r="Q37" s="68">
        <f ca="1">L38*('2.d Decrements'!G33+'2.d Decrements'!H33)</f>
        <v>0</v>
      </c>
      <c r="R37" s="68">
        <f ca="1">L37*$D$11*'2.d Decrements'!F33</f>
        <v>0</v>
      </c>
      <c r="S37" s="68">
        <f ca="1">O37-L38*'2.d Decrements'!D33</f>
        <v>0</v>
      </c>
      <c r="T37" s="68" t="str">
        <f ca="1">IF(B38&lt;=$T$13,OFFSET('2.d Decrements'!$K$11,0,$T$13-B37),"")</f>
        <v/>
      </c>
      <c r="W37" s="69" t="str">
        <f t="shared" ca="1" si="4"/>
        <v/>
      </c>
      <c r="X37" s="70" t="str">
        <f t="shared" ca="1" si="5"/>
        <v/>
      </c>
      <c r="Y37" s="95"/>
      <c r="Z37" s="96" t="str">
        <f ca="1">IF(W37="","",J37/'1.c PUC_Projection'!H39)</f>
        <v/>
      </c>
      <c r="AA37" s="96" t="str">
        <f t="shared" ca="1" si="6"/>
        <v/>
      </c>
      <c r="AB37" s="97" t="str">
        <f t="shared" ca="1" si="9"/>
        <v/>
      </c>
    </row>
    <row r="38" spans="2:28" ht="15" customHeight="1" x14ac:dyDescent="0.25">
      <c r="B38" s="57" t="str">
        <f t="shared" ca="1" si="10"/>
        <v/>
      </c>
      <c r="C38" s="71" t="str">
        <f t="shared" ca="1" si="11"/>
        <v/>
      </c>
      <c r="D38" s="72" t="str">
        <f t="shared" ca="1" si="12"/>
        <v/>
      </c>
      <c r="E38" s="73" t="str">
        <f t="shared" ca="1" si="13"/>
        <v/>
      </c>
      <c r="F38" s="62" t="str">
        <f t="shared" ca="1" si="15"/>
        <v/>
      </c>
      <c r="G38" s="62" t="str">
        <f t="shared" ca="1" si="15"/>
        <v/>
      </c>
      <c r="I38" s="94">
        <f t="shared" ca="1" si="1"/>
        <v>0</v>
      </c>
      <c r="J38" s="63" t="str">
        <f t="shared" ca="1" si="2"/>
        <v/>
      </c>
      <c r="K38" s="65">
        <f t="shared" ca="1" si="3"/>
        <v>0</v>
      </c>
      <c r="L38" s="64">
        <f t="shared" ca="1" si="7"/>
        <v>0</v>
      </c>
      <c r="M38" s="65">
        <f t="shared" ca="1" si="8"/>
        <v>0</v>
      </c>
      <c r="N38" s="66"/>
      <c r="O38" s="67">
        <f ca="1">IF($C38="",0,
K38*'2.d Decrements'!D34+(O37-P37-Q37-R38)*(1+G37))</f>
        <v>0</v>
      </c>
      <c r="P38" s="68">
        <f ca="1">M38*'1.a Assumptions'!$C$13*'2.d Decrements'!E34</f>
        <v>0</v>
      </c>
      <c r="Q38" s="68">
        <f ca="1">L39*('2.d Decrements'!G34+'2.d Decrements'!H34)</f>
        <v>0</v>
      </c>
      <c r="R38" s="68">
        <f ca="1">L38*$D$11*'2.d Decrements'!F34</f>
        <v>0</v>
      </c>
      <c r="S38" s="68">
        <f ca="1">O38-L39*'2.d Decrements'!D34</f>
        <v>0</v>
      </c>
      <c r="T38" s="68" t="str">
        <f ca="1">IF(B39&lt;=$T$13,OFFSET('2.d Decrements'!$K$11,0,$T$13-B38),"")</f>
        <v/>
      </c>
      <c r="W38" s="69" t="str">
        <f t="shared" ca="1" si="4"/>
        <v/>
      </c>
      <c r="X38" s="70" t="str">
        <f t="shared" ca="1" si="5"/>
        <v/>
      </c>
      <c r="Y38" s="95"/>
      <c r="Z38" s="96" t="str">
        <f ca="1">IF(W38="","",J38/'1.c PUC_Projection'!H40)</f>
        <v/>
      </c>
      <c r="AA38" s="96" t="str">
        <f t="shared" ca="1" si="6"/>
        <v/>
      </c>
      <c r="AB38" s="97" t="str">
        <f t="shared" ca="1" si="9"/>
        <v/>
      </c>
    </row>
    <row r="39" spans="2:28" ht="15" customHeight="1" x14ac:dyDescent="0.25">
      <c r="B39" s="57" t="str">
        <f t="shared" ca="1" si="10"/>
        <v/>
      </c>
      <c r="C39" s="71" t="str">
        <f t="shared" ca="1" si="11"/>
        <v/>
      </c>
      <c r="D39" s="72" t="str">
        <f t="shared" ca="1" si="12"/>
        <v/>
      </c>
      <c r="E39" s="73" t="str">
        <f t="shared" ca="1" si="13"/>
        <v/>
      </c>
      <c r="F39" s="62" t="str">
        <f t="shared" ca="1" si="15"/>
        <v/>
      </c>
      <c r="G39" s="62" t="str">
        <f t="shared" ca="1" si="15"/>
        <v/>
      </c>
      <c r="I39" s="94">
        <f t="shared" ca="1" si="1"/>
        <v>0</v>
      </c>
      <c r="J39" s="63" t="str">
        <f t="shared" ca="1" si="2"/>
        <v/>
      </c>
      <c r="K39" s="65">
        <f t="shared" ca="1" si="3"/>
        <v>0</v>
      </c>
      <c r="L39" s="64">
        <f t="shared" ca="1" si="7"/>
        <v>0</v>
      </c>
      <c r="M39" s="65">
        <f t="shared" ca="1" si="8"/>
        <v>0</v>
      </c>
      <c r="N39" s="66"/>
      <c r="O39" s="67">
        <f ca="1">IF($C39="",0,
K39*'2.d Decrements'!D35+(O38-P38-Q38-R39)*(1+G38))</f>
        <v>0</v>
      </c>
      <c r="P39" s="68">
        <f ca="1">M39*'1.a Assumptions'!$C$13*'2.d Decrements'!E35</f>
        <v>0</v>
      </c>
      <c r="Q39" s="68">
        <f ca="1">L40*('2.d Decrements'!G35+'2.d Decrements'!H35)</f>
        <v>0</v>
      </c>
      <c r="R39" s="68">
        <f ca="1">L39*$D$11*'2.d Decrements'!F35</f>
        <v>0</v>
      </c>
      <c r="S39" s="68">
        <f ca="1">O39-L40*'2.d Decrements'!D35</f>
        <v>0</v>
      </c>
      <c r="T39" s="68" t="str">
        <f ca="1">IF(B40&lt;=$T$13,OFFSET('2.d Decrements'!$K$11,0,$T$13-B39),"")</f>
        <v/>
      </c>
      <c r="W39" s="69" t="str">
        <f t="shared" ca="1" si="4"/>
        <v/>
      </c>
      <c r="X39" s="70" t="str">
        <f t="shared" ca="1" si="5"/>
        <v/>
      </c>
      <c r="Y39" s="95"/>
      <c r="Z39" s="96" t="str">
        <f ca="1">IF(W39="","",J39/'1.c PUC_Projection'!H41)</f>
        <v/>
      </c>
      <c r="AA39" s="96" t="str">
        <f t="shared" ca="1" si="6"/>
        <v/>
      </c>
      <c r="AB39" s="97" t="str">
        <f t="shared" ca="1" si="9"/>
        <v/>
      </c>
    </row>
    <row r="40" spans="2:28" ht="15" customHeight="1" x14ac:dyDescent="0.25">
      <c r="B40" s="57" t="str">
        <f t="shared" ca="1" si="10"/>
        <v/>
      </c>
      <c r="C40" s="71" t="str">
        <f t="shared" ca="1" si="11"/>
        <v/>
      </c>
      <c r="D40" s="72" t="str">
        <f t="shared" ca="1" si="12"/>
        <v/>
      </c>
      <c r="E40" s="73" t="str">
        <f t="shared" ca="1" si="13"/>
        <v/>
      </c>
      <c r="F40" s="62" t="str">
        <f t="shared" ca="1" si="15"/>
        <v/>
      </c>
      <c r="G40" s="62" t="str">
        <f t="shared" ca="1" si="15"/>
        <v/>
      </c>
      <c r="I40" s="94">
        <f t="shared" ca="1" si="1"/>
        <v>0</v>
      </c>
      <c r="J40" s="63" t="str">
        <f t="shared" ca="1" si="2"/>
        <v/>
      </c>
      <c r="K40" s="65">
        <f t="shared" ca="1" si="3"/>
        <v>0</v>
      </c>
      <c r="L40" s="64">
        <f t="shared" ca="1" si="7"/>
        <v>0</v>
      </c>
      <c r="M40" s="65">
        <f t="shared" ca="1" si="8"/>
        <v>0</v>
      </c>
      <c r="N40" s="66"/>
      <c r="O40" s="67">
        <f ca="1">IF($C40="",0,
K40*'2.d Decrements'!D36+(O39-P39-Q39-R40)*(1+G39))</f>
        <v>0</v>
      </c>
      <c r="P40" s="68">
        <f ca="1">M40*'1.a Assumptions'!$C$13*'2.d Decrements'!E36</f>
        <v>0</v>
      </c>
      <c r="Q40" s="68">
        <f ca="1">L41*('2.d Decrements'!G36+'2.d Decrements'!H36)</f>
        <v>0</v>
      </c>
      <c r="R40" s="68">
        <f ca="1">L40*$D$11*'2.d Decrements'!F36</f>
        <v>0</v>
      </c>
      <c r="S40" s="68">
        <f ca="1">O40-L41*'2.d Decrements'!D36</f>
        <v>0</v>
      </c>
      <c r="T40" s="68" t="str">
        <f ca="1">IF(B41&lt;=$T$13,OFFSET('2.d Decrements'!$K$11,0,$T$13-B40),"")</f>
        <v/>
      </c>
      <c r="W40" s="69" t="str">
        <f t="shared" ca="1" si="4"/>
        <v/>
      </c>
      <c r="X40" s="70" t="str">
        <f t="shared" ca="1" si="5"/>
        <v/>
      </c>
      <c r="Y40" s="95"/>
      <c r="Z40" s="96" t="str">
        <f ca="1">IF(W40="","",J40/'1.c PUC_Projection'!H42)</f>
        <v/>
      </c>
      <c r="AA40" s="96" t="str">
        <f t="shared" ca="1" si="6"/>
        <v/>
      </c>
      <c r="AB40" s="97" t="str">
        <f t="shared" ca="1" si="9"/>
        <v/>
      </c>
    </row>
    <row r="41" spans="2:28" ht="15" customHeight="1" x14ac:dyDescent="0.25">
      <c r="B41" s="57" t="str">
        <f t="shared" ca="1" si="10"/>
        <v/>
      </c>
      <c r="C41" s="71" t="str">
        <f t="shared" ca="1" si="11"/>
        <v/>
      </c>
      <c r="D41" s="72" t="str">
        <f t="shared" ca="1" si="12"/>
        <v/>
      </c>
      <c r="E41" s="73" t="str">
        <f t="shared" ca="1" si="13"/>
        <v/>
      </c>
      <c r="F41" s="62" t="str">
        <f t="shared" ca="1" si="15"/>
        <v/>
      </c>
      <c r="G41" s="62" t="str">
        <f t="shared" ca="1" si="15"/>
        <v/>
      </c>
      <c r="I41" s="94">
        <f t="shared" ca="1" si="1"/>
        <v>0</v>
      </c>
      <c r="J41" s="63" t="str">
        <f t="shared" ca="1" si="2"/>
        <v/>
      </c>
      <c r="K41" s="65">
        <f t="shared" ca="1" si="3"/>
        <v>0</v>
      </c>
      <c r="L41" s="64">
        <f t="shared" ca="1" si="7"/>
        <v>0</v>
      </c>
      <c r="M41" s="65">
        <f t="shared" ca="1" si="8"/>
        <v>0</v>
      </c>
      <c r="N41" s="66"/>
      <c r="O41" s="67">
        <f ca="1">IF($C41="",0,
K41*'2.d Decrements'!D37+(O40-P40-Q40-R41)*(1+G40))</f>
        <v>0</v>
      </c>
      <c r="P41" s="68">
        <f ca="1">M41*'1.a Assumptions'!$C$13*'2.d Decrements'!E37</f>
        <v>0</v>
      </c>
      <c r="Q41" s="68">
        <f ca="1">L42*('2.d Decrements'!G37+'2.d Decrements'!H37)</f>
        <v>0</v>
      </c>
      <c r="R41" s="68">
        <f ca="1">L41*$D$11*'2.d Decrements'!F37</f>
        <v>0</v>
      </c>
      <c r="S41" s="68">
        <f ca="1">O41-L42*'2.d Decrements'!D37</f>
        <v>0</v>
      </c>
      <c r="T41" s="68" t="str">
        <f ca="1">IF(B42&lt;=$T$13,OFFSET('2.d Decrements'!$K$11,0,$T$13-B41),"")</f>
        <v/>
      </c>
      <c r="W41" s="69" t="str">
        <f t="shared" ca="1" si="4"/>
        <v/>
      </c>
      <c r="X41" s="70" t="str">
        <f t="shared" ca="1" si="5"/>
        <v/>
      </c>
      <c r="Y41" s="95"/>
      <c r="Z41" s="96" t="str">
        <f ca="1">IF(W41="","",J41/'1.c PUC_Projection'!H43)</f>
        <v/>
      </c>
      <c r="AA41" s="96" t="str">
        <f t="shared" ca="1" si="6"/>
        <v/>
      </c>
      <c r="AB41" s="97" t="str">
        <f t="shared" ca="1" si="9"/>
        <v/>
      </c>
    </row>
    <row r="42" spans="2:28" ht="15" customHeight="1" x14ac:dyDescent="0.25">
      <c r="B42" s="57" t="str">
        <f t="shared" ca="1" si="10"/>
        <v/>
      </c>
      <c r="C42" s="71" t="str">
        <f t="shared" ca="1" si="11"/>
        <v/>
      </c>
      <c r="D42" s="72" t="str">
        <f t="shared" ca="1" si="12"/>
        <v/>
      </c>
      <c r="E42" s="73" t="str">
        <f t="shared" ca="1" si="13"/>
        <v/>
      </c>
      <c r="F42" s="62" t="str">
        <f t="shared" ca="1" si="15"/>
        <v/>
      </c>
      <c r="G42" s="62" t="str">
        <f t="shared" ca="1" si="15"/>
        <v/>
      </c>
      <c r="I42" s="94">
        <f t="shared" ca="1" si="1"/>
        <v>0</v>
      </c>
      <c r="J42" s="63" t="str">
        <f t="shared" ca="1" si="2"/>
        <v/>
      </c>
      <c r="K42" s="65">
        <f t="shared" ca="1" si="3"/>
        <v>0</v>
      </c>
      <c r="L42" s="64">
        <f t="shared" ca="1" si="7"/>
        <v>0</v>
      </c>
      <c r="M42" s="65">
        <f t="shared" ca="1" si="8"/>
        <v>0</v>
      </c>
      <c r="N42" s="66"/>
      <c r="O42" s="67">
        <f ca="1">IF($C42="",0,
K42*'2.d Decrements'!D38+(O41-P41-Q41-R42)*(1+G41))</f>
        <v>0</v>
      </c>
      <c r="P42" s="68">
        <f ca="1">M42*'1.a Assumptions'!$C$13*'2.d Decrements'!E38</f>
        <v>0</v>
      </c>
      <c r="Q42" s="68">
        <f ca="1">L43*('2.d Decrements'!G38+'2.d Decrements'!H38)</f>
        <v>0</v>
      </c>
      <c r="R42" s="68">
        <f ca="1">L42*$D$11*'2.d Decrements'!F38</f>
        <v>0</v>
      </c>
      <c r="S42" s="68">
        <f ca="1">O42-L43*'2.d Decrements'!D38</f>
        <v>0</v>
      </c>
      <c r="T42" s="68" t="str">
        <f ca="1">IF(B43&lt;=$T$13,OFFSET('2.d Decrements'!$K$11,0,$T$13-B42),"")</f>
        <v/>
      </c>
      <c r="W42" s="69" t="str">
        <f t="shared" ca="1" si="4"/>
        <v/>
      </c>
      <c r="X42" s="70" t="str">
        <f t="shared" ca="1" si="5"/>
        <v/>
      </c>
      <c r="Y42" s="95"/>
      <c r="Z42" s="96" t="str">
        <f ca="1">IF(W42="","",J42/'1.c PUC_Projection'!H44)</f>
        <v/>
      </c>
      <c r="AA42" s="96" t="str">
        <f t="shared" ca="1" si="6"/>
        <v/>
      </c>
      <c r="AB42" s="97" t="str">
        <f t="shared" ca="1" si="9"/>
        <v/>
      </c>
    </row>
    <row r="43" spans="2:28" ht="15" customHeight="1" x14ac:dyDescent="0.25">
      <c r="B43" s="57" t="str">
        <f t="shared" ca="1" si="10"/>
        <v/>
      </c>
      <c r="C43" s="71" t="str">
        <f t="shared" ca="1" si="11"/>
        <v/>
      </c>
      <c r="D43" s="72" t="str">
        <f t="shared" ca="1" si="12"/>
        <v/>
      </c>
      <c r="E43" s="73" t="str">
        <f t="shared" ca="1" si="13"/>
        <v/>
      </c>
      <c r="F43" s="62" t="str">
        <f t="shared" ca="1" si="15"/>
        <v/>
      </c>
      <c r="G43" s="62" t="str">
        <f t="shared" ca="1" si="15"/>
        <v/>
      </c>
      <c r="I43" s="94">
        <f t="shared" ca="1" si="1"/>
        <v>0</v>
      </c>
      <c r="J43" s="63" t="str">
        <f t="shared" ca="1" si="2"/>
        <v/>
      </c>
      <c r="K43" s="65">
        <f t="shared" ca="1" si="3"/>
        <v>0</v>
      </c>
      <c r="L43" s="64">
        <f t="shared" ca="1" si="7"/>
        <v>0</v>
      </c>
      <c r="M43" s="65">
        <f t="shared" ca="1" si="8"/>
        <v>0</v>
      </c>
      <c r="N43" s="66"/>
      <c r="O43" s="67">
        <f ca="1">IF($C43="",0,
K43*'2.d Decrements'!D39+(O42-P42-Q42-R43)*(1+G42))</f>
        <v>0</v>
      </c>
      <c r="P43" s="68">
        <f ca="1">M43*'1.a Assumptions'!$C$13*'2.d Decrements'!E39</f>
        <v>0</v>
      </c>
      <c r="Q43" s="68">
        <f ca="1">L44*('2.d Decrements'!G39+'2.d Decrements'!H39)</f>
        <v>0</v>
      </c>
      <c r="R43" s="68">
        <f ca="1">L43*$D$11*'2.d Decrements'!F39</f>
        <v>0</v>
      </c>
      <c r="S43" s="68">
        <f ca="1">O43-L44*'2.d Decrements'!D39</f>
        <v>0</v>
      </c>
      <c r="T43" s="68" t="str">
        <f ca="1">IF(B44&lt;=$T$13,OFFSET('2.d Decrements'!$K$11,0,$T$13-B43),"")</f>
        <v/>
      </c>
      <c r="W43" s="69" t="str">
        <f t="shared" ca="1" si="4"/>
        <v/>
      </c>
      <c r="X43" s="70" t="str">
        <f t="shared" ca="1" si="5"/>
        <v/>
      </c>
      <c r="Y43" s="95"/>
      <c r="Z43" s="96" t="str">
        <f ca="1">IF(W43="","",J43/'1.c PUC_Projection'!H45)</f>
        <v/>
      </c>
      <c r="AA43" s="96" t="str">
        <f t="shared" ca="1" si="6"/>
        <v/>
      </c>
      <c r="AB43" s="97" t="str">
        <f t="shared" ca="1" si="9"/>
        <v/>
      </c>
    </row>
    <row r="44" spans="2:28" ht="15" customHeight="1" x14ac:dyDescent="0.25">
      <c r="B44" s="57" t="str">
        <f t="shared" ca="1" si="10"/>
        <v/>
      </c>
      <c r="C44" s="71" t="str">
        <f t="shared" ca="1" si="11"/>
        <v/>
      </c>
      <c r="D44" s="72" t="str">
        <f t="shared" ca="1" si="12"/>
        <v/>
      </c>
      <c r="E44" s="73" t="str">
        <f t="shared" ca="1" si="13"/>
        <v/>
      </c>
      <c r="F44" s="62" t="str">
        <f t="shared" ca="1" si="15"/>
        <v/>
      </c>
      <c r="G44" s="62" t="str">
        <f t="shared" ca="1" si="15"/>
        <v/>
      </c>
      <c r="I44" s="94">
        <f t="shared" ca="1" si="1"/>
        <v>0</v>
      </c>
      <c r="J44" s="63" t="str">
        <f t="shared" ca="1" si="2"/>
        <v/>
      </c>
      <c r="K44" s="65">
        <f t="shared" ca="1" si="3"/>
        <v>0</v>
      </c>
      <c r="L44" s="64">
        <f t="shared" ca="1" si="7"/>
        <v>0</v>
      </c>
      <c r="M44" s="65">
        <f t="shared" ca="1" si="8"/>
        <v>0</v>
      </c>
      <c r="N44" s="66"/>
      <c r="O44" s="67">
        <f ca="1">IF($C44="",0,
K44*'2.d Decrements'!D40+(O43-P43-Q43-R44)*(1+G43))</f>
        <v>0</v>
      </c>
      <c r="P44" s="68">
        <f ca="1">M44*'1.a Assumptions'!$C$13*'2.d Decrements'!E40</f>
        <v>0</v>
      </c>
      <c r="Q44" s="68">
        <f ca="1">L45*('2.d Decrements'!G40+'2.d Decrements'!H40)</f>
        <v>0</v>
      </c>
      <c r="R44" s="68">
        <f ca="1">L44*$D$11*'2.d Decrements'!F40</f>
        <v>0</v>
      </c>
      <c r="S44" s="68">
        <f ca="1">O44-L45*'2.d Decrements'!D40</f>
        <v>0</v>
      </c>
      <c r="T44" s="68" t="str">
        <f ca="1">IF(B45&lt;=$T$13,OFFSET('2.d Decrements'!$K$11,0,$T$13-B44),"")</f>
        <v/>
      </c>
      <c r="W44" s="69" t="str">
        <f t="shared" ca="1" si="4"/>
        <v/>
      </c>
      <c r="X44" s="70" t="str">
        <f t="shared" ca="1" si="5"/>
        <v/>
      </c>
      <c r="Y44" s="95"/>
      <c r="Z44" s="96" t="str">
        <f ca="1">IF(W44="","",J44/'1.c PUC_Projection'!H46)</f>
        <v/>
      </c>
      <c r="AA44" s="96" t="str">
        <f t="shared" ca="1" si="6"/>
        <v/>
      </c>
      <c r="AB44" s="97" t="str">
        <f t="shared" ca="1" si="9"/>
        <v/>
      </c>
    </row>
    <row r="45" spans="2:28" ht="15" customHeight="1" x14ac:dyDescent="0.25">
      <c r="B45" s="57" t="str">
        <f t="shared" ca="1" si="10"/>
        <v/>
      </c>
      <c r="C45" s="71" t="str">
        <f t="shared" ca="1" si="11"/>
        <v/>
      </c>
      <c r="D45" s="72" t="str">
        <f t="shared" ca="1" si="12"/>
        <v/>
      </c>
      <c r="E45" s="73" t="str">
        <f t="shared" ca="1" si="13"/>
        <v/>
      </c>
      <c r="F45" s="62" t="str">
        <f t="shared" ca="1" si="15"/>
        <v/>
      </c>
      <c r="G45" s="62" t="str">
        <f t="shared" ca="1" si="15"/>
        <v/>
      </c>
      <c r="I45" s="94">
        <f t="shared" ca="1" si="1"/>
        <v>0</v>
      </c>
      <c r="J45" s="63" t="str">
        <f t="shared" ca="1" si="2"/>
        <v/>
      </c>
      <c r="K45" s="65">
        <f t="shared" ca="1" si="3"/>
        <v>0</v>
      </c>
      <c r="L45" s="64">
        <f t="shared" ca="1" si="7"/>
        <v>0</v>
      </c>
      <c r="M45" s="65">
        <f t="shared" ca="1" si="8"/>
        <v>0</v>
      </c>
      <c r="N45" s="66"/>
      <c r="O45" s="67">
        <f ca="1">IF($C45="",0,
K45*'2.d Decrements'!D41+(O44-P44-Q44-R45)*(1+G44))</f>
        <v>0</v>
      </c>
      <c r="P45" s="68">
        <f ca="1">M45*'1.a Assumptions'!$C$13*'2.d Decrements'!E41</f>
        <v>0</v>
      </c>
      <c r="Q45" s="68">
        <f ca="1">L46*('2.d Decrements'!G41+'2.d Decrements'!H41)</f>
        <v>0</v>
      </c>
      <c r="R45" s="68">
        <f ca="1">L45*$D$11*'2.d Decrements'!F41</f>
        <v>0</v>
      </c>
      <c r="S45" s="68">
        <f ca="1">O45-L46*'2.d Decrements'!D41</f>
        <v>0</v>
      </c>
      <c r="T45" s="68" t="str">
        <f ca="1">IF(B46&lt;=$T$13,OFFSET('2.d Decrements'!$K$11,0,$T$13-B45),"")</f>
        <v/>
      </c>
      <c r="W45" s="69" t="str">
        <f t="shared" ca="1" si="4"/>
        <v/>
      </c>
      <c r="X45" s="70" t="str">
        <f t="shared" ca="1" si="5"/>
        <v/>
      </c>
      <c r="Y45" s="95"/>
      <c r="Z45" s="96" t="str">
        <f ca="1">IF(W45="","",J45/'1.c PUC_Projection'!H47)</f>
        <v/>
      </c>
      <c r="AA45" s="96" t="str">
        <f t="shared" ca="1" si="6"/>
        <v/>
      </c>
      <c r="AB45" s="97" t="str">
        <f t="shared" ca="1" si="9"/>
        <v/>
      </c>
    </row>
    <row r="46" spans="2:28" ht="15" customHeight="1" x14ac:dyDescent="0.25">
      <c r="B46" s="57" t="str">
        <f t="shared" ca="1" si="10"/>
        <v/>
      </c>
      <c r="C46" s="71" t="str">
        <f t="shared" ca="1" si="11"/>
        <v/>
      </c>
      <c r="D46" s="72" t="str">
        <f t="shared" ca="1" si="12"/>
        <v/>
      </c>
      <c r="E46" s="73" t="str">
        <f t="shared" ca="1" si="13"/>
        <v/>
      </c>
      <c r="F46" s="62" t="str">
        <f t="shared" ca="1" si="15"/>
        <v/>
      </c>
      <c r="G46" s="62" t="str">
        <f t="shared" ca="1" si="15"/>
        <v/>
      </c>
      <c r="I46" s="94">
        <f t="shared" ca="1" si="1"/>
        <v>0</v>
      </c>
      <c r="J46" s="63" t="str">
        <f t="shared" ca="1" si="2"/>
        <v/>
      </c>
      <c r="K46" s="65">
        <f t="shared" ca="1" si="3"/>
        <v>0</v>
      </c>
      <c r="L46" s="64">
        <f t="shared" ca="1" si="7"/>
        <v>0</v>
      </c>
      <c r="M46" s="65">
        <f t="shared" ca="1" si="8"/>
        <v>0</v>
      </c>
      <c r="N46" s="66"/>
      <c r="O46" s="67">
        <f ca="1">IF($C46="",0,
K46*'2.d Decrements'!D42+(O45-P45-Q45-R46)*(1+G45))</f>
        <v>0</v>
      </c>
      <c r="P46" s="68">
        <f ca="1">M46*'1.a Assumptions'!$C$13*'2.d Decrements'!E42</f>
        <v>0</v>
      </c>
      <c r="Q46" s="68">
        <f ca="1">L47*('2.d Decrements'!G42+'2.d Decrements'!H42)</f>
        <v>0</v>
      </c>
      <c r="R46" s="68">
        <f ca="1">L46*$D$11*'2.d Decrements'!F42</f>
        <v>0</v>
      </c>
      <c r="S46" s="68">
        <f ca="1">O46-L47*'2.d Decrements'!D42</f>
        <v>0</v>
      </c>
      <c r="T46" s="68" t="str">
        <f ca="1">IF(B47&lt;=$T$13,OFFSET('2.d Decrements'!$K$11,0,$T$13-B46),"")</f>
        <v/>
      </c>
      <c r="W46" s="69" t="str">
        <f t="shared" ca="1" si="4"/>
        <v/>
      </c>
      <c r="X46" s="70" t="str">
        <f t="shared" ca="1" si="5"/>
        <v/>
      </c>
      <c r="Y46" s="95"/>
      <c r="Z46" s="96" t="str">
        <f ca="1">IF(W46="","",J46/'1.c PUC_Projection'!H48)</f>
        <v/>
      </c>
      <c r="AA46" s="96" t="str">
        <f t="shared" ca="1" si="6"/>
        <v/>
      </c>
      <c r="AB46" s="97" t="str">
        <f t="shared" ca="1" si="9"/>
        <v/>
      </c>
    </row>
    <row r="47" spans="2:28" ht="15" customHeight="1" x14ac:dyDescent="0.25">
      <c r="B47" s="57" t="str">
        <f t="shared" ca="1" si="10"/>
        <v/>
      </c>
      <c r="C47" s="71" t="str">
        <f t="shared" ca="1" si="11"/>
        <v/>
      </c>
      <c r="D47" s="72" t="str">
        <f t="shared" ca="1" si="12"/>
        <v/>
      </c>
      <c r="E47" s="73" t="str">
        <f t="shared" ca="1" si="13"/>
        <v/>
      </c>
      <c r="F47" s="62" t="str">
        <f t="shared" ca="1" si="15"/>
        <v/>
      </c>
      <c r="G47" s="62" t="str">
        <f t="shared" ca="1" si="15"/>
        <v/>
      </c>
      <c r="I47" s="94">
        <f t="shared" ca="1" si="1"/>
        <v>0</v>
      </c>
      <c r="J47" s="63" t="str">
        <f t="shared" ref="J47:J78" ca="1" si="16">IF($C47="","",
D47*($D$5-$D$9)*((1+F47)/(1+G47))^($D$5-$D$9)/$H$15)</f>
        <v/>
      </c>
      <c r="K47" s="65">
        <f t="shared" ca="1" si="3"/>
        <v>0</v>
      </c>
      <c r="L47" s="64">
        <f t="shared" ca="1" si="7"/>
        <v>0</v>
      </c>
      <c r="M47" s="65">
        <f t="shared" ca="1" si="8"/>
        <v>0</v>
      </c>
      <c r="N47" s="66"/>
      <c r="O47" s="67">
        <f ca="1">IF($C47="",0,
K47*'2.d Decrements'!D43+(O46-P46-Q46-R47)*(1+G46))</f>
        <v>0</v>
      </c>
      <c r="P47" s="68">
        <f ca="1">M47*'1.a Assumptions'!$C$13*'2.d Decrements'!E43</f>
        <v>0</v>
      </c>
      <c r="Q47" s="68">
        <f ca="1">L48*('2.d Decrements'!G43+'2.d Decrements'!H43)</f>
        <v>0</v>
      </c>
      <c r="R47" s="68">
        <f ca="1">L47*$D$11*'2.d Decrements'!F43</f>
        <v>0</v>
      </c>
      <c r="S47" s="68">
        <f ca="1">O47-L48*'2.d Decrements'!D43</f>
        <v>0</v>
      </c>
      <c r="T47" s="68" t="str">
        <f ca="1">IF(B48&lt;=$T$13,OFFSET('2.d Decrements'!$K$11,0,$T$13-B47),"")</f>
        <v/>
      </c>
      <c r="W47" s="69" t="str">
        <f t="shared" ref="W47:W78" ca="1" si="17">IF($C48&lt;=$D$5,L48-L47*(1+i),"")</f>
        <v/>
      </c>
      <c r="X47" s="70" t="str">
        <f t="shared" ref="X47:X78" ca="1" si="18">IF(W47="","",W47-K47)</f>
        <v/>
      </c>
      <c r="Y47" s="95"/>
      <c r="Z47" s="96" t="str">
        <f ca="1">IF(W47="","",J47/'1.c PUC_Projection'!H49)</f>
        <v/>
      </c>
      <c r="AA47" s="96" t="str">
        <f t="shared" ref="AA47:AA78" ca="1" si="19">IF(W47="","",($D$5-$D$9)/$H$15*(1+$D$10)^-(C47-$D$9+1))</f>
        <v/>
      </c>
      <c r="AB47" s="97" t="str">
        <f t="shared" ca="1" si="9"/>
        <v/>
      </c>
    </row>
    <row r="48" spans="2:28" ht="15" customHeight="1" x14ac:dyDescent="0.25">
      <c r="B48" s="57" t="str">
        <f t="shared" ca="1" si="10"/>
        <v/>
      </c>
      <c r="C48" s="71" t="str">
        <f t="shared" ca="1" si="11"/>
        <v/>
      </c>
      <c r="D48" s="72" t="str">
        <f t="shared" ca="1" si="12"/>
        <v/>
      </c>
      <c r="E48" s="73" t="str">
        <f t="shared" ca="1" si="13"/>
        <v/>
      </c>
      <c r="F48" s="62" t="str">
        <f t="shared" ca="1" si="15"/>
        <v/>
      </c>
      <c r="G48" s="62" t="str">
        <f t="shared" ca="1" si="15"/>
        <v/>
      </c>
      <c r="I48" s="94">
        <f t="shared" ca="1" si="1"/>
        <v>0</v>
      </c>
      <c r="J48" s="63" t="str">
        <f t="shared" ca="1" si="16"/>
        <v/>
      </c>
      <c r="K48" s="65">
        <f t="shared" ca="1" si="3"/>
        <v>0</v>
      </c>
      <c r="L48" s="64">
        <f t="shared" ca="1" si="7"/>
        <v>0</v>
      </c>
      <c r="M48" s="65">
        <f t="shared" ca="1" si="8"/>
        <v>0</v>
      </c>
      <c r="N48" s="66"/>
      <c r="O48" s="67">
        <f ca="1">IF($C48="",0,
K48*'2.d Decrements'!D44+(O47-P47-Q47-R48)*(1+G47))</f>
        <v>0</v>
      </c>
      <c r="P48" s="68">
        <f ca="1">M48*'1.a Assumptions'!$C$13*'2.d Decrements'!E44</f>
        <v>0</v>
      </c>
      <c r="Q48" s="68">
        <f ca="1">L49*('2.d Decrements'!G44+'2.d Decrements'!H44)</f>
        <v>0</v>
      </c>
      <c r="R48" s="68">
        <f ca="1">L48*$D$11*'2.d Decrements'!F44</f>
        <v>0</v>
      </c>
      <c r="S48" s="68">
        <f ca="1">O48-L49*'2.d Decrements'!D44</f>
        <v>0</v>
      </c>
      <c r="T48" s="68" t="str">
        <f ca="1">IF(B49&lt;=$T$13,OFFSET('2.d Decrements'!$K$11,0,$T$13-B48),"")</f>
        <v/>
      </c>
      <c r="W48" s="69" t="str">
        <f t="shared" ca="1" si="17"/>
        <v/>
      </c>
      <c r="X48" s="70" t="str">
        <f t="shared" ca="1" si="18"/>
        <v/>
      </c>
      <c r="Y48" s="95"/>
      <c r="Z48" s="96" t="str">
        <f ca="1">IF(W48="","",J48/'1.c PUC_Projection'!H50)</f>
        <v/>
      </c>
      <c r="AA48" s="96" t="str">
        <f t="shared" ca="1" si="19"/>
        <v/>
      </c>
      <c r="AB48" s="97" t="str">
        <f t="shared" ca="1" si="9"/>
        <v/>
      </c>
    </row>
    <row r="49" spans="2:28" ht="15" customHeight="1" x14ac:dyDescent="0.25">
      <c r="B49" s="57" t="str">
        <f t="shared" ca="1" si="10"/>
        <v/>
      </c>
      <c r="C49" s="71" t="str">
        <f t="shared" ca="1" si="11"/>
        <v/>
      </c>
      <c r="D49" s="72" t="str">
        <f t="shared" ca="1" si="12"/>
        <v/>
      </c>
      <c r="E49" s="73" t="str">
        <f t="shared" ca="1" si="13"/>
        <v/>
      </c>
      <c r="F49" s="62" t="str">
        <f t="shared" ref="F49:G64" ca="1" si="20">IF($C49="","",F48)</f>
        <v/>
      </c>
      <c r="G49" s="62" t="str">
        <f t="shared" ca="1" si="20"/>
        <v/>
      </c>
      <c r="I49" s="94">
        <f t="shared" ca="1" si="1"/>
        <v>0</v>
      </c>
      <c r="J49" s="63" t="str">
        <f t="shared" ca="1" si="16"/>
        <v/>
      </c>
      <c r="K49" s="65">
        <f t="shared" ca="1" si="3"/>
        <v>0</v>
      </c>
      <c r="L49" s="64">
        <f t="shared" ca="1" si="7"/>
        <v>0</v>
      </c>
      <c r="M49" s="65">
        <f t="shared" ca="1" si="8"/>
        <v>0</v>
      </c>
      <c r="N49" s="66"/>
      <c r="O49" s="67">
        <f ca="1">IF($C49="",0,
K49*'2.d Decrements'!D45+(O48-P48-Q48-R49)*(1+G48))</f>
        <v>0</v>
      </c>
      <c r="P49" s="68">
        <f ca="1">M49*'1.a Assumptions'!$C$13*'2.d Decrements'!E45</f>
        <v>0</v>
      </c>
      <c r="Q49" s="68">
        <f ca="1">L50*('2.d Decrements'!G45+'2.d Decrements'!H45)</f>
        <v>0</v>
      </c>
      <c r="R49" s="68">
        <f ca="1">L49*$D$11*'2.d Decrements'!F45</f>
        <v>0</v>
      </c>
      <c r="S49" s="68">
        <f ca="1">O49-L50*'2.d Decrements'!D45</f>
        <v>0</v>
      </c>
      <c r="T49" s="68" t="str">
        <f ca="1">IF(B50&lt;=$T$13,OFFSET('2.d Decrements'!$K$11,0,$T$13-B49),"")</f>
        <v/>
      </c>
      <c r="W49" s="69" t="str">
        <f t="shared" ca="1" si="17"/>
        <v/>
      </c>
      <c r="X49" s="70" t="str">
        <f t="shared" ca="1" si="18"/>
        <v/>
      </c>
      <c r="Y49" s="95"/>
      <c r="Z49" s="96" t="str">
        <f ca="1">IF(W49="","",J49/'1.c PUC_Projection'!H51)</f>
        <v/>
      </c>
      <c r="AA49" s="96" t="str">
        <f t="shared" ca="1" si="19"/>
        <v/>
      </c>
      <c r="AB49" s="97" t="str">
        <f t="shared" ca="1" si="9"/>
        <v/>
      </c>
    </row>
    <row r="50" spans="2:28" ht="15" customHeight="1" x14ac:dyDescent="0.25">
      <c r="B50" s="57" t="str">
        <f t="shared" ca="1" si="10"/>
        <v/>
      </c>
      <c r="C50" s="71" t="str">
        <f t="shared" ca="1" si="11"/>
        <v/>
      </c>
      <c r="D50" s="72" t="str">
        <f t="shared" ca="1" si="12"/>
        <v/>
      </c>
      <c r="E50" s="73" t="str">
        <f t="shared" ca="1" si="13"/>
        <v/>
      </c>
      <c r="F50" s="62" t="str">
        <f t="shared" ca="1" si="20"/>
        <v/>
      </c>
      <c r="G50" s="62" t="str">
        <f t="shared" ca="1" si="20"/>
        <v/>
      </c>
      <c r="I50" s="94">
        <f t="shared" ca="1" si="1"/>
        <v>0</v>
      </c>
      <c r="J50" s="63" t="str">
        <f t="shared" ca="1" si="16"/>
        <v/>
      </c>
      <c r="K50" s="65">
        <f t="shared" ca="1" si="3"/>
        <v>0</v>
      </c>
      <c r="L50" s="64">
        <f t="shared" ca="1" si="7"/>
        <v>0</v>
      </c>
      <c r="M50" s="65">
        <f t="shared" ca="1" si="8"/>
        <v>0</v>
      </c>
      <c r="N50" s="66"/>
      <c r="O50" s="67">
        <f ca="1">IF($C50="",0,
K50*'2.d Decrements'!D46+(O49-P49-Q49-R50)*(1+G49))</f>
        <v>0</v>
      </c>
      <c r="P50" s="68">
        <f ca="1">M50*'1.a Assumptions'!$C$13*'2.d Decrements'!E46</f>
        <v>0</v>
      </c>
      <c r="Q50" s="68">
        <f ca="1">L51*('2.d Decrements'!G46+'2.d Decrements'!H46)</f>
        <v>0</v>
      </c>
      <c r="R50" s="68">
        <f ca="1">L50*$D$11*'2.d Decrements'!F46</f>
        <v>0</v>
      </c>
      <c r="S50" s="68">
        <f ca="1">O50-L51*'2.d Decrements'!D46</f>
        <v>0</v>
      </c>
      <c r="T50" s="68" t="str">
        <f ca="1">IF(B51&lt;=$T$13,OFFSET('2.d Decrements'!$K$11,0,$T$13-B50),"")</f>
        <v/>
      </c>
      <c r="W50" s="69" t="str">
        <f t="shared" ca="1" si="17"/>
        <v/>
      </c>
      <c r="X50" s="70" t="str">
        <f t="shared" ca="1" si="18"/>
        <v/>
      </c>
      <c r="Y50" s="95"/>
      <c r="Z50" s="96" t="str">
        <f ca="1">IF(W50="","",J50/'1.c PUC_Projection'!H52)</f>
        <v/>
      </c>
      <c r="AA50" s="96" t="str">
        <f t="shared" ca="1" si="19"/>
        <v/>
      </c>
      <c r="AB50" s="97" t="str">
        <f t="shared" ca="1" si="9"/>
        <v/>
      </c>
    </row>
    <row r="51" spans="2:28" ht="15" customHeight="1" x14ac:dyDescent="0.25">
      <c r="B51" s="57" t="str">
        <f t="shared" ca="1" si="10"/>
        <v/>
      </c>
      <c r="C51" s="71" t="str">
        <f t="shared" ca="1" si="11"/>
        <v/>
      </c>
      <c r="D51" s="72" t="str">
        <f t="shared" ca="1" si="12"/>
        <v/>
      </c>
      <c r="E51" s="73" t="str">
        <f t="shared" ca="1" si="13"/>
        <v/>
      </c>
      <c r="F51" s="62" t="str">
        <f t="shared" ca="1" si="20"/>
        <v/>
      </c>
      <c r="G51" s="62" t="str">
        <f t="shared" ca="1" si="20"/>
        <v/>
      </c>
      <c r="I51" s="94">
        <f t="shared" ca="1" si="1"/>
        <v>0</v>
      </c>
      <c r="J51" s="63" t="str">
        <f t="shared" ca="1" si="16"/>
        <v/>
      </c>
      <c r="K51" s="65">
        <f t="shared" ca="1" si="3"/>
        <v>0</v>
      </c>
      <c r="L51" s="64">
        <f t="shared" ca="1" si="7"/>
        <v>0</v>
      </c>
      <c r="M51" s="65">
        <f t="shared" ca="1" si="8"/>
        <v>0</v>
      </c>
      <c r="N51" s="66"/>
      <c r="O51" s="67">
        <f ca="1">IF($C51="",0,
K51*'2.d Decrements'!D47+(O50-P50-Q50-R51)*(1+G50))</f>
        <v>0</v>
      </c>
      <c r="P51" s="68">
        <f ca="1">M51*'1.a Assumptions'!$C$13*'2.d Decrements'!E47</f>
        <v>0</v>
      </c>
      <c r="Q51" s="68">
        <f ca="1">L52*('2.d Decrements'!G47+'2.d Decrements'!H47)</f>
        <v>0</v>
      </c>
      <c r="R51" s="68">
        <f ca="1">L51*$D$11*'2.d Decrements'!F47</f>
        <v>0</v>
      </c>
      <c r="S51" s="68">
        <f ca="1">O51-L52*'2.d Decrements'!D47</f>
        <v>0</v>
      </c>
      <c r="T51" s="68" t="str">
        <f ca="1">IF(B52&lt;=$T$13,OFFSET('2.d Decrements'!$K$11,0,$T$13-B51),"")</f>
        <v/>
      </c>
      <c r="W51" s="69" t="str">
        <f t="shared" ca="1" si="17"/>
        <v/>
      </c>
      <c r="X51" s="70" t="str">
        <f t="shared" ca="1" si="18"/>
        <v/>
      </c>
      <c r="Y51" s="95"/>
      <c r="Z51" s="96" t="str">
        <f ca="1">IF(W51="","",J51/'1.c PUC_Projection'!H53)</f>
        <v/>
      </c>
      <c r="AA51" s="96" t="str">
        <f t="shared" ca="1" si="19"/>
        <v/>
      </c>
      <c r="AB51" s="97" t="str">
        <f t="shared" ca="1" si="9"/>
        <v/>
      </c>
    </row>
    <row r="52" spans="2:28" ht="15" customHeight="1" x14ac:dyDescent="0.25">
      <c r="B52" s="57" t="str">
        <f t="shared" ca="1" si="10"/>
        <v/>
      </c>
      <c r="C52" s="71" t="str">
        <f t="shared" ca="1" si="11"/>
        <v/>
      </c>
      <c r="D52" s="72" t="str">
        <f t="shared" ca="1" si="12"/>
        <v/>
      </c>
      <c r="E52" s="73" t="str">
        <f t="shared" ca="1" si="13"/>
        <v/>
      </c>
      <c r="F52" s="62" t="str">
        <f t="shared" ca="1" si="20"/>
        <v/>
      </c>
      <c r="G52" s="62" t="str">
        <f t="shared" ca="1" si="20"/>
        <v/>
      </c>
      <c r="I52" s="94">
        <f t="shared" ca="1" si="1"/>
        <v>0</v>
      </c>
      <c r="J52" s="63" t="str">
        <f t="shared" ca="1" si="16"/>
        <v/>
      </c>
      <c r="K52" s="65">
        <f t="shared" ca="1" si="3"/>
        <v>0</v>
      </c>
      <c r="L52" s="64">
        <f t="shared" ca="1" si="7"/>
        <v>0</v>
      </c>
      <c r="M52" s="65">
        <f t="shared" ca="1" si="8"/>
        <v>0</v>
      </c>
      <c r="N52" s="66"/>
      <c r="O52" s="67">
        <f ca="1">IF($C52="",0,
K52*'2.d Decrements'!D48+(O51-P51-Q51-R52)*(1+G51))</f>
        <v>0</v>
      </c>
      <c r="P52" s="68">
        <f ca="1">M52*'1.a Assumptions'!$C$13*'2.d Decrements'!E48</f>
        <v>0</v>
      </c>
      <c r="Q52" s="68">
        <f ca="1">L53*('2.d Decrements'!G48+'2.d Decrements'!H48)</f>
        <v>0</v>
      </c>
      <c r="R52" s="68">
        <f ca="1">L52*$D$11*'2.d Decrements'!F48</f>
        <v>0</v>
      </c>
      <c r="S52" s="68">
        <f ca="1">O52-L53*'2.d Decrements'!D48</f>
        <v>0</v>
      </c>
      <c r="T52" s="68" t="str">
        <f ca="1">IF(B53&lt;=$T$13,OFFSET('2.d Decrements'!$K$11,0,$T$13-B52),"")</f>
        <v/>
      </c>
      <c r="W52" s="69" t="str">
        <f t="shared" ca="1" si="17"/>
        <v/>
      </c>
      <c r="X52" s="70" t="str">
        <f t="shared" ca="1" si="18"/>
        <v/>
      </c>
      <c r="Y52" s="95"/>
      <c r="Z52" s="96" t="str">
        <f ca="1">IF(W52="","",J52/'1.c PUC_Projection'!H54)</f>
        <v/>
      </c>
      <c r="AA52" s="96" t="str">
        <f t="shared" ca="1" si="19"/>
        <v/>
      </c>
      <c r="AB52" s="97" t="str">
        <f t="shared" ca="1" si="9"/>
        <v/>
      </c>
    </row>
    <row r="53" spans="2:28" ht="15" customHeight="1" x14ac:dyDescent="0.25">
      <c r="B53" s="57" t="str">
        <f t="shared" ca="1" si="10"/>
        <v/>
      </c>
      <c r="C53" s="71" t="str">
        <f t="shared" ca="1" si="11"/>
        <v/>
      </c>
      <c r="D53" s="72" t="str">
        <f t="shared" ca="1" si="12"/>
        <v/>
      </c>
      <c r="E53" s="73" t="str">
        <f t="shared" ca="1" si="13"/>
        <v/>
      </c>
      <c r="F53" s="62" t="str">
        <f t="shared" ca="1" si="20"/>
        <v/>
      </c>
      <c r="G53" s="62" t="str">
        <f t="shared" ca="1" si="20"/>
        <v/>
      </c>
      <c r="I53" s="94">
        <f t="shared" ca="1" si="1"/>
        <v>0</v>
      </c>
      <c r="J53" s="63" t="str">
        <f t="shared" ca="1" si="16"/>
        <v/>
      </c>
      <c r="K53" s="65">
        <f t="shared" ca="1" si="3"/>
        <v>0</v>
      </c>
      <c r="L53" s="64">
        <f t="shared" ca="1" si="7"/>
        <v>0</v>
      </c>
      <c r="M53" s="65">
        <f t="shared" ca="1" si="8"/>
        <v>0</v>
      </c>
      <c r="N53" s="66"/>
      <c r="O53" s="67">
        <f ca="1">IF($C53="",0,
K53*'2.d Decrements'!D49+(O52-P52-Q52-R53)*(1+G52))</f>
        <v>0</v>
      </c>
      <c r="P53" s="68">
        <f ca="1">M53*'1.a Assumptions'!$C$13*'2.d Decrements'!E49</f>
        <v>0</v>
      </c>
      <c r="Q53" s="68">
        <f ca="1">L54*('2.d Decrements'!G49+'2.d Decrements'!H49)</f>
        <v>0</v>
      </c>
      <c r="R53" s="68">
        <f ca="1">L53*$D$11*'2.d Decrements'!F49</f>
        <v>0</v>
      </c>
      <c r="S53" s="68">
        <f ca="1">O53-L54*'2.d Decrements'!D49</f>
        <v>0</v>
      </c>
      <c r="T53" s="68" t="str">
        <f ca="1">IF(B54&lt;=$T$13,OFFSET('2.d Decrements'!$K$11,0,$T$13-B53),"")</f>
        <v/>
      </c>
      <c r="W53" s="69" t="str">
        <f t="shared" ca="1" si="17"/>
        <v/>
      </c>
      <c r="X53" s="70" t="str">
        <f t="shared" ca="1" si="18"/>
        <v/>
      </c>
      <c r="Y53" s="95"/>
      <c r="Z53" s="96" t="str">
        <f ca="1">IF(W53="","",J53/'1.c PUC_Projection'!H55)</f>
        <v/>
      </c>
      <c r="AA53" s="96" t="str">
        <f t="shared" ca="1" si="19"/>
        <v/>
      </c>
      <c r="AB53" s="97" t="str">
        <f t="shared" ca="1" si="9"/>
        <v/>
      </c>
    </row>
    <row r="54" spans="2:28" ht="15" customHeight="1" x14ac:dyDescent="0.25">
      <c r="B54" s="57" t="str">
        <f t="shared" ca="1" si="10"/>
        <v/>
      </c>
      <c r="C54" s="71" t="str">
        <f t="shared" ca="1" si="11"/>
        <v/>
      </c>
      <c r="D54" s="72" t="str">
        <f t="shared" ca="1" si="12"/>
        <v/>
      </c>
      <c r="E54" s="73" t="str">
        <f t="shared" ca="1" si="13"/>
        <v/>
      </c>
      <c r="F54" s="62" t="str">
        <f t="shared" ca="1" si="20"/>
        <v/>
      </c>
      <c r="G54" s="62" t="str">
        <f t="shared" ca="1" si="20"/>
        <v/>
      </c>
      <c r="I54" s="94">
        <f t="shared" ca="1" si="1"/>
        <v>0</v>
      </c>
      <c r="J54" s="63" t="str">
        <f t="shared" ca="1" si="16"/>
        <v/>
      </c>
      <c r="K54" s="65">
        <f t="shared" ca="1" si="3"/>
        <v>0</v>
      </c>
      <c r="L54" s="64">
        <f t="shared" ca="1" si="7"/>
        <v>0</v>
      </c>
      <c r="M54" s="65">
        <f t="shared" ca="1" si="8"/>
        <v>0</v>
      </c>
      <c r="N54" s="66"/>
      <c r="O54" s="67">
        <f ca="1">IF($C54="",0,
K54*'2.d Decrements'!D50+(O53-P53-Q53-R54)*(1+G53))</f>
        <v>0</v>
      </c>
      <c r="P54" s="68">
        <f ca="1">M54*'1.a Assumptions'!$C$13*'2.d Decrements'!E50</f>
        <v>0</v>
      </c>
      <c r="Q54" s="68">
        <f ca="1">L55*('2.d Decrements'!G50+'2.d Decrements'!H50)</f>
        <v>0</v>
      </c>
      <c r="R54" s="68">
        <f ca="1">L54*$D$11*'2.d Decrements'!F50</f>
        <v>0</v>
      </c>
      <c r="S54" s="68">
        <f ca="1">O54-L55*'2.d Decrements'!D50</f>
        <v>0</v>
      </c>
      <c r="T54" s="68" t="str">
        <f ca="1">IF(B55&lt;=$T$13,OFFSET('2.d Decrements'!$K$11,0,$T$13-B54),"")</f>
        <v/>
      </c>
      <c r="W54" s="69" t="str">
        <f t="shared" ca="1" si="17"/>
        <v/>
      </c>
      <c r="X54" s="70" t="str">
        <f t="shared" ca="1" si="18"/>
        <v/>
      </c>
      <c r="Y54" s="95"/>
      <c r="Z54" s="96" t="str">
        <f ca="1">IF(W54="","",J54/'1.c PUC_Projection'!H56)</f>
        <v/>
      </c>
      <c r="AA54" s="96" t="str">
        <f t="shared" ca="1" si="19"/>
        <v/>
      </c>
      <c r="AB54" s="97" t="str">
        <f t="shared" ca="1" si="9"/>
        <v/>
      </c>
    </row>
    <row r="55" spans="2:28" ht="15" customHeight="1" x14ac:dyDescent="0.25">
      <c r="B55" s="57" t="str">
        <f t="shared" ca="1" si="10"/>
        <v/>
      </c>
      <c r="C55" s="71" t="str">
        <f t="shared" ca="1" si="11"/>
        <v/>
      </c>
      <c r="D55" s="72" t="str">
        <f t="shared" ca="1" si="12"/>
        <v/>
      </c>
      <c r="E55" s="73" t="str">
        <f t="shared" ca="1" si="13"/>
        <v/>
      </c>
      <c r="F55" s="62" t="str">
        <f t="shared" ca="1" si="20"/>
        <v/>
      </c>
      <c r="G55" s="62" t="str">
        <f t="shared" ca="1" si="20"/>
        <v/>
      </c>
      <c r="I55" s="94">
        <f t="shared" ca="1" si="1"/>
        <v>0</v>
      </c>
      <c r="J55" s="63" t="str">
        <f t="shared" ca="1" si="16"/>
        <v/>
      </c>
      <c r="K55" s="65">
        <f t="shared" ca="1" si="3"/>
        <v>0</v>
      </c>
      <c r="L55" s="64">
        <f t="shared" ca="1" si="7"/>
        <v>0</v>
      </c>
      <c r="M55" s="65">
        <f t="shared" ca="1" si="8"/>
        <v>0</v>
      </c>
      <c r="N55" s="66"/>
      <c r="O55" s="67">
        <f ca="1">IF($C55="",0,
K55*'2.d Decrements'!D51+(O54-P54-Q54-R55)*(1+G54))</f>
        <v>0</v>
      </c>
      <c r="P55" s="68">
        <f ca="1">M55*'1.a Assumptions'!$C$13*'2.d Decrements'!E51</f>
        <v>0</v>
      </c>
      <c r="Q55" s="68">
        <f ca="1">L56*('2.d Decrements'!G51+'2.d Decrements'!H51)</f>
        <v>0</v>
      </c>
      <c r="R55" s="68">
        <f ca="1">L55*$D$11*'2.d Decrements'!F51</f>
        <v>0</v>
      </c>
      <c r="S55" s="68">
        <f ca="1">O55-L56*'2.d Decrements'!D51</f>
        <v>0</v>
      </c>
      <c r="T55" s="68" t="str">
        <f ca="1">IF(B56&lt;=$T$13,OFFSET('2.d Decrements'!$K$11,0,$T$13-B55),"")</f>
        <v/>
      </c>
      <c r="W55" s="69" t="str">
        <f t="shared" ca="1" si="17"/>
        <v/>
      </c>
      <c r="X55" s="70" t="str">
        <f t="shared" ca="1" si="18"/>
        <v/>
      </c>
      <c r="Y55" s="95"/>
      <c r="Z55" s="96" t="str">
        <f ca="1">IF(W55="","",J55/'1.c PUC_Projection'!H57)</f>
        <v/>
      </c>
      <c r="AA55" s="96" t="str">
        <f t="shared" ca="1" si="19"/>
        <v/>
      </c>
      <c r="AB55" s="97" t="str">
        <f t="shared" ca="1" si="9"/>
        <v/>
      </c>
    </row>
    <row r="56" spans="2:28" ht="15" customHeight="1" x14ac:dyDescent="0.25">
      <c r="B56" s="57" t="str">
        <f t="shared" ca="1" si="10"/>
        <v/>
      </c>
      <c r="C56" s="71" t="str">
        <f t="shared" ca="1" si="11"/>
        <v/>
      </c>
      <c r="D56" s="72" t="str">
        <f t="shared" ca="1" si="12"/>
        <v/>
      </c>
      <c r="E56" s="73" t="str">
        <f t="shared" ca="1" si="13"/>
        <v/>
      </c>
      <c r="F56" s="62" t="str">
        <f t="shared" ca="1" si="20"/>
        <v/>
      </c>
      <c r="G56" s="62" t="str">
        <f t="shared" ca="1" si="20"/>
        <v/>
      </c>
      <c r="I56" s="94">
        <f t="shared" ca="1" si="1"/>
        <v>0</v>
      </c>
      <c r="J56" s="63" t="str">
        <f t="shared" ca="1" si="16"/>
        <v/>
      </c>
      <c r="K56" s="65">
        <f t="shared" ca="1" si="3"/>
        <v>0</v>
      </c>
      <c r="L56" s="64">
        <f t="shared" ca="1" si="7"/>
        <v>0</v>
      </c>
      <c r="M56" s="65">
        <f t="shared" ca="1" si="8"/>
        <v>0</v>
      </c>
      <c r="N56" s="66"/>
      <c r="O56" s="67">
        <f ca="1">IF($C56="",0,
K56*'2.d Decrements'!D52+(O55-P55-Q55-R56)*(1+G55))</f>
        <v>0</v>
      </c>
      <c r="P56" s="68">
        <f ca="1">M56*'1.a Assumptions'!$C$13*'2.d Decrements'!E52</f>
        <v>0</v>
      </c>
      <c r="Q56" s="68">
        <f ca="1">L57*('2.d Decrements'!G52+'2.d Decrements'!H52)</f>
        <v>0</v>
      </c>
      <c r="R56" s="68">
        <f ca="1">L56*$D$11*'2.d Decrements'!F52</f>
        <v>0</v>
      </c>
      <c r="S56" s="68">
        <f ca="1">O56-L57*'2.d Decrements'!D52</f>
        <v>0</v>
      </c>
      <c r="T56" s="68" t="str">
        <f ca="1">IF(B57&lt;=$T$13,OFFSET('2.d Decrements'!$K$11,0,$T$13-B56),"")</f>
        <v/>
      </c>
      <c r="W56" s="69" t="str">
        <f t="shared" ca="1" si="17"/>
        <v/>
      </c>
      <c r="X56" s="70" t="str">
        <f t="shared" ca="1" si="18"/>
        <v/>
      </c>
      <c r="Y56" s="95"/>
      <c r="Z56" s="96" t="str">
        <f ca="1">IF(W56="","",J56/'1.c PUC_Projection'!H58)</f>
        <v/>
      </c>
      <c r="AA56" s="96" t="str">
        <f t="shared" ca="1" si="19"/>
        <v/>
      </c>
      <c r="AB56" s="97" t="str">
        <f t="shared" ca="1" si="9"/>
        <v/>
      </c>
    </row>
    <row r="57" spans="2:28" ht="15" customHeight="1" x14ac:dyDescent="0.25">
      <c r="B57" s="57" t="str">
        <f t="shared" ca="1" si="10"/>
        <v/>
      </c>
      <c r="C57" s="71" t="str">
        <f t="shared" ca="1" si="11"/>
        <v/>
      </c>
      <c r="D57" s="72" t="str">
        <f t="shared" ca="1" si="12"/>
        <v/>
      </c>
      <c r="E57" s="73" t="str">
        <f t="shared" ca="1" si="13"/>
        <v/>
      </c>
      <c r="F57" s="62" t="str">
        <f t="shared" ca="1" si="20"/>
        <v/>
      </c>
      <c r="G57" s="62" t="str">
        <f t="shared" ca="1" si="20"/>
        <v/>
      </c>
      <c r="I57" s="94">
        <f t="shared" ca="1" si="1"/>
        <v>0</v>
      </c>
      <c r="J57" s="63" t="str">
        <f t="shared" ca="1" si="16"/>
        <v/>
      </c>
      <c r="K57" s="65">
        <f t="shared" ca="1" si="3"/>
        <v>0</v>
      </c>
      <c r="L57" s="64">
        <f t="shared" ca="1" si="7"/>
        <v>0</v>
      </c>
      <c r="M57" s="65">
        <f t="shared" ca="1" si="8"/>
        <v>0</v>
      </c>
      <c r="N57" s="66"/>
      <c r="O57" s="67">
        <f ca="1">IF($C57="",0,
K57*'2.d Decrements'!D53+(O56-P56-Q56-R57)*(1+G56))</f>
        <v>0</v>
      </c>
      <c r="P57" s="68">
        <f ca="1">M57*'1.a Assumptions'!$C$13*'2.d Decrements'!E53</f>
        <v>0</v>
      </c>
      <c r="Q57" s="68">
        <f ca="1">L58*('2.d Decrements'!G53+'2.d Decrements'!H53)</f>
        <v>0</v>
      </c>
      <c r="R57" s="68">
        <f ca="1">L57*$D$11*'2.d Decrements'!F53</f>
        <v>0</v>
      </c>
      <c r="S57" s="68">
        <f ca="1">O57-L58*'2.d Decrements'!D53</f>
        <v>0</v>
      </c>
      <c r="T57" s="68" t="str">
        <f ca="1">IF(B58&lt;=$T$13,OFFSET('2.d Decrements'!$K$11,0,$T$13-B57),"")</f>
        <v/>
      </c>
      <c r="W57" s="69" t="str">
        <f t="shared" ca="1" si="17"/>
        <v/>
      </c>
      <c r="X57" s="70" t="str">
        <f t="shared" ca="1" si="18"/>
        <v/>
      </c>
      <c r="Y57" s="95"/>
      <c r="Z57" s="96" t="str">
        <f ca="1">IF(W57="","",J57/'1.c PUC_Projection'!H59)</f>
        <v/>
      </c>
      <c r="AA57" s="96" t="str">
        <f t="shared" ca="1" si="19"/>
        <v/>
      </c>
      <c r="AB57" s="97" t="str">
        <f t="shared" ca="1" si="9"/>
        <v/>
      </c>
    </row>
    <row r="58" spans="2:28" ht="15" customHeight="1" x14ac:dyDescent="0.25">
      <c r="B58" s="57" t="str">
        <f t="shared" ca="1" si="10"/>
        <v/>
      </c>
      <c r="C58" s="71" t="str">
        <f t="shared" ca="1" si="11"/>
        <v/>
      </c>
      <c r="D58" s="72" t="str">
        <f t="shared" ca="1" si="12"/>
        <v/>
      </c>
      <c r="E58" s="73" t="str">
        <f t="shared" ca="1" si="13"/>
        <v/>
      </c>
      <c r="F58" s="62" t="str">
        <f t="shared" ca="1" si="20"/>
        <v/>
      </c>
      <c r="G58" s="62" t="str">
        <f t="shared" ca="1" si="20"/>
        <v/>
      </c>
      <c r="I58" s="94">
        <f t="shared" ca="1" si="1"/>
        <v>0</v>
      </c>
      <c r="J58" s="63" t="str">
        <f t="shared" ca="1" si="16"/>
        <v/>
      </c>
      <c r="K58" s="65">
        <f t="shared" ca="1" si="3"/>
        <v>0</v>
      </c>
      <c r="L58" s="64">
        <f t="shared" ca="1" si="7"/>
        <v>0</v>
      </c>
      <c r="M58" s="65">
        <f t="shared" ca="1" si="8"/>
        <v>0</v>
      </c>
      <c r="N58" s="66"/>
      <c r="O58" s="67">
        <f ca="1">IF($C58="",0,
K58*'2.d Decrements'!D54+(O57-P57-Q57-R58)*(1+G57))</f>
        <v>0</v>
      </c>
      <c r="P58" s="68">
        <f ca="1">M58*'1.a Assumptions'!$C$13*'2.d Decrements'!E54</f>
        <v>0</v>
      </c>
      <c r="Q58" s="68">
        <f ca="1">L59*('2.d Decrements'!G54+'2.d Decrements'!H54)</f>
        <v>0</v>
      </c>
      <c r="R58" s="68">
        <f ca="1">L58*$D$11*'2.d Decrements'!F54</f>
        <v>0</v>
      </c>
      <c r="S58" s="68">
        <f ca="1">O58-L59*'2.d Decrements'!D54</f>
        <v>0</v>
      </c>
      <c r="T58" s="68" t="str">
        <f ca="1">IF(B59&lt;=$T$13,OFFSET('2.d Decrements'!$K$11,0,$T$13-B58),"")</f>
        <v/>
      </c>
      <c r="W58" s="69" t="str">
        <f t="shared" ca="1" si="17"/>
        <v/>
      </c>
      <c r="X58" s="70" t="str">
        <f t="shared" ca="1" si="18"/>
        <v/>
      </c>
      <c r="Y58" s="95"/>
      <c r="Z58" s="96" t="str">
        <f ca="1">IF(W58="","",J58/'1.c PUC_Projection'!H60)</f>
        <v/>
      </c>
      <c r="AA58" s="96" t="str">
        <f t="shared" ca="1" si="19"/>
        <v/>
      </c>
      <c r="AB58" s="97" t="str">
        <f t="shared" ca="1" si="9"/>
        <v/>
      </c>
    </row>
    <row r="59" spans="2:28" ht="15" customHeight="1" x14ac:dyDescent="0.25">
      <c r="B59" s="57" t="str">
        <f t="shared" ca="1" si="10"/>
        <v/>
      </c>
      <c r="C59" s="71" t="str">
        <f t="shared" ca="1" si="11"/>
        <v/>
      </c>
      <c r="D59" s="72" t="str">
        <f t="shared" ca="1" si="12"/>
        <v/>
      </c>
      <c r="E59" s="73" t="str">
        <f t="shared" ca="1" si="13"/>
        <v/>
      </c>
      <c r="F59" s="62" t="str">
        <f t="shared" ca="1" si="20"/>
        <v/>
      </c>
      <c r="G59" s="62" t="str">
        <f t="shared" ca="1" si="20"/>
        <v/>
      </c>
      <c r="I59" s="94">
        <f t="shared" ca="1" si="1"/>
        <v>0</v>
      </c>
      <c r="J59" s="63" t="str">
        <f t="shared" ca="1" si="16"/>
        <v/>
      </c>
      <c r="K59" s="65">
        <f t="shared" ca="1" si="3"/>
        <v>0</v>
      </c>
      <c r="L59" s="64">
        <f t="shared" ca="1" si="7"/>
        <v>0</v>
      </c>
      <c r="M59" s="65">
        <f t="shared" ca="1" si="8"/>
        <v>0</v>
      </c>
      <c r="N59" s="66"/>
      <c r="O59" s="67">
        <f ca="1">IF($C59="",0,
K59*'2.d Decrements'!D55+(O58-P58-Q58-R59)*(1+G58))</f>
        <v>0</v>
      </c>
      <c r="P59" s="68">
        <f ca="1">M59*'1.a Assumptions'!$C$13*'2.d Decrements'!E55</f>
        <v>0</v>
      </c>
      <c r="Q59" s="68">
        <f ca="1">L60*('2.d Decrements'!G55+'2.d Decrements'!H55)</f>
        <v>0</v>
      </c>
      <c r="R59" s="68">
        <f ca="1">L59*$D$11*'2.d Decrements'!F55</f>
        <v>0</v>
      </c>
      <c r="S59" s="68">
        <f ca="1">O59-L60*'2.d Decrements'!D55</f>
        <v>0</v>
      </c>
      <c r="T59" s="68" t="str">
        <f ca="1">IF(B60&lt;=$T$13,OFFSET('2.d Decrements'!$K$11,0,$T$13-B59),"")</f>
        <v/>
      </c>
      <c r="W59" s="69" t="str">
        <f t="shared" ca="1" si="17"/>
        <v/>
      </c>
      <c r="X59" s="70" t="str">
        <f t="shared" ca="1" si="18"/>
        <v/>
      </c>
      <c r="Y59" s="95"/>
      <c r="Z59" s="96" t="str">
        <f ca="1">IF(W59="","",J59/'1.c PUC_Projection'!H61)</f>
        <v/>
      </c>
      <c r="AA59" s="96" t="str">
        <f t="shared" ca="1" si="19"/>
        <v/>
      </c>
      <c r="AB59" s="97" t="str">
        <f t="shared" ca="1" si="9"/>
        <v/>
      </c>
    </row>
    <row r="60" spans="2:28" ht="15" customHeight="1" x14ac:dyDescent="0.25">
      <c r="B60" s="57" t="str">
        <f t="shared" ca="1" si="10"/>
        <v/>
      </c>
      <c r="C60" s="71" t="str">
        <f t="shared" ca="1" si="11"/>
        <v/>
      </c>
      <c r="D60" s="72" t="str">
        <f t="shared" ca="1" si="12"/>
        <v/>
      </c>
      <c r="E60" s="73" t="str">
        <f t="shared" ca="1" si="13"/>
        <v/>
      </c>
      <c r="F60" s="62" t="str">
        <f t="shared" ca="1" si="20"/>
        <v/>
      </c>
      <c r="G60" s="62" t="str">
        <f t="shared" ca="1" si="20"/>
        <v/>
      </c>
      <c r="I60" s="94">
        <f t="shared" ca="1" si="1"/>
        <v>0</v>
      </c>
      <c r="J60" s="63" t="str">
        <f t="shared" ca="1" si="16"/>
        <v/>
      </c>
      <c r="K60" s="65">
        <f t="shared" ca="1" si="3"/>
        <v>0</v>
      </c>
      <c r="L60" s="64">
        <f t="shared" ca="1" si="7"/>
        <v>0</v>
      </c>
      <c r="M60" s="65">
        <f t="shared" ca="1" si="8"/>
        <v>0</v>
      </c>
      <c r="N60" s="66"/>
      <c r="O60" s="67">
        <f ca="1">IF($C60="",0,
K60*'2.d Decrements'!D56+(O59-P59-Q59-R60)*(1+G59))</f>
        <v>0</v>
      </c>
      <c r="P60" s="68">
        <f ca="1">M60*'1.a Assumptions'!$C$13*'2.d Decrements'!E56</f>
        <v>0</v>
      </c>
      <c r="Q60" s="68">
        <f ca="1">L61*('2.d Decrements'!G56+'2.d Decrements'!H56)</f>
        <v>0</v>
      </c>
      <c r="R60" s="68">
        <f ca="1">L60*$D$11*'2.d Decrements'!F56</f>
        <v>0</v>
      </c>
      <c r="S60" s="68">
        <f ca="1">O60-L61*'2.d Decrements'!D56</f>
        <v>0</v>
      </c>
      <c r="T60" s="68" t="str">
        <f ca="1">IF(B61&lt;=$T$13,OFFSET('2.d Decrements'!$K$11,0,$T$13-B60),"")</f>
        <v/>
      </c>
      <c r="W60" s="69" t="str">
        <f t="shared" ca="1" si="17"/>
        <v/>
      </c>
      <c r="X60" s="70" t="str">
        <f t="shared" ca="1" si="18"/>
        <v/>
      </c>
      <c r="Y60" s="95"/>
      <c r="Z60" s="96" t="str">
        <f ca="1">IF(W60="","",J60/'1.c PUC_Projection'!H62)</f>
        <v/>
      </c>
      <c r="AA60" s="96" t="str">
        <f t="shared" ca="1" si="19"/>
        <v/>
      </c>
      <c r="AB60" s="97" t="str">
        <f t="shared" ca="1" si="9"/>
        <v/>
      </c>
    </row>
    <row r="61" spans="2:28" ht="15" customHeight="1" x14ac:dyDescent="0.25">
      <c r="B61" s="57" t="str">
        <f t="shared" ca="1" si="10"/>
        <v/>
      </c>
      <c r="C61" s="71" t="str">
        <f t="shared" ca="1" si="11"/>
        <v/>
      </c>
      <c r="D61" s="72" t="str">
        <f t="shared" ca="1" si="12"/>
        <v/>
      </c>
      <c r="E61" s="73" t="str">
        <f t="shared" ca="1" si="13"/>
        <v/>
      </c>
      <c r="F61" s="62" t="str">
        <f t="shared" ca="1" si="20"/>
        <v/>
      </c>
      <c r="G61" s="62" t="str">
        <f t="shared" ca="1" si="20"/>
        <v/>
      </c>
      <c r="I61" s="94">
        <f t="shared" ca="1" si="1"/>
        <v>0</v>
      </c>
      <c r="J61" s="63" t="str">
        <f t="shared" ca="1" si="16"/>
        <v/>
      </c>
      <c r="K61" s="65">
        <f t="shared" ca="1" si="3"/>
        <v>0</v>
      </c>
      <c r="L61" s="64">
        <f t="shared" ca="1" si="7"/>
        <v>0</v>
      </c>
      <c r="M61" s="65">
        <f t="shared" ca="1" si="8"/>
        <v>0</v>
      </c>
      <c r="N61" s="66"/>
      <c r="O61" s="67">
        <f ca="1">IF($C61="",0,
K61*'2.d Decrements'!D57+(O60-P60-Q60-R61)*(1+G60))</f>
        <v>0</v>
      </c>
      <c r="P61" s="68">
        <f ca="1">M61*'1.a Assumptions'!$C$13*'2.d Decrements'!E57</f>
        <v>0</v>
      </c>
      <c r="Q61" s="68">
        <f ca="1">L62*('2.d Decrements'!G57+'2.d Decrements'!H57)</f>
        <v>0</v>
      </c>
      <c r="R61" s="68">
        <f ca="1">L61*$D$11*'2.d Decrements'!F57</f>
        <v>0</v>
      </c>
      <c r="S61" s="68">
        <f ca="1">O61-L62*'2.d Decrements'!D57</f>
        <v>0</v>
      </c>
      <c r="T61" s="68" t="str">
        <f ca="1">IF(B62&lt;=$T$13,OFFSET('2.d Decrements'!$K$11,0,$T$13-B61),"")</f>
        <v/>
      </c>
      <c r="W61" s="69" t="str">
        <f t="shared" ca="1" si="17"/>
        <v/>
      </c>
      <c r="X61" s="70" t="str">
        <f t="shared" ca="1" si="18"/>
        <v/>
      </c>
      <c r="Y61" s="95"/>
      <c r="Z61" s="96" t="str">
        <f ca="1">IF(W61="","",J61/'1.c PUC_Projection'!H63)</f>
        <v/>
      </c>
      <c r="AA61" s="96" t="str">
        <f t="shared" ca="1" si="19"/>
        <v/>
      </c>
      <c r="AB61" s="97" t="str">
        <f t="shared" ca="1" si="9"/>
        <v/>
      </c>
    </row>
    <row r="62" spans="2:28" ht="15" customHeight="1" x14ac:dyDescent="0.25">
      <c r="B62" s="57" t="str">
        <f t="shared" ca="1" si="10"/>
        <v/>
      </c>
      <c r="C62" s="71" t="str">
        <f t="shared" ca="1" si="11"/>
        <v/>
      </c>
      <c r="D62" s="72" t="str">
        <f t="shared" ca="1" si="12"/>
        <v/>
      </c>
      <c r="E62" s="73" t="str">
        <f t="shared" ca="1" si="13"/>
        <v/>
      </c>
      <c r="F62" s="62" t="str">
        <f t="shared" ca="1" si="20"/>
        <v/>
      </c>
      <c r="G62" s="62" t="str">
        <f t="shared" ca="1" si="20"/>
        <v/>
      </c>
      <c r="I62" s="94">
        <f t="shared" ca="1" si="1"/>
        <v>0</v>
      </c>
      <c r="J62" s="63" t="str">
        <f t="shared" ca="1" si="16"/>
        <v/>
      </c>
      <c r="K62" s="65">
        <f t="shared" ca="1" si="3"/>
        <v>0</v>
      </c>
      <c r="L62" s="64">
        <f t="shared" ca="1" si="7"/>
        <v>0</v>
      </c>
      <c r="M62" s="65">
        <f t="shared" ca="1" si="8"/>
        <v>0</v>
      </c>
      <c r="N62" s="66"/>
      <c r="O62" s="67">
        <f ca="1">IF($C62="",0,
K62*'2.d Decrements'!D58+(O61-P61-Q61-R62)*(1+G61))</f>
        <v>0</v>
      </c>
      <c r="P62" s="68">
        <f ca="1">M62*'1.a Assumptions'!$C$13*'2.d Decrements'!E58</f>
        <v>0</v>
      </c>
      <c r="Q62" s="68">
        <f ca="1">L63*('2.d Decrements'!G58+'2.d Decrements'!H58)</f>
        <v>0</v>
      </c>
      <c r="R62" s="68">
        <f ca="1">L62*$D$11*'2.d Decrements'!F58</f>
        <v>0</v>
      </c>
      <c r="S62" s="68">
        <f ca="1">O62-L63*'2.d Decrements'!D58</f>
        <v>0</v>
      </c>
      <c r="T62" s="68" t="str">
        <f ca="1">IF(B63&lt;=$T$13,OFFSET('2.d Decrements'!$K$11,0,$T$13-B62),"")</f>
        <v/>
      </c>
      <c r="W62" s="69" t="str">
        <f t="shared" ca="1" si="17"/>
        <v/>
      </c>
      <c r="X62" s="70" t="str">
        <f t="shared" ca="1" si="18"/>
        <v/>
      </c>
      <c r="Y62" s="95"/>
      <c r="Z62" s="96" t="str">
        <f ca="1">IF(W62="","",J62/'1.c PUC_Projection'!H64)</f>
        <v/>
      </c>
      <c r="AA62" s="96" t="str">
        <f t="shared" ca="1" si="19"/>
        <v/>
      </c>
      <c r="AB62" s="97" t="str">
        <f t="shared" ca="1" si="9"/>
        <v/>
      </c>
    </row>
    <row r="63" spans="2:28" ht="15" customHeight="1" x14ac:dyDescent="0.25">
      <c r="B63" s="57" t="str">
        <f t="shared" ca="1" si="10"/>
        <v/>
      </c>
      <c r="C63" s="71" t="str">
        <f t="shared" ca="1" si="11"/>
        <v/>
      </c>
      <c r="D63" s="72" t="str">
        <f t="shared" ca="1" si="12"/>
        <v/>
      </c>
      <c r="E63" s="73" t="str">
        <f t="shared" ca="1" si="13"/>
        <v/>
      </c>
      <c r="F63" s="62" t="str">
        <f t="shared" ca="1" si="20"/>
        <v/>
      </c>
      <c r="G63" s="62" t="str">
        <f t="shared" ca="1" si="20"/>
        <v/>
      </c>
      <c r="I63" s="94">
        <f t="shared" ca="1" si="1"/>
        <v>0</v>
      </c>
      <c r="J63" s="63" t="str">
        <f t="shared" ca="1" si="16"/>
        <v/>
      </c>
      <c r="K63" s="65">
        <f t="shared" ca="1" si="3"/>
        <v>0</v>
      </c>
      <c r="L63" s="64">
        <f t="shared" ca="1" si="7"/>
        <v>0</v>
      </c>
      <c r="M63" s="65">
        <f t="shared" ca="1" si="8"/>
        <v>0</v>
      </c>
      <c r="N63" s="66"/>
      <c r="O63" s="67">
        <f ca="1">IF($C63="",0,
K63*'2.d Decrements'!D59+(O62-P62-Q62-R63)*(1+G62))</f>
        <v>0</v>
      </c>
      <c r="P63" s="68">
        <f ca="1">M63*'1.a Assumptions'!$C$13*'2.d Decrements'!E59</f>
        <v>0</v>
      </c>
      <c r="Q63" s="68">
        <f ca="1">L64*('2.d Decrements'!G59+'2.d Decrements'!H59)</f>
        <v>0</v>
      </c>
      <c r="R63" s="68">
        <f ca="1">L63*$D$11*'2.d Decrements'!F59</f>
        <v>0</v>
      </c>
      <c r="S63" s="68">
        <f ca="1">O63-L64*'2.d Decrements'!D59</f>
        <v>0</v>
      </c>
      <c r="T63" s="68" t="str">
        <f ca="1">IF(B64&lt;=$T$13,OFFSET('2.d Decrements'!$K$11,0,$T$13-B63),"")</f>
        <v/>
      </c>
      <c r="W63" s="69" t="str">
        <f t="shared" ca="1" si="17"/>
        <v/>
      </c>
      <c r="X63" s="70" t="str">
        <f t="shared" ca="1" si="18"/>
        <v/>
      </c>
      <c r="Y63" s="95"/>
      <c r="Z63" s="96" t="str">
        <f ca="1">IF(W63="","",J63/'1.c PUC_Projection'!H65)</f>
        <v/>
      </c>
      <c r="AA63" s="96" t="str">
        <f t="shared" ca="1" si="19"/>
        <v/>
      </c>
      <c r="AB63" s="97" t="str">
        <f t="shared" ca="1" si="9"/>
        <v/>
      </c>
    </row>
    <row r="64" spans="2:28" ht="15" customHeight="1" x14ac:dyDescent="0.25">
      <c r="B64" s="57" t="str">
        <f t="shared" ca="1" si="10"/>
        <v/>
      </c>
      <c r="C64" s="71" t="str">
        <f t="shared" ca="1" si="11"/>
        <v/>
      </c>
      <c r="D64" s="72" t="str">
        <f t="shared" ca="1" si="12"/>
        <v/>
      </c>
      <c r="E64" s="73" t="str">
        <f t="shared" ca="1" si="13"/>
        <v/>
      </c>
      <c r="F64" s="62" t="str">
        <f t="shared" ca="1" si="20"/>
        <v/>
      </c>
      <c r="G64" s="62" t="str">
        <f t="shared" ca="1" si="20"/>
        <v/>
      </c>
      <c r="I64" s="94">
        <f t="shared" ca="1" si="1"/>
        <v>0</v>
      </c>
      <c r="J64" s="63" t="str">
        <f t="shared" ca="1" si="16"/>
        <v/>
      </c>
      <c r="K64" s="65">
        <f t="shared" ca="1" si="3"/>
        <v>0</v>
      </c>
      <c r="L64" s="64">
        <f t="shared" ca="1" si="7"/>
        <v>0</v>
      </c>
      <c r="M64" s="65">
        <f t="shared" ca="1" si="8"/>
        <v>0</v>
      </c>
      <c r="N64" s="66"/>
      <c r="O64" s="67">
        <f ca="1">IF($C64="",0,
K64*'2.d Decrements'!D60+(O63-P63-Q63-R64)*(1+G63))</f>
        <v>0</v>
      </c>
      <c r="P64" s="68">
        <f ca="1">M64*'1.a Assumptions'!$C$13*'2.d Decrements'!E60</f>
        <v>0</v>
      </c>
      <c r="Q64" s="68">
        <f ca="1">L65*('2.d Decrements'!G60+'2.d Decrements'!H60)</f>
        <v>0</v>
      </c>
      <c r="R64" s="68">
        <f ca="1">L64*$D$11*'2.d Decrements'!F60</f>
        <v>0</v>
      </c>
      <c r="S64" s="68">
        <f ca="1">O64-L65*'2.d Decrements'!D60</f>
        <v>0</v>
      </c>
      <c r="T64" s="68" t="str">
        <f ca="1">IF(B65&lt;=$T$13,OFFSET('2.d Decrements'!$K$11,0,$T$13-B64),"")</f>
        <v/>
      </c>
      <c r="W64" s="69" t="str">
        <f t="shared" ca="1" si="17"/>
        <v/>
      </c>
      <c r="X64" s="70" t="str">
        <f t="shared" ca="1" si="18"/>
        <v/>
      </c>
      <c r="Y64" s="95"/>
      <c r="Z64" s="96" t="str">
        <f ca="1">IF(W64="","",J64/'1.c PUC_Projection'!H66)</f>
        <v/>
      </c>
      <c r="AA64" s="96" t="str">
        <f t="shared" ca="1" si="19"/>
        <v/>
      </c>
      <c r="AB64" s="97" t="str">
        <f t="shared" ca="1" si="9"/>
        <v/>
      </c>
    </row>
    <row r="65" spans="2:28" ht="15" customHeight="1" x14ac:dyDescent="0.25">
      <c r="B65" s="57" t="str">
        <f t="shared" ca="1" si="10"/>
        <v/>
      </c>
      <c r="C65" s="71" t="str">
        <f t="shared" ca="1" si="11"/>
        <v/>
      </c>
      <c r="D65" s="72" t="str">
        <f t="shared" ca="1" si="12"/>
        <v/>
      </c>
      <c r="E65" s="73" t="str">
        <f t="shared" ca="1" si="13"/>
        <v/>
      </c>
      <c r="F65" s="62" t="str">
        <f t="shared" ref="F65:G80" ca="1" si="21">IF($C65="","",F64)</f>
        <v/>
      </c>
      <c r="G65" s="62" t="str">
        <f t="shared" ca="1" si="21"/>
        <v/>
      </c>
      <c r="I65" s="94">
        <f t="shared" ca="1" si="1"/>
        <v>0</v>
      </c>
      <c r="J65" s="63" t="str">
        <f t="shared" ca="1" si="16"/>
        <v/>
      </c>
      <c r="K65" s="65">
        <f t="shared" ca="1" si="3"/>
        <v>0</v>
      </c>
      <c r="L65" s="64">
        <f t="shared" ca="1" si="7"/>
        <v>0</v>
      </c>
      <c r="M65" s="65">
        <f t="shared" ca="1" si="8"/>
        <v>0</v>
      </c>
      <c r="N65" s="66"/>
      <c r="O65" s="67">
        <f ca="1">IF($C65="",0,
K65*'2.d Decrements'!D61+(O64-P64-Q64-R65)*(1+G64))</f>
        <v>0</v>
      </c>
      <c r="P65" s="68">
        <f ca="1">M65*'1.a Assumptions'!$C$13*'2.d Decrements'!E61</f>
        <v>0</v>
      </c>
      <c r="Q65" s="68">
        <f ca="1">L66*('2.d Decrements'!G61+'2.d Decrements'!H61)</f>
        <v>0</v>
      </c>
      <c r="R65" s="68">
        <f ca="1">L65*$D$11*'2.d Decrements'!F61</f>
        <v>0</v>
      </c>
      <c r="S65" s="68">
        <f ca="1">O65-L66*'2.d Decrements'!D61</f>
        <v>0</v>
      </c>
      <c r="T65" s="68" t="str">
        <f ca="1">IF(B66&lt;=$T$13,OFFSET('2.d Decrements'!$K$11,0,$T$13-B65),"")</f>
        <v/>
      </c>
      <c r="W65" s="69" t="str">
        <f t="shared" ca="1" si="17"/>
        <v/>
      </c>
      <c r="X65" s="70" t="str">
        <f t="shared" ca="1" si="18"/>
        <v/>
      </c>
      <c r="Y65" s="95"/>
      <c r="Z65" s="96" t="str">
        <f ca="1">IF(W65="","",J65/'1.c PUC_Projection'!H67)</f>
        <v/>
      </c>
      <c r="AA65" s="96" t="str">
        <f t="shared" ca="1" si="19"/>
        <v/>
      </c>
      <c r="AB65" s="97" t="str">
        <f t="shared" ca="1" si="9"/>
        <v/>
      </c>
    </row>
    <row r="66" spans="2:28" ht="15" customHeight="1" x14ac:dyDescent="0.25">
      <c r="B66" s="57" t="str">
        <f t="shared" ca="1" si="10"/>
        <v/>
      </c>
      <c r="C66" s="71" t="str">
        <f t="shared" ca="1" si="11"/>
        <v/>
      </c>
      <c r="D66" s="72" t="str">
        <f t="shared" ca="1" si="12"/>
        <v/>
      </c>
      <c r="E66" s="73" t="str">
        <f t="shared" ca="1" si="13"/>
        <v/>
      </c>
      <c r="F66" s="62" t="str">
        <f t="shared" ca="1" si="21"/>
        <v/>
      </c>
      <c r="G66" s="62" t="str">
        <f t="shared" ca="1" si="21"/>
        <v/>
      </c>
      <c r="I66" s="94">
        <f t="shared" ca="1" si="1"/>
        <v>0</v>
      </c>
      <c r="J66" s="63" t="str">
        <f t="shared" ca="1" si="16"/>
        <v/>
      </c>
      <c r="K66" s="65">
        <f t="shared" ca="1" si="3"/>
        <v>0</v>
      </c>
      <c r="L66" s="64">
        <f t="shared" ca="1" si="7"/>
        <v>0</v>
      </c>
      <c r="M66" s="65">
        <f t="shared" ca="1" si="8"/>
        <v>0</v>
      </c>
      <c r="N66" s="66"/>
      <c r="O66" s="67">
        <f ca="1">IF($C66="",0,
K66*'2.d Decrements'!D62+(O65-P65-Q65-R66)*(1+G65))</f>
        <v>0</v>
      </c>
      <c r="P66" s="68">
        <f ca="1">M66*'1.a Assumptions'!$C$13*'2.d Decrements'!E62</f>
        <v>0</v>
      </c>
      <c r="Q66" s="68">
        <f ca="1">L67*('2.d Decrements'!G62+'2.d Decrements'!H62)</f>
        <v>0</v>
      </c>
      <c r="R66" s="68">
        <f ca="1">L66*$D$11*'2.d Decrements'!F62</f>
        <v>0</v>
      </c>
      <c r="S66" s="68">
        <f ca="1">O66-L67*'2.d Decrements'!D62</f>
        <v>0</v>
      </c>
      <c r="T66" s="68" t="str">
        <f ca="1">IF(B67&lt;=$T$13,OFFSET('2.d Decrements'!$K$11,0,$T$13-B66),"")</f>
        <v/>
      </c>
      <c r="W66" s="69" t="str">
        <f t="shared" ca="1" si="17"/>
        <v/>
      </c>
      <c r="X66" s="70" t="str">
        <f t="shared" ca="1" si="18"/>
        <v/>
      </c>
      <c r="Y66" s="95"/>
      <c r="Z66" s="96" t="str">
        <f ca="1">IF(W66="","",J66/'1.c PUC_Projection'!H68)</f>
        <v/>
      </c>
      <c r="AA66" s="96" t="str">
        <f t="shared" ca="1" si="19"/>
        <v/>
      </c>
      <c r="AB66" s="97" t="str">
        <f t="shared" ca="1" si="9"/>
        <v/>
      </c>
    </row>
    <row r="67" spans="2:28" ht="15" customHeight="1" x14ac:dyDescent="0.25">
      <c r="B67" s="57" t="str">
        <f t="shared" ca="1" si="10"/>
        <v/>
      </c>
      <c r="C67" s="71" t="str">
        <f t="shared" ca="1" si="11"/>
        <v/>
      </c>
      <c r="D67" s="72" t="str">
        <f t="shared" ca="1" si="12"/>
        <v/>
      </c>
      <c r="E67" s="73" t="str">
        <f t="shared" ca="1" si="13"/>
        <v/>
      </c>
      <c r="F67" s="62" t="str">
        <f t="shared" ca="1" si="21"/>
        <v/>
      </c>
      <c r="G67" s="62" t="str">
        <f t="shared" ca="1" si="21"/>
        <v/>
      </c>
      <c r="I67" s="94">
        <f t="shared" ca="1" si="1"/>
        <v>0</v>
      </c>
      <c r="J67" s="63" t="str">
        <f t="shared" ca="1" si="16"/>
        <v/>
      </c>
      <c r="K67" s="65">
        <f t="shared" ca="1" si="3"/>
        <v>0</v>
      </c>
      <c r="L67" s="64">
        <f t="shared" ca="1" si="7"/>
        <v>0</v>
      </c>
      <c r="M67" s="65">
        <f t="shared" ca="1" si="8"/>
        <v>0</v>
      </c>
      <c r="N67" s="66"/>
      <c r="O67" s="67">
        <f ca="1">IF($C67="",0,
K67*'2.d Decrements'!D63+(O66-P66-Q66-R67)*(1+G66))</f>
        <v>0</v>
      </c>
      <c r="P67" s="68">
        <f ca="1">M67*'1.a Assumptions'!$C$13*'2.d Decrements'!E63</f>
        <v>0</v>
      </c>
      <c r="Q67" s="68">
        <f ca="1">L68*('2.d Decrements'!G63+'2.d Decrements'!H63)</f>
        <v>0</v>
      </c>
      <c r="R67" s="68">
        <f ca="1">L67*$D$11*'2.d Decrements'!F63</f>
        <v>0</v>
      </c>
      <c r="S67" s="68">
        <f ca="1">O67-L68*'2.d Decrements'!D63</f>
        <v>0</v>
      </c>
      <c r="T67" s="68" t="str">
        <f ca="1">IF(B68&lt;=$T$13,OFFSET('2.d Decrements'!$K$11,0,$T$13-B67),"")</f>
        <v/>
      </c>
      <c r="W67" s="69" t="str">
        <f t="shared" ca="1" si="17"/>
        <v/>
      </c>
      <c r="X67" s="70" t="str">
        <f t="shared" ca="1" si="18"/>
        <v/>
      </c>
      <c r="Y67" s="95"/>
      <c r="Z67" s="96" t="str">
        <f ca="1">IF(W67="","",J67/'1.c PUC_Projection'!H69)</f>
        <v/>
      </c>
      <c r="AA67" s="96" t="str">
        <f t="shared" ca="1" si="19"/>
        <v/>
      </c>
      <c r="AB67" s="97" t="str">
        <f t="shared" ca="1" si="9"/>
        <v/>
      </c>
    </row>
    <row r="68" spans="2:28" ht="15" customHeight="1" x14ac:dyDescent="0.25">
      <c r="B68" s="57" t="str">
        <f t="shared" ca="1" si="10"/>
        <v/>
      </c>
      <c r="C68" s="71" t="str">
        <f t="shared" ca="1" si="11"/>
        <v/>
      </c>
      <c r="D68" s="72" t="str">
        <f t="shared" ca="1" si="12"/>
        <v/>
      </c>
      <c r="E68" s="73" t="str">
        <f t="shared" ca="1" si="13"/>
        <v/>
      </c>
      <c r="F68" s="62" t="str">
        <f t="shared" ca="1" si="21"/>
        <v/>
      </c>
      <c r="G68" s="62" t="str">
        <f t="shared" ca="1" si="21"/>
        <v/>
      </c>
      <c r="I68" s="94">
        <f t="shared" ca="1" si="1"/>
        <v>0</v>
      </c>
      <c r="J68" s="63" t="str">
        <f t="shared" ca="1" si="16"/>
        <v/>
      </c>
      <c r="K68" s="65">
        <f t="shared" ca="1" si="3"/>
        <v>0</v>
      </c>
      <c r="L68" s="64">
        <f t="shared" ca="1" si="7"/>
        <v>0</v>
      </c>
      <c r="M68" s="65">
        <f t="shared" ca="1" si="8"/>
        <v>0</v>
      </c>
      <c r="N68" s="66"/>
      <c r="O68" s="67">
        <f ca="1">IF($C68="",0,
K68*'2.d Decrements'!D64+(O67-P67-Q67-R68)*(1+G67))</f>
        <v>0</v>
      </c>
      <c r="P68" s="68">
        <f ca="1">M68*'1.a Assumptions'!$C$13*'2.d Decrements'!E64</f>
        <v>0</v>
      </c>
      <c r="Q68" s="68">
        <f ca="1">L69*('2.d Decrements'!G64+'2.d Decrements'!H64)</f>
        <v>0</v>
      </c>
      <c r="R68" s="68">
        <f ca="1">L68*$D$11*'2.d Decrements'!F64</f>
        <v>0</v>
      </c>
      <c r="S68" s="68">
        <f ca="1">O68-L69*'2.d Decrements'!D64</f>
        <v>0</v>
      </c>
      <c r="T68" s="68" t="str">
        <f ca="1">IF(B69&lt;=$T$13,OFFSET('2.d Decrements'!$K$11,0,$T$13-B68),"")</f>
        <v/>
      </c>
      <c r="W68" s="69" t="str">
        <f t="shared" ca="1" si="17"/>
        <v/>
      </c>
      <c r="X68" s="70" t="str">
        <f t="shared" ca="1" si="18"/>
        <v/>
      </c>
      <c r="Y68" s="95"/>
      <c r="Z68" s="96" t="str">
        <f ca="1">IF(W68="","",J68/'1.c PUC_Projection'!H70)</f>
        <v/>
      </c>
      <c r="AA68" s="96" t="str">
        <f t="shared" ca="1" si="19"/>
        <v/>
      </c>
      <c r="AB68" s="97" t="str">
        <f t="shared" ca="1" si="9"/>
        <v/>
      </c>
    </row>
    <row r="69" spans="2:28" ht="15" customHeight="1" x14ac:dyDescent="0.25">
      <c r="B69" s="57" t="str">
        <f t="shared" ca="1" si="10"/>
        <v/>
      </c>
      <c r="C69" s="71" t="str">
        <f t="shared" ca="1" si="11"/>
        <v/>
      </c>
      <c r="D69" s="72" t="str">
        <f t="shared" ca="1" si="12"/>
        <v/>
      </c>
      <c r="E69" s="73" t="str">
        <f t="shared" ca="1" si="13"/>
        <v/>
      </c>
      <c r="F69" s="62" t="str">
        <f t="shared" ca="1" si="21"/>
        <v/>
      </c>
      <c r="G69" s="62" t="str">
        <f t="shared" ca="1" si="21"/>
        <v/>
      </c>
      <c r="I69" s="94">
        <f t="shared" ca="1" si="1"/>
        <v>0</v>
      </c>
      <c r="J69" s="63" t="str">
        <f t="shared" ca="1" si="16"/>
        <v/>
      </c>
      <c r="K69" s="65">
        <f t="shared" ca="1" si="3"/>
        <v>0</v>
      </c>
      <c r="L69" s="64">
        <f t="shared" ca="1" si="7"/>
        <v>0</v>
      </c>
      <c r="M69" s="65">
        <f t="shared" ca="1" si="8"/>
        <v>0</v>
      </c>
      <c r="N69" s="66"/>
      <c r="O69" s="67">
        <f ca="1">IF($C69="",0,
K69*'2.d Decrements'!D65+(O68-P68-Q68-R69)*(1+G68))</f>
        <v>0</v>
      </c>
      <c r="P69" s="68">
        <f ca="1">M69*'1.a Assumptions'!$C$13*'2.d Decrements'!E65</f>
        <v>0</v>
      </c>
      <c r="Q69" s="68">
        <f ca="1">L70*('2.d Decrements'!G65+'2.d Decrements'!H65)</f>
        <v>0</v>
      </c>
      <c r="R69" s="68">
        <f ca="1">L69*$D$11*'2.d Decrements'!F65</f>
        <v>0</v>
      </c>
      <c r="S69" s="68">
        <f ca="1">O69-L70*'2.d Decrements'!D65</f>
        <v>0</v>
      </c>
      <c r="T69" s="68" t="str">
        <f ca="1">IF(B70&lt;=$T$13,OFFSET('2.d Decrements'!$K$11,0,$T$13-B69),"")</f>
        <v/>
      </c>
      <c r="W69" s="69" t="str">
        <f t="shared" ca="1" si="17"/>
        <v/>
      </c>
      <c r="X69" s="70" t="str">
        <f t="shared" ca="1" si="18"/>
        <v/>
      </c>
      <c r="Y69" s="95"/>
      <c r="Z69" s="96" t="str">
        <f ca="1">IF(W69="","",J69/'1.c PUC_Projection'!H71)</f>
        <v/>
      </c>
      <c r="AA69" s="96" t="str">
        <f t="shared" ca="1" si="19"/>
        <v/>
      </c>
      <c r="AB69" s="97" t="str">
        <f t="shared" ca="1" si="9"/>
        <v/>
      </c>
    </row>
    <row r="70" spans="2:28" ht="15" customHeight="1" x14ac:dyDescent="0.25">
      <c r="B70" s="57" t="str">
        <f t="shared" ca="1" si="10"/>
        <v/>
      </c>
      <c r="C70" s="71" t="str">
        <f t="shared" ca="1" si="11"/>
        <v/>
      </c>
      <c r="D70" s="72" t="str">
        <f t="shared" ca="1" si="12"/>
        <v/>
      </c>
      <c r="E70" s="73" t="str">
        <f t="shared" ca="1" si="13"/>
        <v/>
      </c>
      <c r="F70" s="62" t="str">
        <f t="shared" ca="1" si="21"/>
        <v/>
      </c>
      <c r="G70" s="62" t="str">
        <f t="shared" ca="1" si="21"/>
        <v/>
      </c>
      <c r="I70" s="94">
        <f t="shared" ca="1" si="1"/>
        <v>0</v>
      </c>
      <c r="J70" s="63" t="str">
        <f t="shared" ca="1" si="16"/>
        <v/>
      </c>
      <c r="K70" s="65">
        <f t="shared" ca="1" si="3"/>
        <v>0</v>
      </c>
      <c r="L70" s="64">
        <f t="shared" ca="1" si="7"/>
        <v>0</v>
      </c>
      <c r="M70" s="65">
        <f t="shared" ca="1" si="8"/>
        <v>0</v>
      </c>
      <c r="N70" s="66"/>
      <c r="O70" s="67">
        <f ca="1">IF($C70="",0,
K70*'2.d Decrements'!D66+(O69-P69-Q69-R70)*(1+G69))</f>
        <v>0</v>
      </c>
      <c r="P70" s="68">
        <f ca="1">M70*'1.a Assumptions'!$C$13*'2.d Decrements'!E66</f>
        <v>0</v>
      </c>
      <c r="Q70" s="68">
        <f ca="1">L71*('2.d Decrements'!G66+'2.d Decrements'!H66)</f>
        <v>0</v>
      </c>
      <c r="R70" s="68">
        <f ca="1">L70*$D$11*'2.d Decrements'!F66</f>
        <v>0</v>
      </c>
      <c r="S70" s="68">
        <f ca="1">O70-L71*'2.d Decrements'!D66</f>
        <v>0</v>
      </c>
      <c r="T70" s="68" t="str">
        <f ca="1">IF(B71&lt;=$T$13,OFFSET('2.d Decrements'!$K$11,0,$T$13-B70),"")</f>
        <v/>
      </c>
      <c r="W70" s="69" t="str">
        <f t="shared" ca="1" si="17"/>
        <v/>
      </c>
      <c r="X70" s="70" t="str">
        <f t="shared" ca="1" si="18"/>
        <v/>
      </c>
      <c r="Y70" s="95"/>
      <c r="Z70" s="96" t="str">
        <f ca="1">IF(W70="","",J70/'1.c PUC_Projection'!H72)</f>
        <v/>
      </c>
      <c r="AA70" s="96" t="str">
        <f t="shared" ca="1" si="19"/>
        <v/>
      </c>
      <c r="AB70" s="97" t="str">
        <f t="shared" ca="1" si="9"/>
        <v/>
      </c>
    </row>
    <row r="71" spans="2:28" ht="15" customHeight="1" x14ac:dyDescent="0.25">
      <c r="B71" s="57" t="str">
        <f t="shared" ca="1" si="10"/>
        <v/>
      </c>
      <c r="C71" s="71" t="str">
        <f t="shared" ca="1" si="11"/>
        <v/>
      </c>
      <c r="D71" s="72" t="str">
        <f t="shared" ca="1" si="12"/>
        <v/>
      </c>
      <c r="E71" s="73" t="str">
        <f t="shared" ca="1" si="13"/>
        <v/>
      </c>
      <c r="F71" s="62" t="str">
        <f t="shared" ca="1" si="21"/>
        <v/>
      </c>
      <c r="G71" s="62" t="str">
        <f t="shared" ca="1" si="21"/>
        <v/>
      </c>
      <c r="I71" s="94">
        <f t="shared" ca="1" si="1"/>
        <v>0</v>
      </c>
      <c r="J71" s="63" t="str">
        <f t="shared" ca="1" si="16"/>
        <v/>
      </c>
      <c r="K71" s="65">
        <f t="shared" ca="1" si="3"/>
        <v>0</v>
      </c>
      <c r="L71" s="64">
        <f t="shared" ca="1" si="7"/>
        <v>0</v>
      </c>
      <c r="M71" s="65">
        <f t="shared" ca="1" si="8"/>
        <v>0</v>
      </c>
      <c r="N71" s="66"/>
      <c r="O71" s="67">
        <f ca="1">IF($C71="",0,
K71*'2.d Decrements'!D67+(O70-P70-Q70-R71)*(1+G70))</f>
        <v>0</v>
      </c>
      <c r="P71" s="68">
        <f ca="1">M71*'1.a Assumptions'!$C$13*'2.d Decrements'!E67</f>
        <v>0</v>
      </c>
      <c r="Q71" s="68">
        <f ca="1">L72*('2.d Decrements'!G67+'2.d Decrements'!H67)</f>
        <v>0</v>
      </c>
      <c r="R71" s="68">
        <f ca="1">L71*$D$11*'2.d Decrements'!F67</f>
        <v>0</v>
      </c>
      <c r="S71" s="68">
        <f ca="1">O71-L72*'2.d Decrements'!D67</f>
        <v>0</v>
      </c>
      <c r="T71" s="68" t="str">
        <f ca="1">IF(B72&lt;=$T$13,OFFSET('2.d Decrements'!$K$11,0,$T$13-B71),"")</f>
        <v/>
      </c>
      <c r="W71" s="69" t="str">
        <f t="shared" ca="1" si="17"/>
        <v/>
      </c>
      <c r="X71" s="70" t="str">
        <f t="shared" ca="1" si="18"/>
        <v/>
      </c>
      <c r="Y71" s="95"/>
      <c r="Z71" s="96" t="str">
        <f ca="1">IF(W71="","",J71/'1.c PUC_Projection'!H73)</f>
        <v/>
      </c>
      <c r="AA71" s="96" t="str">
        <f t="shared" ca="1" si="19"/>
        <v/>
      </c>
      <c r="AB71" s="97" t="str">
        <f t="shared" ca="1" si="9"/>
        <v/>
      </c>
    </row>
    <row r="72" spans="2:28" ht="15" customHeight="1" x14ac:dyDescent="0.25">
      <c r="B72" s="57" t="str">
        <f t="shared" ca="1" si="10"/>
        <v/>
      </c>
      <c r="C72" s="71" t="str">
        <f t="shared" ca="1" si="11"/>
        <v/>
      </c>
      <c r="D72" s="72" t="str">
        <f t="shared" ca="1" si="12"/>
        <v/>
      </c>
      <c r="E72" s="73" t="str">
        <f t="shared" ca="1" si="13"/>
        <v/>
      </c>
      <c r="F72" s="62" t="str">
        <f t="shared" ca="1" si="21"/>
        <v/>
      </c>
      <c r="G72" s="62" t="str">
        <f t="shared" ca="1" si="21"/>
        <v/>
      </c>
      <c r="I72" s="94">
        <f t="shared" ca="1" si="1"/>
        <v>0</v>
      </c>
      <c r="J72" s="63" t="str">
        <f t="shared" ca="1" si="16"/>
        <v/>
      </c>
      <c r="K72" s="65">
        <f t="shared" ca="1" si="3"/>
        <v>0</v>
      </c>
      <c r="L72" s="64">
        <f t="shared" ca="1" si="7"/>
        <v>0</v>
      </c>
      <c r="M72" s="65">
        <f t="shared" ca="1" si="8"/>
        <v>0</v>
      </c>
      <c r="N72" s="66"/>
      <c r="O72" s="67">
        <f ca="1">IF($C72="",0,
K72*'2.d Decrements'!D68+(O71-P71-Q71-R72)*(1+G71))</f>
        <v>0</v>
      </c>
      <c r="P72" s="68">
        <f ca="1">M72*'1.a Assumptions'!$C$13*'2.d Decrements'!E68</f>
        <v>0</v>
      </c>
      <c r="Q72" s="68">
        <f ca="1">L73*('2.d Decrements'!G68+'2.d Decrements'!H68)</f>
        <v>0</v>
      </c>
      <c r="R72" s="68">
        <f ca="1">L72*$D$11*'2.d Decrements'!F68</f>
        <v>0</v>
      </c>
      <c r="S72" s="68">
        <f ca="1">O72-L73*'2.d Decrements'!D68</f>
        <v>0</v>
      </c>
      <c r="T72" s="68" t="str">
        <f ca="1">IF(B73&lt;=$T$13,OFFSET('2.d Decrements'!$K$11,0,$T$13-B72),"")</f>
        <v/>
      </c>
      <c r="W72" s="69" t="str">
        <f t="shared" ca="1" si="17"/>
        <v/>
      </c>
      <c r="X72" s="70" t="str">
        <f t="shared" ca="1" si="18"/>
        <v/>
      </c>
      <c r="Y72" s="95"/>
      <c r="Z72" s="96" t="str">
        <f ca="1">IF(W72="","",J72/'1.c PUC_Projection'!H74)</f>
        <v/>
      </c>
      <c r="AA72" s="96" t="str">
        <f t="shared" ca="1" si="19"/>
        <v/>
      </c>
      <c r="AB72" s="97" t="str">
        <f t="shared" ca="1" si="9"/>
        <v/>
      </c>
    </row>
    <row r="73" spans="2:28" ht="15" customHeight="1" x14ac:dyDescent="0.25">
      <c r="B73" s="57" t="str">
        <f t="shared" ca="1" si="10"/>
        <v/>
      </c>
      <c r="C73" s="71" t="str">
        <f t="shared" ca="1" si="11"/>
        <v/>
      </c>
      <c r="D73" s="72" t="str">
        <f t="shared" ca="1" si="12"/>
        <v/>
      </c>
      <c r="E73" s="73" t="str">
        <f t="shared" ca="1" si="13"/>
        <v/>
      </c>
      <c r="F73" s="62" t="str">
        <f t="shared" ca="1" si="21"/>
        <v/>
      </c>
      <c r="G73" s="62" t="str">
        <f t="shared" ca="1" si="21"/>
        <v/>
      </c>
      <c r="I73" s="94">
        <f t="shared" ca="1" si="1"/>
        <v>0</v>
      </c>
      <c r="J73" s="63" t="str">
        <f t="shared" ca="1" si="16"/>
        <v/>
      </c>
      <c r="K73" s="65">
        <f t="shared" ca="1" si="3"/>
        <v>0</v>
      </c>
      <c r="L73" s="64">
        <f t="shared" ca="1" si="7"/>
        <v>0</v>
      </c>
      <c r="M73" s="65">
        <f t="shared" ca="1" si="8"/>
        <v>0</v>
      </c>
      <c r="N73" s="66"/>
      <c r="O73" s="67">
        <f ca="1">IF($C73="",0,
K73*'2.d Decrements'!D69+(O72-P72-Q72-R73)*(1+G72))</f>
        <v>0</v>
      </c>
      <c r="P73" s="68">
        <f ca="1">M73*'1.a Assumptions'!$C$13*'2.d Decrements'!E69</f>
        <v>0</v>
      </c>
      <c r="Q73" s="68">
        <f ca="1">L74*('2.d Decrements'!G69+'2.d Decrements'!H69)</f>
        <v>0</v>
      </c>
      <c r="R73" s="68">
        <f ca="1">L73*$D$11*'2.d Decrements'!F69</f>
        <v>0</v>
      </c>
      <c r="S73" s="68">
        <f ca="1">O73-L74*'2.d Decrements'!D69</f>
        <v>0</v>
      </c>
      <c r="T73" s="68" t="str">
        <f ca="1">IF(B74&lt;=$T$13,OFFSET('2.d Decrements'!$K$11,0,$T$13-B73),"")</f>
        <v/>
      </c>
      <c r="W73" s="69" t="str">
        <f t="shared" ca="1" si="17"/>
        <v/>
      </c>
      <c r="X73" s="70" t="str">
        <f t="shared" ca="1" si="18"/>
        <v/>
      </c>
      <c r="Y73" s="95"/>
      <c r="Z73" s="96" t="str">
        <f ca="1">IF(W73="","",J73/'1.c PUC_Projection'!H75)</f>
        <v/>
      </c>
      <c r="AA73" s="96" t="str">
        <f t="shared" ca="1" si="19"/>
        <v/>
      </c>
      <c r="AB73" s="97" t="str">
        <f t="shared" ca="1" si="9"/>
        <v/>
      </c>
    </row>
    <row r="74" spans="2:28" ht="15" customHeight="1" x14ac:dyDescent="0.25">
      <c r="B74" s="57" t="str">
        <f t="shared" ca="1" si="10"/>
        <v/>
      </c>
      <c r="C74" s="71" t="str">
        <f t="shared" ca="1" si="11"/>
        <v/>
      </c>
      <c r="D74" s="72" t="str">
        <f t="shared" ca="1" si="12"/>
        <v/>
      </c>
      <c r="E74" s="73" t="str">
        <f t="shared" ca="1" si="13"/>
        <v/>
      </c>
      <c r="F74" s="62" t="str">
        <f t="shared" ca="1" si="21"/>
        <v/>
      </c>
      <c r="G74" s="62" t="str">
        <f t="shared" ca="1" si="21"/>
        <v/>
      </c>
      <c r="I74" s="94">
        <f t="shared" ca="1" si="1"/>
        <v>0</v>
      </c>
      <c r="J74" s="63" t="str">
        <f t="shared" ca="1" si="16"/>
        <v/>
      </c>
      <c r="K74" s="65">
        <f t="shared" ca="1" si="3"/>
        <v>0</v>
      </c>
      <c r="L74" s="64">
        <f t="shared" ca="1" si="7"/>
        <v>0</v>
      </c>
      <c r="M74" s="65">
        <f t="shared" ca="1" si="8"/>
        <v>0</v>
      </c>
      <c r="N74" s="66"/>
      <c r="O74" s="67">
        <f ca="1">IF($C74="",0,
K74*'2.d Decrements'!D70+(O73-P73-Q73-R74)*(1+G73))</f>
        <v>0</v>
      </c>
      <c r="P74" s="68">
        <f ca="1">M74*'1.a Assumptions'!$C$13*'2.d Decrements'!E70</f>
        <v>0</v>
      </c>
      <c r="Q74" s="68">
        <f ca="1">L75*('2.d Decrements'!G70+'2.d Decrements'!H70)</f>
        <v>0</v>
      </c>
      <c r="R74" s="68">
        <f ca="1">L74*$D$11*'2.d Decrements'!F70</f>
        <v>0</v>
      </c>
      <c r="S74" s="68">
        <f ca="1">O74-L75*'2.d Decrements'!D70</f>
        <v>0</v>
      </c>
      <c r="T74" s="68" t="str">
        <f ca="1">IF(B75&lt;=$T$13,OFFSET('2.d Decrements'!$K$11,0,$T$13-B74),"")</f>
        <v/>
      </c>
      <c r="W74" s="69" t="str">
        <f t="shared" ca="1" si="17"/>
        <v/>
      </c>
      <c r="X74" s="70" t="str">
        <f t="shared" ca="1" si="18"/>
        <v/>
      </c>
      <c r="Y74" s="95"/>
      <c r="Z74" s="96" t="str">
        <f ca="1">IF(W74="","",J74/'1.c PUC_Projection'!H76)</f>
        <v/>
      </c>
      <c r="AA74" s="96" t="str">
        <f t="shared" ca="1" si="19"/>
        <v/>
      </c>
      <c r="AB74" s="97" t="str">
        <f t="shared" ca="1" si="9"/>
        <v/>
      </c>
    </row>
    <row r="75" spans="2:28" ht="15" customHeight="1" x14ac:dyDescent="0.25">
      <c r="B75" s="57" t="str">
        <f t="shared" ca="1" si="10"/>
        <v/>
      </c>
      <c r="C75" s="71" t="str">
        <f t="shared" ca="1" si="11"/>
        <v/>
      </c>
      <c r="D75" s="72" t="str">
        <f t="shared" ca="1" si="12"/>
        <v/>
      </c>
      <c r="E75" s="73" t="str">
        <f t="shared" ca="1" si="13"/>
        <v/>
      </c>
      <c r="F75" s="62" t="str">
        <f t="shared" ca="1" si="21"/>
        <v/>
      </c>
      <c r="G75" s="62" t="str">
        <f t="shared" ca="1" si="21"/>
        <v/>
      </c>
      <c r="I75" s="94">
        <f t="shared" ca="1" si="1"/>
        <v>0</v>
      </c>
      <c r="J75" s="63" t="str">
        <f t="shared" ca="1" si="16"/>
        <v/>
      </c>
      <c r="K75" s="65">
        <f t="shared" ca="1" si="3"/>
        <v>0</v>
      </c>
      <c r="L75" s="64">
        <f t="shared" ca="1" si="7"/>
        <v>0</v>
      </c>
      <c r="M75" s="65">
        <f t="shared" ca="1" si="8"/>
        <v>0</v>
      </c>
      <c r="N75" s="66"/>
      <c r="O75" s="67">
        <f ca="1">IF($C75="",0,
K75*'2.d Decrements'!D71+(O74-P74-Q74-R75)*(1+G74))</f>
        <v>0</v>
      </c>
      <c r="P75" s="68">
        <f ca="1">M75*'1.a Assumptions'!$C$13*'2.d Decrements'!E71</f>
        <v>0</v>
      </c>
      <c r="Q75" s="68">
        <f ca="1">L76*('2.d Decrements'!G71+'2.d Decrements'!H71)</f>
        <v>0</v>
      </c>
      <c r="R75" s="68">
        <f ca="1">L75*$D$11*'2.d Decrements'!F71</f>
        <v>0</v>
      </c>
      <c r="S75" s="68">
        <f ca="1">O75-L76*'2.d Decrements'!D71</f>
        <v>0</v>
      </c>
      <c r="T75" s="68" t="str">
        <f ca="1">IF(B76&lt;=$T$13,OFFSET('2.d Decrements'!$K$11,0,$T$13-B75),"")</f>
        <v/>
      </c>
      <c r="W75" s="69" t="str">
        <f t="shared" ca="1" si="17"/>
        <v/>
      </c>
      <c r="X75" s="70" t="str">
        <f t="shared" ca="1" si="18"/>
        <v/>
      </c>
      <c r="Y75" s="95"/>
      <c r="Z75" s="96" t="str">
        <f ca="1">IF(W75="","",J75/'1.c PUC_Projection'!H77)</f>
        <v/>
      </c>
      <c r="AA75" s="96" t="str">
        <f t="shared" ca="1" si="19"/>
        <v/>
      </c>
      <c r="AB75" s="97" t="str">
        <f t="shared" ca="1" si="9"/>
        <v/>
      </c>
    </row>
    <row r="76" spans="2:28" ht="15" customHeight="1" x14ac:dyDescent="0.25">
      <c r="B76" s="57" t="str">
        <f t="shared" ca="1" si="10"/>
        <v/>
      </c>
      <c r="C76" s="71" t="str">
        <f t="shared" ca="1" si="11"/>
        <v/>
      </c>
      <c r="D76" s="72" t="str">
        <f t="shared" ca="1" si="12"/>
        <v/>
      </c>
      <c r="E76" s="73" t="str">
        <f t="shared" ca="1" si="13"/>
        <v/>
      </c>
      <c r="F76" s="62" t="str">
        <f t="shared" ca="1" si="21"/>
        <v/>
      </c>
      <c r="G76" s="62" t="str">
        <f t="shared" ca="1" si="21"/>
        <v/>
      </c>
      <c r="I76" s="94">
        <f t="shared" ca="1" si="1"/>
        <v>0</v>
      </c>
      <c r="J76" s="63" t="str">
        <f t="shared" ca="1" si="16"/>
        <v/>
      </c>
      <c r="K76" s="65">
        <f t="shared" ca="1" si="3"/>
        <v>0</v>
      </c>
      <c r="L76" s="64">
        <f t="shared" ca="1" si="7"/>
        <v>0</v>
      </c>
      <c r="M76" s="65">
        <f t="shared" ca="1" si="8"/>
        <v>0</v>
      </c>
      <c r="N76" s="66"/>
      <c r="O76" s="67">
        <f ca="1">IF($C76="",0,
K76*'2.d Decrements'!D72+(O75-P75-Q75-R76)*(1+G75))</f>
        <v>0</v>
      </c>
      <c r="P76" s="68">
        <f ca="1">M76*'1.a Assumptions'!$C$13*'2.d Decrements'!E72</f>
        <v>0</v>
      </c>
      <c r="Q76" s="68">
        <f ca="1">L77*('2.d Decrements'!G72+'2.d Decrements'!H72)</f>
        <v>0</v>
      </c>
      <c r="R76" s="68">
        <f ca="1">L76*$D$11*'2.d Decrements'!F72</f>
        <v>0</v>
      </c>
      <c r="S76" s="68">
        <f ca="1">O76-L77*'2.d Decrements'!D72</f>
        <v>0</v>
      </c>
      <c r="T76" s="68" t="str">
        <f ca="1">IF(B77&lt;=$T$13,OFFSET('2.d Decrements'!$K$11,0,$T$13-B76),"")</f>
        <v/>
      </c>
      <c r="W76" s="69" t="str">
        <f t="shared" ca="1" si="17"/>
        <v/>
      </c>
      <c r="X76" s="70" t="str">
        <f t="shared" ca="1" si="18"/>
        <v/>
      </c>
      <c r="Y76" s="95"/>
      <c r="Z76" s="96" t="str">
        <f ca="1">IF(W76="","",J76/'1.c PUC_Projection'!H78)</f>
        <v/>
      </c>
      <c r="AA76" s="96" t="str">
        <f t="shared" ca="1" si="19"/>
        <v/>
      </c>
      <c r="AB76" s="97" t="str">
        <f t="shared" ca="1" si="9"/>
        <v/>
      </c>
    </row>
    <row r="77" spans="2:28" ht="15" customHeight="1" x14ac:dyDescent="0.25">
      <c r="B77" s="57" t="str">
        <f t="shared" ca="1" si="10"/>
        <v/>
      </c>
      <c r="C77" s="71" t="str">
        <f t="shared" ca="1" si="11"/>
        <v/>
      </c>
      <c r="D77" s="72" t="str">
        <f t="shared" ca="1" si="12"/>
        <v/>
      </c>
      <c r="E77" s="73" t="str">
        <f t="shared" ca="1" si="13"/>
        <v/>
      </c>
      <c r="F77" s="62" t="str">
        <f t="shared" ca="1" si="21"/>
        <v/>
      </c>
      <c r="G77" s="62" t="str">
        <f t="shared" ca="1" si="21"/>
        <v/>
      </c>
      <c r="I77" s="94">
        <f t="shared" ca="1" si="1"/>
        <v>0</v>
      </c>
      <c r="J77" s="63" t="str">
        <f t="shared" ca="1" si="16"/>
        <v/>
      </c>
      <c r="K77" s="65">
        <f t="shared" ca="1" si="3"/>
        <v>0</v>
      </c>
      <c r="L77" s="64">
        <f t="shared" ca="1" si="7"/>
        <v>0</v>
      </c>
      <c r="M77" s="65">
        <f t="shared" ca="1" si="8"/>
        <v>0</v>
      </c>
      <c r="N77" s="66"/>
      <c r="O77" s="67">
        <f ca="1">IF($C77="",0,
K77*'2.d Decrements'!D73+(O76-P76-Q76-R77)*(1+G76))</f>
        <v>0</v>
      </c>
      <c r="P77" s="68">
        <f ca="1">M77*'1.a Assumptions'!$C$13*'2.d Decrements'!E73</f>
        <v>0</v>
      </c>
      <c r="Q77" s="68">
        <f ca="1">L78*('2.d Decrements'!G73+'2.d Decrements'!H73)</f>
        <v>0</v>
      </c>
      <c r="R77" s="68">
        <f ca="1">L77*$D$11*'2.d Decrements'!F73</f>
        <v>0</v>
      </c>
      <c r="S77" s="68">
        <f ca="1">O77-L78*'2.d Decrements'!D73</f>
        <v>0</v>
      </c>
      <c r="T77" s="68" t="str">
        <f ca="1">IF(B78&lt;=$T$13,OFFSET('2.d Decrements'!$K$11,0,$T$13-B77),"")</f>
        <v/>
      </c>
      <c r="W77" s="69" t="str">
        <f t="shared" ca="1" si="17"/>
        <v/>
      </c>
      <c r="X77" s="70" t="str">
        <f t="shared" ca="1" si="18"/>
        <v/>
      </c>
      <c r="Y77" s="95"/>
      <c r="Z77" s="96" t="str">
        <f ca="1">IF(W77="","",J77/'1.c PUC_Projection'!H79)</f>
        <v/>
      </c>
      <c r="AA77" s="96" t="str">
        <f t="shared" ca="1" si="19"/>
        <v/>
      </c>
      <c r="AB77" s="97" t="str">
        <f t="shared" ca="1" si="9"/>
        <v/>
      </c>
    </row>
    <row r="78" spans="2:28" ht="15" customHeight="1" x14ac:dyDescent="0.25">
      <c r="B78" s="57" t="str">
        <f t="shared" ca="1" si="10"/>
        <v/>
      </c>
      <c r="C78" s="71" t="str">
        <f t="shared" ca="1" si="11"/>
        <v/>
      </c>
      <c r="D78" s="72" t="str">
        <f t="shared" ca="1" si="12"/>
        <v/>
      </c>
      <c r="E78" s="73" t="str">
        <f t="shared" ca="1" si="13"/>
        <v/>
      </c>
      <c r="F78" s="62" t="str">
        <f t="shared" ca="1" si="21"/>
        <v/>
      </c>
      <c r="G78" s="62" t="str">
        <f t="shared" ca="1" si="21"/>
        <v/>
      </c>
      <c r="I78" s="94">
        <f t="shared" ca="1" si="1"/>
        <v>0</v>
      </c>
      <c r="J78" s="63" t="str">
        <f t="shared" ca="1" si="16"/>
        <v/>
      </c>
      <c r="K78" s="65">
        <f t="shared" ca="1" si="3"/>
        <v>0</v>
      </c>
      <c r="L78" s="64">
        <f t="shared" ca="1" si="7"/>
        <v>0</v>
      </c>
      <c r="M78" s="65">
        <f t="shared" ca="1" si="8"/>
        <v>0</v>
      </c>
      <c r="N78" s="66"/>
      <c r="O78" s="67">
        <f ca="1">IF($C78="",0,
K78*'2.d Decrements'!D74+(O77-P77-Q77-R78)*(1+G77))</f>
        <v>0</v>
      </c>
      <c r="P78" s="68">
        <f ca="1">M78*'1.a Assumptions'!$C$13*'2.d Decrements'!E74</f>
        <v>0</v>
      </c>
      <c r="Q78" s="68">
        <f ca="1">L79*('2.d Decrements'!G74+'2.d Decrements'!H74)</f>
        <v>0</v>
      </c>
      <c r="R78" s="68">
        <f ca="1">L78*$D$11*'2.d Decrements'!F74</f>
        <v>0</v>
      </c>
      <c r="S78" s="68">
        <f ca="1">O78-L79*'2.d Decrements'!D74</f>
        <v>0</v>
      </c>
      <c r="T78" s="68" t="str">
        <f ca="1">IF(B79&lt;=$T$13,OFFSET('2.d Decrements'!$K$11,0,$T$13-B78),"")</f>
        <v/>
      </c>
      <c r="W78" s="69" t="str">
        <f t="shared" ca="1" si="17"/>
        <v/>
      </c>
      <c r="X78" s="70" t="str">
        <f t="shared" ca="1" si="18"/>
        <v/>
      </c>
      <c r="Y78" s="95"/>
      <c r="Z78" s="96" t="str">
        <f ca="1">IF(W78="","",J78/'1.c PUC_Projection'!H80)</f>
        <v/>
      </c>
      <c r="AA78" s="96" t="str">
        <f t="shared" ca="1" si="19"/>
        <v/>
      </c>
      <c r="AB78" s="97" t="str">
        <f t="shared" ca="1" si="9"/>
        <v/>
      </c>
    </row>
    <row r="79" spans="2:28" ht="15" customHeight="1" x14ac:dyDescent="0.25">
      <c r="B79" s="57" t="str">
        <f t="shared" ca="1" si="10"/>
        <v/>
      </c>
      <c r="C79" s="71" t="str">
        <f t="shared" ca="1" si="11"/>
        <v/>
      </c>
      <c r="D79" s="72" t="str">
        <f t="shared" ca="1" si="12"/>
        <v/>
      </c>
      <c r="E79" s="73" t="str">
        <f t="shared" ca="1" si="13"/>
        <v/>
      </c>
      <c r="F79" s="62" t="str">
        <f t="shared" ca="1" si="21"/>
        <v/>
      </c>
      <c r="G79" s="62" t="str">
        <f t="shared" ca="1" si="21"/>
        <v/>
      </c>
      <c r="I79" s="94">
        <f t="shared" ref="I79:I85" ca="1" si="22">IFERROR((1-(1+$D$10)^-($D$5-$C79))/$D$10,0)</f>
        <v>0</v>
      </c>
      <c r="J79" s="63" t="str">
        <f t="shared" ref="J79:J85" ca="1" si="23">IF($C79="","",
D79*($D$5-$D$9)*((1+F79)/(1+G79))^($D$5-$D$9)/$H$15)</f>
        <v/>
      </c>
      <c r="K79" s="65">
        <f t="shared" ref="K79:K85" ca="1" si="24">IF($C80="",0,
J79*E79*(1+F79))</f>
        <v>0</v>
      </c>
      <c r="L79" s="64">
        <f t="shared" ca="1" si="7"/>
        <v>0</v>
      </c>
      <c r="M79" s="65">
        <f t="shared" ca="1" si="8"/>
        <v>0</v>
      </c>
      <c r="N79" s="66"/>
      <c r="O79" s="67">
        <f ca="1">IF($C79="",0,
K79*'2.d Decrements'!D75+(O78-P78-Q78-R79)*(1+G78))</f>
        <v>0</v>
      </c>
      <c r="P79" s="68">
        <f ca="1">M79*'1.a Assumptions'!$C$13*'2.d Decrements'!E75</f>
        <v>0</v>
      </c>
      <c r="Q79" s="68">
        <f ca="1">L80*('2.d Decrements'!G75+'2.d Decrements'!H75)</f>
        <v>0</v>
      </c>
      <c r="R79" s="68">
        <f ca="1">L79*$D$11*'2.d Decrements'!F75</f>
        <v>0</v>
      </c>
      <c r="S79" s="68">
        <f ca="1">O79-L80*'2.d Decrements'!D75</f>
        <v>0</v>
      </c>
      <c r="T79" s="68" t="str">
        <f ca="1">IF(B80&lt;=$T$13,OFFSET('2.d Decrements'!$K$11,0,$T$13-B79),"")</f>
        <v/>
      </c>
      <c r="W79" s="69" t="str">
        <f t="shared" ref="W79:W84" ca="1" si="25">IF($C80&lt;=$D$5,L80-L79*(1+i),"")</f>
        <v/>
      </c>
      <c r="X79" s="70" t="str">
        <f t="shared" ref="X79:X84" ca="1" si="26">IF(W79="","",W79-K79)</f>
        <v/>
      </c>
      <c r="Y79" s="95"/>
      <c r="Z79" s="96" t="str">
        <f ca="1">IF(W79="","",J79/'1.c PUC_Projection'!H81)</f>
        <v/>
      </c>
      <c r="AA79" s="96" t="str">
        <f t="shared" ref="AA79:AA84" ca="1" si="27">IF(W79="","",($D$5-$D$9)/$H$15*(1+$D$10)^-(C79-$D$9+1))</f>
        <v/>
      </c>
      <c r="AB79" s="97" t="str">
        <f t="shared" ca="1" si="9"/>
        <v/>
      </c>
    </row>
    <row r="80" spans="2:28" ht="15" customHeight="1" x14ac:dyDescent="0.25">
      <c r="B80" s="57" t="str">
        <f t="shared" ca="1" si="10"/>
        <v/>
      </c>
      <c r="C80" s="71" t="str">
        <f t="shared" ca="1" si="11"/>
        <v/>
      </c>
      <c r="D80" s="72" t="str">
        <f t="shared" ca="1" si="12"/>
        <v/>
      </c>
      <c r="E80" s="73" t="str">
        <f t="shared" ca="1" si="13"/>
        <v/>
      </c>
      <c r="F80" s="62" t="str">
        <f t="shared" ca="1" si="21"/>
        <v/>
      </c>
      <c r="G80" s="62" t="str">
        <f t="shared" ca="1" si="21"/>
        <v/>
      </c>
      <c r="I80" s="94">
        <f t="shared" ca="1" si="22"/>
        <v>0</v>
      </c>
      <c r="J80" s="63" t="str">
        <f t="shared" ca="1" si="23"/>
        <v/>
      </c>
      <c r="K80" s="65">
        <f t="shared" ca="1" si="24"/>
        <v>0</v>
      </c>
      <c r="L80" s="64">
        <f t="shared" ref="L80:L85" ca="1" si="28">IF($C80="",0,
IF($C80&gt;$D$5,D80*B80*E80,
D80*($D$5-$D$4)*E80*((1+F80)/(1+G80))^($D$5-C80)-J80*E80*I80))</f>
        <v>0</v>
      </c>
      <c r="M80" s="65">
        <f t="shared" ref="M80:M85" ca="1" si="29">IF($C80="",0,
D80*B80*E80*((1+F80)/(1+G80))^MAX(0,$D$5-C80))</f>
        <v>0</v>
      </c>
      <c r="N80" s="66"/>
      <c r="O80" s="67">
        <f ca="1">IF($C80="",0,
K80*'2.d Decrements'!D76+(O79-P79-Q79-R80)*(1+G79))</f>
        <v>0</v>
      </c>
      <c r="P80" s="68">
        <f ca="1">M80*'1.a Assumptions'!$C$13*'2.d Decrements'!E76</f>
        <v>0</v>
      </c>
      <c r="Q80" s="68">
        <f ca="1">L81*('2.d Decrements'!G76+'2.d Decrements'!H76)</f>
        <v>0</v>
      </c>
      <c r="R80" s="68">
        <f ca="1">L80*$D$11*'2.d Decrements'!F76</f>
        <v>0</v>
      </c>
      <c r="S80" s="68">
        <f ca="1">O80-L81*'2.d Decrements'!D76</f>
        <v>0</v>
      </c>
      <c r="T80" s="68" t="str">
        <f ca="1">IF(B81&lt;=$T$13,OFFSET('2.d Decrements'!$K$11,0,$T$13-B80),"")</f>
        <v/>
      </c>
      <c r="W80" s="69" t="str">
        <f t="shared" ca="1" si="25"/>
        <v/>
      </c>
      <c r="X80" s="70" t="str">
        <f t="shared" ca="1" si="26"/>
        <v/>
      </c>
      <c r="Y80" s="95"/>
      <c r="Z80" s="96" t="str">
        <f ca="1">IF(W80="","",J80/'1.c PUC_Projection'!H82)</f>
        <v/>
      </c>
      <c r="AA80" s="96" t="str">
        <f t="shared" ca="1" si="27"/>
        <v/>
      </c>
      <c r="AB80" s="97" t="str">
        <f t="shared" ref="AB80:AB84" ca="1" si="30">IF(W80="","",Z80-AA80)</f>
        <v/>
      </c>
    </row>
    <row r="81" spans="2:28" ht="15" customHeight="1" x14ac:dyDescent="0.25">
      <c r="B81" s="57" t="str">
        <f t="shared" ref="B81:B85" ca="1" si="31">IF($C81="","",B80+1)</f>
        <v/>
      </c>
      <c r="C81" s="71" t="str">
        <f t="shared" ref="C81:C85" ca="1" si="32">IF(C80="","",IF($D$2="A",IF(C80+1&gt;$D$5+15,"",C80+1),IF(C80+1&gt;$D$5,"",C80+1)))</f>
        <v/>
      </c>
      <c r="D81" s="72" t="str">
        <f t="shared" ref="D81:D85" ca="1" si="33">IF($C81="","",D80)</f>
        <v/>
      </c>
      <c r="E81" s="73" t="str">
        <f t="shared" ref="E81:E85" ca="1" si="34">IF($C81="","",E80*(1+F80))</f>
        <v/>
      </c>
      <c r="F81" s="62" t="str">
        <f t="shared" ref="F81:G85" ca="1" si="35">IF($C81="","",F80)</f>
        <v/>
      </c>
      <c r="G81" s="62" t="str">
        <f t="shared" ca="1" si="35"/>
        <v/>
      </c>
      <c r="I81" s="94">
        <f t="shared" ca="1" si="22"/>
        <v>0</v>
      </c>
      <c r="J81" s="63" t="str">
        <f t="shared" ca="1" si="23"/>
        <v/>
      </c>
      <c r="K81" s="65">
        <f t="shared" ca="1" si="24"/>
        <v>0</v>
      </c>
      <c r="L81" s="64">
        <f t="shared" ca="1" si="28"/>
        <v>0</v>
      </c>
      <c r="M81" s="65">
        <f t="shared" ca="1" si="29"/>
        <v>0</v>
      </c>
      <c r="N81" s="66"/>
      <c r="O81" s="67">
        <f ca="1">IF($C81="",0,
K81*'2.d Decrements'!D77+(O80-P80-Q80-R81)*(1+G80))</f>
        <v>0</v>
      </c>
      <c r="P81" s="68">
        <f ca="1">M81*'1.a Assumptions'!$C$13*'2.d Decrements'!E77</f>
        <v>0</v>
      </c>
      <c r="Q81" s="68">
        <f ca="1">L82*('2.d Decrements'!G77+'2.d Decrements'!H77)</f>
        <v>0</v>
      </c>
      <c r="R81" s="68">
        <f ca="1">L81*$D$11*'2.d Decrements'!F77</f>
        <v>0</v>
      </c>
      <c r="S81" s="68">
        <f ca="1">O81-L82*'2.d Decrements'!D77</f>
        <v>0</v>
      </c>
      <c r="T81" s="68" t="str">
        <f ca="1">IF(B82&lt;=$T$13,OFFSET('2.d Decrements'!$K$11,0,$T$13-B81),"")</f>
        <v/>
      </c>
      <c r="W81" s="69" t="str">
        <f t="shared" ca="1" si="25"/>
        <v/>
      </c>
      <c r="X81" s="70" t="str">
        <f t="shared" ca="1" si="26"/>
        <v/>
      </c>
      <c r="Y81" s="95"/>
      <c r="Z81" s="96" t="str">
        <f ca="1">IF(W81="","",J81/'1.c PUC_Projection'!H83)</f>
        <v/>
      </c>
      <c r="AA81" s="96" t="str">
        <f t="shared" ca="1" si="27"/>
        <v/>
      </c>
      <c r="AB81" s="97" t="str">
        <f t="shared" ca="1" si="30"/>
        <v/>
      </c>
    </row>
    <row r="82" spans="2:28" ht="15" customHeight="1" x14ac:dyDescent="0.25">
      <c r="B82" s="57" t="str">
        <f t="shared" ca="1" si="31"/>
        <v/>
      </c>
      <c r="C82" s="71" t="str">
        <f t="shared" ca="1" si="32"/>
        <v/>
      </c>
      <c r="D82" s="72" t="str">
        <f t="shared" ca="1" si="33"/>
        <v/>
      </c>
      <c r="E82" s="73" t="str">
        <f t="shared" ca="1" si="34"/>
        <v/>
      </c>
      <c r="F82" s="62" t="str">
        <f t="shared" ca="1" si="35"/>
        <v/>
      </c>
      <c r="G82" s="62" t="str">
        <f t="shared" ca="1" si="35"/>
        <v/>
      </c>
      <c r="I82" s="94">
        <f t="shared" ca="1" si="22"/>
        <v>0</v>
      </c>
      <c r="J82" s="63" t="str">
        <f t="shared" ca="1" si="23"/>
        <v/>
      </c>
      <c r="K82" s="65">
        <f t="shared" ca="1" si="24"/>
        <v>0</v>
      </c>
      <c r="L82" s="64">
        <f t="shared" ca="1" si="28"/>
        <v>0</v>
      </c>
      <c r="M82" s="65">
        <f t="shared" ca="1" si="29"/>
        <v>0</v>
      </c>
      <c r="N82" s="66"/>
      <c r="O82" s="67">
        <f ca="1">IF($C82="",0,
K82*'2.d Decrements'!D78+(O81-P81-Q81-R82)*(1+G81))</f>
        <v>0</v>
      </c>
      <c r="P82" s="68">
        <f ca="1">M82*'1.a Assumptions'!$C$13*'2.d Decrements'!E78</f>
        <v>0</v>
      </c>
      <c r="Q82" s="68">
        <f ca="1">L83*('2.d Decrements'!G78+'2.d Decrements'!H78)</f>
        <v>0</v>
      </c>
      <c r="R82" s="68">
        <f ca="1">L82*$D$11*'2.d Decrements'!F78</f>
        <v>0</v>
      </c>
      <c r="S82" s="68">
        <f ca="1">O82-L83*'2.d Decrements'!D78</f>
        <v>0</v>
      </c>
      <c r="T82" s="68" t="str">
        <f ca="1">IF(B83&lt;=$T$13,OFFSET('2.d Decrements'!$K$11,0,$T$13-B82),"")</f>
        <v/>
      </c>
      <c r="W82" s="69" t="str">
        <f t="shared" ca="1" si="25"/>
        <v/>
      </c>
      <c r="X82" s="70" t="str">
        <f t="shared" ca="1" si="26"/>
        <v/>
      </c>
      <c r="Y82" s="95"/>
      <c r="Z82" s="96" t="str">
        <f ca="1">IF(W82="","",J82/'1.c PUC_Projection'!H84)</f>
        <v/>
      </c>
      <c r="AA82" s="96" t="str">
        <f t="shared" ca="1" si="27"/>
        <v/>
      </c>
      <c r="AB82" s="97" t="str">
        <f t="shared" ca="1" si="30"/>
        <v/>
      </c>
    </row>
    <row r="83" spans="2:28" ht="15" customHeight="1" x14ac:dyDescent="0.25">
      <c r="B83" s="57" t="str">
        <f t="shared" ca="1" si="31"/>
        <v/>
      </c>
      <c r="C83" s="71" t="str">
        <f t="shared" ca="1" si="32"/>
        <v/>
      </c>
      <c r="D83" s="72" t="str">
        <f t="shared" ca="1" si="33"/>
        <v/>
      </c>
      <c r="E83" s="73" t="str">
        <f t="shared" ca="1" si="34"/>
        <v/>
      </c>
      <c r="F83" s="62" t="str">
        <f t="shared" ca="1" si="35"/>
        <v/>
      </c>
      <c r="G83" s="62" t="str">
        <f t="shared" ca="1" si="35"/>
        <v/>
      </c>
      <c r="I83" s="94">
        <f t="shared" ca="1" si="22"/>
        <v>0</v>
      </c>
      <c r="J83" s="63" t="str">
        <f t="shared" ca="1" si="23"/>
        <v/>
      </c>
      <c r="K83" s="65">
        <f t="shared" ca="1" si="24"/>
        <v>0</v>
      </c>
      <c r="L83" s="64">
        <f t="shared" ca="1" si="28"/>
        <v>0</v>
      </c>
      <c r="M83" s="65">
        <f t="shared" ca="1" si="29"/>
        <v>0</v>
      </c>
      <c r="N83" s="66"/>
      <c r="O83" s="67">
        <f ca="1">IF($C83="",0,
K83*'2.d Decrements'!D79+(O82-P82-Q82-R83)*(1+G82))</f>
        <v>0</v>
      </c>
      <c r="P83" s="68">
        <f ca="1">M83*'1.a Assumptions'!$C$13*'2.d Decrements'!E79</f>
        <v>0</v>
      </c>
      <c r="Q83" s="68">
        <f ca="1">L84*('2.d Decrements'!G79+'2.d Decrements'!H79)</f>
        <v>0</v>
      </c>
      <c r="R83" s="68">
        <f ca="1">L83*$D$11*'2.d Decrements'!F79</f>
        <v>0</v>
      </c>
      <c r="S83" s="68">
        <f ca="1">O83-L84*'2.d Decrements'!D79</f>
        <v>0</v>
      </c>
      <c r="T83" s="68" t="str">
        <f ca="1">IF(B84&lt;=$T$13,OFFSET('2.d Decrements'!$K$11,0,$T$13-B83),"")</f>
        <v/>
      </c>
      <c r="W83" s="69" t="str">
        <f t="shared" ca="1" si="25"/>
        <v/>
      </c>
      <c r="X83" s="70" t="str">
        <f t="shared" ca="1" si="26"/>
        <v/>
      </c>
      <c r="Y83" s="95"/>
      <c r="Z83" s="96" t="str">
        <f ca="1">IF(W83="","",J83/'1.c PUC_Projection'!H85)</f>
        <v/>
      </c>
      <c r="AA83" s="96" t="str">
        <f t="shared" ca="1" si="27"/>
        <v/>
      </c>
      <c r="AB83" s="97" t="str">
        <f t="shared" ca="1" si="30"/>
        <v/>
      </c>
    </row>
    <row r="84" spans="2:28" ht="15" customHeight="1" x14ac:dyDescent="0.25">
      <c r="B84" s="57" t="str">
        <f t="shared" ca="1" si="31"/>
        <v/>
      </c>
      <c r="C84" s="71" t="str">
        <f t="shared" ca="1" si="32"/>
        <v/>
      </c>
      <c r="D84" s="72" t="str">
        <f t="shared" ca="1" si="33"/>
        <v/>
      </c>
      <c r="E84" s="73" t="str">
        <f t="shared" ca="1" si="34"/>
        <v/>
      </c>
      <c r="F84" s="62" t="str">
        <f t="shared" ca="1" si="35"/>
        <v/>
      </c>
      <c r="G84" s="62" t="str">
        <f t="shared" ca="1" si="35"/>
        <v/>
      </c>
      <c r="I84" s="94">
        <f t="shared" ca="1" si="22"/>
        <v>0</v>
      </c>
      <c r="J84" s="63" t="str">
        <f t="shared" ca="1" si="23"/>
        <v/>
      </c>
      <c r="K84" s="65">
        <f t="shared" ca="1" si="24"/>
        <v>0</v>
      </c>
      <c r="L84" s="64">
        <f t="shared" ca="1" si="28"/>
        <v>0</v>
      </c>
      <c r="M84" s="65">
        <f t="shared" ca="1" si="29"/>
        <v>0</v>
      </c>
      <c r="N84" s="66"/>
      <c r="O84" s="67">
        <f ca="1">IF($C84="",0,
K84*'2.d Decrements'!D80+(O83-P83-Q83-R84)*(1+G83))</f>
        <v>0</v>
      </c>
      <c r="P84" s="68">
        <f ca="1">M84*'1.a Assumptions'!$C$13*'2.d Decrements'!E80</f>
        <v>0</v>
      </c>
      <c r="Q84" s="68">
        <f ca="1">L85*('2.d Decrements'!G80+'2.d Decrements'!H80)</f>
        <v>0</v>
      </c>
      <c r="R84" s="68">
        <f ca="1">L84*$D$11*'2.d Decrements'!F80</f>
        <v>0</v>
      </c>
      <c r="S84" s="68">
        <f ca="1">O84-L85*'2.d Decrements'!D80</f>
        <v>0</v>
      </c>
      <c r="T84" s="68" t="str">
        <f ca="1">IF(B85&lt;=$T$13,OFFSET('2.d Decrements'!$K$11,0,$T$13-B84),"")</f>
        <v/>
      </c>
      <c r="W84" s="69" t="str">
        <f t="shared" ca="1" si="25"/>
        <v/>
      </c>
      <c r="X84" s="70" t="str">
        <f t="shared" ca="1" si="26"/>
        <v/>
      </c>
      <c r="Y84" s="95"/>
      <c r="Z84" s="96" t="str">
        <f ca="1">IF(W84="","",J84/'1.c PUC_Projection'!H86)</f>
        <v/>
      </c>
      <c r="AA84" s="96" t="str">
        <f t="shared" ca="1" si="27"/>
        <v/>
      </c>
      <c r="AB84" s="97" t="str">
        <f t="shared" ca="1" si="30"/>
        <v/>
      </c>
    </row>
    <row r="85" spans="2:28" ht="15" customHeight="1" x14ac:dyDescent="0.25">
      <c r="B85" s="57" t="str">
        <f t="shared" ca="1" si="31"/>
        <v/>
      </c>
      <c r="C85" s="71" t="str">
        <f t="shared" ca="1" si="32"/>
        <v/>
      </c>
      <c r="D85" s="72" t="str">
        <f t="shared" ca="1" si="33"/>
        <v/>
      </c>
      <c r="E85" s="73" t="str">
        <f t="shared" ca="1" si="34"/>
        <v/>
      </c>
      <c r="F85" s="62" t="str">
        <f t="shared" ca="1" si="35"/>
        <v/>
      </c>
      <c r="G85" s="62" t="str">
        <f t="shared" ca="1" si="35"/>
        <v/>
      </c>
      <c r="I85" s="94">
        <f t="shared" ca="1" si="22"/>
        <v>0</v>
      </c>
      <c r="J85" s="63" t="str">
        <f t="shared" ca="1" si="23"/>
        <v/>
      </c>
      <c r="K85" s="65">
        <f t="shared" si="24"/>
        <v>0</v>
      </c>
      <c r="L85" s="64">
        <f t="shared" ca="1" si="28"/>
        <v>0</v>
      </c>
      <c r="M85" s="65">
        <f t="shared" ca="1" si="29"/>
        <v>0</v>
      </c>
      <c r="N85" s="66"/>
      <c r="O85" s="67">
        <f ca="1">IF($C85="",0,
K85*'2.d Decrements'!D81+(O84-P84-Q84-R85)*(1+G84))</f>
        <v>0</v>
      </c>
      <c r="P85" s="68">
        <f ca="1">M85*'1.a Assumptions'!$C$13*'2.d Decrements'!E81</f>
        <v>0</v>
      </c>
      <c r="Q85" s="68">
        <f ca="1">L86*('2.d Decrements'!G81+'2.d Decrements'!H81)</f>
        <v>0</v>
      </c>
      <c r="R85" s="68">
        <f ca="1">L85*$D$11*'2.d Decrements'!F81</f>
        <v>0</v>
      </c>
      <c r="S85" s="68">
        <f ca="1">O85-L86*'2.d Decrements'!D81</f>
        <v>0</v>
      </c>
      <c r="T85" s="68"/>
      <c r="W85" s="69"/>
      <c r="X85" s="70"/>
      <c r="Y85" s="95"/>
      <c r="Z85" s="96"/>
      <c r="AA85" s="96"/>
      <c r="AB85" s="97"/>
    </row>
  </sheetData>
  <conditionalFormatting sqref="X14">
    <cfRule type="cellIs" dxfId="7" priority="7" operator="equal">
      <formula>"Pass"</formula>
    </cfRule>
    <cfRule type="cellIs" dxfId="6" priority="8" operator="equal">
      <formula>"Check!"</formula>
    </cfRule>
  </conditionalFormatting>
  <conditionalFormatting sqref="AB14">
    <cfRule type="cellIs" dxfId="5" priority="5" operator="equal">
      <formula>"Pass"</formula>
    </cfRule>
    <cfRule type="cellIs" dxfId="4" priority="6" operator="equal">
      <formula>"Check!"</formula>
    </cfRule>
  </conditionalFormatting>
  <conditionalFormatting sqref="H8">
    <cfRule type="cellIs" dxfId="3" priority="3" operator="equal">
      <formula>"Pass"</formula>
    </cfRule>
    <cfRule type="cellIs" dxfId="2" priority="4" operator="equal">
      <formula>"Check!"</formula>
    </cfRule>
  </conditionalFormatting>
  <conditionalFormatting sqref="I8:Q8">
    <cfRule type="cellIs" dxfId="1" priority="1" operator="equal">
      <formula>"Pass"</formula>
    </cfRule>
    <cfRule type="cellIs" dxfId="0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I12"/>
  <sheetViews>
    <sheetView workbookViewId="0"/>
  </sheetViews>
  <sheetFormatPr defaultRowHeight="15" x14ac:dyDescent="0.25"/>
  <cols>
    <col min="3" max="3" width="11" customWidth="1"/>
    <col min="6" max="6" width="9.140625" customWidth="1"/>
  </cols>
  <sheetData>
    <row r="1" spans="1:9" ht="41.25" thickBot="1" x14ac:dyDescent="0.3">
      <c r="A1" s="8" t="s">
        <v>12</v>
      </c>
      <c r="B1" s="1" t="s">
        <v>1</v>
      </c>
      <c r="C1" s="1" t="s">
        <v>2</v>
      </c>
      <c r="D1" s="1" t="s">
        <v>3</v>
      </c>
      <c r="E1" s="1" t="s">
        <v>4</v>
      </c>
      <c r="F1" s="11" t="s">
        <v>6</v>
      </c>
      <c r="G1" s="12" t="s">
        <v>5</v>
      </c>
      <c r="H1" s="12" t="s">
        <v>478</v>
      </c>
      <c r="I1" s="126" t="s">
        <v>479</v>
      </c>
    </row>
    <row r="2" spans="1:9" ht="15.75" thickBot="1" x14ac:dyDescent="0.3">
      <c r="A2" s="2" t="str">
        <f>B2&amp;E2</f>
        <v>30B</v>
      </c>
      <c r="B2" s="2">
        <v>30</v>
      </c>
      <c r="C2" s="3">
        <v>210</v>
      </c>
      <c r="D2" s="4">
        <v>78000</v>
      </c>
      <c r="E2" s="9" t="s">
        <v>5</v>
      </c>
      <c r="F2" s="76"/>
      <c r="G2" s="77"/>
      <c r="H2" s="127">
        <f>1*(E2="A")</f>
        <v>0</v>
      </c>
      <c r="I2" s="125">
        <f>1*(E2="B")</f>
        <v>1</v>
      </c>
    </row>
    <row r="3" spans="1:9" ht="15.75" thickBot="1" x14ac:dyDescent="0.3">
      <c r="A3" s="5" t="str">
        <f t="shared" ref="A3:A12" si="0">B3&amp;E3</f>
        <v>30A</v>
      </c>
      <c r="B3" s="5">
        <v>30</v>
      </c>
      <c r="C3" s="6">
        <v>20</v>
      </c>
      <c r="D3" s="7">
        <v>100000</v>
      </c>
      <c r="E3" s="10" t="s">
        <v>6</v>
      </c>
      <c r="F3" s="78"/>
      <c r="G3" s="79"/>
      <c r="H3" s="127">
        <f t="shared" ref="H3:H11" si="1">1*(E3="A")</f>
        <v>1</v>
      </c>
      <c r="I3" s="125">
        <f t="shared" ref="I3:I11" si="2">1*(E3="B")</f>
        <v>0</v>
      </c>
    </row>
    <row r="4" spans="1:9" ht="15.75" thickBot="1" x14ac:dyDescent="0.3">
      <c r="A4" s="5" t="str">
        <f t="shared" si="0"/>
        <v>40B</v>
      </c>
      <c r="B4" s="5">
        <v>40</v>
      </c>
      <c r="C4" s="6">
        <v>220</v>
      </c>
      <c r="D4" s="7">
        <v>87000</v>
      </c>
      <c r="E4" s="10" t="s">
        <v>5</v>
      </c>
      <c r="F4" s="76"/>
      <c r="G4" s="77">
        <f>($D4/$D2)^(1/($B4-$B2))</f>
        <v>1.0109797692413225</v>
      </c>
      <c r="H4" s="127">
        <f t="shared" si="1"/>
        <v>0</v>
      </c>
      <c r="I4" s="125">
        <f t="shared" si="2"/>
        <v>1</v>
      </c>
    </row>
    <row r="5" spans="1:9" ht="15.75" thickBot="1" x14ac:dyDescent="0.3">
      <c r="A5" s="5" t="str">
        <f t="shared" si="0"/>
        <v>40A</v>
      </c>
      <c r="B5" s="5">
        <v>40</v>
      </c>
      <c r="C5" s="6">
        <v>15</v>
      </c>
      <c r="D5" s="7">
        <v>150000</v>
      </c>
      <c r="E5" s="10" t="s">
        <v>6</v>
      </c>
      <c r="F5" s="78">
        <f>($D5/$D3)^(1/($B5-$B3))</f>
        <v>1.0413797439924106</v>
      </c>
      <c r="G5" s="79"/>
      <c r="H5" s="127">
        <f t="shared" si="1"/>
        <v>1</v>
      </c>
      <c r="I5" s="125">
        <f t="shared" si="2"/>
        <v>0</v>
      </c>
    </row>
    <row r="6" spans="1:9" ht="15.75" thickBot="1" x14ac:dyDescent="0.3">
      <c r="A6" s="5" t="str">
        <f t="shared" si="0"/>
        <v>45B</v>
      </c>
      <c r="B6" s="5">
        <v>45</v>
      </c>
      <c r="C6" s="6">
        <v>240</v>
      </c>
      <c r="D6" s="7">
        <v>95000</v>
      </c>
      <c r="E6" s="10" t="s">
        <v>5</v>
      </c>
      <c r="F6" s="76"/>
      <c r="G6" s="77">
        <f>($D6/$D4)^(1/($B6-$B4))</f>
        <v>1.0177494363582376</v>
      </c>
      <c r="H6" s="127">
        <f t="shared" si="1"/>
        <v>0</v>
      </c>
      <c r="I6" s="125">
        <f t="shared" si="2"/>
        <v>1</v>
      </c>
    </row>
    <row r="7" spans="1:9" ht="15.75" thickBot="1" x14ac:dyDescent="0.3">
      <c r="A7" s="5" t="str">
        <f t="shared" si="0"/>
        <v>45A</v>
      </c>
      <c r="B7" s="5">
        <v>45</v>
      </c>
      <c r="C7" s="6">
        <v>30</v>
      </c>
      <c r="D7" s="7">
        <v>175000</v>
      </c>
      <c r="E7" s="10" t="s">
        <v>6</v>
      </c>
      <c r="F7" s="78">
        <f>($D7/$D5)^(1/($B7-$B5))</f>
        <v>1.0313103064775451</v>
      </c>
      <c r="G7" s="79"/>
      <c r="H7" s="127">
        <f t="shared" si="1"/>
        <v>1</v>
      </c>
      <c r="I7" s="125">
        <f t="shared" si="2"/>
        <v>0</v>
      </c>
    </row>
    <row r="8" spans="1:9" ht="15.75" thickBot="1" x14ac:dyDescent="0.3">
      <c r="A8" s="5" t="str">
        <f t="shared" si="0"/>
        <v>50B</v>
      </c>
      <c r="B8" s="5">
        <v>50</v>
      </c>
      <c r="C8" s="6">
        <v>180</v>
      </c>
      <c r="D8" s="7">
        <v>103000</v>
      </c>
      <c r="E8" s="10" t="s">
        <v>5</v>
      </c>
      <c r="F8" s="76"/>
      <c r="G8" s="77">
        <f>($D8/$D6)^(1/($B8-$B6))</f>
        <v>1.0163018681280294</v>
      </c>
      <c r="H8" s="127">
        <f t="shared" si="1"/>
        <v>0</v>
      </c>
      <c r="I8" s="125">
        <f t="shared" si="2"/>
        <v>1</v>
      </c>
    </row>
    <row r="9" spans="1:9" ht="15.75" thickBot="1" x14ac:dyDescent="0.3">
      <c r="A9" s="5" t="str">
        <f t="shared" si="0"/>
        <v>50A</v>
      </c>
      <c r="B9" s="5">
        <v>50</v>
      </c>
      <c r="C9" s="6">
        <v>25</v>
      </c>
      <c r="D9" s="7">
        <v>185000</v>
      </c>
      <c r="E9" s="10" t="s">
        <v>6</v>
      </c>
      <c r="F9" s="78">
        <f>($D9/$D7)^(1/($B9-$B7))</f>
        <v>1.0111759598354646</v>
      </c>
      <c r="G9" s="79"/>
      <c r="H9" s="127">
        <f t="shared" si="1"/>
        <v>1</v>
      </c>
      <c r="I9" s="125">
        <f t="shared" si="2"/>
        <v>0</v>
      </c>
    </row>
    <row r="10" spans="1:9" ht="15.75" thickBot="1" x14ac:dyDescent="0.3">
      <c r="A10" s="5" t="str">
        <f t="shared" si="0"/>
        <v>55B</v>
      </c>
      <c r="B10" s="5">
        <v>55</v>
      </c>
      <c r="C10" s="6">
        <v>50</v>
      </c>
      <c r="D10" s="7">
        <v>103000</v>
      </c>
      <c r="E10" s="10" t="s">
        <v>5</v>
      </c>
      <c r="F10" s="76"/>
      <c r="G10" s="77">
        <f>($D10/$D8)^(1/($B10-$B8))</f>
        <v>1</v>
      </c>
      <c r="H10" s="127">
        <f t="shared" si="1"/>
        <v>0</v>
      </c>
      <c r="I10" s="125">
        <f t="shared" si="2"/>
        <v>1</v>
      </c>
    </row>
    <row r="11" spans="1:9" ht="15.75" thickBot="1" x14ac:dyDescent="0.3">
      <c r="A11" s="5" t="str">
        <f t="shared" si="0"/>
        <v>55A</v>
      </c>
      <c r="B11" s="5">
        <v>55</v>
      </c>
      <c r="C11" s="6">
        <v>10</v>
      </c>
      <c r="D11" s="7">
        <v>250000</v>
      </c>
      <c r="E11" s="10" t="s">
        <v>6</v>
      </c>
      <c r="F11" s="80">
        <f>($D11/$D9)^(1/($B11-$B9))</f>
        <v>1.062071258063263</v>
      </c>
      <c r="G11" s="81"/>
      <c r="H11" s="128">
        <f t="shared" si="1"/>
        <v>1</v>
      </c>
      <c r="I11" s="82">
        <f t="shared" si="2"/>
        <v>0</v>
      </c>
    </row>
    <row r="12" spans="1:9" ht="16.5" x14ac:dyDescent="0.3">
      <c r="A12" s="14" t="str">
        <f t="shared" si="0"/>
        <v/>
      </c>
      <c r="B12" s="14"/>
      <c r="C12" s="14"/>
      <c r="D12" s="14"/>
      <c r="E12" s="14"/>
      <c r="F12" s="123">
        <f>AVERAGE(F2:F11)-1</f>
        <v>3.6484317092170926E-2</v>
      </c>
      <c r="G12" s="123">
        <f>AVERAGE(G2:G11)-1</f>
        <v>1.1257768431897297E-2</v>
      </c>
      <c r="H12" s="13"/>
      <c r="I12" s="13"/>
    </row>
  </sheetData>
  <autoFilter ref="B2:B1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B172"/>
  <sheetViews>
    <sheetView zoomScaleNormal="100" workbookViewId="0"/>
  </sheetViews>
  <sheetFormatPr defaultRowHeight="12.75" customHeight="1" x14ac:dyDescent="0.25"/>
  <cols>
    <col min="1" max="16384" width="9.140625" style="124"/>
  </cols>
  <sheetData>
    <row r="1" spans="1:2" ht="12.75" customHeight="1" x14ac:dyDescent="0.25">
      <c r="A1" s="124" t="s">
        <v>87</v>
      </c>
      <c r="B1" s="124" t="s">
        <v>88</v>
      </c>
    </row>
    <row r="2" spans="1:2" ht="12.75" customHeight="1" x14ac:dyDescent="0.25">
      <c r="A2" s="124" t="s">
        <v>89</v>
      </c>
      <c r="B2" s="124" t="s">
        <v>90</v>
      </c>
    </row>
    <row r="3" spans="1:2" ht="12.75" customHeight="1" x14ac:dyDescent="0.25">
      <c r="A3" s="124" t="s">
        <v>91</v>
      </c>
      <c r="B3" s="124" t="s">
        <v>92</v>
      </c>
    </row>
    <row r="4" spans="1:2" ht="12.75" customHeight="1" x14ac:dyDescent="0.25">
      <c r="A4" s="124" t="s">
        <v>93</v>
      </c>
      <c r="B4" s="124" t="s">
        <v>94</v>
      </c>
    </row>
    <row r="5" spans="1:2" ht="12.75" customHeight="1" x14ac:dyDescent="0.25">
      <c r="A5" s="124" t="s">
        <v>95</v>
      </c>
      <c r="B5" s="124" t="s">
        <v>96</v>
      </c>
    </row>
    <row r="6" spans="1:2" ht="12.75" customHeight="1" x14ac:dyDescent="0.25">
      <c r="A6" s="124" t="s">
        <v>97</v>
      </c>
      <c r="B6" s="124" t="s">
        <v>98</v>
      </c>
    </row>
    <row r="7" spans="1:2" ht="12.75" customHeight="1" x14ac:dyDescent="0.25">
      <c r="A7" s="124" t="s">
        <v>99</v>
      </c>
      <c r="B7" s="124" t="s">
        <v>100</v>
      </c>
    </row>
    <row r="8" spans="1:2" ht="12.75" customHeight="1" x14ac:dyDescent="0.25">
      <c r="A8" s="124" t="s">
        <v>101</v>
      </c>
      <c r="B8" s="124" t="s">
        <v>102</v>
      </c>
    </row>
    <row r="9" spans="1:2" ht="12.75" customHeight="1" x14ac:dyDescent="0.25">
      <c r="A9" s="124" t="s">
        <v>103</v>
      </c>
      <c r="B9" s="124" t="s">
        <v>104</v>
      </c>
    </row>
    <row r="10" spans="1:2" ht="12.75" customHeight="1" x14ac:dyDescent="0.25">
      <c r="A10" s="124" t="s">
        <v>105</v>
      </c>
      <c r="B10" s="124" t="s">
        <v>106</v>
      </c>
    </row>
    <row r="12" spans="1:2" ht="12.75" customHeight="1" x14ac:dyDescent="0.25">
      <c r="A12" s="124" t="s">
        <v>107</v>
      </c>
      <c r="B12" s="124" t="s">
        <v>108</v>
      </c>
    </row>
    <row r="13" spans="1:2" ht="12.75" customHeight="1" x14ac:dyDescent="0.25">
      <c r="A13" s="124" t="s">
        <v>99</v>
      </c>
      <c r="B13" s="124" t="s">
        <v>109</v>
      </c>
    </row>
    <row r="14" spans="1:2" ht="12.75" customHeight="1" x14ac:dyDescent="0.25">
      <c r="A14" s="124" t="s">
        <v>110</v>
      </c>
      <c r="B14" s="124" t="s">
        <v>111</v>
      </c>
    </row>
    <row r="15" spans="1:2" ht="12.75" customHeight="1" x14ac:dyDescent="0.25">
      <c r="A15" s="124" t="s">
        <v>112</v>
      </c>
      <c r="B15" s="124" t="s">
        <v>113</v>
      </c>
    </row>
    <row r="16" spans="1:2" ht="12.75" customHeight="1" x14ac:dyDescent="0.25">
      <c r="A16" s="124" t="s">
        <v>114</v>
      </c>
      <c r="B16" s="124" t="s">
        <v>115</v>
      </c>
    </row>
    <row r="17" spans="1:2" ht="12.75" customHeight="1" x14ac:dyDescent="0.25">
      <c r="A17" s="124" t="s">
        <v>116</v>
      </c>
      <c r="B17" s="124" t="s">
        <v>68</v>
      </c>
    </row>
    <row r="18" spans="1:2" ht="12.75" customHeight="1" x14ac:dyDescent="0.25">
      <c r="A18" s="124" t="s">
        <v>117</v>
      </c>
      <c r="B18" s="124" t="s">
        <v>68</v>
      </c>
    </row>
    <row r="19" spans="1:2" ht="12.75" customHeight="1" x14ac:dyDescent="0.25">
      <c r="A19" s="124" t="s">
        <v>118</v>
      </c>
      <c r="B19" s="124" t="s">
        <v>68</v>
      </c>
    </row>
    <row r="20" spans="1:2" ht="12.75" customHeight="1" x14ac:dyDescent="0.25">
      <c r="A20" s="124" t="s">
        <v>119</v>
      </c>
      <c r="B20" s="124" t="s">
        <v>120</v>
      </c>
    </row>
    <row r="21" spans="1:2" ht="12.75" customHeight="1" x14ac:dyDescent="0.25">
      <c r="A21" s="124" t="s">
        <v>121</v>
      </c>
      <c r="B21" s="124" t="s">
        <v>122</v>
      </c>
    </row>
    <row r="22" spans="1:2" ht="12.75" customHeight="1" x14ac:dyDescent="0.25">
      <c r="A22" s="124" t="s">
        <v>123</v>
      </c>
      <c r="B22" s="124" t="s">
        <v>108</v>
      </c>
    </row>
    <row r="24" spans="1:2" ht="12.75" customHeight="1" x14ac:dyDescent="0.25">
      <c r="A24" s="124" t="s">
        <v>124</v>
      </c>
      <c r="B24" s="124" t="s">
        <v>108</v>
      </c>
    </row>
    <row r="25" spans="1:2" ht="12.75" customHeight="1" x14ac:dyDescent="0.25">
      <c r="A25" s="124" t="s">
        <v>120</v>
      </c>
      <c r="B25" s="124" t="s">
        <v>125</v>
      </c>
    </row>
    <row r="26" spans="1:2" ht="12.75" customHeight="1" x14ac:dyDescent="0.25">
      <c r="A26" s="124" t="s">
        <v>126</v>
      </c>
      <c r="B26" s="124" t="s">
        <v>127</v>
      </c>
    </row>
    <row r="27" spans="1:2" ht="12.75" customHeight="1" x14ac:dyDescent="0.25">
      <c r="A27" s="124" t="s">
        <v>128</v>
      </c>
      <c r="B27" s="124" t="s">
        <v>129</v>
      </c>
    </row>
    <row r="28" spans="1:2" ht="12.75" customHeight="1" x14ac:dyDescent="0.25">
      <c r="A28" s="124" t="s">
        <v>130</v>
      </c>
      <c r="B28" s="124" t="s">
        <v>131</v>
      </c>
    </row>
    <row r="29" spans="1:2" ht="12.75" customHeight="1" x14ac:dyDescent="0.25">
      <c r="A29" s="124" t="s">
        <v>132</v>
      </c>
      <c r="B29" s="124" t="s">
        <v>133</v>
      </c>
    </row>
    <row r="30" spans="1:2" ht="12.75" customHeight="1" x14ac:dyDescent="0.25">
      <c r="A30" s="124" t="s">
        <v>134</v>
      </c>
      <c r="B30" s="124" t="s">
        <v>135</v>
      </c>
    </row>
    <row r="31" spans="1:2" ht="12.75" customHeight="1" x14ac:dyDescent="0.25">
      <c r="A31" s="124" t="s">
        <v>136</v>
      </c>
      <c r="B31" s="124" t="s">
        <v>137</v>
      </c>
    </row>
    <row r="32" spans="1:2" ht="12.75" customHeight="1" x14ac:dyDescent="0.25">
      <c r="A32" s="124" t="s">
        <v>138</v>
      </c>
      <c r="B32" s="124" t="s">
        <v>139</v>
      </c>
    </row>
    <row r="33" spans="1:2" ht="12.75" customHeight="1" x14ac:dyDescent="0.25">
      <c r="A33" s="124" t="s">
        <v>140</v>
      </c>
      <c r="B33" s="124" t="s">
        <v>141</v>
      </c>
    </row>
    <row r="34" spans="1:2" ht="12.75" customHeight="1" x14ac:dyDescent="0.25">
      <c r="A34" s="124" t="s">
        <v>142</v>
      </c>
      <c r="B34" s="124" t="s">
        <v>131</v>
      </c>
    </row>
    <row r="35" spans="1:2" ht="12.75" customHeight="1" x14ac:dyDescent="0.25">
      <c r="A35" s="124" t="s">
        <v>143</v>
      </c>
      <c r="B35" s="124" t="s">
        <v>144</v>
      </c>
    </row>
    <row r="36" spans="1:2" ht="12.75" customHeight="1" x14ac:dyDescent="0.25">
      <c r="A36" s="124" t="s">
        <v>145</v>
      </c>
      <c r="B36" s="124" t="s">
        <v>146</v>
      </c>
    </row>
    <row r="37" spans="1:2" ht="12.75" customHeight="1" x14ac:dyDescent="0.25">
      <c r="A37" s="124" t="s">
        <v>147</v>
      </c>
      <c r="B37" s="124" t="s">
        <v>148</v>
      </c>
    </row>
    <row r="38" spans="1:2" ht="12.75" customHeight="1" x14ac:dyDescent="0.25">
      <c r="A38" s="124" t="s">
        <v>149</v>
      </c>
      <c r="B38" s="124" t="s">
        <v>150</v>
      </c>
    </row>
    <row r="39" spans="1:2" ht="12.75" customHeight="1" x14ac:dyDescent="0.25">
      <c r="A39" s="124" t="s">
        <v>151</v>
      </c>
      <c r="B39" s="124" t="s">
        <v>152</v>
      </c>
    </row>
    <row r="40" spans="1:2" ht="12.75" customHeight="1" x14ac:dyDescent="0.25">
      <c r="A40" s="124" t="s">
        <v>153</v>
      </c>
      <c r="B40" s="124" t="s">
        <v>154</v>
      </c>
    </row>
    <row r="41" spans="1:2" ht="12.75" customHeight="1" x14ac:dyDescent="0.25">
      <c r="A41" s="124" t="s">
        <v>155</v>
      </c>
      <c r="B41" s="124" t="s">
        <v>156</v>
      </c>
    </row>
    <row r="42" spans="1:2" ht="12.75" customHeight="1" x14ac:dyDescent="0.25">
      <c r="A42" s="124" t="s">
        <v>157</v>
      </c>
      <c r="B42" s="124" t="s">
        <v>158</v>
      </c>
    </row>
    <row r="43" spans="1:2" ht="12.75" customHeight="1" x14ac:dyDescent="0.25">
      <c r="A43" s="124" t="s">
        <v>159</v>
      </c>
      <c r="B43" s="124" t="s">
        <v>160</v>
      </c>
    </row>
    <row r="44" spans="1:2" ht="12.75" customHeight="1" x14ac:dyDescent="0.25">
      <c r="A44" s="124" t="s">
        <v>161</v>
      </c>
      <c r="B44" s="124" t="s">
        <v>162</v>
      </c>
    </row>
    <row r="45" spans="1:2" ht="12.75" customHeight="1" x14ac:dyDescent="0.25">
      <c r="A45" s="124" t="s">
        <v>163</v>
      </c>
      <c r="B45" s="124" t="s">
        <v>164</v>
      </c>
    </row>
    <row r="46" spans="1:2" ht="12.75" customHeight="1" x14ac:dyDescent="0.25">
      <c r="A46" s="124" t="s">
        <v>165</v>
      </c>
      <c r="B46" s="124" t="s">
        <v>166</v>
      </c>
    </row>
    <row r="47" spans="1:2" ht="12.75" customHeight="1" x14ac:dyDescent="0.25">
      <c r="A47" s="124" t="s">
        <v>167</v>
      </c>
      <c r="B47" s="124" t="s">
        <v>168</v>
      </c>
    </row>
    <row r="48" spans="1:2" ht="12.75" customHeight="1" x14ac:dyDescent="0.25">
      <c r="A48" s="124" t="s">
        <v>169</v>
      </c>
      <c r="B48" s="124" t="s">
        <v>170</v>
      </c>
    </row>
    <row r="49" spans="1:2" ht="12.75" customHeight="1" x14ac:dyDescent="0.25">
      <c r="A49" s="124" t="s">
        <v>171</v>
      </c>
      <c r="B49" s="124" t="s">
        <v>172</v>
      </c>
    </row>
    <row r="50" spans="1:2" ht="12.75" customHeight="1" x14ac:dyDescent="0.25">
      <c r="A50" s="124" t="s">
        <v>173</v>
      </c>
      <c r="B50" s="124" t="s">
        <v>174</v>
      </c>
    </row>
    <row r="51" spans="1:2" ht="12.75" customHeight="1" x14ac:dyDescent="0.25">
      <c r="A51" s="124" t="s">
        <v>175</v>
      </c>
      <c r="B51" s="124" t="s">
        <v>176</v>
      </c>
    </row>
    <row r="52" spans="1:2" ht="12.75" customHeight="1" x14ac:dyDescent="0.25">
      <c r="A52" s="124" t="s">
        <v>177</v>
      </c>
      <c r="B52" s="124" t="s">
        <v>178</v>
      </c>
    </row>
    <row r="53" spans="1:2" ht="12.75" customHeight="1" x14ac:dyDescent="0.25">
      <c r="A53" s="124" t="s">
        <v>179</v>
      </c>
      <c r="B53" s="124" t="s">
        <v>180</v>
      </c>
    </row>
    <row r="54" spans="1:2" ht="12.75" customHeight="1" x14ac:dyDescent="0.25">
      <c r="A54" s="124" t="s">
        <v>181</v>
      </c>
      <c r="B54" s="124" t="s">
        <v>182</v>
      </c>
    </row>
    <row r="55" spans="1:2" ht="12.75" customHeight="1" x14ac:dyDescent="0.25">
      <c r="A55" s="124" t="s">
        <v>183</v>
      </c>
      <c r="B55" s="124" t="s">
        <v>184</v>
      </c>
    </row>
    <row r="56" spans="1:2" ht="12.75" customHeight="1" x14ac:dyDescent="0.25">
      <c r="A56" s="124" t="s">
        <v>185</v>
      </c>
      <c r="B56" s="124" t="s">
        <v>186</v>
      </c>
    </row>
    <row r="57" spans="1:2" ht="12.75" customHeight="1" x14ac:dyDescent="0.25">
      <c r="A57" s="124" t="s">
        <v>187</v>
      </c>
      <c r="B57" s="124" t="s">
        <v>188</v>
      </c>
    </row>
    <row r="58" spans="1:2" ht="12.75" customHeight="1" x14ac:dyDescent="0.25">
      <c r="A58" s="124" t="s">
        <v>189</v>
      </c>
      <c r="B58" s="124" t="s">
        <v>190</v>
      </c>
    </row>
    <row r="59" spans="1:2" ht="12.75" customHeight="1" x14ac:dyDescent="0.25">
      <c r="A59" s="124" t="s">
        <v>191</v>
      </c>
      <c r="B59" s="124" t="s">
        <v>192</v>
      </c>
    </row>
    <row r="60" spans="1:2" ht="12.75" customHeight="1" x14ac:dyDescent="0.25">
      <c r="A60" s="124" t="s">
        <v>193</v>
      </c>
      <c r="B60" s="124" t="s">
        <v>194</v>
      </c>
    </row>
    <row r="61" spans="1:2" ht="12.75" customHeight="1" x14ac:dyDescent="0.25">
      <c r="A61" s="124" t="s">
        <v>195</v>
      </c>
      <c r="B61" s="124" t="s">
        <v>196</v>
      </c>
    </row>
    <row r="62" spans="1:2" ht="12.75" customHeight="1" x14ac:dyDescent="0.25">
      <c r="A62" s="124" t="s">
        <v>197</v>
      </c>
      <c r="B62" s="124" t="s">
        <v>198</v>
      </c>
    </row>
    <row r="63" spans="1:2" ht="12.75" customHeight="1" x14ac:dyDescent="0.25">
      <c r="A63" s="124" t="s">
        <v>199</v>
      </c>
      <c r="B63" s="124" t="s">
        <v>200</v>
      </c>
    </row>
    <row r="64" spans="1:2" ht="12.75" customHeight="1" x14ac:dyDescent="0.25">
      <c r="A64" s="124" t="s">
        <v>201</v>
      </c>
      <c r="B64" s="124" t="s">
        <v>202</v>
      </c>
    </row>
    <row r="65" spans="1:2" ht="12.75" customHeight="1" x14ac:dyDescent="0.25">
      <c r="A65" s="124" t="s">
        <v>203</v>
      </c>
      <c r="B65" s="124" t="s">
        <v>204</v>
      </c>
    </row>
    <row r="66" spans="1:2" ht="12.75" customHeight="1" x14ac:dyDescent="0.25">
      <c r="A66" s="124" t="s">
        <v>205</v>
      </c>
      <c r="B66" s="124" t="s">
        <v>206</v>
      </c>
    </row>
    <row r="67" spans="1:2" ht="12.75" customHeight="1" x14ac:dyDescent="0.25">
      <c r="A67" s="124" t="s">
        <v>207</v>
      </c>
      <c r="B67" s="124" t="s">
        <v>208</v>
      </c>
    </row>
    <row r="68" spans="1:2" ht="12.75" customHeight="1" x14ac:dyDescent="0.25">
      <c r="A68" s="124" t="s">
        <v>209</v>
      </c>
      <c r="B68" s="124" t="s">
        <v>210</v>
      </c>
    </row>
    <row r="69" spans="1:2" ht="12.75" customHeight="1" x14ac:dyDescent="0.25">
      <c r="A69" s="124" t="s">
        <v>211</v>
      </c>
      <c r="B69" s="124" t="s">
        <v>212</v>
      </c>
    </row>
    <row r="70" spans="1:2" ht="12.75" customHeight="1" x14ac:dyDescent="0.25">
      <c r="A70" s="124" t="s">
        <v>213</v>
      </c>
      <c r="B70" s="124" t="s">
        <v>214</v>
      </c>
    </row>
    <row r="71" spans="1:2" ht="12.75" customHeight="1" x14ac:dyDescent="0.25">
      <c r="A71" s="124" t="s">
        <v>215</v>
      </c>
      <c r="B71" s="124" t="s">
        <v>216</v>
      </c>
    </row>
    <row r="72" spans="1:2" ht="12.75" customHeight="1" x14ac:dyDescent="0.25">
      <c r="A72" s="124" t="s">
        <v>217</v>
      </c>
      <c r="B72" s="124" t="s">
        <v>218</v>
      </c>
    </row>
    <row r="73" spans="1:2" ht="12.75" customHeight="1" x14ac:dyDescent="0.25">
      <c r="A73" s="124" t="s">
        <v>219</v>
      </c>
      <c r="B73" s="124" t="s">
        <v>220</v>
      </c>
    </row>
    <row r="74" spans="1:2" ht="12.75" customHeight="1" x14ac:dyDescent="0.25">
      <c r="A74" s="124" t="s">
        <v>221</v>
      </c>
      <c r="B74" s="124" t="s">
        <v>222</v>
      </c>
    </row>
    <row r="75" spans="1:2" ht="12.75" customHeight="1" x14ac:dyDescent="0.25">
      <c r="A75" s="124" t="s">
        <v>223</v>
      </c>
      <c r="B75" s="124" t="s">
        <v>224</v>
      </c>
    </row>
    <row r="76" spans="1:2" ht="12.75" customHeight="1" x14ac:dyDescent="0.25">
      <c r="A76" s="124" t="s">
        <v>225</v>
      </c>
      <c r="B76" s="124" t="s">
        <v>226</v>
      </c>
    </row>
    <row r="77" spans="1:2" ht="12.75" customHeight="1" x14ac:dyDescent="0.25">
      <c r="A77" s="124" t="s">
        <v>227</v>
      </c>
      <c r="B77" s="124" t="s">
        <v>228</v>
      </c>
    </row>
    <row r="78" spans="1:2" ht="12.75" customHeight="1" x14ac:dyDescent="0.25">
      <c r="A78" s="124" t="s">
        <v>229</v>
      </c>
      <c r="B78" s="124" t="s">
        <v>230</v>
      </c>
    </row>
    <row r="79" spans="1:2" ht="12.75" customHeight="1" x14ac:dyDescent="0.25">
      <c r="A79" s="124" t="s">
        <v>231</v>
      </c>
      <c r="B79" s="124" t="s">
        <v>232</v>
      </c>
    </row>
    <row r="80" spans="1:2" ht="12.75" customHeight="1" x14ac:dyDescent="0.25">
      <c r="A80" s="124" t="s">
        <v>233</v>
      </c>
      <c r="B80" s="124" t="s">
        <v>234</v>
      </c>
    </row>
    <row r="81" spans="1:2" ht="12.75" customHeight="1" x14ac:dyDescent="0.25">
      <c r="A81" s="124" t="s">
        <v>235</v>
      </c>
      <c r="B81" s="124" t="s">
        <v>236</v>
      </c>
    </row>
    <row r="82" spans="1:2" ht="12.75" customHeight="1" x14ac:dyDescent="0.25">
      <c r="A82" s="124" t="s">
        <v>237</v>
      </c>
      <c r="B82" s="124" t="s">
        <v>238</v>
      </c>
    </row>
    <row r="83" spans="1:2" ht="12.75" customHeight="1" x14ac:dyDescent="0.25">
      <c r="A83" s="124" t="s">
        <v>239</v>
      </c>
      <c r="B83" s="124" t="s">
        <v>240</v>
      </c>
    </row>
    <row r="84" spans="1:2" ht="12.75" customHeight="1" x14ac:dyDescent="0.25">
      <c r="A84" s="124" t="s">
        <v>241</v>
      </c>
      <c r="B84" s="124" t="s">
        <v>242</v>
      </c>
    </row>
    <row r="85" spans="1:2" ht="12.75" customHeight="1" x14ac:dyDescent="0.25">
      <c r="A85" s="124" t="s">
        <v>243</v>
      </c>
      <c r="B85" s="124" t="s">
        <v>244</v>
      </c>
    </row>
    <row r="86" spans="1:2" ht="12.75" customHeight="1" x14ac:dyDescent="0.25">
      <c r="A86" s="124" t="s">
        <v>245</v>
      </c>
      <c r="B86" s="124" t="s">
        <v>246</v>
      </c>
    </row>
    <row r="87" spans="1:2" ht="12.75" customHeight="1" x14ac:dyDescent="0.25">
      <c r="A87" s="124" t="s">
        <v>122</v>
      </c>
      <c r="B87" s="124" t="s">
        <v>247</v>
      </c>
    </row>
    <row r="89" spans="1:2" ht="12.75" customHeight="1" x14ac:dyDescent="0.25">
      <c r="A89" s="124" t="s">
        <v>107</v>
      </c>
      <c r="B89" s="124" t="s">
        <v>248</v>
      </c>
    </row>
    <row r="90" spans="1:2" ht="12.75" customHeight="1" x14ac:dyDescent="0.25">
      <c r="A90" s="124" t="s">
        <v>99</v>
      </c>
      <c r="B90" s="124" t="s">
        <v>249</v>
      </c>
    </row>
    <row r="91" spans="1:2" ht="12.75" customHeight="1" x14ac:dyDescent="0.25">
      <c r="A91" s="124" t="s">
        <v>110</v>
      </c>
      <c r="B91" s="124" t="s">
        <v>111</v>
      </c>
    </row>
    <row r="92" spans="1:2" ht="12.75" customHeight="1" x14ac:dyDescent="0.25">
      <c r="A92" s="124" t="s">
        <v>112</v>
      </c>
      <c r="B92" s="124" t="s">
        <v>113</v>
      </c>
    </row>
    <row r="93" spans="1:2" ht="12.75" customHeight="1" x14ac:dyDescent="0.25">
      <c r="A93" s="124" t="s">
        <v>114</v>
      </c>
      <c r="B93" s="124" t="s">
        <v>115</v>
      </c>
    </row>
    <row r="94" spans="1:2" ht="12.75" customHeight="1" x14ac:dyDescent="0.25">
      <c r="A94" s="124" t="s">
        <v>116</v>
      </c>
      <c r="B94" s="124" t="s">
        <v>68</v>
      </c>
    </row>
    <row r="95" spans="1:2" ht="12.75" customHeight="1" x14ac:dyDescent="0.25">
      <c r="A95" s="124" t="s">
        <v>117</v>
      </c>
      <c r="B95" s="124" t="s">
        <v>68</v>
      </c>
    </row>
    <row r="96" spans="1:2" ht="12.75" customHeight="1" x14ac:dyDescent="0.25">
      <c r="A96" s="124" t="s">
        <v>118</v>
      </c>
      <c r="B96" s="124" t="s">
        <v>68</v>
      </c>
    </row>
    <row r="97" spans="1:2" ht="12.75" customHeight="1" x14ac:dyDescent="0.25">
      <c r="A97" s="124" t="s">
        <v>119</v>
      </c>
      <c r="B97" s="124" t="s">
        <v>187</v>
      </c>
    </row>
    <row r="98" spans="1:2" ht="12.75" customHeight="1" x14ac:dyDescent="0.25">
      <c r="A98" s="124" t="s">
        <v>121</v>
      </c>
      <c r="B98" s="124" t="s">
        <v>250</v>
      </c>
    </row>
    <row r="99" spans="1:2" ht="12.75" customHeight="1" x14ac:dyDescent="0.25">
      <c r="A99" s="124" t="s">
        <v>123</v>
      </c>
      <c r="B99" s="124" t="s">
        <v>108</v>
      </c>
    </row>
    <row r="101" spans="1:2" ht="12.75" customHeight="1" x14ac:dyDescent="0.25">
      <c r="A101" s="124" t="s">
        <v>124</v>
      </c>
      <c r="B101" s="124" t="s">
        <v>108</v>
      </c>
    </row>
    <row r="102" spans="1:2" ht="12.75" customHeight="1" x14ac:dyDescent="0.25">
      <c r="A102" s="124" t="s">
        <v>187</v>
      </c>
      <c r="B102" s="124" t="s">
        <v>251</v>
      </c>
    </row>
    <row r="103" spans="1:2" ht="12.75" customHeight="1" x14ac:dyDescent="0.25">
      <c r="A103" s="124" t="s">
        <v>189</v>
      </c>
      <c r="B103" s="124" t="s">
        <v>252</v>
      </c>
    </row>
    <row r="104" spans="1:2" ht="12.75" customHeight="1" x14ac:dyDescent="0.25">
      <c r="A104" s="124" t="s">
        <v>191</v>
      </c>
      <c r="B104" s="124" t="s">
        <v>253</v>
      </c>
    </row>
    <row r="105" spans="1:2" ht="12.75" customHeight="1" x14ac:dyDescent="0.25">
      <c r="A105" s="124" t="s">
        <v>193</v>
      </c>
      <c r="B105" s="124" t="s">
        <v>254</v>
      </c>
    </row>
    <row r="106" spans="1:2" ht="12.75" customHeight="1" x14ac:dyDescent="0.25">
      <c r="A106" s="124" t="s">
        <v>195</v>
      </c>
      <c r="B106" s="124" t="s">
        <v>255</v>
      </c>
    </row>
    <row r="107" spans="1:2" ht="12.75" customHeight="1" x14ac:dyDescent="0.25">
      <c r="A107" s="124" t="s">
        <v>197</v>
      </c>
      <c r="B107" s="124" t="s">
        <v>256</v>
      </c>
    </row>
    <row r="108" spans="1:2" ht="12.75" customHeight="1" x14ac:dyDescent="0.25">
      <c r="A108" s="124" t="s">
        <v>199</v>
      </c>
      <c r="B108" s="124" t="s">
        <v>257</v>
      </c>
    </row>
    <row r="109" spans="1:2" ht="12.75" customHeight="1" x14ac:dyDescent="0.25">
      <c r="A109" s="124" t="s">
        <v>201</v>
      </c>
      <c r="B109" s="124" t="s">
        <v>258</v>
      </c>
    </row>
    <row r="110" spans="1:2" ht="12.75" customHeight="1" x14ac:dyDescent="0.25">
      <c r="A110" s="124" t="s">
        <v>203</v>
      </c>
      <c r="B110" s="124" t="s">
        <v>259</v>
      </c>
    </row>
    <row r="111" spans="1:2" ht="12.75" customHeight="1" x14ac:dyDescent="0.25">
      <c r="A111" s="124" t="s">
        <v>205</v>
      </c>
      <c r="B111" s="124" t="s">
        <v>260</v>
      </c>
    </row>
    <row r="112" spans="1:2" ht="12.75" customHeight="1" x14ac:dyDescent="0.25">
      <c r="A112" s="124" t="s">
        <v>207</v>
      </c>
      <c r="B112" s="124" t="s">
        <v>261</v>
      </c>
    </row>
    <row r="113" spans="1:2" ht="12.75" customHeight="1" x14ac:dyDescent="0.25">
      <c r="A113" s="124" t="s">
        <v>209</v>
      </c>
      <c r="B113" s="124" t="s">
        <v>262</v>
      </c>
    </row>
    <row r="114" spans="1:2" ht="12.75" customHeight="1" x14ac:dyDescent="0.25">
      <c r="A114" s="124" t="s">
        <v>211</v>
      </c>
      <c r="B114" s="124" t="s">
        <v>263</v>
      </c>
    </row>
    <row r="115" spans="1:2" ht="12.75" customHeight="1" x14ac:dyDescent="0.25">
      <c r="A115" s="124" t="s">
        <v>213</v>
      </c>
      <c r="B115" s="124" t="s">
        <v>264</v>
      </c>
    </row>
    <row r="116" spans="1:2" ht="12.75" customHeight="1" x14ac:dyDescent="0.25">
      <c r="A116" s="124" t="s">
        <v>215</v>
      </c>
      <c r="B116" s="124" t="s">
        <v>265</v>
      </c>
    </row>
    <row r="117" spans="1:2" ht="12.75" customHeight="1" x14ac:dyDescent="0.25">
      <c r="A117" s="124" t="s">
        <v>217</v>
      </c>
      <c r="B117" s="124" t="s">
        <v>266</v>
      </c>
    </row>
    <row r="118" spans="1:2" ht="12.75" customHeight="1" x14ac:dyDescent="0.25">
      <c r="A118" s="124" t="s">
        <v>219</v>
      </c>
      <c r="B118" s="124" t="s">
        <v>267</v>
      </c>
    </row>
    <row r="119" spans="1:2" ht="12.75" customHeight="1" x14ac:dyDescent="0.25">
      <c r="A119" s="124" t="s">
        <v>221</v>
      </c>
      <c r="B119" s="124" t="s">
        <v>268</v>
      </c>
    </row>
    <row r="120" spans="1:2" ht="12.75" customHeight="1" x14ac:dyDescent="0.25">
      <c r="A120" s="124" t="s">
        <v>223</v>
      </c>
      <c r="B120" s="124" t="s">
        <v>269</v>
      </c>
    </row>
    <row r="121" spans="1:2" ht="12.75" customHeight="1" x14ac:dyDescent="0.25">
      <c r="A121" s="124" t="s">
        <v>225</v>
      </c>
      <c r="B121" s="124" t="s">
        <v>270</v>
      </c>
    </row>
    <row r="122" spans="1:2" ht="12.75" customHeight="1" x14ac:dyDescent="0.25">
      <c r="A122" s="124" t="s">
        <v>227</v>
      </c>
      <c r="B122" s="124" t="s">
        <v>271</v>
      </c>
    </row>
    <row r="123" spans="1:2" ht="12.75" customHeight="1" x14ac:dyDescent="0.25">
      <c r="A123" s="124" t="s">
        <v>229</v>
      </c>
      <c r="B123" s="124" t="s">
        <v>272</v>
      </c>
    </row>
    <row r="124" spans="1:2" ht="12.75" customHeight="1" x14ac:dyDescent="0.25">
      <c r="A124" s="124" t="s">
        <v>231</v>
      </c>
      <c r="B124" s="124" t="s">
        <v>273</v>
      </c>
    </row>
    <row r="125" spans="1:2" ht="12.75" customHeight="1" x14ac:dyDescent="0.25">
      <c r="A125" s="124" t="s">
        <v>233</v>
      </c>
      <c r="B125" s="124" t="s">
        <v>274</v>
      </c>
    </row>
    <row r="126" spans="1:2" ht="12.75" customHeight="1" x14ac:dyDescent="0.25">
      <c r="A126" s="124" t="s">
        <v>235</v>
      </c>
      <c r="B126" s="124" t="s">
        <v>275</v>
      </c>
    </row>
    <row r="127" spans="1:2" ht="12.75" customHeight="1" x14ac:dyDescent="0.25">
      <c r="A127" s="124" t="s">
        <v>237</v>
      </c>
      <c r="B127" s="124" t="s">
        <v>276</v>
      </c>
    </row>
    <row r="128" spans="1:2" ht="12.75" customHeight="1" x14ac:dyDescent="0.25">
      <c r="A128" s="124" t="s">
        <v>239</v>
      </c>
      <c r="B128" s="124" t="s">
        <v>277</v>
      </c>
    </row>
    <row r="129" spans="1:2" ht="12.75" customHeight="1" x14ac:dyDescent="0.25">
      <c r="A129" s="124" t="s">
        <v>241</v>
      </c>
      <c r="B129" s="124" t="s">
        <v>278</v>
      </c>
    </row>
    <row r="130" spans="1:2" ht="12.75" customHeight="1" x14ac:dyDescent="0.25">
      <c r="A130" s="124" t="s">
        <v>243</v>
      </c>
      <c r="B130" s="124" t="s">
        <v>279</v>
      </c>
    </row>
    <row r="131" spans="1:2" ht="12.75" customHeight="1" x14ac:dyDescent="0.25">
      <c r="A131" s="124" t="s">
        <v>245</v>
      </c>
      <c r="B131" s="124" t="s">
        <v>280</v>
      </c>
    </row>
    <row r="132" spans="1:2" ht="12.75" customHeight="1" x14ac:dyDescent="0.25">
      <c r="A132" s="124" t="s">
        <v>122</v>
      </c>
      <c r="B132" s="124" t="s">
        <v>281</v>
      </c>
    </row>
    <row r="133" spans="1:2" ht="12.75" customHeight="1" x14ac:dyDescent="0.25">
      <c r="A133" s="124" t="s">
        <v>282</v>
      </c>
      <c r="B133" s="124" t="s">
        <v>283</v>
      </c>
    </row>
    <row r="134" spans="1:2" ht="12.75" customHeight="1" x14ac:dyDescent="0.25">
      <c r="A134" s="124" t="s">
        <v>284</v>
      </c>
      <c r="B134" s="124" t="s">
        <v>285</v>
      </c>
    </row>
    <row r="135" spans="1:2" ht="12.75" customHeight="1" x14ac:dyDescent="0.25">
      <c r="A135" s="124" t="s">
        <v>286</v>
      </c>
      <c r="B135" s="124" t="s">
        <v>287</v>
      </c>
    </row>
    <row r="136" spans="1:2" ht="12.75" customHeight="1" x14ac:dyDescent="0.25">
      <c r="A136" s="124" t="s">
        <v>288</v>
      </c>
      <c r="B136" s="124" t="s">
        <v>289</v>
      </c>
    </row>
    <row r="137" spans="1:2" ht="12.75" customHeight="1" x14ac:dyDescent="0.25">
      <c r="A137" s="124" t="s">
        <v>290</v>
      </c>
      <c r="B137" s="124" t="s">
        <v>291</v>
      </c>
    </row>
    <row r="138" spans="1:2" ht="12.75" customHeight="1" x14ac:dyDescent="0.25">
      <c r="A138" s="124" t="s">
        <v>292</v>
      </c>
      <c r="B138" s="124" t="s">
        <v>293</v>
      </c>
    </row>
    <row r="139" spans="1:2" ht="12.75" customHeight="1" x14ac:dyDescent="0.25">
      <c r="A139" s="124" t="s">
        <v>294</v>
      </c>
      <c r="B139" s="124" t="s">
        <v>295</v>
      </c>
    </row>
    <row r="140" spans="1:2" ht="12.75" customHeight="1" x14ac:dyDescent="0.25">
      <c r="A140" s="124" t="s">
        <v>296</v>
      </c>
      <c r="B140" s="124" t="s">
        <v>297</v>
      </c>
    </row>
    <row r="141" spans="1:2" ht="12.75" customHeight="1" x14ac:dyDescent="0.25">
      <c r="A141" s="124" t="s">
        <v>298</v>
      </c>
      <c r="B141" s="124" t="s">
        <v>299</v>
      </c>
    </row>
    <row r="142" spans="1:2" ht="12.75" customHeight="1" x14ac:dyDescent="0.25">
      <c r="A142" s="124" t="s">
        <v>300</v>
      </c>
      <c r="B142" s="124" t="s">
        <v>301</v>
      </c>
    </row>
    <row r="143" spans="1:2" ht="12.75" customHeight="1" x14ac:dyDescent="0.25">
      <c r="A143" s="124" t="s">
        <v>302</v>
      </c>
      <c r="B143" s="124" t="s">
        <v>303</v>
      </c>
    </row>
    <row r="144" spans="1:2" ht="12.75" customHeight="1" x14ac:dyDescent="0.25">
      <c r="A144" s="124" t="s">
        <v>304</v>
      </c>
      <c r="B144" s="124" t="s">
        <v>305</v>
      </c>
    </row>
    <row r="145" spans="1:2" ht="12.75" customHeight="1" x14ac:dyDescent="0.25">
      <c r="A145" s="124" t="s">
        <v>306</v>
      </c>
      <c r="B145" s="124" t="s">
        <v>307</v>
      </c>
    </row>
    <row r="146" spans="1:2" ht="12.75" customHeight="1" x14ac:dyDescent="0.25">
      <c r="A146" s="124" t="s">
        <v>308</v>
      </c>
      <c r="B146" s="124" t="s">
        <v>309</v>
      </c>
    </row>
    <row r="147" spans="1:2" ht="12.75" customHeight="1" x14ac:dyDescent="0.25">
      <c r="A147" s="124" t="s">
        <v>310</v>
      </c>
      <c r="B147" s="124" t="s">
        <v>311</v>
      </c>
    </row>
    <row r="148" spans="1:2" ht="12.75" customHeight="1" x14ac:dyDescent="0.25">
      <c r="A148" s="124" t="s">
        <v>312</v>
      </c>
      <c r="B148" s="124" t="s">
        <v>313</v>
      </c>
    </row>
    <row r="149" spans="1:2" ht="12.75" customHeight="1" x14ac:dyDescent="0.25">
      <c r="A149" s="124" t="s">
        <v>314</v>
      </c>
      <c r="B149" s="124" t="s">
        <v>315</v>
      </c>
    </row>
    <row r="150" spans="1:2" ht="12.75" customHeight="1" x14ac:dyDescent="0.25">
      <c r="A150" s="124" t="s">
        <v>316</v>
      </c>
      <c r="B150" s="124" t="s">
        <v>317</v>
      </c>
    </row>
    <row r="151" spans="1:2" ht="12.75" customHeight="1" x14ac:dyDescent="0.25">
      <c r="A151" s="124" t="s">
        <v>318</v>
      </c>
      <c r="B151" s="124" t="s">
        <v>319</v>
      </c>
    </row>
    <row r="152" spans="1:2" ht="12.75" customHeight="1" x14ac:dyDescent="0.25">
      <c r="A152" s="124" t="s">
        <v>320</v>
      </c>
      <c r="B152" s="124" t="s">
        <v>321</v>
      </c>
    </row>
    <row r="153" spans="1:2" ht="12.75" customHeight="1" x14ac:dyDescent="0.25">
      <c r="A153" s="124" t="s">
        <v>322</v>
      </c>
      <c r="B153" s="124" t="s">
        <v>323</v>
      </c>
    </row>
    <row r="154" spans="1:2" ht="12.75" customHeight="1" x14ac:dyDescent="0.25">
      <c r="A154" s="124" t="s">
        <v>324</v>
      </c>
      <c r="B154" s="124" t="s">
        <v>325</v>
      </c>
    </row>
    <row r="155" spans="1:2" ht="12.75" customHeight="1" x14ac:dyDescent="0.25">
      <c r="A155" s="124" t="s">
        <v>326</v>
      </c>
      <c r="B155" s="124" t="s">
        <v>327</v>
      </c>
    </row>
    <row r="156" spans="1:2" ht="12.75" customHeight="1" x14ac:dyDescent="0.25">
      <c r="A156" s="124" t="s">
        <v>328</v>
      </c>
      <c r="B156" s="124" t="s">
        <v>329</v>
      </c>
    </row>
    <row r="157" spans="1:2" ht="12.75" customHeight="1" x14ac:dyDescent="0.25">
      <c r="A157" s="124" t="s">
        <v>330</v>
      </c>
      <c r="B157" s="124" t="s">
        <v>331</v>
      </c>
    </row>
    <row r="158" spans="1:2" ht="12.75" customHeight="1" x14ac:dyDescent="0.25">
      <c r="A158" s="124" t="s">
        <v>332</v>
      </c>
      <c r="B158" s="124" t="s">
        <v>333</v>
      </c>
    </row>
    <row r="159" spans="1:2" ht="12.75" customHeight="1" x14ac:dyDescent="0.25">
      <c r="A159" s="124" t="s">
        <v>334</v>
      </c>
      <c r="B159" s="124" t="s">
        <v>335</v>
      </c>
    </row>
    <row r="160" spans="1:2" ht="12.75" customHeight="1" x14ac:dyDescent="0.25">
      <c r="A160" s="124" t="s">
        <v>336</v>
      </c>
      <c r="B160" s="124" t="s">
        <v>337</v>
      </c>
    </row>
    <row r="161" spans="1:2" ht="12.75" customHeight="1" x14ac:dyDescent="0.25">
      <c r="A161" s="124" t="s">
        <v>338</v>
      </c>
      <c r="B161" s="124" t="s">
        <v>339</v>
      </c>
    </row>
    <row r="162" spans="1:2" ht="12.75" customHeight="1" x14ac:dyDescent="0.25">
      <c r="A162" s="124" t="s">
        <v>340</v>
      </c>
      <c r="B162" s="124" t="s">
        <v>341</v>
      </c>
    </row>
    <row r="163" spans="1:2" ht="12.75" customHeight="1" x14ac:dyDescent="0.25">
      <c r="A163" s="124" t="s">
        <v>342</v>
      </c>
      <c r="B163" s="124" t="s">
        <v>343</v>
      </c>
    </row>
    <row r="164" spans="1:2" ht="12.75" customHeight="1" x14ac:dyDescent="0.25">
      <c r="A164" s="124" t="s">
        <v>344</v>
      </c>
      <c r="B164" s="124" t="s">
        <v>343</v>
      </c>
    </row>
    <row r="165" spans="1:2" ht="12.75" customHeight="1" x14ac:dyDescent="0.25">
      <c r="A165" s="124" t="s">
        <v>345</v>
      </c>
      <c r="B165" s="124" t="s">
        <v>343</v>
      </c>
    </row>
    <row r="166" spans="1:2" ht="12.75" customHeight="1" x14ac:dyDescent="0.25">
      <c r="A166" s="124" t="s">
        <v>346</v>
      </c>
      <c r="B166" s="124" t="s">
        <v>343</v>
      </c>
    </row>
    <row r="167" spans="1:2" ht="12.75" customHeight="1" x14ac:dyDescent="0.25">
      <c r="A167" s="124" t="s">
        <v>347</v>
      </c>
      <c r="B167" s="124" t="s">
        <v>343</v>
      </c>
    </row>
    <row r="168" spans="1:2" ht="12.75" customHeight="1" x14ac:dyDescent="0.25">
      <c r="A168" s="124" t="s">
        <v>348</v>
      </c>
      <c r="B168" s="124" t="s">
        <v>343</v>
      </c>
    </row>
    <row r="169" spans="1:2" ht="12.75" customHeight="1" x14ac:dyDescent="0.25">
      <c r="A169" s="124" t="s">
        <v>349</v>
      </c>
      <c r="B169" s="124" t="s">
        <v>343</v>
      </c>
    </row>
    <row r="170" spans="1:2" ht="12.75" customHeight="1" x14ac:dyDescent="0.25">
      <c r="A170" s="124" t="s">
        <v>350</v>
      </c>
      <c r="B170" s="124" t="s">
        <v>343</v>
      </c>
    </row>
    <row r="171" spans="1:2" ht="12.75" customHeight="1" x14ac:dyDescent="0.25">
      <c r="A171" s="124" t="s">
        <v>351</v>
      </c>
      <c r="B171" s="124" t="s">
        <v>343</v>
      </c>
    </row>
    <row r="172" spans="1:2" ht="12.75" customHeight="1" x14ac:dyDescent="0.25">
      <c r="A172" s="124" t="s">
        <v>250</v>
      </c>
      <c r="B172" s="124" t="s">
        <v>108</v>
      </c>
    </row>
  </sheetData>
  <pageMargins left="0.75" right="0.75" top="1" bottom="1" header="0.5" footer="0.5"/>
  <pageSetup paperSize="9" orientation="portrait" horizontalDpi="300" verticalDpi="300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B172"/>
  <sheetViews>
    <sheetView zoomScaleNormal="100" workbookViewId="0"/>
  </sheetViews>
  <sheetFormatPr defaultRowHeight="12.75" customHeight="1" x14ac:dyDescent="0.25"/>
  <cols>
    <col min="1" max="16384" width="9.140625" style="124"/>
  </cols>
  <sheetData>
    <row r="1" spans="1:2" ht="12.75" customHeight="1" x14ac:dyDescent="0.25">
      <c r="A1" s="124" t="s">
        <v>87</v>
      </c>
      <c r="B1" s="124" t="s">
        <v>88</v>
      </c>
    </row>
    <row r="2" spans="1:2" ht="12.75" customHeight="1" x14ac:dyDescent="0.25">
      <c r="A2" s="124" t="s">
        <v>89</v>
      </c>
      <c r="B2" s="124" t="s">
        <v>352</v>
      </c>
    </row>
    <row r="3" spans="1:2" ht="12.75" customHeight="1" x14ac:dyDescent="0.25">
      <c r="A3" s="124" t="s">
        <v>91</v>
      </c>
      <c r="B3" s="124" t="s">
        <v>92</v>
      </c>
    </row>
    <row r="4" spans="1:2" ht="12.75" customHeight="1" x14ac:dyDescent="0.25">
      <c r="A4" s="124" t="s">
        <v>93</v>
      </c>
      <c r="B4" s="124" t="s">
        <v>94</v>
      </c>
    </row>
    <row r="5" spans="1:2" ht="12.75" customHeight="1" x14ac:dyDescent="0.25">
      <c r="A5" s="124" t="s">
        <v>95</v>
      </c>
      <c r="B5" s="124" t="s">
        <v>96</v>
      </c>
    </row>
    <row r="6" spans="1:2" ht="12.75" customHeight="1" x14ac:dyDescent="0.25">
      <c r="A6" s="124" t="s">
        <v>97</v>
      </c>
      <c r="B6" s="124" t="s">
        <v>98</v>
      </c>
    </row>
    <row r="7" spans="1:2" ht="12.75" customHeight="1" x14ac:dyDescent="0.25">
      <c r="A7" s="124" t="s">
        <v>99</v>
      </c>
      <c r="B7" s="124" t="s">
        <v>353</v>
      </c>
    </row>
    <row r="8" spans="1:2" ht="12.75" customHeight="1" x14ac:dyDescent="0.25">
      <c r="A8" s="124" t="s">
        <v>101</v>
      </c>
      <c r="B8" s="124" t="s">
        <v>102</v>
      </c>
    </row>
    <row r="9" spans="1:2" ht="12.75" customHeight="1" x14ac:dyDescent="0.25">
      <c r="A9" s="124" t="s">
        <v>103</v>
      </c>
      <c r="B9" s="124" t="s">
        <v>104</v>
      </c>
    </row>
    <row r="10" spans="1:2" ht="12.75" customHeight="1" x14ac:dyDescent="0.25">
      <c r="A10" s="124" t="s">
        <v>105</v>
      </c>
      <c r="B10" s="124" t="s">
        <v>106</v>
      </c>
    </row>
    <row r="12" spans="1:2" ht="12.75" customHeight="1" x14ac:dyDescent="0.25">
      <c r="A12" s="124" t="s">
        <v>107</v>
      </c>
      <c r="B12" s="124" t="s">
        <v>108</v>
      </c>
    </row>
    <row r="13" spans="1:2" ht="12.75" customHeight="1" x14ac:dyDescent="0.25">
      <c r="A13" s="124" t="s">
        <v>99</v>
      </c>
      <c r="B13" s="124" t="s">
        <v>354</v>
      </c>
    </row>
    <row r="14" spans="1:2" ht="12.75" customHeight="1" x14ac:dyDescent="0.25">
      <c r="A14" s="124" t="s">
        <v>110</v>
      </c>
      <c r="B14" s="124" t="s">
        <v>111</v>
      </c>
    </row>
    <row r="15" spans="1:2" ht="12.75" customHeight="1" x14ac:dyDescent="0.25">
      <c r="A15" s="124" t="s">
        <v>112</v>
      </c>
      <c r="B15" s="124" t="s">
        <v>113</v>
      </c>
    </row>
    <row r="16" spans="1:2" ht="12.75" customHeight="1" x14ac:dyDescent="0.25">
      <c r="A16" s="124" t="s">
        <v>114</v>
      </c>
      <c r="B16" s="124" t="s">
        <v>115</v>
      </c>
    </row>
    <row r="17" spans="1:2" ht="12.75" customHeight="1" x14ac:dyDescent="0.25">
      <c r="A17" s="124" t="s">
        <v>116</v>
      </c>
      <c r="B17" s="124" t="s">
        <v>68</v>
      </c>
    </row>
    <row r="18" spans="1:2" ht="12.75" customHeight="1" x14ac:dyDescent="0.25">
      <c r="A18" s="124" t="s">
        <v>117</v>
      </c>
      <c r="B18" s="124" t="s">
        <v>68</v>
      </c>
    </row>
    <row r="19" spans="1:2" ht="12.75" customHeight="1" x14ac:dyDescent="0.25">
      <c r="A19" s="124" t="s">
        <v>118</v>
      </c>
      <c r="B19" s="124" t="s">
        <v>68</v>
      </c>
    </row>
    <row r="20" spans="1:2" ht="12.75" customHeight="1" x14ac:dyDescent="0.25">
      <c r="A20" s="124" t="s">
        <v>119</v>
      </c>
      <c r="B20" s="124" t="s">
        <v>120</v>
      </c>
    </row>
    <row r="21" spans="1:2" ht="12.75" customHeight="1" x14ac:dyDescent="0.25">
      <c r="A21" s="124" t="s">
        <v>121</v>
      </c>
      <c r="B21" s="124" t="s">
        <v>122</v>
      </c>
    </row>
    <row r="22" spans="1:2" ht="12.75" customHeight="1" x14ac:dyDescent="0.25">
      <c r="A22" s="124" t="s">
        <v>123</v>
      </c>
      <c r="B22" s="124" t="s">
        <v>108</v>
      </c>
    </row>
    <row r="24" spans="1:2" ht="12.75" customHeight="1" x14ac:dyDescent="0.25">
      <c r="A24" s="124" t="s">
        <v>124</v>
      </c>
      <c r="B24" s="124" t="s">
        <v>108</v>
      </c>
    </row>
    <row r="25" spans="1:2" ht="12.75" customHeight="1" x14ac:dyDescent="0.25">
      <c r="A25" s="124" t="s">
        <v>120</v>
      </c>
      <c r="B25" s="124" t="s">
        <v>355</v>
      </c>
    </row>
    <row r="26" spans="1:2" ht="12.75" customHeight="1" x14ac:dyDescent="0.25">
      <c r="A26" s="124" t="s">
        <v>126</v>
      </c>
      <c r="B26" s="124" t="s">
        <v>356</v>
      </c>
    </row>
    <row r="27" spans="1:2" ht="12.75" customHeight="1" x14ac:dyDescent="0.25">
      <c r="A27" s="124" t="s">
        <v>128</v>
      </c>
      <c r="B27" s="124" t="s">
        <v>356</v>
      </c>
    </row>
    <row r="28" spans="1:2" ht="12.75" customHeight="1" x14ac:dyDescent="0.25">
      <c r="A28" s="124" t="s">
        <v>130</v>
      </c>
      <c r="B28" s="124" t="s">
        <v>356</v>
      </c>
    </row>
    <row r="29" spans="1:2" ht="12.75" customHeight="1" x14ac:dyDescent="0.25">
      <c r="A29" s="124" t="s">
        <v>132</v>
      </c>
      <c r="B29" s="124" t="s">
        <v>356</v>
      </c>
    </row>
    <row r="30" spans="1:2" ht="12.75" customHeight="1" x14ac:dyDescent="0.25">
      <c r="A30" s="124" t="s">
        <v>134</v>
      </c>
      <c r="B30" s="124" t="s">
        <v>357</v>
      </c>
    </row>
    <row r="31" spans="1:2" ht="12.75" customHeight="1" x14ac:dyDescent="0.25">
      <c r="A31" s="124" t="s">
        <v>136</v>
      </c>
      <c r="B31" s="124" t="s">
        <v>358</v>
      </c>
    </row>
    <row r="32" spans="1:2" ht="12.75" customHeight="1" x14ac:dyDescent="0.25">
      <c r="A32" s="124" t="s">
        <v>138</v>
      </c>
      <c r="B32" s="124" t="s">
        <v>359</v>
      </c>
    </row>
    <row r="33" spans="1:2" ht="12.75" customHeight="1" x14ac:dyDescent="0.25">
      <c r="A33" s="124" t="s">
        <v>140</v>
      </c>
      <c r="B33" s="124" t="s">
        <v>360</v>
      </c>
    </row>
    <row r="34" spans="1:2" ht="12.75" customHeight="1" x14ac:dyDescent="0.25">
      <c r="A34" s="124" t="s">
        <v>142</v>
      </c>
      <c r="B34" s="124" t="s">
        <v>361</v>
      </c>
    </row>
    <row r="35" spans="1:2" ht="12.75" customHeight="1" x14ac:dyDescent="0.25">
      <c r="A35" s="124" t="s">
        <v>143</v>
      </c>
      <c r="B35" s="124" t="s">
        <v>362</v>
      </c>
    </row>
    <row r="36" spans="1:2" ht="12.75" customHeight="1" x14ac:dyDescent="0.25">
      <c r="A36" s="124" t="s">
        <v>145</v>
      </c>
      <c r="B36" s="124" t="s">
        <v>363</v>
      </c>
    </row>
    <row r="37" spans="1:2" ht="12.75" customHeight="1" x14ac:dyDescent="0.25">
      <c r="A37" s="124" t="s">
        <v>147</v>
      </c>
      <c r="B37" s="124" t="s">
        <v>364</v>
      </c>
    </row>
    <row r="38" spans="1:2" ht="12.75" customHeight="1" x14ac:dyDescent="0.25">
      <c r="A38" s="124" t="s">
        <v>149</v>
      </c>
      <c r="B38" s="124" t="s">
        <v>365</v>
      </c>
    </row>
    <row r="39" spans="1:2" ht="12.75" customHeight="1" x14ac:dyDescent="0.25">
      <c r="A39" s="124" t="s">
        <v>151</v>
      </c>
      <c r="B39" s="124" t="s">
        <v>366</v>
      </c>
    </row>
    <row r="40" spans="1:2" ht="12.75" customHeight="1" x14ac:dyDescent="0.25">
      <c r="A40" s="124" t="s">
        <v>153</v>
      </c>
      <c r="B40" s="124" t="s">
        <v>367</v>
      </c>
    </row>
    <row r="41" spans="1:2" ht="12.75" customHeight="1" x14ac:dyDescent="0.25">
      <c r="A41" s="124" t="s">
        <v>155</v>
      </c>
      <c r="B41" s="124" t="s">
        <v>125</v>
      </c>
    </row>
    <row r="42" spans="1:2" ht="12.75" customHeight="1" x14ac:dyDescent="0.25">
      <c r="A42" s="124" t="s">
        <v>157</v>
      </c>
      <c r="B42" s="124" t="s">
        <v>368</v>
      </c>
    </row>
    <row r="43" spans="1:2" ht="12.75" customHeight="1" x14ac:dyDescent="0.25">
      <c r="A43" s="124" t="s">
        <v>159</v>
      </c>
      <c r="B43" s="124" t="s">
        <v>369</v>
      </c>
    </row>
    <row r="44" spans="1:2" ht="12.75" customHeight="1" x14ac:dyDescent="0.25">
      <c r="A44" s="124" t="s">
        <v>161</v>
      </c>
      <c r="B44" s="124" t="s">
        <v>370</v>
      </c>
    </row>
    <row r="45" spans="1:2" ht="12.75" customHeight="1" x14ac:dyDescent="0.25">
      <c r="A45" s="124" t="s">
        <v>163</v>
      </c>
      <c r="B45" s="124" t="s">
        <v>371</v>
      </c>
    </row>
    <row r="46" spans="1:2" ht="12.75" customHeight="1" x14ac:dyDescent="0.25">
      <c r="A46" s="124" t="s">
        <v>165</v>
      </c>
      <c r="B46" s="124" t="s">
        <v>372</v>
      </c>
    </row>
    <row r="47" spans="1:2" ht="12.75" customHeight="1" x14ac:dyDescent="0.25">
      <c r="A47" s="124" t="s">
        <v>167</v>
      </c>
      <c r="B47" s="124" t="s">
        <v>373</v>
      </c>
    </row>
    <row r="48" spans="1:2" ht="12.75" customHeight="1" x14ac:dyDescent="0.25">
      <c r="A48" s="124" t="s">
        <v>169</v>
      </c>
      <c r="B48" s="124" t="s">
        <v>374</v>
      </c>
    </row>
    <row r="49" spans="1:2" ht="12.75" customHeight="1" x14ac:dyDescent="0.25">
      <c r="A49" s="124" t="s">
        <v>171</v>
      </c>
      <c r="B49" s="124" t="s">
        <v>375</v>
      </c>
    </row>
    <row r="50" spans="1:2" ht="12.75" customHeight="1" x14ac:dyDescent="0.25">
      <c r="A50" s="124" t="s">
        <v>173</v>
      </c>
      <c r="B50" s="124" t="s">
        <v>376</v>
      </c>
    </row>
    <row r="51" spans="1:2" ht="12.75" customHeight="1" x14ac:dyDescent="0.25">
      <c r="A51" s="124" t="s">
        <v>175</v>
      </c>
      <c r="B51" s="124" t="s">
        <v>377</v>
      </c>
    </row>
    <row r="52" spans="1:2" ht="12.75" customHeight="1" x14ac:dyDescent="0.25">
      <c r="A52" s="124" t="s">
        <v>177</v>
      </c>
      <c r="B52" s="124" t="s">
        <v>378</v>
      </c>
    </row>
    <row r="53" spans="1:2" ht="12.75" customHeight="1" x14ac:dyDescent="0.25">
      <c r="A53" s="124" t="s">
        <v>179</v>
      </c>
      <c r="B53" s="124" t="s">
        <v>379</v>
      </c>
    </row>
    <row r="54" spans="1:2" ht="12.75" customHeight="1" x14ac:dyDescent="0.25">
      <c r="A54" s="124" t="s">
        <v>181</v>
      </c>
      <c r="B54" s="124" t="s">
        <v>380</v>
      </c>
    </row>
    <row r="55" spans="1:2" ht="12.75" customHeight="1" x14ac:dyDescent="0.25">
      <c r="A55" s="124" t="s">
        <v>183</v>
      </c>
      <c r="B55" s="124" t="s">
        <v>381</v>
      </c>
    </row>
    <row r="56" spans="1:2" ht="12.75" customHeight="1" x14ac:dyDescent="0.25">
      <c r="A56" s="124" t="s">
        <v>185</v>
      </c>
      <c r="B56" s="124" t="s">
        <v>382</v>
      </c>
    </row>
    <row r="57" spans="1:2" ht="12.75" customHeight="1" x14ac:dyDescent="0.25">
      <c r="A57" s="124" t="s">
        <v>187</v>
      </c>
      <c r="B57" s="124" t="s">
        <v>383</v>
      </c>
    </row>
    <row r="58" spans="1:2" ht="12.75" customHeight="1" x14ac:dyDescent="0.25">
      <c r="A58" s="124" t="s">
        <v>189</v>
      </c>
      <c r="B58" s="124" t="s">
        <v>384</v>
      </c>
    </row>
    <row r="59" spans="1:2" ht="12.75" customHeight="1" x14ac:dyDescent="0.25">
      <c r="A59" s="124" t="s">
        <v>191</v>
      </c>
      <c r="B59" s="124" t="s">
        <v>385</v>
      </c>
    </row>
    <row r="60" spans="1:2" ht="12.75" customHeight="1" x14ac:dyDescent="0.25">
      <c r="A60" s="124" t="s">
        <v>193</v>
      </c>
      <c r="B60" s="124" t="s">
        <v>386</v>
      </c>
    </row>
    <row r="61" spans="1:2" ht="12.75" customHeight="1" x14ac:dyDescent="0.25">
      <c r="A61" s="124" t="s">
        <v>195</v>
      </c>
      <c r="B61" s="124" t="s">
        <v>387</v>
      </c>
    </row>
    <row r="62" spans="1:2" ht="12.75" customHeight="1" x14ac:dyDescent="0.25">
      <c r="A62" s="124" t="s">
        <v>197</v>
      </c>
      <c r="B62" s="124" t="s">
        <v>388</v>
      </c>
    </row>
    <row r="63" spans="1:2" ht="12.75" customHeight="1" x14ac:dyDescent="0.25">
      <c r="A63" s="124" t="s">
        <v>199</v>
      </c>
      <c r="B63" s="124" t="s">
        <v>389</v>
      </c>
    </row>
    <row r="64" spans="1:2" ht="12.75" customHeight="1" x14ac:dyDescent="0.25">
      <c r="A64" s="124" t="s">
        <v>201</v>
      </c>
      <c r="B64" s="124" t="s">
        <v>390</v>
      </c>
    </row>
    <row r="65" spans="1:2" ht="12.75" customHeight="1" x14ac:dyDescent="0.25">
      <c r="A65" s="124" t="s">
        <v>203</v>
      </c>
      <c r="B65" s="124" t="s">
        <v>391</v>
      </c>
    </row>
    <row r="66" spans="1:2" ht="12.75" customHeight="1" x14ac:dyDescent="0.25">
      <c r="A66" s="124" t="s">
        <v>205</v>
      </c>
      <c r="B66" s="124" t="s">
        <v>392</v>
      </c>
    </row>
    <row r="67" spans="1:2" ht="12.75" customHeight="1" x14ac:dyDescent="0.25">
      <c r="A67" s="124" t="s">
        <v>207</v>
      </c>
      <c r="B67" s="124" t="s">
        <v>393</v>
      </c>
    </row>
    <row r="68" spans="1:2" ht="12.75" customHeight="1" x14ac:dyDescent="0.25">
      <c r="A68" s="124" t="s">
        <v>209</v>
      </c>
      <c r="B68" s="124" t="s">
        <v>394</v>
      </c>
    </row>
    <row r="69" spans="1:2" ht="12.75" customHeight="1" x14ac:dyDescent="0.25">
      <c r="A69" s="124" t="s">
        <v>211</v>
      </c>
      <c r="B69" s="124" t="s">
        <v>395</v>
      </c>
    </row>
    <row r="70" spans="1:2" ht="12.75" customHeight="1" x14ac:dyDescent="0.25">
      <c r="A70" s="124" t="s">
        <v>213</v>
      </c>
      <c r="B70" s="124" t="s">
        <v>396</v>
      </c>
    </row>
    <row r="71" spans="1:2" ht="12.75" customHeight="1" x14ac:dyDescent="0.25">
      <c r="A71" s="124" t="s">
        <v>215</v>
      </c>
      <c r="B71" s="124" t="s">
        <v>397</v>
      </c>
    </row>
    <row r="72" spans="1:2" ht="12.75" customHeight="1" x14ac:dyDescent="0.25">
      <c r="A72" s="124" t="s">
        <v>217</v>
      </c>
      <c r="B72" s="124" t="s">
        <v>398</v>
      </c>
    </row>
    <row r="73" spans="1:2" ht="12.75" customHeight="1" x14ac:dyDescent="0.25">
      <c r="A73" s="124" t="s">
        <v>219</v>
      </c>
      <c r="B73" s="124" t="s">
        <v>399</v>
      </c>
    </row>
    <row r="74" spans="1:2" ht="12.75" customHeight="1" x14ac:dyDescent="0.25">
      <c r="A74" s="124" t="s">
        <v>221</v>
      </c>
      <c r="B74" s="124" t="s">
        <v>400</v>
      </c>
    </row>
    <row r="75" spans="1:2" ht="12.75" customHeight="1" x14ac:dyDescent="0.25">
      <c r="A75" s="124" t="s">
        <v>223</v>
      </c>
      <c r="B75" s="124" t="s">
        <v>401</v>
      </c>
    </row>
    <row r="76" spans="1:2" ht="12.75" customHeight="1" x14ac:dyDescent="0.25">
      <c r="A76" s="124" t="s">
        <v>225</v>
      </c>
      <c r="B76" s="124" t="s">
        <v>402</v>
      </c>
    </row>
    <row r="77" spans="1:2" ht="12.75" customHeight="1" x14ac:dyDescent="0.25">
      <c r="A77" s="124" t="s">
        <v>227</v>
      </c>
      <c r="B77" s="124" t="s">
        <v>403</v>
      </c>
    </row>
    <row r="78" spans="1:2" ht="12.75" customHeight="1" x14ac:dyDescent="0.25">
      <c r="A78" s="124" t="s">
        <v>229</v>
      </c>
      <c r="B78" s="124" t="s">
        <v>404</v>
      </c>
    </row>
    <row r="79" spans="1:2" ht="12.75" customHeight="1" x14ac:dyDescent="0.25">
      <c r="A79" s="124" t="s">
        <v>231</v>
      </c>
      <c r="B79" s="124" t="s">
        <v>405</v>
      </c>
    </row>
    <row r="80" spans="1:2" ht="12.75" customHeight="1" x14ac:dyDescent="0.25">
      <c r="A80" s="124" t="s">
        <v>233</v>
      </c>
      <c r="B80" s="124" t="s">
        <v>406</v>
      </c>
    </row>
    <row r="81" spans="1:2" ht="12.75" customHeight="1" x14ac:dyDescent="0.25">
      <c r="A81" s="124" t="s">
        <v>235</v>
      </c>
      <c r="B81" s="124" t="s">
        <v>407</v>
      </c>
    </row>
    <row r="82" spans="1:2" ht="12.75" customHeight="1" x14ac:dyDescent="0.25">
      <c r="A82" s="124" t="s">
        <v>237</v>
      </c>
      <c r="B82" s="124" t="s">
        <v>408</v>
      </c>
    </row>
    <row r="83" spans="1:2" ht="12.75" customHeight="1" x14ac:dyDescent="0.25">
      <c r="A83" s="124" t="s">
        <v>239</v>
      </c>
      <c r="B83" s="124" t="s">
        <v>409</v>
      </c>
    </row>
    <row r="84" spans="1:2" ht="12.75" customHeight="1" x14ac:dyDescent="0.25">
      <c r="A84" s="124" t="s">
        <v>241</v>
      </c>
      <c r="B84" s="124" t="s">
        <v>410</v>
      </c>
    </row>
    <row r="85" spans="1:2" ht="12.75" customHeight="1" x14ac:dyDescent="0.25">
      <c r="A85" s="124" t="s">
        <v>243</v>
      </c>
      <c r="B85" s="124" t="s">
        <v>411</v>
      </c>
    </row>
    <row r="86" spans="1:2" ht="12.75" customHeight="1" x14ac:dyDescent="0.25">
      <c r="A86" s="124" t="s">
        <v>245</v>
      </c>
      <c r="B86" s="124" t="s">
        <v>412</v>
      </c>
    </row>
    <row r="87" spans="1:2" ht="12.75" customHeight="1" x14ac:dyDescent="0.25">
      <c r="A87" s="124" t="s">
        <v>122</v>
      </c>
      <c r="B87" s="124" t="s">
        <v>413</v>
      </c>
    </row>
    <row r="89" spans="1:2" ht="12.75" customHeight="1" x14ac:dyDescent="0.25">
      <c r="A89" s="124" t="s">
        <v>107</v>
      </c>
      <c r="B89" s="124" t="s">
        <v>248</v>
      </c>
    </row>
    <row r="90" spans="1:2" ht="12.75" customHeight="1" x14ac:dyDescent="0.25">
      <c r="A90" s="124" t="s">
        <v>99</v>
      </c>
      <c r="B90" s="124" t="s">
        <v>414</v>
      </c>
    </row>
    <row r="91" spans="1:2" ht="12.75" customHeight="1" x14ac:dyDescent="0.25">
      <c r="A91" s="124" t="s">
        <v>110</v>
      </c>
      <c r="B91" s="124" t="s">
        <v>111</v>
      </c>
    </row>
    <row r="92" spans="1:2" ht="12.75" customHeight="1" x14ac:dyDescent="0.25">
      <c r="A92" s="124" t="s">
        <v>112</v>
      </c>
      <c r="B92" s="124" t="s">
        <v>113</v>
      </c>
    </row>
    <row r="93" spans="1:2" ht="12.75" customHeight="1" x14ac:dyDescent="0.25">
      <c r="A93" s="124" t="s">
        <v>114</v>
      </c>
      <c r="B93" s="124" t="s">
        <v>115</v>
      </c>
    </row>
    <row r="94" spans="1:2" ht="12.75" customHeight="1" x14ac:dyDescent="0.25">
      <c r="A94" s="124" t="s">
        <v>116</v>
      </c>
      <c r="B94" s="124" t="s">
        <v>68</v>
      </c>
    </row>
    <row r="95" spans="1:2" ht="12.75" customHeight="1" x14ac:dyDescent="0.25">
      <c r="A95" s="124" t="s">
        <v>117</v>
      </c>
      <c r="B95" s="124" t="s">
        <v>68</v>
      </c>
    </row>
    <row r="96" spans="1:2" ht="12.75" customHeight="1" x14ac:dyDescent="0.25">
      <c r="A96" s="124" t="s">
        <v>118</v>
      </c>
      <c r="B96" s="124" t="s">
        <v>68</v>
      </c>
    </row>
    <row r="97" spans="1:2" ht="12.75" customHeight="1" x14ac:dyDescent="0.25">
      <c r="A97" s="124" t="s">
        <v>119</v>
      </c>
      <c r="B97" s="124" t="s">
        <v>187</v>
      </c>
    </row>
    <row r="98" spans="1:2" ht="12.75" customHeight="1" x14ac:dyDescent="0.25">
      <c r="A98" s="124" t="s">
        <v>121</v>
      </c>
      <c r="B98" s="124" t="s">
        <v>250</v>
      </c>
    </row>
    <row r="99" spans="1:2" ht="12.75" customHeight="1" x14ac:dyDescent="0.25">
      <c r="A99" s="124" t="s">
        <v>123</v>
      </c>
      <c r="B99" s="124" t="s">
        <v>108</v>
      </c>
    </row>
    <row r="101" spans="1:2" ht="12.75" customHeight="1" x14ac:dyDescent="0.25">
      <c r="A101" s="124" t="s">
        <v>124</v>
      </c>
      <c r="B101" s="124" t="s">
        <v>108</v>
      </c>
    </row>
    <row r="102" spans="1:2" ht="12.75" customHeight="1" x14ac:dyDescent="0.25">
      <c r="A102" s="124" t="s">
        <v>187</v>
      </c>
      <c r="B102" s="124" t="s">
        <v>415</v>
      </c>
    </row>
    <row r="103" spans="1:2" ht="12.75" customHeight="1" x14ac:dyDescent="0.25">
      <c r="A103" s="124" t="s">
        <v>189</v>
      </c>
      <c r="B103" s="124" t="s">
        <v>416</v>
      </c>
    </row>
    <row r="104" spans="1:2" ht="12.75" customHeight="1" x14ac:dyDescent="0.25">
      <c r="A104" s="124" t="s">
        <v>191</v>
      </c>
      <c r="B104" s="124" t="s">
        <v>417</v>
      </c>
    </row>
    <row r="105" spans="1:2" ht="12.75" customHeight="1" x14ac:dyDescent="0.25">
      <c r="A105" s="124" t="s">
        <v>193</v>
      </c>
      <c r="B105" s="124" t="s">
        <v>418</v>
      </c>
    </row>
    <row r="106" spans="1:2" ht="12.75" customHeight="1" x14ac:dyDescent="0.25">
      <c r="A106" s="124" t="s">
        <v>195</v>
      </c>
      <c r="B106" s="124" t="s">
        <v>419</v>
      </c>
    </row>
    <row r="107" spans="1:2" ht="12.75" customHeight="1" x14ac:dyDescent="0.25">
      <c r="A107" s="124" t="s">
        <v>197</v>
      </c>
      <c r="B107" s="124" t="s">
        <v>420</v>
      </c>
    </row>
    <row r="108" spans="1:2" ht="12.75" customHeight="1" x14ac:dyDescent="0.25">
      <c r="A108" s="124" t="s">
        <v>199</v>
      </c>
      <c r="B108" s="124" t="s">
        <v>421</v>
      </c>
    </row>
    <row r="109" spans="1:2" ht="12.75" customHeight="1" x14ac:dyDescent="0.25">
      <c r="A109" s="124" t="s">
        <v>201</v>
      </c>
      <c r="B109" s="124" t="s">
        <v>422</v>
      </c>
    </row>
    <row r="110" spans="1:2" ht="12.75" customHeight="1" x14ac:dyDescent="0.25">
      <c r="A110" s="124" t="s">
        <v>203</v>
      </c>
      <c r="B110" s="124" t="s">
        <v>423</v>
      </c>
    </row>
    <row r="111" spans="1:2" ht="12.75" customHeight="1" x14ac:dyDescent="0.25">
      <c r="A111" s="124" t="s">
        <v>205</v>
      </c>
      <c r="B111" s="124" t="s">
        <v>424</v>
      </c>
    </row>
    <row r="112" spans="1:2" ht="12.75" customHeight="1" x14ac:dyDescent="0.25">
      <c r="A112" s="124" t="s">
        <v>207</v>
      </c>
      <c r="B112" s="124" t="s">
        <v>425</v>
      </c>
    </row>
    <row r="113" spans="1:2" ht="12.75" customHeight="1" x14ac:dyDescent="0.25">
      <c r="A113" s="124" t="s">
        <v>209</v>
      </c>
      <c r="B113" s="124" t="s">
        <v>426</v>
      </c>
    </row>
    <row r="114" spans="1:2" ht="12.75" customHeight="1" x14ac:dyDescent="0.25">
      <c r="A114" s="124" t="s">
        <v>211</v>
      </c>
      <c r="B114" s="124" t="s">
        <v>427</v>
      </c>
    </row>
    <row r="115" spans="1:2" ht="12.75" customHeight="1" x14ac:dyDescent="0.25">
      <c r="A115" s="124" t="s">
        <v>213</v>
      </c>
      <c r="B115" s="124" t="s">
        <v>428</v>
      </c>
    </row>
    <row r="116" spans="1:2" ht="12.75" customHeight="1" x14ac:dyDescent="0.25">
      <c r="A116" s="124" t="s">
        <v>215</v>
      </c>
      <c r="B116" s="124" t="s">
        <v>429</v>
      </c>
    </row>
    <row r="117" spans="1:2" ht="12.75" customHeight="1" x14ac:dyDescent="0.25">
      <c r="A117" s="124" t="s">
        <v>217</v>
      </c>
      <c r="B117" s="124" t="s">
        <v>430</v>
      </c>
    </row>
    <row r="118" spans="1:2" ht="12.75" customHeight="1" x14ac:dyDescent="0.25">
      <c r="A118" s="124" t="s">
        <v>219</v>
      </c>
      <c r="B118" s="124" t="s">
        <v>431</v>
      </c>
    </row>
    <row r="119" spans="1:2" ht="12.75" customHeight="1" x14ac:dyDescent="0.25">
      <c r="A119" s="124" t="s">
        <v>221</v>
      </c>
      <c r="B119" s="124" t="s">
        <v>432</v>
      </c>
    </row>
    <row r="120" spans="1:2" ht="12.75" customHeight="1" x14ac:dyDescent="0.25">
      <c r="A120" s="124" t="s">
        <v>223</v>
      </c>
      <c r="B120" s="124" t="s">
        <v>433</v>
      </c>
    </row>
    <row r="121" spans="1:2" ht="12.75" customHeight="1" x14ac:dyDescent="0.25">
      <c r="A121" s="124" t="s">
        <v>225</v>
      </c>
      <c r="B121" s="124" t="s">
        <v>434</v>
      </c>
    </row>
    <row r="122" spans="1:2" ht="12.75" customHeight="1" x14ac:dyDescent="0.25">
      <c r="A122" s="124" t="s">
        <v>227</v>
      </c>
      <c r="B122" s="124" t="s">
        <v>435</v>
      </c>
    </row>
    <row r="123" spans="1:2" ht="12.75" customHeight="1" x14ac:dyDescent="0.25">
      <c r="A123" s="124" t="s">
        <v>229</v>
      </c>
      <c r="B123" s="124" t="s">
        <v>436</v>
      </c>
    </row>
    <row r="124" spans="1:2" ht="12.75" customHeight="1" x14ac:dyDescent="0.25">
      <c r="A124" s="124" t="s">
        <v>231</v>
      </c>
      <c r="B124" s="124" t="s">
        <v>437</v>
      </c>
    </row>
    <row r="125" spans="1:2" ht="12.75" customHeight="1" x14ac:dyDescent="0.25">
      <c r="A125" s="124" t="s">
        <v>233</v>
      </c>
      <c r="B125" s="124" t="s">
        <v>438</v>
      </c>
    </row>
    <row r="126" spans="1:2" ht="12.75" customHeight="1" x14ac:dyDescent="0.25">
      <c r="A126" s="124" t="s">
        <v>235</v>
      </c>
      <c r="B126" s="124" t="s">
        <v>439</v>
      </c>
    </row>
    <row r="127" spans="1:2" ht="12.75" customHeight="1" x14ac:dyDescent="0.25">
      <c r="A127" s="124" t="s">
        <v>237</v>
      </c>
      <c r="B127" s="124" t="s">
        <v>440</v>
      </c>
    </row>
    <row r="128" spans="1:2" ht="12.75" customHeight="1" x14ac:dyDescent="0.25">
      <c r="A128" s="124" t="s">
        <v>239</v>
      </c>
      <c r="B128" s="124" t="s">
        <v>441</v>
      </c>
    </row>
    <row r="129" spans="1:2" ht="12.75" customHeight="1" x14ac:dyDescent="0.25">
      <c r="A129" s="124" t="s">
        <v>241</v>
      </c>
      <c r="B129" s="124" t="s">
        <v>442</v>
      </c>
    </row>
    <row r="130" spans="1:2" ht="12.75" customHeight="1" x14ac:dyDescent="0.25">
      <c r="A130" s="124" t="s">
        <v>243</v>
      </c>
      <c r="B130" s="124" t="s">
        <v>443</v>
      </c>
    </row>
    <row r="131" spans="1:2" ht="12.75" customHeight="1" x14ac:dyDescent="0.25">
      <c r="A131" s="124" t="s">
        <v>245</v>
      </c>
      <c r="B131" s="124" t="s">
        <v>444</v>
      </c>
    </row>
    <row r="132" spans="1:2" ht="12.75" customHeight="1" x14ac:dyDescent="0.25">
      <c r="A132" s="124" t="s">
        <v>122</v>
      </c>
      <c r="B132" s="124" t="s">
        <v>445</v>
      </c>
    </row>
    <row r="133" spans="1:2" ht="12.75" customHeight="1" x14ac:dyDescent="0.25">
      <c r="A133" s="124" t="s">
        <v>282</v>
      </c>
      <c r="B133" s="124" t="s">
        <v>446</v>
      </c>
    </row>
    <row r="134" spans="1:2" ht="12.75" customHeight="1" x14ac:dyDescent="0.25">
      <c r="A134" s="124" t="s">
        <v>284</v>
      </c>
      <c r="B134" s="124" t="s">
        <v>447</v>
      </c>
    </row>
    <row r="135" spans="1:2" ht="12.75" customHeight="1" x14ac:dyDescent="0.25">
      <c r="A135" s="124" t="s">
        <v>286</v>
      </c>
      <c r="B135" s="124" t="s">
        <v>448</v>
      </c>
    </row>
    <row r="136" spans="1:2" ht="12.75" customHeight="1" x14ac:dyDescent="0.25">
      <c r="A136" s="124" t="s">
        <v>288</v>
      </c>
      <c r="B136" s="124" t="s">
        <v>449</v>
      </c>
    </row>
    <row r="137" spans="1:2" ht="12.75" customHeight="1" x14ac:dyDescent="0.25">
      <c r="A137" s="124" t="s">
        <v>290</v>
      </c>
      <c r="B137" s="124" t="s">
        <v>450</v>
      </c>
    </row>
    <row r="138" spans="1:2" ht="12.75" customHeight="1" x14ac:dyDescent="0.25">
      <c r="A138" s="124" t="s">
        <v>292</v>
      </c>
      <c r="B138" s="124" t="s">
        <v>451</v>
      </c>
    </row>
    <row r="139" spans="1:2" ht="12.75" customHeight="1" x14ac:dyDescent="0.25">
      <c r="A139" s="124" t="s">
        <v>294</v>
      </c>
      <c r="B139" s="124" t="s">
        <v>452</v>
      </c>
    </row>
    <row r="140" spans="1:2" ht="12.75" customHeight="1" x14ac:dyDescent="0.25">
      <c r="A140" s="124" t="s">
        <v>296</v>
      </c>
      <c r="B140" s="124" t="s">
        <v>453</v>
      </c>
    </row>
    <row r="141" spans="1:2" ht="12.75" customHeight="1" x14ac:dyDescent="0.25">
      <c r="A141" s="124" t="s">
        <v>298</v>
      </c>
      <c r="B141" s="124" t="s">
        <v>454</v>
      </c>
    </row>
    <row r="142" spans="1:2" ht="12.75" customHeight="1" x14ac:dyDescent="0.25">
      <c r="A142" s="124" t="s">
        <v>300</v>
      </c>
      <c r="B142" s="124" t="s">
        <v>455</v>
      </c>
    </row>
    <row r="143" spans="1:2" ht="12.75" customHeight="1" x14ac:dyDescent="0.25">
      <c r="A143" s="124" t="s">
        <v>302</v>
      </c>
      <c r="B143" s="124" t="s">
        <v>456</v>
      </c>
    </row>
    <row r="144" spans="1:2" ht="12.75" customHeight="1" x14ac:dyDescent="0.25">
      <c r="A144" s="124" t="s">
        <v>304</v>
      </c>
      <c r="B144" s="124" t="s">
        <v>457</v>
      </c>
    </row>
    <row r="145" spans="1:2" ht="12.75" customHeight="1" x14ac:dyDescent="0.25">
      <c r="A145" s="124" t="s">
        <v>306</v>
      </c>
      <c r="B145" s="124" t="s">
        <v>458</v>
      </c>
    </row>
    <row r="146" spans="1:2" ht="12.75" customHeight="1" x14ac:dyDescent="0.25">
      <c r="A146" s="124" t="s">
        <v>308</v>
      </c>
      <c r="B146" s="124" t="s">
        <v>459</v>
      </c>
    </row>
    <row r="147" spans="1:2" ht="12.75" customHeight="1" x14ac:dyDescent="0.25">
      <c r="A147" s="124" t="s">
        <v>310</v>
      </c>
      <c r="B147" s="124" t="s">
        <v>460</v>
      </c>
    </row>
    <row r="148" spans="1:2" ht="12.75" customHeight="1" x14ac:dyDescent="0.25">
      <c r="A148" s="124" t="s">
        <v>312</v>
      </c>
      <c r="B148" s="124" t="s">
        <v>461</v>
      </c>
    </row>
    <row r="149" spans="1:2" ht="12.75" customHeight="1" x14ac:dyDescent="0.25">
      <c r="A149" s="124" t="s">
        <v>314</v>
      </c>
      <c r="B149" s="124" t="s">
        <v>462</v>
      </c>
    </row>
    <row r="150" spans="1:2" ht="12.75" customHeight="1" x14ac:dyDescent="0.25">
      <c r="A150" s="124" t="s">
        <v>316</v>
      </c>
      <c r="B150" s="124" t="s">
        <v>463</v>
      </c>
    </row>
    <row r="151" spans="1:2" ht="12.75" customHeight="1" x14ac:dyDescent="0.25">
      <c r="A151" s="124" t="s">
        <v>318</v>
      </c>
      <c r="B151" s="124" t="s">
        <v>464</v>
      </c>
    </row>
    <row r="152" spans="1:2" ht="12.75" customHeight="1" x14ac:dyDescent="0.25">
      <c r="A152" s="124" t="s">
        <v>320</v>
      </c>
      <c r="B152" s="124" t="s">
        <v>465</v>
      </c>
    </row>
    <row r="153" spans="1:2" ht="12.75" customHeight="1" x14ac:dyDescent="0.25">
      <c r="A153" s="124" t="s">
        <v>322</v>
      </c>
      <c r="B153" s="124" t="s">
        <v>466</v>
      </c>
    </row>
    <row r="154" spans="1:2" ht="12.75" customHeight="1" x14ac:dyDescent="0.25">
      <c r="A154" s="124" t="s">
        <v>324</v>
      </c>
      <c r="B154" s="124" t="s">
        <v>467</v>
      </c>
    </row>
    <row r="155" spans="1:2" ht="12.75" customHeight="1" x14ac:dyDescent="0.25">
      <c r="A155" s="124" t="s">
        <v>326</v>
      </c>
      <c r="B155" s="124" t="s">
        <v>468</v>
      </c>
    </row>
    <row r="156" spans="1:2" ht="12.75" customHeight="1" x14ac:dyDescent="0.25">
      <c r="A156" s="124" t="s">
        <v>328</v>
      </c>
      <c r="B156" s="124" t="s">
        <v>469</v>
      </c>
    </row>
    <row r="157" spans="1:2" ht="12.75" customHeight="1" x14ac:dyDescent="0.25">
      <c r="A157" s="124" t="s">
        <v>330</v>
      </c>
      <c r="B157" s="124" t="s">
        <v>470</v>
      </c>
    </row>
    <row r="158" spans="1:2" ht="12.75" customHeight="1" x14ac:dyDescent="0.25">
      <c r="A158" s="124" t="s">
        <v>332</v>
      </c>
      <c r="B158" s="124" t="s">
        <v>471</v>
      </c>
    </row>
    <row r="159" spans="1:2" ht="12.75" customHeight="1" x14ac:dyDescent="0.25">
      <c r="A159" s="124" t="s">
        <v>334</v>
      </c>
      <c r="B159" s="124" t="s">
        <v>472</v>
      </c>
    </row>
    <row r="160" spans="1:2" ht="12.75" customHeight="1" x14ac:dyDescent="0.25">
      <c r="A160" s="124" t="s">
        <v>336</v>
      </c>
      <c r="B160" s="124" t="s">
        <v>473</v>
      </c>
    </row>
    <row r="161" spans="1:2" ht="12.75" customHeight="1" x14ac:dyDescent="0.25">
      <c r="A161" s="124" t="s">
        <v>338</v>
      </c>
      <c r="B161" s="124" t="s">
        <v>474</v>
      </c>
    </row>
    <row r="162" spans="1:2" ht="12.75" customHeight="1" x14ac:dyDescent="0.25">
      <c r="A162" s="124" t="s">
        <v>340</v>
      </c>
      <c r="B162" s="124" t="s">
        <v>475</v>
      </c>
    </row>
    <row r="163" spans="1:2" ht="12.75" customHeight="1" x14ac:dyDescent="0.25">
      <c r="A163" s="124" t="s">
        <v>342</v>
      </c>
      <c r="B163" s="124" t="s">
        <v>476</v>
      </c>
    </row>
    <row r="164" spans="1:2" ht="12.75" customHeight="1" x14ac:dyDescent="0.25">
      <c r="A164" s="124" t="s">
        <v>344</v>
      </c>
      <c r="B164" s="124" t="s">
        <v>477</v>
      </c>
    </row>
    <row r="165" spans="1:2" ht="12.75" customHeight="1" x14ac:dyDescent="0.25">
      <c r="A165" s="124" t="s">
        <v>345</v>
      </c>
      <c r="B165" s="124" t="s">
        <v>343</v>
      </c>
    </row>
    <row r="166" spans="1:2" ht="12.75" customHeight="1" x14ac:dyDescent="0.25">
      <c r="A166" s="124" t="s">
        <v>346</v>
      </c>
      <c r="B166" s="124" t="s">
        <v>343</v>
      </c>
    </row>
    <row r="167" spans="1:2" ht="12.75" customHeight="1" x14ac:dyDescent="0.25">
      <c r="A167" s="124" t="s">
        <v>347</v>
      </c>
      <c r="B167" s="124" t="s">
        <v>343</v>
      </c>
    </row>
    <row r="168" spans="1:2" ht="12.75" customHeight="1" x14ac:dyDescent="0.25">
      <c r="A168" s="124" t="s">
        <v>348</v>
      </c>
      <c r="B168" s="124" t="s">
        <v>343</v>
      </c>
    </row>
    <row r="169" spans="1:2" ht="12.75" customHeight="1" x14ac:dyDescent="0.25">
      <c r="A169" s="124" t="s">
        <v>349</v>
      </c>
      <c r="B169" s="124" t="s">
        <v>343</v>
      </c>
    </row>
    <row r="170" spans="1:2" ht="12.75" customHeight="1" x14ac:dyDescent="0.25">
      <c r="A170" s="124" t="s">
        <v>350</v>
      </c>
      <c r="B170" s="124" t="s">
        <v>343</v>
      </c>
    </row>
    <row r="171" spans="1:2" ht="12.75" customHeight="1" x14ac:dyDescent="0.25">
      <c r="A171" s="124" t="s">
        <v>351</v>
      </c>
      <c r="B171" s="124" t="s">
        <v>343</v>
      </c>
    </row>
    <row r="172" spans="1:2" ht="12.75" customHeight="1" x14ac:dyDescent="0.25">
      <c r="A172" s="124" t="s">
        <v>250</v>
      </c>
      <c r="B172" s="124" t="s">
        <v>108</v>
      </c>
    </row>
  </sheetData>
  <pageMargins left="0.75" right="0.75" top="1" bottom="1" header="0.5" footer="0.5"/>
  <pageSetup paperSize="9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13</vt:i4>
      </vt:variant>
    </vt:vector>
  </HeadingPairs>
  <TitlesOfParts>
    <vt:vector size="31" baseType="lpstr">
      <vt:lpstr>Summary</vt:lpstr>
      <vt:lpstr>1.a Assumptions</vt:lpstr>
      <vt:lpstr>1.b Flowchart</vt:lpstr>
      <vt:lpstr>1.c Calculation --&gt;</vt:lpstr>
      <vt:lpstr>1.c Decrements</vt:lpstr>
      <vt:lpstr>1.c PUC_Projection</vt:lpstr>
      <vt:lpstr>1.c EAN_Projection</vt:lpstr>
      <vt:lpstr>2 Calculation --&gt;</vt:lpstr>
      <vt:lpstr>2.a PUC_Projection</vt:lpstr>
      <vt:lpstr>2.b EAN_Projection</vt:lpstr>
      <vt:lpstr>2.c Decrements</vt:lpstr>
      <vt:lpstr>2.c EAN_Projection</vt:lpstr>
      <vt:lpstr>2.d Decrements</vt:lpstr>
      <vt:lpstr>2.d EAN_Projection</vt:lpstr>
      <vt:lpstr>Input --&gt;</vt:lpstr>
      <vt:lpstr>opening demographics</vt:lpstr>
      <vt:lpstr>RP-2014-White Collar Male</vt:lpstr>
      <vt:lpstr>RP-2014-White Collar Female</vt:lpstr>
      <vt:lpstr>accrual_rate_A</vt:lpstr>
      <vt:lpstr>accrual_rate_B</vt:lpstr>
      <vt:lpstr>e_A</vt:lpstr>
      <vt:lpstr>e_B</vt:lpstr>
      <vt:lpstr>EA_A</vt:lpstr>
      <vt:lpstr>EA_B</vt:lpstr>
      <vt:lpstr>i</vt:lpstr>
      <vt:lpstr>NRA_A</vt:lpstr>
      <vt:lpstr>NRA_B</vt:lpstr>
      <vt:lpstr>turnover_rate_A</vt:lpstr>
      <vt:lpstr>turnover_rate_B</vt:lpstr>
      <vt:lpstr>withdraw_rate_A</vt:lpstr>
      <vt:lpstr>withdraw_rate_B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Zhu, Jinfeng</dc:creator>
  <cp:lastModifiedBy>Zhu, Vincent</cp:lastModifiedBy>
  <dcterms:created xsi:type="dcterms:W3CDTF">2006-09-16T00:00:00Z</dcterms:created>
  <dcterms:modified xsi:type="dcterms:W3CDTF">2020-02-25T14:18:26Z</dcterms:modified>
</cp:coreProperties>
</file>