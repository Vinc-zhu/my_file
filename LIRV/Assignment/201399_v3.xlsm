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jizhu\Desktop\LIRV\Assignment\"/>
    </mc:Choice>
  </mc:AlternateContent>
  <bookViews>
    <workbookView xWindow="240" yWindow="105" windowWidth="14805" windowHeight="8010" tabRatio="703" activeTab="1"/>
  </bookViews>
  <sheets>
    <sheet name="Note" sheetId="9" r:id="rId1"/>
    <sheet name="Assumptions" sheetId="1" r:id="rId2"/>
    <sheet name="Calculation --&gt;" sheetId="6" r:id="rId3"/>
    <sheet name="Decrements" sheetId="8" r:id="rId4"/>
    <sheet name="PUC_Projection" sheetId="2" r:id="rId5"/>
    <sheet name="EAN_Projection" sheetId="10" r:id="rId6"/>
    <sheet name="Flowchart" sheetId="11" r:id="rId7"/>
    <sheet name="Input --&gt;" sheetId="7" r:id="rId8"/>
    <sheet name="opening demographics" sheetId="3" r:id="rId9"/>
  </sheets>
  <definedNames>
    <definedName name="_xlnm._FilterDatabase" localSheetId="8" hidden="1">'opening demographics'!$B$2:$B$11</definedName>
    <definedName name="accrual_rate_A">Assumptions!$C$6</definedName>
    <definedName name="accrual_rate_B">Assumptions!$C$7</definedName>
    <definedName name="e_A">Assumptions!$C$20</definedName>
    <definedName name="e_B">Assumptions!$C$21</definedName>
    <definedName name="i">Assumptions!$B$23</definedName>
    <definedName name="mort_rate_A">Assumptions!$B$27</definedName>
    <definedName name="NRA_A">Assumptions!$C$9</definedName>
    <definedName name="NRA_B">Assumptions!$C$10</definedName>
    <definedName name="retire_rate_A">Assumptions!$B$25</definedName>
    <definedName name="withdraw_rate">Assumptions!$B$18</definedName>
  </definedNames>
  <calcPr calcId="152511"/>
</workbook>
</file>

<file path=xl/calcChain.xml><?xml version="1.0" encoding="utf-8"?>
<calcChain xmlns="http://schemas.openxmlformats.org/spreadsheetml/2006/main">
  <c r="B3" i="2" l="1"/>
  <c r="I84" i="2"/>
  <c r="B3" i="8" l="1"/>
  <c r="Q8" i="10" l="1"/>
  <c r="P8" i="10"/>
  <c r="O8" i="10"/>
  <c r="N8" i="10"/>
  <c r="M8" i="10"/>
  <c r="L8" i="10"/>
  <c r="K8" i="10"/>
  <c r="J8" i="10"/>
  <c r="I8" i="10"/>
  <c r="H8" i="10"/>
  <c r="J10" i="2"/>
  <c r="I10" i="2"/>
  <c r="D3" i="10" l="1"/>
  <c r="G4" i="10" s="1"/>
  <c r="K84" i="10"/>
  <c r="S84" i="10"/>
  <c r="G14" i="10"/>
  <c r="G3" i="10" l="1"/>
  <c r="D4" i="10"/>
  <c r="C14" i="10" s="1"/>
  <c r="D2" i="10"/>
  <c r="D7" i="10"/>
  <c r="E14" i="10" s="1"/>
  <c r="G3" i="2"/>
  <c r="J9" i="2"/>
  <c r="I9" i="2"/>
  <c r="S84" i="2"/>
  <c r="D6" i="10"/>
  <c r="D5" i="10"/>
  <c r="C15" i="10" l="1"/>
  <c r="D14" i="10"/>
  <c r="I11" i="2"/>
  <c r="J11" i="2"/>
  <c r="D3" i="8"/>
  <c r="D7" i="2"/>
  <c r="E14" i="2" s="1"/>
  <c r="D4" i="8"/>
  <c r="C11" i="8" s="1"/>
  <c r="D7" i="8"/>
  <c r="D2" i="8"/>
  <c r="C21" i="1"/>
  <c r="C20" i="1"/>
  <c r="A3" i="3"/>
  <c r="A4" i="3"/>
  <c r="A5" i="3"/>
  <c r="A6" i="3"/>
  <c r="A7" i="3"/>
  <c r="A8" i="3"/>
  <c r="A9" i="3"/>
  <c r="A10" i="3"/>
  <c r="A11" i="3"/>
  <c r="A12" i="3"/>
  <c r="A13" i="3"/>
  <c r="A2" i="3"/>
  <c r="G12" i="3"/>
  <c r="F12" i="3"/>
  <c r="G4" i="3"/>
  <c r="G6" i="3"/>
  <c r="G8" i="3"/>
  <c r="G10" i="3"/>
  <c r="F11" i="3"/>
  <c r="F9" i="3"/>
  <c r="F7" i="3"/>
  <c r="F5" i="3"/>
  <c r="D8" i="10"/>
  <c r="D6" i="8"/>
  <c r="D8" i="8"/>
  <c r="D10" i="10" l="1"/>
  <c r="I14" i="10" s="1"/>
  <c r="F14" i="10"/>
  <c r="E15" i="10" s="1"/>
  <c r="G15" i="10"/>
  <c r="C16" i="10"/>
  <c r="B15" i="10"/>
  <c r="D15" i="10"/>
  <c r="D3" i="2"/>
  <c r="G4" i="2" s="1"/>
  <c r="D2" i="2"/>
  <c r="D4" i="2"/>
  <c r="C14" i="2" s="1"/>
  <c r="G14" i="2"/>
  <c r="D5" i="8"/>
  <c r="D5" i="2"/>
  <c r="D8" i="2"/>
  <c r="D6" i="2"/>
  <c r="G11" i="8" l="1"/>
  <c r="F11" i="8" s="1"/>
  <c r="M14" i="10"/>
  <c r="F15" i="10"/>
  <c r="E16" i="10" s="1"/>
  <c r="H14" i="10"/>
  <c r="W15" i="10" s="1"/>
  <c r="I15" i="10"/>
  <c r="G6" i="10"/>
  <c r="G16" i="10"/>
  <c r="I16" i="10"/>
  <c r="C17" i="10"/>
  <c r="B16" i="10"/>
  <c r="D16" i="10"/>
  <c r="C15" i="2"/>
  <c r="F14" i="2"/>
  <c r="D14" i="2"/>
  <c r="C12" i="8"/>
  <c r="E11" i="8" l="1"/>
  <c r="P14" i="10" s="1"/>
  <c r="J14" i="2"/>
  <c r="K14" i="2" s="1"/>
  <c r="M15" i="10"/>
  <c r="J15" i="10"/>
  <c r="L15" i="10" s="1"/>
  <c r="Q14" i="10" s="1"/>
  <c r="F16" i="10"/>
  <c r="F17" i="10" s="1"/>
  <c r="J14" i="10"/>
  <c r="K14" i="10" s="1"/>
  <c r="W14" i="10"/>
  <c r="W16" i="10"/>
  <c r="W17" i="10"/>
  <c r="I17" i="10"/>
  <c r="C18" i="10"/>
  <c r="B17" i="10"/>
  <c r="G17" i="10"/>
  <c r="D17" i="10"/>
  <c r="H14" i="2"/>
  <c r="I14" i="2" s="1"/>
  <c r="M14" i="2" s="1"/>
  <c r="B15" i="2"/>
  <c r="E15" i="2"/>
  <c r="C16" i="2"/>
  <c r="G15" i="2"/>
  <c r="D15" i="2"/>
  <c r="F15" i="2"/>
  <c r="B12" i="8"/>
  <c r="C13" i="8"/>
  <c r="N14" i="2" l="1"/>
  <c r="G5" i="10"/>
  <c r="J15" i="2"/>
  <c r="O14" i="2" s="1"/>
  <c r="M16" i="10"/>
  <c r="E17" i="10"/>
  <c r="E18" i="10" s="1"/>
  <c r="L14" i="10"/>
  <c r="O14" i="10" s="1"/>
  <c r="J16" i="10"/>
  <c r="L16" i="10" s="1"/>
  <c r="K15" i="10"/>
  <c r="V14" i="10"/>
  <c r="X14" i="10" s="1"/>
  <c r="G6" i="2"/>
  <c r="W18" i="10"/>
  <c r="G18" i="10"/>
  <c r="I18" i="10"/>
  <c r="C19" i="10"/>
  <c r="B18" i="10"/>
  <c r="F18" i="10"/>
  <c r="J17" i="10"/>
  <c r="D18" i="10"/>
  <c r="H15" i="2"/>
  <c r="V15" i="10" s="1"/>
  <c r="X15" i="10" s="1"/>
  <c r="B16" i="2"/>
  <c r="E16" i="2"/>
  <c r="C17" i="2"/>
  <c r="H11" i="8"/>
  <c r="F16" i="2"/>
  <c r="D16" i="2"/>
  <c r="C14" i="8"/>
  <c r="B13" i="8"/>
  <c r="G16" i="2"/>
  <c r="S14" i="10" l="1"/>
  <c r="T14" i="10" s="1"/>
  <c r="D12" i="8"/>
  <c r="G12" i="8" s="1"/>
  <c r="J16" i="2"/>
  <c r="I15" i="2"/>
  <c r="G5" i="2"/>
  <c r="L17" i="10"/>
  <c r="M18" i="10"/>
  <c r="M17" i="10"/>
  <c r="S15" i="10"/>
  <c r="T15" i="10" s="1"/>
  <c r="K16" i="10"/>
  <c r="W19" i="10"/>
  <c r="C20" i="10"/>
  <c r="G19" i="10"/>
  <c r="I19" i="10"/>
  <c r="F19" i="10"/>
  <c r="B19" i="10"/>
  <c r="E19" i="10"/>
  <c r="K17" i="10"/>
  <c r="J18" i="10"/>
  <c r="L18" i="10" s="1"/>
  <c r="D19" i="10"/>
  <c r="H16" i="2"/>
  <c r="V16" i="10" s="1"/>
  <c r="X16" i="10" s="1"/>
  <c r="B17" i="2"/>
  <c r="G17" i="2"/>
  <c r="D17" i="2"/>
  <c r="E17" i="2"/>
  <c r="C18" i="2"/>
  <c r="F17" i="2"/>
  <c r="C15" i="8"/>
  <c r="B14" i="8"/>
  <c r="E12" i="8" l="1"/>
  <c r="P15" i="10" s="1"/>
  <c r="O15" i="10"/>
  <c r="M15" i="2"/>
  <c r="J17" i="2"/>
  <c r="I16" i="2"/>
  <c r="K15" i="2"/>
  <c r="S14" i="2"/>
  <c r="T14" i="2" s="1"/>
  <c r="M19" i="10"/>
  <c r="S16" i="10"/>
  <c r="T16" i="10" s="1"/>
  <c r="W20" i="10"/>
  <c r="F20" i="10"/>
  <c r="C21" i="10"/>
  <c r="I20" i="10"/>
  <c r="B20" i="10"/>
  <c r="G20" i="10"/>
  <c r="D20" i="10"/>
  <c r="E20" i="10"/>
  <c r="K18" i="10"/>
  <c r="J19" i="10"/>
  <c r="L19" i="10" s="1"/>
  <c r="H17" i="2"/>
  <c r="V17" i="10" s="1"/>
  <c r="X17" i="10" s="1"/>
  <c r="G18" i="2"/>
  <c r="B18" i="2"/>
  <c r="D18" i="2"/>
  <c r="E18" i="2"/>
  <c r="C19" i="2"/>
  <c r="F18" i="2"/>
  <c r="B15" i="8"/>
  <c r="C16" i="8"/>
  <c r="F12" i="8" l="1"/>
  <c r="Q15" i="10" s="1"/>
  <c r="N15" i="2"/>
  <c r="J18" i="2"/>
  <c r="I17" i="2"/>
  <c r="K16" i="2"/>
  <c r="M20" i="10"/>
  <c r="S17" i="10"/>
  <c r="T17" i="10" s="1"/>
  <c r="W21" i="10"/>
  <c r="F21" i="10"/>
  <c r="I21" i="10"/>
  <c r="E21" i="10"/>
  <c r="G21" i="10"/>
  <c r="C22" i="10"/>
  <c r="B21" i="10"/>
  <c r="J20" i="10"/>
  <c r="L20" i="10" s="1"/>
  <c r="D21" i="10"/>
  <c r="K19" i="10"/>
  <c r="H18" i="2"/>
  <c r="V18" i="10" s="1"/>
  <c r="X18" i="10" s="1"/>
  <c r="G19" i="2"/>
  <c r="B19" i="2"/>
  <c r="D19" i="2"/>
  <c r="C20" i="2"/>
  <c r="E19" i="2"/>
  <c r="F19" i="2"/>
  <c r="B16" i="8"/>
  <c r="C17" i="8"/>
  <c r="O15" i="2" l="1"/>
  <c r="H12" i="8"/>
  <c r="D13" i="8" s="1"/>
  <c r="G13" i="8" s="1"/>
  <c r="J19" i="2"/>
  <c r="I18" i="2"/>
  <c r="S15" i="2"/>
  <c r="T15" i="2" s="1"/>
  <c r="K17" i="2"/>
  <c r="M21" i="10"/>
  <c r="S18" i="10"/>
  <c r="T18" i="10" s="1"/>
  <c r="W22" i="10"/>
  <c r="K20" i="10"/>
  <c r="J21" i="10"/>
  <c r="L21" i="10" s="1"/>
  <c r="D22" i="10"/>
  <c r="I22" i="10"/>
  <c r="F22" i="10"/>
  <c r="C23" i="10"/>
  <c r="G22" i="10"/>
  <c r="E22" i="10"/>
  <c r="B22" i="10"/>
  <c r="H19" i="2"/>
  <c r="V19" i="10" s="1"/>
  <c r="X19" i="10" s="1"/>
  <c r="F20" i="2"/>
  <c r="G20" i="2"/>
  <c r="D20" i="2"/>
  <c r="B20" i="2"/>
  <c r="C21" i="2"/>
  <c r="E20" i="2"/>
  <c r="C18" i="8"/>
  <c r="B17" i="8"/>
  <c r="F13" i="8" l="1"/>
  <c r="Q16" i="10" s="1"/>
  <c r="O16" i="10"/>
  <c r="M16" i="2"/>
  <c r="J20" i="2"/>
  <c r="I19" i="2"/>
  <c r="S16" i="2"/>
  <c r="T16" i="2" s="1"/>
  <c r="M22" i="10"/>
  <c r="S19" i="10"/>
  <c r="T19" i="10" s="1"/>
  <c r="W23" i="10"/>
  <c r="K21" i="10"/>
  <c r="J22" i="10"/>
  <c r="D23" i="10"/>
  <c r="F23" i="10"/>
  <c r="C24" i="10"/>
  <c r="B23" i="10"/>
  <c r="G23" i="10"/>
  <c r="I23" i="10"/>
  <c r="E23" i="10"/>
  <c r="H20" i="2"/>
  <c r="V20" i="10" s="1"/>
  <c r="X20" i="10" s="1"/>
  <c r="F21" i="2"/>
  <c r="D21" i="2"/>
  <c r="B21" i="2"/>
  <c r="G21" i="2"/>
  <c r="E21" i="2"/>
  <c r="C22" i="2"/>
  <c r="C19" i="8"/>
  <c r="B18" i="8"/>
  <c r="E13" i="8" l="1"/>
  <c r="P16" i="10" s="1"/>
  <c r="O16" i="2"/>
  <c r="J21" i="2"/>
  <c r="I20" i="2"/>
  <c r="K18" i="2"/>
  <c r="M23" i="10"/>
  <c r="S20" i="10"/>
  <c r="T20" i="10" s="1"/>
  <c r="W24" i="10"/>
  <c r="K22" i="10"/>
  <c r="F24" i="10"/>
  <c r="I24" i="10"/>
  <c r="L22" i="10"/>
  <c r="J23" i="10"/>
  <c r="D24" i="10"/>
  <c r="E24" i="10"/>
  <c r="C25" i="10"/>
  <c r="B24" i="10"/>
  <c r="G24" i="10"/>
  <c r="H21" i="2"/>
  <c r="V21" i="10" s="1"/>
  <c r="X21" i="10" s="1"/>
  <c r="F22" i="2"/>
  <c r="E22" i="2"/>
  <c r="B22" i="2"/>
  <c r="D22" i="2"/>
  <c r="G22" i="2"/>
  <c r="C23" i="2"/>
  <c r="B19" i="8"/>
  <c r="C20" i="8"/>
  <c r="H13" i="8" l="1"/>
  <c r="D14" i="8" s="1"/>
  <c r="G14" i="8" s="1"/>
  <c r="F14" i="8" s="1"/>
  <c r="N16" i="2"/>
  <c r="J22" i="2"/>
  <c r="I21" i="2"/>
  <c r="S17" i="2"/>
  <c r="T17" i="2" s="1"/>
  <c r="M24" i="10"/>
  <c r="S21" i="10"/>
  <c r="T21" i="10" s="1"/>
  <c r="W25" i="10"/>
  <c r="K23" i="10"/>
  <c r="J24" i="10"/>
  <c r="L23" i="10"/>
  <c r="F25" i="10"/>
  <c r="I25" i="10"/>
  <c r="C26" i="10"/>
  <c r="D25" i="10"/>
  <c r="E25" i="10"/>
  <c r="G25" i="10"/>
  <c r="B25" i="10"/>
  <c r="H22" i="2"/>
  <c r="V22" i="10" s="1"/>
  <c r="X22" i="10" s="1"/>
  <c r="F23" i="2"/>
  <c r="D23" i="2"/>
  <c r="B23" i="2"/>
  <c r="G23" i="2"/>
  <c r="E23" i="2"/>
  <c r="C24" i="2"/>
  <c r="B20" i="8"/>
  <c r="C21" i="8"/>
  <c r="O17" i="10" l="1"/>
  <c r="M17" i="2"/>
  <c r="E14" i="8"/>
  <c r="N17" i="2" s="1"/>
  <c r="O17" i="2"/>
  <c r="Q17" i="10"/>
  <c r="J23" i="2"/>
  <c r="I22" i="2"/>
  <c r="M25" i="10"/>
  <c r="S22" i="10"/>
  <c r="T22" i="10" s="1"/>
  <c r="W26" i="10"/>
  <c r="L24" i="10"/>
  <c r="C27" i="10"/>
  <c r="K24" i="10"/>
  <c r="F26" i="10"/>
  <c r="G26" i="10"/>
  <c r="I26" i="10"/>
  <c r="J25" i="10"/>
  <c r="B26" i="10"/>
  <c r="E26" i="10"/>
  <c r="D26" i="10"/>
  <c r="H23" i="2"/>
  <c r="V23" i="10" s="1"/>
  <c r="X23" i="10" s="1"/>
  <c r="E24" i="2"/>
  <c r="G24" i="2"/>
  <c r="B24" i="2"/>
  <c r="D24" i="2"/>
  <c r="C25" i="2"/>
  <c r="F24" i="2"/>
  <c r="C22" i="8"/>
  <c r="B21" i="8"/>
  <c r="H14" i="8" l="1"/>
  <c r="D15" i="8" s="1"/>
  <c r="G15" i="8" s="1"/>
  <c r="P17" i="10"/>
  <c r="J24" i="2"/>
  <c r="I23" i="2"/>
  <c r="K19" i="2"/>
  <c r="S18" i="2"/>
  <c r="T18" i="2" s="1"/>
  <c r="M26" i="10"/>
  <c r="S23" i="10"/>
  <c r="T23" i="10" s="1"/>
  <c r="W27" i="10"/>
  <c r="L25" i="10"/>
  <c r="I27" i="10"/>
  <c r="C28" i="10"/>
  <c r="G27" i="10"/>
  <c r="B27" i="10"/>
  <c r="F27" i="10"/>
  <c r="K25" i="10"/>
  <c r="J26" i="10"/>
  <c r="E27" i="10"/>
  <c r="D27" i="10"/>
  <c r="H24" i="2"/>
  <c r="V24" i="10" s="1"/>
  <c r="X24" i="10" s="1"/>
  <c r="B25" i="2"/>
  <c r="E25" i="2"/>
  <c r="D25" i="2"/>
  <c r="G25" i="2"/>
  <c r="F25" i="2"/>
  <c r="C26" i="2"/>
  <c r="C23" i="8"/>
  <c r="B22" i="8"/>
  <c r="O18" i="10" l="1"/>
  <c r="M18" i="2"/>
  <c r="F15" i="8"/>
  <c r="Q18" i="10" s="1"/>
  <c r="E15" i="8"/>
  <c r="P18" i="10" s="1"/>
  <c r="J25" i="2"/>
  <c r="I24" i="2"/>
  <c r="M27" i="10"/>
  <c r="S24" i="10"/>
  <c r="T24" i="10" s="1"/>
  <c r="W28" i="10"/>
  <c r="K26" i="10"/>
  <c r="C29" i="10"/>
  <c r="B28" i="10"/>
  <c r="I28" i="10"/>
  <c r="G28" i="10"/>
  <c r="F28" i="10"/>
  <c r="J27" i="10"/>
  <c r="E28" i="10"/>
  <c r="L26" i="10"/>
  <c r="D28" i="10"/>
  <c r="H25" i="2"/>
  <c r="V25" i="10" s="1"/>
  <c r="X25" i="10" s="1"/>
  <c r="B26" i="2"/>
  <c r="G26" i="2"/>
  <c r="D26" i="2"/>
  <c r="F26" i="2"/>
  <c r="E26" i="2"/>
  <c r="C27" i="2"/>
  <c r="B23" i="8"/>
  <c r="C24" i="8"/>
  <c r="O18" i="2" l="1"/>
  <c r="N18" i="2"/>
  <c r="H15" i="8"/>
  <c r="D16" i="8" s="1"/>
  <c r="G16" i="8" s="1"/>
  <c r="J26" i="2"/>
  <c r="I25" i="2"/>
  <c r="K20" i="2"/>
  <c r="S19" i="2"/>
  <c r="T19" i="2" s="1"/>
  <c r="M28" i="10"/>
  <c r="S25" i="10"/>
  <c r="T25" i="10" s="1"/>
  <c r="W29" i="10"/>
  <c r="F29" i="10"/>
  <c r="K27" i="10"/>
  <c r="I29" i="10"/>
  <c r="L27" i="10"/>
  <c r="G29" i="10"/>
  <c r="C30" i="10"/>
  <c r="D29" i="10"/>
  <c r="B29" i="10"/>
  <c r="E29" i="10"/>
  <c r="J28" i="10"/>
  <c r="H26" i="2"/>
  <c r="V26" i="10" s="1"/>
  <c r="X26" i="10" s="1"/>
  <c r="B27" i="2"/>
  <c r="F27" i="2"/>
  <c r="E27" i="2"/>
  <c r="D27" i="2"/>
  <c r="G27" i="2"/>
  <c r="C28" i="2"/>
  <c r="B24" i="8"/>
  <c r="C25" i="8"/>
  <c r="M19" i="2" l="1"/>
  <c r="O19" i="10"/>
  <c r="F16" i="8"/>
  <c r="Q19" i="10" s="1"/>
  <c r="J27" i="2"/>
  <c r="I26" i="2"/>
  <c r="M29" i="10"/>
  <c r="S26" i="10"/>
  <c r="T26" i="10" s="1"/>
  <c r="W30" i="10"/>
  <c r="L28" i="10"/>
  <c r="J29" i="10"/>
  <c r="C31" i="10"/>
  <c r="B30" i="10"/>
  <c r="G30" i="10"/>
  <c r="D30" i="10"/>
  <c r="F30" i="10"/>
  <c r="E30" i="10"/>
  <c r="I30" i="10"/>
  <c r="K28" i="10"/>
  <c r="H27" i="2"/>
  <c r="V27" i="10" s="1"/>
  <c r="X27" i="10" s="1"/>
  <c r="G28" i="2"/>
  <c r="B28" i="2"/>
  <c r="C29" i="2"/>
  <c r="D28" i="2"/>
  <c r="E28" i="2"/>
  <c r="F28" i="2"/>
  <c r="B25" i="8"/>
  <c r="C26" i="8"/>
  <c r="O19" i="2" l="1"/>
  <c r="E16" i="8"/>
  <c r="P19" i="10" s="1"/>
  <c r="J28" i="2"/>
  <c r="I27" i="2"/>
  <c r="K21" i="2"/>
  <c r="S20" i="2"/>
  <c r="T20" i="2" s="1"/>
  <c r="M30" i="10"/>
  <c r="S27" i="10"/>
  <c r="T27" i="10" s="1"/>
  <c r="W31" i="10"/>
  <c r="D31" i="10"/>
  <c r="K29" i="10"/>
  <c r="I31" i="10"/>
  <c r="C32" i="10"/>
  <c r="L29" i="10"/>
  <c r="G31" i="10"/>
  <c r="B31" i="10"/>
  <c r="E31" i="10"/>
  <c r="J30" i="10"/>
  <c r="F31" i="10"/>
  <c r="H28" i="2"/>
  <c r="V28" i="10" s="1"/>
  <c r="X28" i="10" s="1"/>
  <c r="G29" i="2"/>
  <c r="D29" i="2"/>
  <c r="F29" i="2"/>
  <c r="B29" i="2"/>
  <c r="E29" i="2"/>
  <c r="C30" i="2"/>
  <c r="B26" i="8"/>
  <c r="C27" i="8"/>
  <c r="N19" i="2" l="1"/>
  <c r="H16" i="8"/>
  <c r="D17" i="8" s="1"/>
  <c r="G17" i="8" s="1"/>
  <c r="J29" i="2"/>
  <c r="I28" i="2"/>
  <c r="M31" i="10"/>
  <c r="S28" i="10"/>
  <c r="T28" i="10" s="1"/>
  <c r="W32" i="10"/>
  <c r="G32" i="10"/>
  <c r="D32" i="10"/>
  <c r="C33" i="10"/>
  <c r="L30" i="10"/>
  <c r="B32" i="10"/>
  <c r="I32" i="10"/>
  <c r="E32" i="10"/>
  <c r="F32" i="10"/>
  <c r="J31" i="10"/>
  <c r="K30" i="10"/>
  <c r="H29" i="2"/>
  <c r="V29" i="10" s="1"/>
  <c r="X29" i="10" s="1"/>
  <c r="D30" i="2"/>
  <c r="B30" i="2"/>
  <c r="G30" i="2"/>
  <c r="E30" i="2"/>
  <c r="F30" i="2"/>
  <c r="C31" i="2"/>
  <c r="B27" i="8"/>
  <c r="C28" i="8"/>
  <c r="M20" i="2" l="1"/>
  <c r="E17" i="8"/>
  <c r="P20" i="10" s="1"/>
  <c r="O20" i="10"/>
  <c r="J30" i="2"/>
  <c r="I29" i="2"/>
  <c r="K22" i="2"/>
  <c r="M32" i="10"/>
  <c r="S29" i="10"/>
  <c r="T29" i="10" s="1"/>
  <c r="W33" i="10"/>
  <c r="G33" i="10"/>
  <c r="D33" i="10"/>
  <c r="B33" i="10"/>
  <c r="L31" i="10"/>
  <c r="C34" i="10"/>
  <c r="I33" i="10"/>
  <c r="E33" i="10"/>
  <c r="F33" i="10"/>
  <c r="J32" i="10"/>
  <c r="L32" i="10" s="1"/>
  <c r="K31" i="10"/>
  <c r="H30" i="2"/>
  <c r="V30" i="10" s="1"/>
  <c r="X30" i="10" s="1"/>
  <c r="F31" i="2"/>
  <c r="B31" i="2"/>
  <c r="D31" i="2"/>
  <c r="G31" i="2"/>
  <c r="E31" i="2"/>
  <c r="C32" i="2"/>
  <c r="C29" i="8"/>
  <c r="B28" i="8"/>
  <c r="N20" i="2" l="1"/>
  <c r="F17" i="8"/>
  <c r="H17" i="8" s="1"/>
  <c r="D18" i="8" s="1"/>
  <c r="J31" i="2"/>
  <c r="I30" i="2"/>
  <c r="S21" i="2"/>
  <c r="T21" i="2" s="1"/>
  <c r="M33" i="10"/>
  <c r="S30" i="10"/>
  <c r="T30" i="10" s="1"/>
  <c r="W34" i="10"/>
  <c r="G34" i="10"/>
  <c r="I34" i="10"/>
  <c r="J33" i="10"/>
  <c r="L33" i="10" s="1"/>
  <c r="C35" i="10"/>
  <c r="S31" i="10"/>
  <c r="T31" i="10" s="1"/>
  <c r="D34" i="10"/>
  <c r="K32" i="10"/>
  <c r="B34" i="10"/>
  <c r="F34" i="10"/>
  <c r="E34" i="10"/>
  <c r="H31" i="2"/>
  <c r="V31" i="10" s="1"/>
  <c r="X31" i="10" s="1"/>
  <c r="F32" i="2"/>
  <c r="E32" i="2"/>
  <c r="G32" i="2"/>
  <c r="B32" i="2"/>
  <c r="D32" i="2"/>
  <c r="C33" i="2"/>
  <c r="B29" i="8"/>
  <c r="C30" i="8"/>
  <c r="G18" i="8" l="1"/>
  <c r="E18" i="8" s="1"/>
  <c r="O20" i="2"/>
  <c r="M21" i="2" s="1"/>
  <c r="Q20" i="10"/>
  <c r="O21" i="10" s="1"/>
  <c r="J32" i="2"/>
  <c r="I31" i="2"/>
  <c r="K23" i="2"/>
  <c r="S22" i="2"/>
  <c r="T22" i="2" s="1"/>
  <c r="M34" i="10"/>
  <c r="S32" i="10"/>
  <c r="T32" i="10" s="1"/>
  <c r="W35" i="10"/>
  <c r="B35" i="10"/>
  <c r="K33" i="10"/>
  <c r="D35" i="10"/>
  <c r="C36" i="10"/>
  <c r="I35" i="10"/>
  <c r="G35" i="10"/>
  <c r="J34" i="10"/>
  <c r="K34" i="10" s="1"/>
  <c r="F35" i="10"/>
  <c r="E35" i="10"/>
  <c r="H32" i="2"/>
  <c r="V32" i="10" s="1"/>
  <c r="X32" i="10" s="1"/>
  <c r="F33" i="2"/>
  <c r="G33" i="2"/>
  <c r="B33" i="2"/>
  <c r="D33" i="2"/>
  <c r="E33" i="2"/>
  <c r="C34" i="2"/>
  <c r="B30" i="8"/>
  <c r="C31" i="8"/>
  <c r="P21" i="10" l="1"/>
  <c r="N21" i="2"/>
  <c r="F18" i="8"/>
  <c r="Q21" i="10" s="1"/>
  <c r="J33" i="2"/>
  <c r="I32" i="2"/>
  <c r="M35" i="10"/>
  <c r="W36" i="10"/>
  <c r="L34" i="10"/>
  <c r="B36" i="10"/>
  <c r="D36" i="10"/>
  <c r="F36" i="10"/>
  <c r="C37" i="10"/>
  <c r="G36" i="10"/>
  <c r="E36" i="10"/>
  <c r="I36" i="10"/>
  <c r="J35" i="10"/>
  <c r="L35" i="10" s="1"/>
  <c r="H33" i="2"/>
  <c r="V33" i="10" s="1"/>
  <c r="X33" i="10" s="1"/>
  <c r="B34" i="2"/>
  <c r="F34" i="2"/>
  <c r="G34" i="2"/>
  <c r="D34" i="2"/>
  <c r="E34" i="2"/>
  <c r="C35" i="2"/>
  <c r="B31" i="8"/>
  <c r="C32" i="8"/>
  <c r="H18" i="8" l="1"/>
  <c r="D19" i="8" s="1"/>
  <c r="G19" i="8" s="1"/>
  <c r="E19" i="8" s="1"/>
  <c r="O21" i="2"/>
  <c r="J34" i="2"/>
  <c r="I33" i="2"/>
  <c r="K24" i="2"/>
  <c r="S23" i="2"/>
  <c r="T23" i="2" s="1"/>
  <c r="M36" i="10"/>
  <c r="S33" i="10"/>
  <c r="T33" i="10" s="1"/>
  <c r="S34" i="10"/>
  <c r="T34" i="10" s="1"/>
  <c r="W37" i="10"/>
  <c r="E37" i="10"/>
  <c r="J36" i="10"/>
  <c r="K36" i="10" s="1"/>
  <c r="I37" i="10"/>
  <c r="D37" i="10"/>
  <c r="K35" i="10"/>
  <c r="C38" i="10"/>
  <c r="B37" i="10"/>
  <c r="G37" i="10"/>
  <c r="F37" i="10"/>
  <c r="H34" i="2"/>
  <c r="I34" i="2" s="1"/>
  <c r="D35" i="2"/>
  <c r="F35" i="2"/>
  <c r="E35" i="2"/>
  <c r="C36" i="2"/>
  <c r="G35" i="2"/>
  <c r="B35" i="2"/>
  <c r="C33" i="8"/>
  <c r="B32" i="8"/>
  <c r="M22" i="2" l="1"/>
  <c r="O22" i="10"/>
  <c r="P22" i="10"/>
  <c r="N22" i="2"/>
  <c r="F19" i="8"/>
  <c r="Q22" i="10" s="1"/>
  <c r="J35" i="2"/>
  <c r="M37" i="10"/>
  <c r="V34" i="10"/>
  <c r="X34" i="10" s="1"/>
  <c r="W38" i="10"/>
  <c r="L36" i="10"/>
  <c r="J37" i="10"/>
  <c r="K37" i="10" s="1"/>
  <c r="C39" i="10"/>
  <c r="F38" i="10"/>
  <c r="E38" i="10"/>
  <c r="B38" i="10"/>
  <c r="G38" i="10"/>
  <c r="D38" i="10"/>
  <c r="I38" i="10"/>
  <c r="H35" i="2"/>
  <c r="I35" i="2" s="1"/>
  <c r="E36" i="2"/>
  <c r="F36" i="2"/>
  <c r="B36" i="2"/>
  <c r="D36" i="2"/>
  <c r="G36" i="2"/>
  <c r="C37" i="2"/>
  <c r="C34" i="8"/>
  <c r="B33" i="8"/>
  <c r="O22" i="2" l="1"/>
  <c r="H19" i="8"/>
  <c r="D20" i="8" s="1"/>
  <c r="G20" i="8" s="1"/>
  <c r="E20" i="8" s="1"/>
  <c r="J36" i="2"/>
  <c r="K25" i="2"/>
  <c r="S24" i="2"/>
  <c r="T24" i="2" s="1"/>
  <c r="M38" i="10"/>
  <c r="S35" i="10"/>
  <c r="T35" i="10" s="1"/>
  <c r="V35" i="10"/>
  <c r="X35" i="10" s="1"/>
  <c r="W39" i="10"/>
  <c r="C40" i="10"/>
  <c r="F39" i="10"/>
  <c r="B39" i="10"/>
  <c r="D39" i="10"/>
  <c r="J38" i="10"/>
  <c r="K38" i="10" s="1"/>
  <c r="L37" i="10"/>
  <c r="G39" i="10"/>
  <c r="I39" i="10"/>
  <c r="E39" i="10"/>
  <c r="H36" i="2"/>
  <c r="I36" i="2" s="1"/>
  <c r="B37" i="2"/>
  <c r="F37" i="2"/>
  <c r="G37" i="2"/>
  <c r="E37" i="2"/>
  <c r="D37" i="2"/>
  <c r="C38" i="2"/>
  <c r="C35" i="8"/>
  <c r="B34" i="8"/>
  <c r="O23" i="10" l="1"/>
  <c r="M23" i="2"/>
  <c r="F20" i="8"/>
  <c r="O23" i="2" s="1"/>
  <c r="P23" i="10"/>
  <c r="N23" i="2"/>
  <c r="J37" i="2"/>
  <c r="M39" i="10"/>
  <c r="S36" i="10"/>
  <c r="T36" i="10" s="1"/>
  <c r="V36" i="10"/>
  <c r="X36" i="10" s="1"/>
  <c r="W40" i="10"/>
  <c r="I40" i="10"/>
  <c r="D40" i="10"/>
  <c r="C41" i="10"/>
  <c r="G40" i="10"/>
  <c r="B40" i="10"/>
  <c r="F40" i="10"/>
  <c r="E40" i="10"/>
  <c r="J39" i="10"/>
  <c r="L39" i="10" s="1"/>
  <c r="L38" i="10"/>
  <c r="H37" i="2"/>
  <c r="I37" i="2" s="1"/>
  <c r="F38" i="2"/>
  <c r="G38" i="2"/>
  <c r="D38" i="2"/>
  <c r="B38" i="2"/>
  <c r="E38" i="2"/>
  <c r="C39" i="2"/>
  <c r="B35" i="8"/>
  <c r="C36" i="8"/>
  <c r="Q23" i="10" l="1"/>
  <c r="H20" i="8"/>
  <c r="D21" i="8" s="1"/>
  <c r="G21" i="8" s="1"/>
  <c r="J38" i="2"/>
  <c r="K26" i="2"/>
  <c r="S25" i="2"/>
  <c r="T25" i="2" s="1"/>
  <c r="M40" i="10"/>
  <c r="S37" i="10"/>
  <c r="T37" i="10" s="1"/>
  <c r="V37" i="10"/>
  <c r="X37" i="10" s="1"/>
  <c r="W41" i="10"/>
  <c r="C42" i="10"/>
  <c r="D41" i="10"/>
  <c r="G41" i="10"/>
  <c r="I41" i="10"/>
  <c r="B41" i="10"/>
  <c r="J40" i="10"/>
  <c r="K40" i="10" s="1"/>
  <c r="F41" i="10"/>
  <c r="E41" i="10"/>
  <c r="S38" i="10"/>
  <c r="T38" i="10" s="1"/>
  <c r="K39" i="10"/>
  <c r="H38" i="2"/>
  <c r="I38" i="2" s="1"/>
  <c r="G39" i="2"/>
  <c r="F39" i="2"/>
  <c r="D39" i="2"/>
  <c r="E39" i="2"/>
  <c r="C40" i="2"/>
  <c r="B39" i="2"/>
  <c r="B36" i="8"/>
  <c r="C37" i="8"/>
  <c r="O24" i="10" l="1"/>
  <c r="E21" i="8"/>
  <c r="N24" i="2" s="1"/>
  <c r="M24" i="2"/>
  <c r="J39" i="2"/>
  <c r="M41" i="10"/>
  <c r="V38" i="10"/>
  <c r="X38" i="10" s="1"/>
  <c r="W42" i="10"/>
  <c r="I42" i="10"/>
  <c r="C43" i="10"/>
  <c r="G42" i="10"/>
  <c r="D42" i="10"/>
  <c r="B42" i="10"/>
  <c r="J41" i="10"/>
  <c r="K41" i="10" s="1"/>
  <c r="F42" i="10"/>
  <c r="E42" i="10"/>
  <c r="L40" i="10"/>
  <c r="H39" i="2"/>
  <c r="I39" i="2" s="1"/>
  <c r="E40" i="2"/>
  <c r="G40" i="2"/>
  <c r="D40" i="2"/>
  <c r="B40" i="2"/>
  <c r="F40" i="2"/>
  <c r="C41" i="2"/>
  <c r="C38" i="8"/>
  <c r="B37" i="8"/>
  <c r="F21" i="8" l="1"/>
  <c r="H21" i="8" s="1"/>
  <c r="D22" i="8" s="1"/>
  <c r="G22" i="8" s="1"/>
  <c r="P24" i="10"/>
  <c r="J40" i="2"/>
  <c r="K27" i="2"/>
  <c r="S26" i="2"/>
  <c r="T26" i="2" s="1"/>
  <c r="M42" i="10"/>
  <c r="S39" i="10"/>
  <c r="T39" i="10" s="1"/>
  <c r="V39" i="10"/>
  <c r="X39" i="10" s="1"/>
  <c r="W43" i="10"/>
  <c r="I43" i="10"/>
  <c r="L41" i="10"/>
  <c r="C44" i="10"/>
  <c r="F43" i="10"/>
  <c r="J42" i="10"/>
  <c r="L42" i="10" s="1"/>
  <c r="G43" i="10"/>
  <c r="D43" i="10"/>
  <c r="B43" i="10"/>
  <c r="E43" i="10"/>
  <c r="H40" i="2"/>
  <c r="I40" i="2" s="1"/>
  <c r="D41" i="2"/>
  <c r="G41" i="2"/>
  <c r="F41" i="2"/>
  <c r="B41" i="2"/>
  <c r="E41" i="2"/>
  <c r="C42" i="2"/>
  <c r="C39" i="8"/>
  <c r="B38" i="8"/>
  <c r="E22" i="8" l="1"/>
  <c r="P25" i="10" s="1"/>
  <c r="Q24" i="10"/>
  <c r="O25" i="10" s="1"/>
  <c r="O24" i="2"/>
  <c r="M25" i="2" s="1"/>
  <c r="J41" i="2"/>
  <c r="M43" i="10"/>
  <c r="S40" i="10"/>
  <c r="T40" i="10" s="1"/>
  <c r="V40" i="10"/>
  <c r="X40" i="10" s="1"/>
  <c r="W44" i="10"/>
  <c r="K42" i="10"/>
  <c r="I44" i="10"/>
  <c r="S41" i="10"/>
  <c r="T41" i="10" s="1"/>
  <c r="D44" i="10"/>
  <c r="F44" i="10"/>
  <c r="E44" i="10"/>
  <c r="B44" i="10"/>
  <c r="C45" i="10"/>
  <c r="G44" i="10"/>
  <c r="J43" i="10"/>
  <c r="K43" i="10" s="1"/>
  <c r="H41" i="2"/>
  <c r="I41" i="2" s="1"/>
  <c r="G42" i="2"/>
  <c r="F42" i="2"/>
  <c r="D42" i="2"/>
  <c r="B42" i="2"/>
  <c r="E42" i="2"/>
  <c r="C43" i="2"/>
  <c r="B39" i="8"/>
  <c r="C40" i="8"/>
  <c r="N25" i="2" l="1"/>
  <c r="F22" i="8"/>
  <c r="J42" i="2"/>
  <c r="K28" i="2"/>
  <c r="S27" i="2"/>
  <c r="T27" i="2" s="1"/>
  <c r="M44" i="10"/>
  <c r="V41" i="10"/>
  <c r="X41" i="10" s="1"/>
  <c r="D45" i="10"/>
  <c r="W45" i="10"/>
  <c r="L43" i="10"/>
  <c r="E45" i="10"/>
  <c r="F45" i="10"/>
  <c r="I45" i="10"/>
  <c r="B45" i="10"/>
  <c r="C46" i="10"/>
  <c r="G45" i="10"/>
  <c r="J44" i="10"/>
  <c r="L44" i="10" s="1"/>
  <c r="H42" i="2"/>
  <c r="I42" i="2" s="1"/>
  <c r="G43" i="2"/>
  <c r="D43" i="2"/>
  <c r="B43" i="2"/>
  <c r="C44" i="2"/>
  <c r="F43" i="2"/>
  <c r="E43" i="2"/>
  <c r="B40" i="8"/>
  <c r="C41" i="8"/>
  <c r="Q25" i="10" l="1"/>
  <c r="H22" i="8"/>
  <c r="D23" i="8" s="1"/>
  <c r="G23" i="8" s="1"/>
  <c r="O25" i="2"/>
  <c r="J43" i="2"/>
  <c r="M45" i="10"/>
  <c r="S42" i="10"/>
  <c r="T42" i="10" s="1"/>
  <c r="V42" i="10"/>
  <c r="X42" i="10" s="1"/>
  <c r="J45" i="10"/>
  <c r="L45" i="10" s="1"/>
  <c r="K44" i="10"/>
  <c r="E46" i="10"/>
  <c r="W46" i="10"/>
  <c r="S43" i="10"/>
  <c r="T43" i="10" s="1"/>
  <c r="I46" i="10"/>
  <c r="B46" i="10"/>
  <c r="D46" i="10"/>
  <c r="F46" i="10"/>
  <c r="C47" i="10"/>
  <c r="G46" i="10"/>
  <c r="H43" i="2"/>
  <c r="I43" i="2" s="1"/>
  <c r="B44" i="2"/>
  <c r="G44" i="2"/>
  <c r="D44" i="2"/>
  <c r="E44" i="2"/>
  <c r="F44" i="2"/>
  <c r="C45" i="2"/>
  <c r="C42" i="8"/>
  <c r="B41" i="8"/>
  <c r="O26" i="10" l="1"/>
  <c r="M26" i="2"/>
  <c r="E23" i="8"/>
  <c r="J44" i="2"/>
  <c r="K29" i="2"/>
  <c r="M46" i="10"/>
  <c r="S44" i="10"/>
  <c r="T44" i="10" s="1"/>
  <c r="V43" i="10"/>
  <c r="X43" i="10" s="1"/>
  <c r="K45" i="10"/>
  <c r="J46" i="10"/>
  <c r="L46" i="10" s="1"/>
  <c r="W47" i="10"/>
  <c r="C48" i="10"/>
  <c r="E47" i="10"/>
  <c r="G47" i="10"/>
  <c r="B47" i="10"/>
  <c r="I47" i="10"/>
  <c r="D47" i="10"/>
  <c r="F47" i="10"/>
  <c r="H44" i="2"/>
  <c r="I44" i="2" s="1"/>
  <c r="E45" i="2"/>
  <c r="B45" i="2"/>
  <c r="D45" i="2"/>
  <c r="G45" i="2"/>
  <c r="F45" i="2"/>
  <c r="C46" i="2"/>
  <c r="B42" i="8"/>
  <c r="C43" i="8"/>
  <c r="N26" i="2" l="1"/>
  <c r="P26" i="10"/>
  <c r="F23" i="8"/>
  <c r="J45" i="2"/>
  <c r="S28" i="2"/>
  <c r="T28" i="2" s="1"/>
  <c r="M47" i="10"/>
  <c r="S45" i="10"/>
  <c r="T45" i="10" s="1"/>
  <c r="V44" i="10"/>
  <c r="X44" i="10" s="1"/>
  <c r="K46" i="10"/>
  <c r="J47" i="10"/>
  <c r="L47" i="10" s="1"/>
  <c r="G48" i="10"/>
  <c r="W48" i="10"/>
  <c r="I48" i="10"/>
  <c r="E48" i="10"/>
  <c r="F48" i="10"/>
  <c r="D48" i="10"/>
  <c r="B48" i="10"/>
  <c r="C49" i="10"/>
  <c r="H45" i="2"/>
  <c r="I45" i="2" s="1"/>
  <c r="F46" i="2"/>
  <c r="B46" i="2"/>
  <c r="D46" i="2"/>
  <c r="G46" i="2"/>
  <c r="C47" i="2"/>
  <c r="E46" i="2"/>
  <c r="B43" i="8"/>
  <c r="C44" i="8"/>
  <c r="O26" i="2" l="1"/>
  <c r="Q26" i="10"/>
  <c r="H23" i="8"/>
  <c r="D24" i="8" s="1"/>
  <c r="G24" i="8" s="1"/>
  <c r="K45" i="2"/>
  <c r="J46" i="2"/>
  <c r="K30" i="2"/>
  <c r="S29" i="2"/>
  <c r="T29" i="2" s="1"/>
  <c r="M48" i="10"/>
  <c r="S46" i="10"/>
  <c r="T46" i="10" s="1"/>
  <c r="V45" i="10"/>
  <c r="X45" i="10" s="1"/>
  <c r="S44" i="2"/>
  <c r="T44" i="2" s="1"/>
  <c r="K47" i="10"/>
  <c r="J48" i="10"/>
  <c r="L48" i="10" s="1"/>
  <c r="W49" i="10"/>
  <c r="E49" i="10"/>
  <c r="D49" i="10"/>
  <c r="F49" i="10"/>
  <c r="I49" i="10"/>
  <c r="B49" i="10"/>
  <c r="C50" i="10"/>
  <c r="G49" i="10"/>
  <c r="H46" i="2"/>
  <c r="I46" i="2" s="1"/>
  <c r="G47" i="2"/>
  <c r="D47" i="2"/>
  <c r="C48" i="2"/>
  <c r="F47" i="2"/>
  <c r="E47" i="2"/>
  <c r="B47" i="2"/>
  <c r="B44" i="8"/>
  <c r="C45" i="8"/>
  <c r="O27" i="10" l="1"/>
  <c r="E24" i="8"/>
  <c r="M27" i="2"/>
  <c r="K46" i="2"/>
  <c r="J47" i="2"/>
  <c r="M49" i="10"/>
  <c r="S47" i="10"/>
  <c r="T47" i="10" s="1"/>
  <c r="V46" i="10"/>
  <c r="X46" i="10" s="1"/>
  <c r="S45" i="2"/>
  <c r="T45" i="2" s="1"/>
  <c r="D50" i="10"/>
  <c r="K48" i="10"/>
  <c r="J49" i="10"/>
  <c r="L49" i="10" s="1"/>
  <c r="W50" i="10"/>
  <c r="F50" i="10"/>
  <c r="C51" i="10"/>
  <c r="G50" i="10"/>
  <c r="I50" i="10"/>
  <c r="E50" i="10"/>
  <c r="B50" i="10"/>
  <c r="H47" i="2"/>
  <c r="I47" i="2" s="1"/>
  <c r="B48" i="2"/>
  <c r="F48" i="2"/>
  <c r="D48" i="2"/>
  <c r="E48" i="2"/>
  <c r="C49" i="2"/>
  <c r="G48" i="2"/>
  <c r="C46" i="8"/>
  <c r="B45" i="8"/>
  <c r="P27" i="10" l="1"/>
  <c r="N27" i="2"/>
  <c r="F24" i="8"/>
  <c r="H24" i="8" s="1"/>
  <c r="D25" i="8" s="1"/>
  <c r="G25" i="8" s="1"/>
  <c r="K47" i="2"/>
  <c r="J48" i="2"/>
  <c r="K31" i="2"/>
  <c r="M50" i="10"/>
  <c r="S48" i="10"/>
  <c r="T48" i="10" s="1"/>
  <c r="V47" i="10"/>
  <c r="X47" i="10" s="1"/>
  <c r="S46" i="2"/>
  <c r="T46" i="2" s="1"/>
  <c r="K49" i="10"/>
  <c r="J50" i="10"/>
  <c r="L50" i="10" s="1"/>
  <c r="B51" i="10"/>
  <c r="C52" i="10"/>
  <c r="W51" i="10"/>
  <c r="G51" i="10"/>
  <c r="E51" i="10"/>
  <c r="I51" i="10"/>
  <c r="D51" i="10"/>
  <c r="F51" i="10"/>
  <c r="H48" i="2"/>
  <c r="I48" i="2" s="1"/>
  <c r="D49" i="2"/>
  <c r="B49" i="2"/>
  <c r="F49" i="2"/>
  <c r="G49" i="2"/>
  <c r="E49" i="2"/>
  <c r="C50" i="2"/>
  <c r="B46" i="8"/>
  <c r="C47" i="8"/>
  <c r="F25" i="8" l="1"/>
  <c r="O27" i="2"/>
  <c r="M28" i="2" s="1"/>
  <c r="Q27" i="10"/>
  <c r="O28" i="10" s="1"/>
  <c r="K48" i="2"/>
  <c r="J49" i="2"/>
  <c r="S30" i="2"/>
  <c r="T30" i="2" s="1"/>
  <c r="M51" i="10"/>
  <c r="S49" i="10"/>
  <c r="T49" i="10" s="1"/>
  <c r="V48" i="10"/>
  <c r="X48" i="10" s="1"/>
  <c r="S47" i="2"/>
  <c r="T47" i="2" s="1"/>
  <c r="J51" i="10"/>
  <c r="L51" i="10" s="1"/>
  <c r="K50" i="10"/>
  <c r="H49" i="2"/>
  <c r="I49" i="2" s="1"/>
  <c r="G52" i="10"/>
  <c r="D52" i="10"/>
  <c r="I52" i="10"/>
  <c r="E52" i="10"/>
  <c r="B52" i="10"/>
  <c r="F52" i="10"/>
  <c r="C53" i="10"/>
  <c r="W52" i="10"/>
  <c r="D50" i="2"/>
  <c r="F50" i="2"/>
  <c r="B50" i="2"/>
  <c r="G50" i="2"/>
  <c r="C51" i="2"/>
  <c r="E50" i="2"/>
  <c r="B47" i="8"/>
  <c r="C48" i="8"/>
  <c r="E25" i="8" l="1"/>
  <c r="P28" i="10" s="1"/>
  <c r="O28" i="2"/>
  <c r="Q28" i="10"/>
  <c r="K49" i="2"/>
  <c r="J50" i="2"/>
  <c r="K32" i="2"/>
  <c r="M52" i="10"/>
  <c r="S50" i="10"/>
  <c r="T50" i="10" s="1"/>
  <c r="V49" i="10"/>
  <c r="X49" i="10" s="1"/>
  <c r="S48" i="2"/>
  <c r="T48" i="2" s="1"/>
  <c r="K51" i="10"/>
  <c r="J52" i="10"/>
  <c r="L52" i="10" s="1"/>
  <c r="F53" i="10"/>
  <c r="I53" i="10"/>
  <c r="G53" i="10"/>
  <c r="E53" i="10"/>
  <c r="D53" i="10"/>
  <c r="W53" i="10"/>
  <c r="B53" i="10"/>
  <c r="C54" i="10"/>
  <c r="H50" i="2"/>
  <c r="I50" i="2" s="1"/>
  <c r="F51" i="2"/>
  <c r="B51" i="2"/>
  <c r="D51" i="2"/>
  <c r="G51" i="2"/>
  <c r="C52" i="2"/>
  <c r="E51" i="2"/>
  <c r="B48" i="8"/>
  <c r="C49" i="8"/>
  <c r="H25" i="8" l="1"/>
  <c r="D26" i="8" s="1"/>
  <c r="O29" i="10" s="1"/>
  <c r="N28" i="2"/>
  <c r="K50" i="2"/>
  <c r="J51" i="2"/>
  <c r="S31" i="2"/>
  <c r="T31" i="2" s="1"/>
  <c r="M53" i="10"/>
  <c r="W54" i="10"/>
  <c r="S51" i="10"/>
  <c r="T51" i="10" s="1"/>
  <c r="V50" i="10"/>
  <c r="X50" i="10" s="1"/>
  <c r="S49" i="2"/>
  <c r="T49" i="2" s="1"/>
  <c r="K52" i="10"/>
  <c r="J53" i="10"/>
  <c r="L53" i="10" s="1"/>
  <c r="F54" i="10"/>
  <c r="C55" i="10"/>
  <c r="B54" i="10"/>
  <c r="D54" i="10"/>
  <c r="G54" i="10"/>
  <c r="E54" i="10"/>
  <c r="I54" i="10"/>
  <c r="H51" i="2"/>
  <c r="I51" i="2" s="1"/>
  <c r="D52" i="2"/>
  <c r="B52" i="2"/>
  <c r="G52" i="2"/>
  <c r="F52" i="2"/>
  <c r="E52" i="2"/>
  <c r="C53" i="2"/>
  <c r="C50" i="8"/>
  <c r="B49" i="8"/>
  <c r="M29" i="2" l="1"/>
  <c r="G26" i="8"/>
  <c r="E26" i="8" s="1"/>
  <c r="K51" i="2"/>
  <c r="J52" i="2"/>
  <c r="K33" i="2"/>
  <c r="S32" i="2"/>
  <c r="T32" i="2" s="1"/>
  <c r="M54" i="10"/>
  <c r="S52" i="10"/>
  <c r="T52" i="10" s="1"/>
  <c r="V51" i="10"/>
  <c r="X51" i="10" s="1"/>
  <c r="S50" i="2"/>
  <c r="T50" i="2" s="1"/>
  <c r="K53" i="10"/>
  <c r="J54" i="10"/>
  <c r="L54" i="10" s="1"/>
  <c r="E55" i="10"/>
  <c r="C56" i="10"/>
  <c r="W55" i="10"/>
  <c r="D55" i="10"/>
  <c r="G55" i="10"/>
  <c r="B55" i="10"/>
  <c r="I55" i="10"/>
  <c r="F55" i="10"/>
  <c r="H52" i="2"/>
  <c r="I52" i="2" s="1"/>
  <c r="B53" i="2"/>
  <c r="D53" i="2"/>
  <c r="F53" i="2"/>
  <c r="G53" i="2"/>
  <c r="E53" i="2"/>
  <c r="C54" i="2"/>
  <c r="C51" i="8"/>
  <c r="B50" i="8"/>
  <c r="F26" i="8" l="1"/>
  <c r="O29" i="2" s="1"/>
  <c r="N29" i="2"/>
  <c r="P29" i="10"/>
  <c r="K52" i="2"/>
  <c r="J53" i="2"/>
  <c r="M55" i="10"/>
  <c r="I56" i="10"/>
  <c r="S53" i="10"/>
  <c r="T53" i="10" s="1"/>
  <c r="V52" i="10"/>
  <c r="X52" i="10" s="1"/>
  <c r="S51" i="2"/>
  <c r="T51" i="2" s="1"/>
  <c r="K54" i="10"/>
  <c r="J55" i="10"/>
  <c r="L55" i="10" s="1"/>
  <c r="D56" i="10"/>
  <c r="F56" i="10"/>
  <c r="C57" i="10"/>
  <c r="B56" i="10"/>
  <c r="E56" i="10"/>
  <c r="W56" i="10"/>
  <c r="G56" i="10"/>
  <c r="H53" i="2"/>
  <c r="I53" i="2" s="1"/>
  <c r="G54" i="2"/>
  <c r="D54" i="2"/>
  <c r="F54" i="2"/>
  <c r="B54" i="2"/>
  <c r="C55" i="2"/>
  <c r="E54" i="2"/>
  <c r="B51" i="8"/>
  <c r="C52" i="8"/>
  <c r="H26" i="8" l="1"/>
  <c r="D27" i="8" s="1"/>
  <c r="G27" i="8" s="1"/>
  <c r="E27" i="8" s="1"/>
  <c r="P30" i="10" s="1"/>
  <c r="Q29" i="10"/>
  <c r="K53" i="2"/>
  <c r="J54" i="2"/>
  <c r="K34" i="2"/>
  <c r="M56" i="10"/>
  <c r="W57" i="10"/>
  <c r="S54" i="10"/>
  <c r="T54" i="10" s="1"/>
  <c r="V53" i="10"/>
  <c r="X53" i="10" s="1"/>
  <c r="S52" i="2"/>
  <c r="T52" i="2" s="1"/>
  <c r="K55" i="10"/>
  <c r="J56" i="10"/>
  <c r="L56" i="10" s="1"/>
  <c r="E57" i="10"/>
  <c r="C58" i="10"/>
  <c r="B57" i="10"/>
  <c r="D57" i="10"/>
  <c r="G57" i="10"/>
  <c r="F57" i="10"/>
  <c r="I57" i="10"/>
  <c r="H54" i="2"/>
  <c r="I54" i="2" s="1"/>
  <c r="F55" i="2"/>
  <c r="D55" i="2"/>
  <c r="B55" i="2"/>
  <c r="G55" i="2"/>
  <c r="C56" i="2"/>
  <c r="E55" i="2"/>
  <c r="C53" i="8"/>
  <c r="B52" i="8"/>
  <c r="M30" i="2" l="1"/>
  <c r="F27" i="8"/>
  <c r="O30" i="2" s="1"/>
  <c r="O30" i="10"/>
  <c r="N30" i="2"/>
  <c r="K54" i="2"/>
  <c r="J55" i="2"/>
  <c r="S33" i="2"/>
  <c r="T33" i="2" s="1"/>
  <c r="M57" i="10"/>
  <c r="S55" i="10"/>
  <c r="T55" i="10" s="1"/>
  <c r="V54" i="10"/>
  <c r="X54" i="10" s="1"/>
  <c r="S53" i="2"/>
  <c r="T53" i="2" s="1"/>
  <c r="K56" i="10"/>
  <c r="J57" i="10"/>
  <c r="L57" i="10" s="1"/>
  <c r="E58" i="10"/>
  <c r="B58" i="10"/>
  <c r="G58" i="10"/>
  <c r="F58" i="10"/>
  <c r="W58" i="10"/>
  <c r="D58" i="10"/>
  <c r="C59" i="10"/>
  <c r="I58" i="10"/>
  <c r="H55" i="2"/>
  <c r="I55" i="2" s="1"/>
  <c r="G56" i="2"/>
  <c r="C57" i="2"/>
  <c r="F56" i="2"/>
  <c r="E56" i="2"/>
  <c r="D56" i="2"/>
  <c r="B56" i="2"/>
  <c r="C54" i="8"/>
  <c r="B53" i="8"/>
  <c r="H27" i="8" l="1"/>
  <c r="D28" i="8" s="1"/>
  <c r="G28" i="8" s="1"/>
  <c r="F28" i="8" s="1"/>
  <c r="Q30" i="10"/>
  <c r="K55" i="2"/>
  <c r="J56" i="2"/>
  <c r="K35" i="2"/>
  <c r="M58" i="10"/>
  <c r="W59" i="10"/>
  <c r="S56" i="10"/>
  <c r="T56" i="10" s="1"/>
  <c r="V55" i="10"/>
  <c r="X55" i="10" s="1"/>
  <c r="S54" i="2"/>
  <c r="T54" i="2" s="1"/>
  <c r="K57" i="10"/>
  <c r="J58" i="10"/>
  <c r="L58" i="10" s="1"/>
  <c r="G59" i="10"/>
  <c r="E59" i="10"/>
  <c r="B59" i="10"/>
  <c r="C60" i="10"/>
  <c r="I59" i="10"/>
  <c r="D59" i="10"/>
  <c r="F59" i="10"/>
  <c r="H56" i="2"/>
  <c r="I56" i="2" s="1"/>
  <c r="F57" i="2"/>
  <c r="D57" i="2"/>
  <c r="G57" i="2"/>
  <c r="B57" i="2"/>
  <c r="E57" i="2"/>
  <c r="C58" i="2"/>
  <c r="C55" i="8"/>
  <c r="B54" i="8"/>
  <c r="O31" i="10" l="1"/>
  <c r="E28" i="8"/>
  <c r="N31" i="2" s="1"/>
  <c r="M31" i="2"/>
  <c r="Q31" i="10"/>
  <c r="O31" i="2"/>
  <c r="K56" i="2"/>
  <c r="J57" i="2"/>
  <c r="S34" i="2"/>
  <c r="T34" i="2" s="1"/>
  <c r="M59" i="10"/>
  <c r="W60" i="10"/>
  <c r="V56" i="10"/>
  <c r="X56" i="10" s="1"/>
  <c r="S55" i="2"/>
  <c r="T55" i="2" s="1"/>
  <c r="K58" i="10"/>
  <c r="J59" i="10"/>
  <c r="L59" i="10" s="1"/>
  <c r="S57" i="10"/>
  <c r="T57" i="10" s="1"/>
  <c r="F60" i="10"/>
  <c r="E60" i="10"/>
  <c r="G60" i="10"/>
  <c r="C61" i="10"/>
  <c r="B60" i="10"/>
  <c r="I60" i="10"/>
  <c r="D60" i="10"/>
  <c r="H57" i="2"/>
  <c r="I57" i="2" s="1"/>
  <c r="D58" i="2"/>
  <c r="B58" i="2"/>
  <c r="G58" i="2"/>
  <c r="C59" i="2"/>
  <c r="F58" i="2"/>
  <c r="E58" i="2"/>
  <c r="B55" i="8"/>
  <c r="C56" i="8"/>
  <c r="P31" i="10" l="1"/>
  <c r="H28" i="8"/>
  <c r="D29" i="8" s="1"/>
  <c r="G29" i="8" s="1"/>
  <c r="E29" i="8" s="1"/>
  <c r="P32" i="10" s="1"/>
  <c r="K57" i="2"/>
  <c r="J58" i="2"/>
  <c r="K36" i="2"/>
  <c r="M60" i="10"/>
  <c r="W61" i="10"/>
  <c r="S58" i="10"/>
  <c r="T58" i="10" s="1"/>
  <c r="V57" i="10"/>
  <c r="X57" i="10" s="1"/>
  <c r="S56" i="2"/>
  <c r="T56" i="2" s="1"/>
  <c r="K59" i="10"/>
  <c r="J60" i="10"/>
  <c r="L60" i="10" s="1"/>
  <c r="F61" i="10"/>
  <c r="B61" i="10"/>
  <c r="G61" i="10"/>
  <c r="C62" i="10"/>
  <c r="D61" i="10"/>
  <c r="E61" i="10"/>
  <c r="I61" i="10"/>
  <c r="H58" i="2"/>
  <c r="I58" i="2" s="1"/>
  <c r="E59" i="2"/>
  <c r="G59" i="2"/>
  <c r="F59" i="2"/>
  <c r="D59" i="2"/>
  <c r="B59" i="2"/>
  <c r="C60" i="2"/>
  <c r="B56" i="8"/>
  <c r="C57" i="8"/>
  <c r="N32" i="2" l="1"/>
  <c r="F29" i="8"/>
  <c r="H29" i="8" s="1"/>
  <c r="D30" i="8" s="1"/>
  <c r="G30" i="8" s="1"/>
  <c r="O32" i="10"/>
  <c r="M32" i="2"/>
  <c r="K58" i="2"/>
  <c r="J59" i="2"/>
  <c r="S35" i="2"/>
  <c r="T35" i="2" s="1"/>
  <c r="M61" i="10"/>
  <c r="S59" i="10"/>
  <c r="T59" i="10" s="1"/>
  <c r="V58" i="10"/>
  <c r="X58" i="10" s="1"/>
  <c r="S57" i="2"/>
  <c r="T57" i="2" s="1"/>
  <c r="K60" i="10"/>
  <c r="J61" i="10"/>
  <c r="L61" i="10" s="1"/>
  <c r="C63" i="10"/>
  <c r="F62" i="10"/>
  <c r="E62" i="10"/>
  <c r="B62" i="10"/>
  <c r="I62" i="10"/>
  <c r="W62" i="10"/>
  <c r="G62" i="10"/>
  <c r="D62" i="10"/>
  <c r="H59" i="2"/>
  <c r="I59" i="2" s="1"/>
  <c r="F60" i="2"/>
  <c r="G60" i="2"/>
  <c r="B60" i="2"/>
  <c r="E60" i="2"/>
  <c r="C61" i="2"/>
  <c r="D60" i="2"/>
  <c r="B57" i="8"/>
  <c r="C58" i="8"/>
  <c r="Q32" i="10" l="1"/>
  <c r="O32" i="2"/>
  <c r="M33" i="2" s="1"/>
  <c r="F30" i="8"/>
  <c r="O33" i="10"/>
  <c r="E30" i="8"/>
  <c r="K59" i="2"/>
  <c r="J60" i="2"/>
  <c r="K37" i="2"/>
  <c r="M62" i="10"/>
  <c r="W63" i="10"/>
  <c r="S60" i="10"/>
  <c r="T60" i="10" s="1"/>
  <c r="V59" i="10"/>
  <c r="X59" i="10" s="1"/>
  <c r="S58" i="2"/>
  <c r="T58" i="2" s="1"/>
  <c r="K61" i="10"/>
  <c r="J62" i="10"/>
  <c r="L62" i="10" s="1"/>
  <c r="G63" i="10"/>
  <c r="B63" i="10"/>
  <c r="F63" i="10"/>
  <c r="C64" i="10"/>
  <c r="I63" i="10"/>
  <c r="E63" i="10"/>
  <c r="D63" i="10"/>
  <c r="H60" i="2"/>
  <c r="I60" i="2" s="1"/>
  <c r="G61" i="2"/>
  <c r="F61" i="2"/>
  <c r="E61" i="2"/>
  <c r="D61" i="2"/>
  <c r="C62" i="2"/>
  <c r="B61" i="2"/>
  <c r="C59" i="8"/>
  <c r="B58" i="8"/>
  <c r="H30" i="8" l="1"/>
  <c r="D31" i="8" s="1"/>
  <c r="G31" i="8" s="1"/>
  <c r="O33" i="2"/>
  <c r="Q33" i="10"/>
  <c r="P33" i="10"/>
  <c r="N33" i="2"/>
  <c r="K60" i="2"/>
  <c r="J61" i="2"/>
  <c r="S36" i="2"/>
  <c r="T36" i="2" s="1"/>
  <c r="M63" i="10"/>
  <c r="S61" i="10"/>
  <c r="T61" i="10" s="1"/>
  <c r="V60" i="10"/>
  <c r="X60" i="10" s="1"/>
  <c r="S59" i="2"/>
  <c r="T59" i="2" s="1"/>
  <c r="J63" i="10"/>
  <c r="L63" i="10" s="1"/>
  <c r="K62" i="10"/>
  <c r="D64" i="10"/>
  <c r="C65" i="10"/>
  <c r="W64" i="10"/>
  <c r="F64" i="10"/>
  <c r="I64" i="10"/>
  <c r="G64" i="10"/>
  <c r="E64" i="10"/>
  <c r="B64" i="10"/>
  <c r="H61" i="2"/>
  <c r="I61" i="2" s="1"/>
  <c r="C63" i="2"/>
  <c r="E62" i="2"/>
  <c r="D62" i="2"/>
  <c r="B62" i="2"/>
  <c r="F62" i="2"/>
  <c r="G62" i="2"/>
  <c r="C60" i="8"/>
  <c r="B59" i="8"/>
  <c r="M34" i="2" l="1"/>
  <c r="O34" i="10"/>
  <c r="F31" i="8"/>
  <c r="O34" i="2" s="1"/>
  <c r="E31" i="8"/>
  <c r="K61" i="2"/>
  <c r="J62" i="2"/>
  <c r="K38" i="2"/>
  <c r="M64" i="10"/>
  <c r="I65" i="10"/>
  <c r="S62" i="10"/>
  <c r="T62" i="10" s="1"/>
  <c r="V61" i="10"/>
  <c r="X61" i="10" s="1"/>
  <c r="S60" i="2"/>
  <c r="T60" i="2" s="1"/>
  <c r="J64" i="10"/>
  <c r="L64" i="10" s="1"/>
  <c r="K63" i="10"/>
  <c r="W65" i="10"/>
  <c r="B65" i="10"/>
  <c r="D65" i="10"/>
  <c r="C66" i="10"/>
  <c r="F65" i="10"/>
  <c r="E65" i="10"/>
  <c r="G65" i="10"/>
  <c r="H62" i="2"/>
  <c r="I62" i="2" s="1"/>
  <c r="G63" i="2"/>
  <c r="E63" i="2"/>
  <c r="F63" i="2"/>
  <c r="B63" i="2"/>
  <c r="C64" i="2"/>
  <c r="D63" i="2"/>
  <c r="B60" i="8"/>
  <c r="C61" i="8"/>
  <c r="H31" i="8" l="1"/>
  <c r="D32" i="8" s="1"/>
  <c r="G32" i="8" s="1"/>
  <c r="F32" i="8" s="1"/>
  <c r="Q34" i="10"/>
  <c r="N34" i="2"/>
  <c r="P34" i="10"/>
  <c r="K62" i="2"/>
  <c r="J63" i="2"/>
  <c r="S37" i="2"/>
  <c r="T37" i="2" s="1"/>
  <c r="M65" i="10"/>
  <c r="S63" i="10"/>
  <c r="T63" i="10" s="1"/>
  <c r="V62" i="10"/>
  <c r="X62" i="10" s="1"/>
  <c r="S61" i="2"/>
  <c r="T61" i="2" s="1"/>
  <c r="K64" i="10"/>
  <c r="H63" i="2"/>
  <c r="I63" i="2" s="1"/>
  <c r="J65" i="10"/>
  <c r="L65" i="10" s="1"/>
  <c r="W66" i="10"/>
  <c r="F66" i="10"/>
  <c r="D66" i="10"/>
  <c r="E66" i="10"/>
  <c r="C67" i="10"/>
  <c r="I66" i="10"/>
  <c r="B66" i="10"/>
  <c r="G66" i="10"/>
  <c r="C65" i="2"/>
  <c r="D64" i="2"/>
  <c r="E64" i="2"/>
  <c r="G64" i="2"/>
  <c r="B64" i="2"/>
  <c r="F64" i="2"/>
  <c r="B61" i="8"/>
  <c r="C62" i="8"/>
  <c r="O35" i="10" l="1"/>
  <c r="M35" i="2"/>
  <c r="E32" i="8"/>
  <c r="H32" i="8" s="1"/>
  <c r="D33" i="8" s="1"/>
  <c r="G33" i="8" s="1"/>
  <c r="Q35" i="10"/>
  <c r="O35" i="2"/>
  <c r="K63" i="2"/>
  <c r="J64" i="2"/>
  <c r="K39" i="2"/>
  <c r="M66" i="10"/>
  <c r="S64" i="10"/>
  <c r="T64" i="10" s="1"/>
  <c r="V63" i="10"/>
  <c r="X63" i="10" s="1"/>
  <c r="S62" i="2"/>
  <c r="T62" i="2" s="1"/>
  <c r="K65" i="10"/>
  <c r="J66" i="10"/>
  <c r="K66" i="10" s="1"/>
  <c r="B67" i="10"/>
  <c r="G67" i="10"/>
  <c r="C68" i="10"/>
  <c r="I67" i="10"/>
  <c r="E67" i="10"/>
  <c r="D67" i="10"/>
  <c r="F67" i="10"/>
  <c r="W67" i="10"/>
  <c r="H64" i="2"/>
  <c r="I64" i="2" s="1"/>
  <c r="B65" i="2"/>
  <c r="F65" i="2"/>
  <c r="E65" i="2"/>
  <c r="C66" i="2"/>
  <c r="D65" i="2"/>
  <c r="G65" i="2"/>
  <c r="C63" i="8"/>
  <c r="B62" i="8"/>
  <c r="N35" i="2" l="1"/>
  <c r="M36" i="2" s="1"/>
  <c r="P35" i="10"/>
  <c r="O36" i="10" s="1"/>
  <c r="F33" i="8"/>
  <c r="K64" i="2"/>
  <c r="J65" i="2"/>
  <c r="S38" i="2"/>
  <c r="T38" i="2" s="1"/>
  <c r="M67" i="10"/>
  <c r="V64" i="10"/>
  <c r="X64" i="10" s="1"/>
  <c r="S63" i="2"/>
  <c r="T63" i="2" s="1"/>
  <c r="L66" i="10"/>
  <c r="J67" i="10"/>
  <c r="L67" i="10" s="1"/>
  <c r="W68" i="10"/>
  <c r="B68" i="10"/>
  <c r="D68" i="10"/>
  <c r="E68" i="10"/>
  <c r="I68" i="10"/>
  <c r="G68" i="10"/>
  <c r="F68" i="10"/>
  <c r="C69" i="10"/>
  <c r="H65" i="2"/>
  <c r="I65" i="2" s="1"/>
  <c r="E66" i="2"/>
  <c r="G66" i="2"/>
  <c r="B66" i="2"/>
  <c r="C67" i="2"/>
  <c r="D66" i="2"/>
  <c r="F66" i="2"/>
  <c r="C64" i="8"/>
  <c r="B63" i="8"/>
  <c r="O36" i="2" l="1"/>
  <c r="Q36" i="10"/>
  <c r="E33" i="8"/>
  <c r="K65" i="2"/>
  <c r="J66" i="2"/>
  <c r="K40" i="2"/>
  <c r="M68" i="10"/>
  <c r="S65" i="10"/>
  <c r="T65" i="10" s="1"/>
  <c r="V65" i="10"/>
  <c r="X65" i="10" s="1"/>
  <c r="S64" i="2"/>
  <c r="T64" i="2" s="1"/>
  <c r="K67" i="10"/>
  <c r="S66" i="10"/>
  <c r="T66" i="10" s="1"/>
  <c r="J68" i="10"/>
  <c r="L68" i="10" s="1"/>
  <c r="H66" i="2"/>
  <c r="I66" i="2" s="1"/>
  <c r="G69" i="10"/>
  <c r="D69" i="10"/>
  <c r="B69" i="10"/>
  <c r="C70" i="10"/>
  <c r="I69" i="10"/>
  <c r="F69" i="10"/>
  <c r="E69" i="10"/>
  <c r="W69" i="10"/>
  <c r="E67" i="2"/>
  <c r="F67" i="2"/>
  <c r="B67" i="2"/>
  <c r="C68" i="2"/>
  <c r="D67" i="2"/>
  <c r="G67" i="2"/>
  <c r="B64" i="8"/>
  <c r="C65" i="8"/>
  <c r="P36" i="10" l="1"/>
  <c r="N36" i="2"/>
  <c r="H33" i="8"/>
  <c r="D34" i="8" s="1"/>
  <c r="G34" i="8" s="1"/>
  <c r="K66" i="2"/>
  <c r="J67" i="2"/>
  <c r="S39" i="2"/>
  <c r="T39" i="2" s="1"/>
  <c r="M69" i="10"/>
  <c r="I70" i="10"/>
  <c r="S67" i="10"/>
  <c r="T67" i="10" s="1"/>
  <c r="V66" i="10"/>
  <c r="X66" i="10" s="1"/>
  <c r="S65" i="2"/>
  <c r="T65" i="2" s="1"/>
  <c r="K68" i="10"/>
  <c r="J69" i="10"/>
  <c r="L69" i="10" s="1"/>
  <c r="B70" i="10"/>
  <c r="F70" i="10"/>
  <c r="C71" i="10"/>
  <c r="G70" i="10"/>
  <c r="W70" i="10"/>
  <c r="E70" i="10"/>
  <c r="D70" i="10"/>
  <c r="H67" i="2"/>
  <c r="I67" i="2" s="1"/>
  <c r="B68" i="2"/>
  <c r="G68" i="2"/>
  <c r="F68" i="2"/>
  <c r="C69" i="2"/>
  <c r="D68" i="2"/>
  <c r="E68" i="2"/>
  <c r="B65" i="8"/>
  <c r="C66" i="8"/>
  <c r="F34" i="8" l="1"/>
  <c r="O37" i="10"/>
  <c r="M37" i="2"/>
  <c r="K67" i="2"/>
  <c r="J68" i="2"/>
  <c r="K41" i="2"/>
  <c r="M70" i="10"/>
  <c r="W71" i="10"/>
  <c r="S68" i="10"/>
  <c r="T68" i="10" s="1"/>
  <c r="V67" i="10"/>
  <c r="X67" i="10" s="1"/>
  <c r="S66" i="2"/>
  <c r="T66" i="2" s="1"/>
  <c r="K69" i="10"/>
  <c r="J70" i="10"/>
  <c r="L70" i="10" s="1"/>
  <c r="F71" i="10"/>
  <c r="E71" i="10"/>
  <c r="B71" i="10"/>
  <c r="D71" i="10"/>
  <c r="I71" i="10"/>
  <c r="C72" i="10"/>
  <c r="G71" i="10"/>
  <c r="H68" i="2"/>
  <c r="I68" i="2" s="1"/>
  <c r="E69" i="2"/>
  <c r="C70" i="2"/>
  <c r="D69" i="2"/>
  <c r="G69" i="2"/>
  <c r="F69" i="2"/>
  <c r="B69" i="2"/>
  <c r="C67" i="8"/>
  <c r="B66" i="8"/>
  <c r="E34" i="8" l="1"/>
  <c r="H34" i="8" s="1"/>
  <c r="D35" i="8" s="1"/>
  <c r="G35" i="8" s="1"/>
  <c r="Q37" i="10"/>
  <c r="O37" i="2"/>
  <c r="K68" i="2"/>
  <c r="J69" i="2"/>
  <c r="S40" i="2"/>
  <c r="T40" i="2" s="1"/>
  <c r="M71" i="10"/>
  <c r="S69" i="10"/>
  <c r="T69" i="10" s="1"/>
  <c r="V68" i="10"/>
  <c r="X68" i="10" s="1"/>
  <c r="S67" i="2"/>
  <c r="T67" i="2" s="1"/>
  <c r="K70" i="10"/>
  <c r="J71" i="10"/>
  <c r="L71" i="10" s="1"/>
  <c r="F72" i="10"/>
  <c r="D72" i="10"/>
  <c r="E72" i="10"/>
  <c r="C73" i="10"/>
  <c r="I72" i="10"/>
  <c r="G72" i="10"/>
  <c r="B72" i="10"/>
  <c r="W72" i="10"/>
  <c r="H69" i="2"/>
  <c r="I69" i="2" s="1"/>
  <c r="F70" i="2"/>
  <c r="G70" i="2"/>
  <c r="C71" i="2"/>
  <c r="D70" i="2"/>
  <c r="B70" i="2"/>
  <c r="E70" i="2"/>
  <c r="C68" i="8"/>
  <c r="B67" i="8"/>
  <c r="P37" i="10" l="1"/>
  <c r="O38" i="10" s="1"/>
  <c r="N37" i="2"/>
  <c r="M38" i="2" s="1"/>
  <c r="F35" i="8"/>
  <c r="K69" i="2"/>
  <c r="J70" i="2"/>
  <c r="K42" i="2"/>
  <c r="M72" i="10"/>
  <c r="S70" i="10"/>
  <c r="T70" i="10" s="1"/>
  <c r="V69" i="10"/>
  <c r="X69" i="10" s="1"/>
  <c r="S68" i="2"/>
  <c r="T68" i="2" s="1"/>
  <c r="B73" i="10"/>
  <c r="D73" i="10"/>
  <c r="K71" i="10"/>
  <c r="J72" i="10"/>
  <c r="L72" i="10" s="1"/>
  <c r="C74" i="10"/>
  <c r="F73" i="10"/>
  <c r="E73" i="10"/>
  <c r="I73" i="10"/>
  <c r="W73" i="10"/>
  <c r="G73" i="10"/>
  <c r="H70" i="2"/>
  <c r="I70" i="2" s="1"/>
  <c r="E71" i="2"/>
  <c r="B71" i="2"/>
  <c r="C72" i="2"/>
  <c r="D71" i="2"/>
  <c r="F71" i="2"/>
  <c r="G71" i="2"/>
  <c r="B68" i="8"/>
  <c r="C69" i="8"/>
  <c r="E35" i="8" l="1"/>
  <c r="H35" i="8" s="1"/>
  <c r="D36" i="8" s="1"/>
  <c r="G36" i="8" s="1"/>
  <c r="O38" i="2"/>
  <c r="Q38" i="10"/>
  <c r="K70" i="2"/>
  <c r="J71" i="2"/>
  <c r="S41" i="2"/>
  <c r="T41" i="2" s="1"/>
  <c r="M73" i="10"/>
  <c r="I74" i="10"/>
  <c r="S71" i="10"/>
  <c r="T71" i="10" s="1"/>
  <c r="V70" i="10"/>
  <c r="X70" i="10" s="1"/>
  <c r="S69" i="2"/>
  <c r="T69" i="2" s="1"/>
  <c r="B74" i="10"/>
  <c r="W74" i="10"/>
  <c r="K72" i="10"/>
  <c r="C75" i="10"/>
  <c r="J73" i="10"/>
  <c r="K73" i="10" s="1"/>
  <c r="G74" i="10"/>
  <c r="F74" i="10"/>
  <c r="E74" i="10"/>
  <c r="D74" i="10"/>
  <c r="H71" i="2"/>
  <c r="I71" i="2" s="1"/>
  <c r="E72" i="2"/>
  <c r="G72" i="2"/>
  <c r="C73" i="2"/>
  <c r="D72" i="2"/>
  <c r="F72" i="2"/>
  <c r="B72" i="2"/>
  <c r="B69" i="8"/>
  <c r="C70" i="8"/>
  <c r="N38" i="2" l="1"/>
  <c r="M39" i="2" s="1"/>
  <c r="P38" i="10"/>
  <c r="O39" i="10" s="1"/>
  <c r="F36" i="8"/>
  <c r="K71" i="2"/>
  <c r="J72" i="2"/>
  <c r="K43" i="2"/>
  <c r="M74" i="10"/>
  <c r="V71" i="10"/>
  <c r="X71" i="10" s="1"/>
  <c r="S70" i="2"/>
  <c r="T70" i="2" s="1"/>
  <c r="B75" i="10"/>
  <c r="J74" i="10"/>
  <c r="K74" i="10" s="1"/>
  <c r="E75" i="10"/>
  <c r="L73" i="10"/>
  <c r="W75" i="10"/>
  <c r="F75" i="10"/>
  <c r="D75" i="10"/>
  <c r="C76" i="10"/>
  <c r="G75" i="10"/>
  <c r="I75" i="10"/>
  <c r="H72" i="2"/>
  <c r="I72" i="2" s="1"/>
  <c r="G73" i="2"/>
  <c r="B73" i="2"/>
  <c r="C74" i="2"/>
  <c r="D73" i="2"/>
  <c r="F73" i="2"/>
  <c r="E73" i="2"/>
  <c r="C71" i="8"/>
  <c r="B70" i="8"/>
  <c r="E36" i="8" l="1"/>
  <c r="N39" i="2" s="1"/>
  <c r="Q39" i="10"/>
  <c r="O39" i="2"/>
  <c r="K72" i="2"/>
  <c r="J73" i="2"/>
  <c r="S42" i="2"/>
  <c r="T42" i="2" s="1"/>
  <c r="M75" i="10"/>
  <c r="S72" i="10"/>
  <c r="T72" i="10" s="1"/>
  <c r="B76" i="10"/>
  <c r="V72" i="10"/>
  <c r="X72" i="10" s="1"/>
  <c r="S71" i="2"/>
  <c r="T71" i="2" s="1"/>
  <c r="W76" i="10"/>
  <c r="L74" i="10"/>
  <c r="G76" i="10"/>
  <c r="I76" i="10"/>
  <c r="D76" i="10"/>
  <c r="C77" i="10"/>
  <c r="E76" i="10"/>
  <c r="F76" i="10"/>
  <c r="J75" i="10"/>
  <c r="K75" i="10" s="1"/>
  <c r="H73" i="2"/>
  <c r="I73" i="2" s="1"/>
  <c r="E74" i="2"/>
  <c r="F74" i="2"/>
  <c r="C75" i="2"/>
  <c r="D74" i="2"/>
  <c r="B74" i="2"/>
  <c r="G74" i="2"/>
  <c r="C72" i="8"/>
  <c r="B71" i="8"/>
  <c r="H36" i="8" l="1"/>
  <c r="D37" i="8" s="1"/>
  <c r="G37" i="8" s="1"/>
  <c r="E37" i="8" s="1"/>
  <c r="P39" i="10"/>
  <c r="K73" i="2"/>
  <c r="J74" i="2"/>
  <c r="K44" i="2"/>
  <c r="S43" i="2"/>
  <c r="T43" i="2" s="1"/>
  <c r="M76" i="10"/>
  <c r="W77" i="10"/>
  <c r="S73" i="10"/>
  <c r="T73" i="10" s="1"/>
  <c r="V73" i="10"/>
  <c r="X73" i="10" s="1"/>
  <c r="S72" i="2"/>
  <c r="T72" i="2" s="1"/>
  <c r="D77" i="10"/>
  <c r="I77" i="10"/>
  <c r="B77" i="10"/>
  <c r="C78" i="10"/>
  <c r="F77" i="10"/>
  <c r="E77" i="10"/>
  <c r="J76" i="10"/>
  <c r="K76" i="10" s="1"/>
  <c r="G77" i="10"/>
  <c r="L75" i="10"/>
  <c r="H74" i="2"/>
  <c r="I74" i="2" s="1"/>
  <c r="G75" i="2"/>
  <c r="F75" i="2"/>
  <c r="B75" i="2"/>
  <c r="C76" i="2"/>
  <c r="D75" i="2"/>
  <c r="E75" i="2"/>
  <c r="B72" i="8"/>
  <c r="C73" i="8"/>
  <c r="M40" i="2" l="1"/>
  <c r="O40" i="10"/>
  <c r="F37" i="8"/>
  <c r="O40" i="2" s="1"/>
  <c r="N40" i="2"/>
  <c r="P40" i="10"/>
  <c r="K74" i="2"/>
  <c r="J75" i="2"/>
  <c r="M77" i="10"/>
  <c r="C79" i="10"/>
  <c r="S74" i="10"/>
  <c r="T74" i="10" s="1"/>
  <c r="V74" i="10"/>
  <c r="X74" i="10" s="1"/>
  <c r="S73" i="2"/>
  <c r="T73" i="2" s="1"/>
  <c r="I78" i="10"/>
  <c r="F78" i="10"/>
  <c r="G78" i="10"/>
  <c r="D78" i="10"/>
  <c r="W78" i="10"/>
  <c r="J77" i="10"/>
  <c r="K77" i="10" s="1"/>
  <c r="B78" i="10"/>
  <c r="L76" i="10"/>
  <c r="E78" i="10"/>
  <c r="H75" i="2"/>
  <c r="I75" i="2" s="1"/>
  <c r="B76" i="2"/>
  <c r="G76" i="2"/>
  <c r="E76" i="2"/>
  <c r="C77" i="2"/>
  <c r="D76" i="2"/>
  <c r="F76" i="2"/>
  <c r="B73" i="8"/>
  <c r="C74" i="8"/>
  <c r="H37" i="8" l="1"/>
  <c r="D38" i="8" s="1"/>
  <c r="G38" i="8" s="1"/>
  <c r="F38" i="8" s="1"/>
  <c r="Q40" i="10"/>
  <c r="K75" i="2"/>
  <c r="W79" i="10"/>
  <c r="J76" i="2"/>
  <c r="M78" i="10"/>
  <c r="F79" i="10"/>
  <c r="C80" i="10"/>
  <c r="D79" i="10"/>
  <c r="I79" i="10"/>
  <c r="B79" i="10"/>
  <c r="G79" i="10"/>
  <c r="S75" i="10"/>
  <c r="T75" i="10" s="1"/>
  <c r="V75" i="10"/>
  <c r="X75" i="10" s="1"/>
  <c r="S74" i="2"/>
  <c r="T74" i="2" s="1"/>
  <c r="J78" i="10"/>
  <c r="K78" i="10" s="1"/>
  <c r="L77" i="10"/>
  <c r="E79" i="10"/>
  <c r="H76" i="2"/>
  <c r="I76" i="2" s="1"/>
  <c r="E77" i="2"/>
  <c r="F77" i="2"/>
  <c r="G77" i="2"/>
  <c r="C78" i="2"/>
  <c r="D77" i="2"/>
  <c r="B77" i="2"/>
  <c r="C75" i="8"/>
  <c r="B74" i="8"/>
  <c r="M41" i="2" l="1"/>
  <c r="O41" i="10"/>
  <c r="E38" i="8"/>
  <c r="H38" i="8" s="1"/>
  <c r="D39" i="8" s="1"/>
  <c r="G39" i="8" s="1"/>
  <c r="O41" i="2"/>
  <c r="Q41" i="10"/>
  <c r="K76" i="2"/>
  <c r="J77" i="2"/>
  <c r="M79" i="10"/>
  <c r="J79" i="10"/>
  <c r="L79" i="10" s="1"/>
  <c r="B80" i="10"/>
  <c r="I80" i="10"/>
  <c r="D80" i="10"/>
  <c r="C81" i="10"/>
  <c r="W80" i="10"/>
  <c r="G80" i="10"/>
  <c r="F80" i="10"/>
  <c r="E80" i="10"/>
  <c r="S76" i="10"/>
  <c r="T76" i="10" s="1"/>
  <c r="V76" i="10"/>
  <c r="X76" i="10" s="1"/>
  <c r="S75" i="2"/>
  <c r="T75" i="2" s="1"/>
  <c r="L78" i="10"/>
  <c r="H77" i="2"/>
  <c r="I77" i="2" s="1"/>
  <c r="G78" i="2"/>
  <c r="B78" i="2"/>
  <c r="C79" i="2"/>
  <c r="D78" i="2"/>
  <c r="F78" i="2"/>
  <c r="E78" i="2"/>
  <c r="C76" i="8"/>
  <c r="B75" i="8"/>
  <c r="N41" i="2" l="1"/>
  <c r="M42" i="2" s="1"/>
  <c r="P41" i="10"/>
  <c r="O42" i="10" s="1"/>
  <c r="F39" i="8"/>
  <c r="K77" i="2"/>
  <c r="J78" i="2"/>
  <c r="K79" i="10"/>
  <c r="M80" i="10"/>
  <c r="J80" i="10"/>
  <c r="L80" i="10" s="1"/>
  <c r="F81" i="10"/>
  <c r="E81" i="10"/>
  <c r="G81" i="10"/>
  <c r="D81" i="10"/>
  <c r="I81" i="10"/>
  <c r="B81" i="10"/>
  <c r="C82" i="10"/>
  <c r="W81" i="10"/>
  <c r="S77" i="10"/>
  <c r="T77" i="10" s="1"/>
  <c r="V77" i="10"/>
  <c r="X77" i="10" s="1"/>
  <c r="S76" i="2"/>
  <c r="T76" i="2" s="1"/>
  <c r="S78" i="10"/>
  <c r="T78" i="10" s="1"/>
  <c r="H78" i="2"/>
  <c r="I78" i="2" s="1"/>
  <c r="B79" i="2"/>
  <c r="E79" i="2"/>
  <c r="F79" i="2"/>
  <c r="D79" i="2"/>
  <c r="C80" i="2"/>
  <c r="G79" i="2"/>
  <c r="B76" i="8"/>
  <c r="C77" i="8"/>
  <c r="O42" i="2" l="1"/>
  <c r="Q42" i="10"/>
  <c r="E39" i="8"/>
  <c r="S79" i="10"/>
  <c r="T79" i="10" s="1"/>
  <c r="K78" i="2"/>
  <c r="J79" i="2"/>
  <c r="K80" i="10"/>
  <c r="J81" i="10"/>
  <c r="L81" i="10" s="1"/>
  <c r="M81" i="10"/>
  <c r="G82" i="10"/>
  <c r="I82" i="10"/>
  <c r="F82" i="10"/>
  <c r="E82" i="10"/>
  <c r="D82" i="10"/>
  <c r="W82" i="10"/>
  <c r="B82" i="10"/>
  <c r="C83" i="10"/>
  <c r="V78" i="10"/>
  <c r="X78" i="10" s="1"/>
  <c r="S77" i="2"/>
  <c r="T77" i="2" s="1"/>
  <c r="H79" i="2"/>
  <c r="I79" i="2" s="1"/>
  <c r="B80" i="2"/>
  <c r="F80" i="2"/>
  <c r="C81" i="2"/>
  <c r="D80" i="2"/>
  <c r="G80" i="2"/>
  <c r="E80" i="2"/>
  <c r="B77" i="8"/>
  <c r="C78" i="8"/>
  <c r="P42" i="10" l="1"/>
  <c r="N42" i="2"/>
  <c r="H39" i="8"/>
  <c r="D40" i="8" s="1"/>
  <c r="G40" i="8" s="1"/>
  <c r="S80" i="10"/>
  <c r="T80" i="10" s="1"/>
  <c r="K79" i="2"/>
  <c r="J80" i="2"/>
  <c r="K81" i="10"/>
  <c r="J82" i="10"/>
  <c r="L82" i="10" s="1"/>
  <c r="M82" i="10"/>
  <c r="F83" i="10"/>
  <c r="D83" i="10"/>
  <c r="B83" i="10"/>
  <c r="I83" i="10"/>
  <c r="C84" i="10"/>
  <c r="G83" i="10"/>
  <c r="W83" i="10"/>
  <c r="E83" i="10"/>
  <c r="V79" i="10"/>
  <c r="X79" i="10" s="1"/>
  <c r="S78" i="2"/>
  <c r="T78" i="2" s="1"/>
  <c r="H80" i="2"/>
  <c r="I80" i="2" s="1"/>
  <c r="E81" i="2"/>
  <c r="C82" i="2"/>
  <c r="D81" i="2"/>
  <c r="G81" i="2"/>
  <c r="F81" i="2"/>
  <c r="B81" i="2"/>
  <c r="C79" i="8"/>
  <c r="B78" i="8"/>
  <c r="F40" i="8" l="1"/>
  <c r="O43" i="10"/>
  <c r="M43" i="2"/>
  <c r="S81" i="10"/>
  <c r="T81" i="10" s="1"/>
  <c r="K80" i="2"/>
  <c r="J81" i="2"/>
  <c r="K82" i="10"/>
  <c r="J83" i="10"/>
  <c r="L83" i="10" s="1"/>
  <c r="M83" i="10"/>
  <c r="D84" i="10"/>
  <c r="F84" i="10"/>
  <c r="G84" i="10"/>
  <c r="I84" i="10"/>
  <c r="E84" i="10"/>
  <c r="B84" i="10"/>
  <c r="W84" i="10"/>
  <c r="V80" i="10"/>
  <c r="X80" i="10" s="1"/>
  <c r="S79" i="2"/>
  <c r="T79" i="2" s="1"/>
  <c r="H81" i="2"/>
  <c r="I81" i="2" s="1"/>
  <c r="F82" i="2"/>
  <c r="B82" i="2"/>
  <c r="C83" i="2"/>
  <c r="D82" i="2"/>
  <c r="G82" i="2"/>
  <c r="E82" i="2"/>
  <c r="C80" i="8"/>
  <c r="B79" i="8"/>
  <c r="O43" i="2" l="1"/>
  <c r="Q43" i="10"/>
  <c r="E40" i="8"/>
  <c r="S82" i="10"/>
  <c r="T82" i="10" s="1"/>
  <c r="K81" i="2"/>
  <c r="J82" i="2"/>
  <c r="K83" i="10"/>
  <c r="J84" i="10"/>
  <c r="L84" i="10" s="1"/>
  <c r="M84" i="10"/>
  <c r="V81" i="10"/>
  <c r="X81" i="10" s="1"/>
  <c r="S80" i="2"/>
  <c r="T80" i="2" s="1"/>
  <c r="H82" i="2"/>
  <c r="I82" i="2" s="1"/>
  <c r="T84" i="10"/>
  <c r="B83" i="2"/>
  <c r="G83" i="2"/>
  <c r="C84" i="2"/>
  <c r="D83" i="2"/>
  <c r="E83" i="2"/>
  <c r="F83" i="2"/>
  <c r="B80" i="8"/>
  <c r="C81" i="8"/>
  <c r="P43" i="10" l="1"/>
  <c r="N43" i="2"/>
  <c r="H40" i="8"/>
  <c r="D41" i="8" s="1"/>
  <c r="G41" i="8" s="1"/>
  <c r="S83" i="10"/>
  <c r="T83" i="10" s="1"/>
  <c r="T13" i="10" s="1"/>
  <c r="G7" i="10" s="1"/>
  <c r="K82" i="2"/>
  <c r="J83" i="2"/>
  <c r="V82" i="10"/>
  <c r="X82" i="10" s="1"/>
  <c r="S81" i="2"/>
  <c r="T81" i="2" s="1"/>
  <c r="H83" i="2"/>
  <c r="I83" i="2" s="1"/>
  <c r="F84" i="2"/>
  <c r="B84" i="2"/>
  <c r="E84" i="2"/>
  <c r="G84" i="2"/>
  <c r="D84" i="2"/>
  <c r="B81" i="8"/>
  <c r="M44" i="2" l="1"/>
  <c r="O44" i="10"/>
  <c r="F41" i="8"/>
  <c r="K83" i="2"/>
  <c r="J84" i="2"/>
  <c r="V83" i="10"/>
  <c r="X83" i="10" s="1"/>
  <c r="S82" i="2"/>
  <c r="T82" i="2" s="1"/>
  <c r="H84" i="2"/>
  <c r="V84" i="10" s="1"/>
  <c r="X84" i="10" s="1"/>
  <c r="Q44" i="10" l="1"/>
  <c r="O44" i="2"/>
  <c r="E41" i="8"/>
  <c r="K84" i="2"/>
  <c r="X13" i="10"/>
  <c r="S83" i="2"/>
  <c r="T83" i="2" s="1"/>
  <c r="T84" i="2"/>
  <c r="P44" i="10" l="1"/>
  <c r="N44" i="2"/>
  <c r="H41" i="8"/>
  <c r="D42" i="8" s="1"/>
  <c r="G42" i="8" s="1"/>
  <c r="T13" i="2"/>
  <c r="G7" i="2" s="1"/>
  <c r="M45" i="2" l="1"/>
  <c r="E42" i="8"/>
  <c r="O45" i="10"/>
  <c r="P45" i="10" l="1"/>
  <c r="N45" i="2"/>
  <c r="F42" i="8"/>
  <c r="Q45" i="10" l="1"/>
  <c r="O45" i="2"/>
  <c r="H42" i="8"/>
  <c r="D43" i="8" s="1"/>
  <c r="G43" i="8" s="1"/>
  <c r="M46" i="2" l="1"/>
  <c r="E43" i="8"/>
  <c r="O46" i="10"/>
  <c r="N46" i="2" l="1"/>
  <c r="P46" i="10"/>
  <c r="F43" i="8"/>
  <c r="O46" i="2" l="1"/>
  <c r="Q46" i="10"/>
  <c r="H43" i="8"/>
  <c r="D44" i="8" s="1"/>
  <c r="G44" i="8" s="1"/>
  <c r="M47" i="2" l="1"/>
  <c r="O47" i="10"/>
  <c r="E44" i="8"/>
  <c r="N47" i="2" l="1"/>
  <c r="P47" i="10"/>
  <c r="F44" i="8"/>
  <c r="O47" i="2" l="1"/>
  <c r="Q47" i="10"/>
  <c r="H44" i="8"/>
  <c r="D45" i="8" s="1"/>
  <c r="G45" i="8" s="1"/>
  <c r="F45" i="8" l="1"/>
  <c r="M48" i="2"/>
  <c r="O48" i="10"/>
  <c r="O48" i="2" l="1"/>
  <c r="Q48" i="10"/>
  <c r="E45" i="8"/>
  <c r="P48" i="10" l="1"/>
  <c r="N48" i="2"/>
  <c r="H45" i="8"/>
  <c r="D46" i="8" s="1"/>
  <c r="G46" i="8" s="1"/>
  <c r="O49" i="10" l="1"/>
  <c r="M49" i="2"/>
  <c r="E46" i="8"/>
  <c r="P49" i="10" l="1"/>
  <c r="N49" i="2"/>
  <c r="F46" i="8"/>
  <c r="Q49" i="10" l="1"/>
  <c r="O49" i="2"/>
  <c r="H46" i="8"/>
  <c r="D47" i="8" s="1"/>
  <c r="G47" i="8" s="1"/>
  <c r="F47" i="8" l="1"/>
  <c r="M50" i="2"/>
  <c r="O50" i="10"/>
  <c r="E47" i="8" l="1"/>
  <c r="H47" i="8" s="1"/>
  <c r="D48" i="8" s="1"/>
  <c r="G48" i="8" s="1"/>
  <c r="O50" i="2"/>
  <c r="Q50" i="10"/>
  <c r="N50" i="2" l="1"/>
  <c r="M51" i="2" s="1"/>
  <c r="P50" i="10"/>
  <c r="O51" i="10" s="1"/>
  <c r="F48" i="8"/>
  <c r="E48" i="8" l="1"/>
  <c r="H48" i="8" s="1"/>
  <c r="D49" i="8" s="1"/>
  <c r="G49" i="8" s="1"/>
  <c r="O51" i="2"/>
  <c r="Q51" i="10"/>
  <c r="P51" i="10" l="1"/>
  <c r="O52" i="10" s="1"/>
  <c r="N51" i="2"/>
  <c r="M52" i="2" s="1"/>
  <c r="E49" i="8"/>
  <c r="N52" i="2" l="1"/>
  <c r="P52" i="10"/>
  <c r="F49" i="8"/>
  <c r="O52" i="2" l="1"/>
  <c r="Q52" i="10"/>
  <c r="H49" i="8"/>
  <c r="D50" i="8" s="1"/>
  <c r="G50" i="8" s="1"/>
  <c r="F50" i="8" l="1"/>
  <c r="O53" i="10"/>
  <c r="M53" i="2"/>
  <c r="O53" i="2" l="1"/>
  <c r="Q53" i="10"/>
  <c r="E50" i="8"/>
  <c r="P53" i="10" l="1"/>
  <c r="N53" i="2"/>
  <c r="H50" i="8"/>
  <c r="D51" i="8" s="1"/>
  <c r="G51" i="8" s="1"/>
  <c r="F51" i="8" l="1"/>
  <c r="O54" i="10"/>
  <c r="M54" i="2"/>
  <c r="E51" i="8" l="1"/>
  <c r="N54" i="2" s="1"/>
  <c r="O54" i="2"/>
  <c r="Q54" i="10"/>
  <c r="P54" i="10" l="1"/>
  <c r="H51" i="8"/>
  <c r="D52" i="8" s="1"/>
  <c r="G52" i="8" s="1"/>
  <c r="O55" i="10" l="1"/>
  <c r="F52" i="8"/>
  <c r="Q55" i="10" s="1"/>
  <c r="M55" i="2"/>
  <c r="E52" i="8" l="1"/>
  <c r="P55" i="10" s="1"/>
  <c r="O55" i="2"/>
  <c r="N55" i="2" l="1"/>
  <c r="H52" i="8"/>
  <c r="D53" i="8" s="1"/>
  <c r="G53" i="8" s="1"/>
  <c r="M56" i="2" l="1"/>
  <c r="F53" i="8"/>
  <c r="Q56" i="10" s="1"/>
  <c r="O56" i="10"/>
  <c r="E53" i="8" l="1"/>
  <c r="H53" i="8" s="1"/>
  <c r="D54" i="8" s="1"/>
  <c r="G54" i="8" s="1"/>
  <c r="O56" i="2"/>
  <c r="E54" i="8" l="1"/>
  <c r="P56" i="10"/>
  <c r="O57" i="10" s="1"/>
  <c r="N56" i="2"/>
  <c r="M57" i="2" s="1"/>
  <c r="F54" i="8" l="1"/>
  <c r="H54" i="8" s="1"/>
  <c r="D55" i="8" s="1"/>
  <c r="G55" i="8" s="1"/>
  <c r="N57" i="2"/>
  <c r="P57" i="10"/>
  <c r="O57" i="2" l="1"/>
  <c r="M58" i="2" s="1"/>
  <c r="Q57" i="10"/>
  <c r="O58" i="10" s="1"/>
  <c r="F55" i="8"/>
  <c r="E55" i="8" l="1"/>
  <c r="H55" i="8" s="1"/>
  <c r="D56" i="8" s="1"/>
  <c r="G56" i="8" s="1"/>
  <c r="O58" i="2"/>
  <c r="Q58" i="10"/>
  <c r="P58" i="10" l="1"/>
  <c r="O59" i="10" s="1"/>
  <c r="N58" i="2"/>
  <c r="M59" i="2" s="1"/>
  <c r="F56" i="8"/>
  <c r="O59" i="2" l="1"/>
  <c r="Q59" i="10"/>
  <c r="E56" i="8"/>
  <c r="N59" i="2" l="1"/>
  <c r="P59" i="10"/>
  <c r="H56" i="8"/>
  <c r="D57" i="8" s="1"/>
  <c r="G57" i="8" s="1"/>
  <c r="F57" i="8" l="1"/>
  <c r="M60" i="2"/>
  <c r="O60" i="10"/>
  <c r="E57" i="8" l="1"/>
  <c r="N60" i="2" s="1"/>
  <c r="O60" i="2"/>
  <c r="Q60" i="10"/>
  <c r="H57" i="8" l="1"/>
  <c r="D58" i="8" s="1"/>
  <c r="G58" i="8" s="1"/>
  <c r="P60" i="10"/>
  <c r="O61" i="10" l="1"/>
  <c r="M61" i="2"/>
  <c r="F58" i="8"/>
  <c r="Q61" i="10" s="1"/>
  <c r="O61" i="2" l="1"/>
  <c r="E58" i="8"/>
  <c r="P61" i="10" s="1"/>
  <c r="H58" i="8" l="1"/>
  <c r="D59" i="8" s="1"/>
  <c r="G59" i="8" s="1"/>
  <c r="N61" i="2"/>
  <c r="M62" i="2" l="1"/>
  <c r="E59" i="8"/>
  <c r="N62" i="2" s="1"/>
  <c r="O62" i="10"/>
  <c r="P62" i="10" l="1"/>
  <c r="F59" i="8"/>
  <c r="Q62" i="10" s="1"/>
  <c r="H59" i="8" l="1"/>
  <c r="D60" i="8" s="1"/>
  <c r="O62" i="2"/>
  <c r="G60" i="8" l="1"/>
  <c r="F60" i="8" s="1"/>
  <c r="M63" i="2"/>
  <c r="O63" i="10"/>
  <c r="E60" i="8" l="1"/>
  <c r="N63" i="2" s="1"/>
  <c r="Q63" i="10"/>
  <c r="O63" i="2"/>
  <c r="H60" i="8" l="1"/>
  <c r="D61" i="8" s="1"/>
  <c r="G61" i="8" s="1"/>
  <c r="F61" i="8" s="1"/>
  <c r="P63" i="10"/>
  <c r="M64" i="2" l="1"/>
  <c r="E61" i="8"/>
  <c r="N64" i="2" s="1"/>
  <c r="O64" i="10"/>
  <c r="Q64" i="10"/>
  <c r="O64" i="2"/>
  <c r="H61" i="8" l="1"/>
  <c r="D62" i="8" s="1"/>
  <c r="G62" i="8" s="1"/>
  <c r="F62" i="8" s="1"/>
  <c r="O65" i="2" s="1"/>
  <c r="P64" i="10"/>
  <c r="M65" i="2" l="1"/>
  <c r="O65" i="10"/>
  <c r="E62" i="8"/>
  <c r="H62" i="8" s="1"/>
  <c r="D63" i="8" s="1"/>
  <c r="G63" i="8" s="1"/>
  <c r="Q65" i="10"/>
  <c r="N65" i="2" l="1"/>
  <c r="M66" i="2" s="1"/>
  <c r="F63" i="8"/>
  <c r="Q66" i="10" s="1"/>
  <c r="P65" i="10"/>
  <c r="O66" i="10" s="1"/>
  <c r="E63" i="8"/>
  <c r="O66" i="2" l="1"/>
  <c r="P66" i="10"/>
  <c r="N66" i="2"/>
  <c r="H63" i="8"/>
  <c r="D64" i="8" s="1"/>
  <c r="G64" i="8" s="1"/>
  <c r="O67" i="10" l="1"/>
  <c r="M67" i="2"/>
  <c r="E64" i="8"/>
  <c r="P67" i="10" l="1"/>
  <c r="N67" i="2"/>
  <c r="F64" i="8"/>
  <c r="Q67" i="10" l="1"/>
  <c r="O67" i="2"/>
  <c r="H64" i="8"/>
  <c r="D65" i="8" s="1"/>
  <c r="G65" i="8" s="1"/>
  <c r="M68" i="2" l="1"/>
  <c r="F65" i="8"/>
  <c r="O68" i="10"/>
  <c r="O68" i="2" l="1"/>
  <c r="Q68" i="10"/>
  <c r="E65" i="8"/>
  <c r="P68" i="10" l="1"/>
  <c r="N68" i="2"/>
  <c r="H65" i="8"/>
  <c r="D66" i="8" s="1"/>
  <c r="G66" i="8" s="1"/>
  <c r="F66" i="8" l="1"/>
  <c r="O69" i="10"/>
  <c r="M69" i="2"/>
  <c r="Q69" i="10" l="1"/>
  <c r="O69" i="2"/>
  <c r="E66" i="8"/>
  <c r="N69" i="2" l="1"/>
  <c r="P69" i="10"/>
  <c r="H66" i="8"/>
  <c r="D67" i="8" s="1"/>
  <c r="G67" i="8" s="1"/>
  <c r="O70" i="10" l="1"/>
  <c r="M70" i="2"/>
  <c r="F67" i="8"/>
  <c r="Q70" i="10" l="1"/>
  <c r="O70" i="2"/>
  <c r="E67" i="8"/>
  <c r="N70" i="2" l="1"/>
  <c r="P70" i="10"/>
  <c r="H67" i="8"/>
  <c r="D68" i="8" s="1"/>
  <c r="G68" i="8" s="1"/>
  <c r="F68" i="8" l="1"/>
  <c r="M71" i="2"/>
  <c r="O71" i="10"/>
  <c r="E68" i="8" l="1"/>
  <c r="N71" i="2" s="1"/>
  <c r="O71" i="2"/>
  <c r="Q71" i="10"/>
  <c r="P71" i="10" l="1"/>
  <c r="H68" i="8"/>
  <c r="D69" i="8" s="1"/>
  <c r="G69" i="8" s="1"/>
  <c r="M72" i="2" l="1"/>
  <c r="O72" i="10"/>
  <c r="E69" i="8"/>
  <c r="P72" i="10" s="1"/>
  <c r="F69" i="8"/>
  <c r="H69" i="8" l="1"/>
  <c r="D70" i="8" s="1"/>
  <c r="G70" i="8" s="1"/>
  <c r="N72" i="2"/>
  <c r="Q72" i="10"/>
  <c r="O72" i="2"/>
  <c r="M73" i="2" l="1"/>
  <c r="O73" i="10"/>
  <c r="F70" i="8"/>
  <c r="O73" i="2" s="1"/>
  <c r="E70" i="8"/>
  <c r="P73" i="10" s="1"/>
  <c r="Q73" i="10" l="1"/>
  <c r="H70" i="8"/>
  <c r="D71" i="8" s="1"/>
  <c r="N73" i="2"/>
  <c r="G71" i="8" l="1"/>
  <c r="F71" i="8" s="1"/>
  <c r="M74" i="2"/>
  <c r="O74" i="10"/>
  <c r="E71" i="8" l="1"/>
  <c r="H71" i="8" s="1"/>
  <c r="D72" i="8" s="1"/>
  <c r="G72" i="8" s="1"/>
  <c r="O74" i="2"/>
  <c r="Q74" i="10"/>
  <c r="P74" i="10" l="1"/>
  <c r="O75" i="10" s="1"/>
  <c r="N74" i="2"/>
  <c r="M75" i="2" s="1"/>
  <c r="E72" i="8"/>
  <c r="N75" i="2" l="1"/>
  <c r="P75" i="10"/>
  <c r="F72" i="8"/>
  <c r="O75" i="2" l="1"/>
  <c r="Q75" i="10"/>
  <c r="H72" i="8"/>
  <c r="D73" i="8" s="1"/>
  <c r="G73" i="8" s="1"/>
  <c r="O76" i="10" l="1"/>
  <c r="E73" i="8"/>
  <c r="M76" i="2"/>
  <c r="N76" i="2" l="1"/>
  <c r="P76" i="10"/>
  <c r="F73" i="8"/>
  <c r="Q76" i="10" l="1"/>
  <c r="O76" i="2"/>
  <c r="H73" i="8"/>
  <c r="D74" i="8" s="1"/>
  <c r="G74" i="8" s="1"/>
  <c r="F74" i="8" l="1"/>
  <c r="M77" i="2"/>
  <c r="O77" i="10"/>
  <c r="Q77" i="10" l="1"/>
  <c r="O77" i="2"/>
  <c r="E74" i="8"/>
  <c r="P77" i="10" l="1"/>
  <c r="N77" i="2"/>
  <c r="H74" i="8"/>
  <c r="D75" i="8" s="1"/>
  <c r="G75" i="8" s="1"/>
  <c r="O78" i="10" l="1"/>
  <c r="M78" i="2"/>
  <c r="E75" i="8"/>
  <c r="P78" i="10" l="1"/>
  <c r="N78" i="2"/>
  <c r="F75" i="8"/>
  <c r="O78" i="2" l="1"/>
  <c r="Q78" i="10"/>
  <c r="H75" i="8"/>
  <c r="D76" i="8" s="1"/>
  <c r="G76" i="8" s="1"/>
  <c r="F76" i="8" l="1"/>
  <c r="O79" i="10"/>
  <c r="M79" i="2"/>
  <c r="E76" i="8"/>
  <c r="Q79" i="10" l="1"/>
  <c r="O79" i="2"/>
  <c r="H76" i="8"/>
  <c r="D77" i="8" s="1"/>
  <c r="G77" i="8" s="1"/>
  <c r="P79" i="10"/>
  <c r="N79" i="2"/>
  <c r="E77" i="8" l="1"/>
  <c r="M80" i="2"/>
  <c r="O80" i="10"/>
  <c r="P80" i="10" l="1"/>
  <c r="N80" i="2"/>
  <c r="F77" i="8"/>
  <c r="Q80" i="10" l="1"/>
  <c r="O80" i="2"/>
  <c r="H77" i="8"/>
  <c r="D78" i="8" s="1"/>
  <c r="G78" i="8" s="1"/>
  <c r="F78" i="8" l="1"/>
  <c r="O81" i="10"/>
  <c r="M81" i="2"/>
  <c r="E78" i="8" l="1"/>
  <c r="H78" i="8" s="1"/>
  <c r="D79" i="8" s="1"/>
  <c r="G79" i="8" s="1"/>
  <c r="O81" i="2"/>
  <c r="Q81" i="10"/>
  <c r="P81" i="10" l="1"/>
  <c r="O82" i="10" s="1"/>
  <c r="N81" i="2"/>
  <c r="M82" i="2" s="1"/>
  <c r="F79" i="8"/>
  <c r="O82" i="2" l="1"/>
  <c r="Q82" i="10"/>
  <c r="E79" i="8"/>
  <c r="N82" i="2" l="1"/>
  <c r="P82" i="10"/>
  <c r="H79" i="8"/>
  <c r="D80" i="8" s="1"/>
  <c r="G80" i="8" s="1"/>
  <c r="F80" i="8" l="1"/>
  <c r="O83" i="10"/>
  <c r="M83" i="2"/>
  <c r="Q83" i="10" l="1"/>
  <c r="O83" i="2"/>
  <c r="E80" i="8"/>
  <c r="N83" i="2" l="1"/>
  <c r="P83" i="10"/>
  <c r="H80" i="8"/>
  <c r="D81" i="8" s="1"/>
  <c r="G81" i="8" s="1"/>
  <c r="M84" i="2" l="1"/>
  <c r="F81" i="8"/>
  <c r="O84" i="10"/>
  <c r="Q84" i="10" l="1"/>
  <c r="O84" i="2"/>
  <c r="E81" i="8"/>
  <c r="N84" i="2" l="1"/>
  <c r="P84" i="10"/>
  <c r="H81" i="8"/>
</calcChain>
</file>

<file path=xl/comments1.xml><?xml version="1.0" encoding="utf-8"?>
<comments xmlns="http://schemas.openxmlformats.org/spreadsheetml/2006/main">
  <authors>
    <author>Zhu, Vincent</author>
  </authors>
  <commentList>
    <comment ref="K13" authorId="0" shapeId="0">
      <text>
        <r>
          <rPr>
            <sz val="10"/>
            <color indexed="81"/>
            <rFont val="Tahoma"/>
            <family val="2"/>
          </rPr>
          <t>AR = VPS</t>
        </r>
      </text>
    </comment>
  </commentList>
</comments>
</file>

<file path=xl/comments2.xml><?xml version="1.0" encoding="utf-8"?>
<comments xmlns="http://schemas.openxmlformats.org/spreadsheetml/2006/main">
  <authors>
    <author>Author</author>
    <author>Zhu, Vincent</author>
  </authors>
  <commentList>
    <comment ref="D9" authorId="0" shapeId="0">
      <text>
        <r>
          <rPr>
            <sz val="9"/>
            <color indexed="81"/>
            <rFont val="Tahoma"/>
            <family val="2"/>
          </rPr>
          <t>Assume average entry age is 30 for both Grade A and B.</t>
        </r>
      </text>
    </comment>
    <comment ref="H13" authorId="1" shapeId="0">
      <text>
        <r>
          <rPr>
            <sz val="10"/>
            <color indexed="81"/>
            <rFont val="Tahoma"/>
            <family val="2"/>
          </rPr>
          <t>Assume that there are no withdrawals or deaths prior to the retirement age when determining AL at each valuation date.</t>
        </r>
      </text>
    </comment>
    <comment ref="L13" authorId="1" shapeId="0">
      <text>
        <r>
          <rPr>
            <sz val="10"/>
            <color indexed="81"/>
            <rFont val="Tahoma"/>
            <family val="2"/>
          </rPr>
          <t>k*(P+F)*S*[(1+e)/(1+i)]^(NRA-x) - SCR*(S*a</t>
        </r>
        <r>
          <rPr>
            <vertAlign val="subscript"/>
            <sz val="10"/>
            <color indexed="81"/>
            <rFont val="Tahoma"/>
            <family val="2"/>
          </rPr>
          <t>NRA-x</t>
        </r>
        <r>
          <rPr>
            <sz val="10"/>
            <color indexed="81"/>
            <rFont val="Tahoma"/>
            <family val="2"/>
          </rPr>
          <t>)</t>
        </r>
      </text>
    </comment>
    <comment ref="M13" authorId="1" shapeId="0">
      <text>
        <r>
          <rPr>
            <sz val="10"/>
            <color indexed="81"/>
            <rFont val="Tahoma"/>
            <family val="2"/>
          </rPr>
          <t>AR = VPS</t>
        </r>
      </text>
    </comment>
    <comment ref="O13" authorId="1" shapeId="0">
      <text>
        <r>
          <rPr>
            <sz val="10"/>
            <color indexed="81"/>
            <rFont val="Tahoma"/>
            <family val="2"/>
          </rPr>
          <t>Assume: always fund the initial deficit if there is any.</t>
        </r>
      </text>
    </comment>
  </commentList>
</comments>
</file>

<file path=xl/sharedStrings.xml><?xml version="1.0" encoding="utf-8"?>
<sst xmlns="http://schemas.openxmlformats.org/spreadsheetml/2006/main" count="198" uniqueCount="124">
  <si>
    <t>The scheme is a new scheme, benefits will only allow for service from the date the scheme started for all the current employees.</t>
  </si>
  <si>
    <t>Expense</t>
  </si>
  <si>
    <t>Withdraw</t>
  </si>
  <si>
    <t>Salary increase</t>
  </si>
  <si>
    <t>Retire Rate post-NRA for Grade A</t>
  </si>
  <si>
    <t>Age at start of year</t>
  </si>
  <si>
    <t>Number of employees</t>
  </si>
  <si>
    <t>Average Salary $</t>
  </si>
  <si>
    <t xml:space="preserve">Grade </t>
  </si>
  <si>
    <t>B</t>
  </si>
  <si>
    <t>A</t>
  </si>
  <si>
    <t>Accrual rate</t>
  </si>
  <si>
    <t>Grade A</t>
  </si>
  <si>
    <t>Grade B</t>
  </si>
  <si>
    <t>Investment return</t>
  </si>
  <si>
    <t>Normal Retirement Age</t>
  </si>
  <si>
    <t>Contribution</t>
  </si>
  <si>
    <t>&gt;50</t>
  </si>
  <si>
    <t>=&lt;50</t>
  </si>
  <si>
    <t>Group</t>
  </si>
  <si>
    <t>30A</t>
  </si>
  <si>
    <t>Accrual rate
(k)</t>
  </si>
  <si>
    <t>Investment return
(i)</t>
  </si>
  <si>
    <t>Current age
BOY
(X)</t>
  </si>
  <si>
    <t>Pensionable salary
BOY
(S)</t>
  </si>
  <si>
    <t>Check</t>
  </si>
  <si>
    <t>Withdraw benefit % of AR</t>
  </si>
  <si>
    <t>SCR
=k*[(1+e)/(1+i)]^(NRA-x-1)</t>
  </si>
  <si>
    <t>Grade:</t>
  </si>
  <si>
    <t>Age at start of year:</t>
  </si>
  <si>
    <t>NRA:</t>
  </si>
  <si>
    <t>Accrual rate:</t>
  </si>
  <si>
    <t>Average Salary:</t>
  </si>
  <si>
    <t>Salary increase:</t>
  </si>
  <si>
    <t>Entry Age:</t>
  </si>
  <si>
    <t>Inforce
BOY</t>
  </si>
  <si>
    <t>Inforce
EOY</t>
  </si>
  <si>
    <t>Retire</t>
  </si>
  <si>
    <t>to vary by age</t>
  </si>
  <si>
    <t>to justify</t>
  </si>
  <si>
    <t>Mortality after retirement</t>
  </si>
  <si>
    <t>Mortality Rate post-NRA for Grade A</t>
  </si>
  <si>
    <t>For Grade A, members who die after normal retirement age will be treated as normal retirement, receiving the normal retirement lump-sum benefit.</t>
  </si>
  <si>
    <t>white-collar</t>
  </si>
  <si>
    <t>Deaths uniform throughout the year</t>
  </si>
  <si>
    <t>Withdrawals/Retirement at end of year</t>
  </si>
  <si>
    <t>Decrement table</t>
  </si>
  <si>
    <t>Assumptions</t>
  </si>
  <si>
    <t xml:space="preserve">It would  be reasonable to place an upper limit on retirement decrements ie an age where decrement is 100%. At what age is up to the actuary, you have the scheme's own experience, local legislation, age pension thresholds etc to take into account. </t>
  </si>
  <si>
    <t>Contribution
EOY</t>
  </si>
  <si>
    <t>Description</t>
  </si>
  <si>
    <t>Includes assumptions required</t>
  </si>
  <si>
    <t>Data</t>
  </si>
  <si>
    <t>Includes a breakdown of expenses and policy statistics from 2017 to 2019 as well as forecast policy statistics for 2020</t>
  </si>
  <si>
    <t>Solutions</t>
  </si>
  <si>
    <t>Includes calculation of 2020 recommended expenses and 2020 expenses derived from applying inflation to 2017 expenses for comparison</t>
  </si>
  <si>
    <t>Depreciation</t>
  </si>
  <si>
    <t>breakdown of the derivation of depreciation assumptions</t>
  </si>
  <si>
    <t>Macro</t>
  </si>
  <si>
    <t>PUC Projection</t>
  </si>
  <si>
    <t>EAN Projection</t>
  </si>
  <si>
    <t>30B</t>
  </si>
  <si>
    <t>40B</t>
  </si>
  <si>
    <t>40A</t>
  </si>
  <si>
    <t>45B</t>
  </si>
  <si>
    <t>45A</t>
  </si>
  <si>
    <t>50B</t>
  </si>
  <si>
    <t>50A</t>
  </si>
  <si>
    <t>55B</t>
  </si>
  <si>
    <t>55A</t>
  </si>
  <si>
    <t>Total Contribution</t>
  </si>
  <si>
    <t>Total Salary</t>
  </si>
  <si>
    <t>Initial SCR</t>
  </si>
  <si>
    <t>Current Group</t>
  </si>
  <si>
    <t>No. of Employees</t>
  </si>
  <si>
    <t>No. of years of past service
(P)</t>
  </si>
  <si>
    <t>Salary EOY</t>
  </si>
  <si>
    <t>No. of employees:</t>
  </si>
  <si>
    <t>Data table - Summary for all the groups as of the end of year 1</t>
  </si>
  <si>
    <t>Reasonability check on contribution</t>
  </si>
  <si>
    <t>Grade</t>
  </si>
  <si>
    <t>i'=(1+i)/(1+e)-1</t>
  </si>
  <si>
    <t>The design will also influence behaviour and therefore your assumptions for exits at older ages.</t>
  </si>
  <si>
    <t>Typically the definition of the death or TPD benefit means that on reaching the normal retirement age the death/TPD benefit is exactly the same as the normal retirement benefit.</t>
  </si>
  <si>
    <t>So, it may be possible to simplify assumptions and modelling for exits after the normal retirement age without materially affecting the scheme liability valuation or determination of long term funding SCR</t>
  </si>
  <si>
    <t>If a member remains in the scheme beyond the normal retirement age, the death/TPD and retirement benefits may continue to be the same amount. Again, check the scheme design.</t>
  </si>
  <si>
    <t>Consider materiality of the benefit - both dollar value and probability of being paid, relative to the primary benefit (retirement) - and likely impact on SCR.</t>
  </si>
  <si>
    <t>Yes the accrued liability can take into account the present value of any future benefit potentially payable to the member.</t>
  </si>
  <si>
    <t>When close to new member</t>
  </si>
  <si>
    <t>Post NRA</t>
  </si>
  <si>
    <t xml:space="preserve">What does AL contain: AL represents the liabilities that should be funded by now under the given funding method = VPS + VFS - VFC. </t>
  </si>
  <si>
    <t>To-do</t>
  </si>
  <si>
    <t>AL post NRA</t>
  </si>
  <si>
    <t>AL contains withdraw</t>
  </si>
  <si>
    <t>New member</t>
  </si>
  <si>
    <t>Ferris paper</t>
  </si>
  <si>
    <t>Allow for Decrement</t>
  </si>
  <si>
    <t>applying past service (to date of withdrawal) only: AL is normally = VPS + VFS - VFC, but this means set AL = VPS?</t>
  </si>
  <si>
    <t>Actuarial Reserve
BOY
(AR)</t>
  </si>
  <si>
    <t>What does SCR contubute to? Only retirement or retirement + withdraw?</t>
  </si>
  <si>
    <t>Verify economic assumptions</t>
  </si>
  <si>
    <t>A better phrase may be to state that the experience is similar to Australia. You have to avoid the temptation of using specific Australian legislation as that is not relevant.</t>
  </si>
  <si>
    <t>Both</t>
  </si>
  <si>
    <t>Watch the video on multi decrement tables</t>
  </si>
  <si>
    <t>New employee joining rate / employee turnover</t>
  </si>
  <si>
    <t>noting that the scheme's actual operating expenses are likely independent of the funding method selected, consider whether the expenses are going to be material to your findings</t>
  </si>
  <si>
    <t>No mortaility, only withdraw, so managing expense could be immaterial.</t>
  </si>
  <si>
    <t>VEA
EOY</t>
  </si>
  <si>
    <t>Salary inflation
(e)</t>
  </si>
  <si>
    <t>Actuarial Liability
BOY
(AL)</t>
  </si>
  <si>
    <t>CF Projection
==&gt;</t>
  </si>
  <si>
    <t>Withdraw Benefit
EOY</t>
  </si>
  <si>
    <t>Retirement Benefit
EOY</t>
  </si>
  <si>
    <r>
      <t>Check btw EAN and PUC
SCR</t>
    </r>
    <r>
      <rPr>
        <vertAlign val="subscript"/>
        <sz val="10"/>
        <color theme="0"/>
        <rFont val="Century Gothic"/>
        <family val="2"/>
      </rPr>
      <t>EAN</t>
    </r>
    <r>
      <rPr>
        <sz val="10"/>
        <color theme="0"/>
        <rFont val="Century Gothic"/>
        <family val="2"/>
      </rPr>
      <t>/SCR</t>
    </r>
    <r>
      <rPr>
        <vertAlign val="subscript"/>
        <sz val="10"/>
        <color theme="0"/>
        <rFont val="Century Gothic"/>
        <family val="2"/>
      </rPr>
      <t>PUC</t>
    </r>
  </si>
  <si>
    <r>
      <t>F/a</t>
    </r>
    <r>
      <rPr>
        <vertAlign val="subscript"/>
        <sz val="10"/>
        <color theme="0"/>
        <rFont val="Century Gothic"/>
        <family val="2"/>
      </rPr>
      <t>F</t>
    </r>
    <r>
      <rPr>
        <sz val="10"/>
        <color theme="0"/>
        <rFont val="Century Gothic"/>
        <family val="2"/>
      </rPr>
      <t>*v'</t>
    </r>
    <r>
      <rPr>
        <vertAlign val="superscript"/>
        <sz val="10"/>
        <color theme="0"/>
        <rFont val="Century Gothic"/>
        <family val="2"/>
      </rPr>
      <t>x-EA</t>
    </r>
  </si>
  <si>
    <r>
      <rPr>
        <sz val="11"/>
        <color theme="0"/>
        <rFont val="Century Gothic"/>
        <family val="2"/>
      </rPr>
      <t>a</t>
    </r>
    <r>
      <rPr>
        <vertAlign val="subscript"/>
        <sz val="10"/>
        <color theme="0"/>
        <rFont val="Century Gothic"/>
        <family val="2"/>
      </rPr>
      <t xml:space="preserve">NRA-EA </t>
    </r>
    <r>
      <rPr>
        <sz val="10"/>
        <color theme="0"/>
        <rFont val="Century Gothic"/>
        <family val="2"/>
      </rPr>
      <t>@ i'</t>
    </r>
  </si>
  <si>
    <r>
      <rPr>
        <sz val="11"/>
        <color theme="0"/>
        <rFont val="Century Gothic"/>
        <family val="2"/>
      </rPr>
      <t>a</t>
    </r>
    <r>
      <rPr>
        <vertAlign val="subscript"/>
        <sz val="10"/>
        <color theme="0"/>
        <rFont val="Century Gothic"/>
        <family val="2"/>
      </rPr>
      <t xml:space="preserve">NRA-x </t>
    </r>
    <r>
      <rPr>
        <sz val="10"/>
        <color theme="0"/>
        <rFont val="Century Gothic"/>
        <family val="2"/>
      </rPr>
      <t>@ i'</t>
    </r>
  </si>
  <si>
    <r>
      <t>SCR = k*(NRA-EA)*[(1+e)/(1+i)]^(NRA-EA)/a</t>
    </r>
    <r>
      <rPr>
        <vertAlign val="subscript"/>
        <sz val="10"/>
        <color theme="0"/>
        <rFont val="Century Gothic"/>
        <family val="2"/>
      </rPr>
      <t>NRA-EA</t>
    </r>
  </si>
  <si>
    <r>
      <t>Added to liability measure (VPS</t>
    </r>
    <r>
      <rPr>
        <vertAlign val="subscript"/>
        <sz val="10"/>
        <color rgb="FF006100"/>
        <rFont val="Century Gothic"/>
        <family val="2"/>
      </rPr>
      <t>expense</t>
    </r>
    <r>
      <rPr>
        <sz val="10"/>
        <color rgb="FF006100"/>
        <rFont val="Century Gothic"/>
        <family val="2"/>
      </rPr>
      <t>) rathar than Deducted from future contributions</t>
    </r>
  </si>
  <si>
    <r>
      <t>If</t>
    </r>
    <r>
      <rPr>
        <sz val="10"/>
        <color theme="1"/>
        <rFont val="Century Gothic"/>
        <family val="2"/>
      </rPr>
      <t xml:space="preserve"> a member can remain in the scheme beyond the defined normal retirement age, the retirement benefit definition </t>
    </r>
    <r>
      <rPr>
        <b/>
        <sz val="10"/>
        <color theme="1"/>
        <rFont val="Century Gothic"/>
        <family val="2"/>
      </rPr>
      <t>may</t>
    </r>
    <r>
      <rPr>
        <sz val="10"/>
        <color theme="1"/>
        <rFont val="Century Gothic"/>
        <family val="2"/>
      </rPr>
      <t xml:space="preserve"> increase with further salary increases and </t>
    </r>
    <r>
      <rPr>
        <b/>
        <sz val="10"/>
        <color theme="1"/>
        <rFont val="Century Gothic"/>
        <family val="2"/>
      </rPr>
      <t>may</t>
    </r>
    <r>
      <rPr>
        <sz val="10"/>
        <color theme="1"/>
        <rFont val="Century Gothic"/>
        <family val="2"/>
      </rPr>
      <t xml:space="preserve"> continue to accrue for further completed service.</t>
    </r>
  </si>
  <si>
    <r>
      <t xml:space="preserve">Might give them incentinve to stay if </t>
    </r>
    <r>
      <rPr>
        <sz val="10"/>
        <color rgb="FFC00000"/>
        <rFont val="Century Gothic"/>
        <family val="2"/>
      </rPr>
      <t xml:space="preserve"> the retirement benefit definition may increase with further salary increases and may continue to accrue for further completed service.</t>
    </r>
  </si>
  <si>
    <r>
      <t>Withdrawal</t>
    </r>
    <r>
      <rPr>
        <sz val="10"/>
        <color theme="1"/>
        <rFont val="Century Gothic"/>
        <family val="2"/>
      </rPr>
      <t xml:space="preserve"> benefits are very likely and in most jurisdictions have a material value so should be incorporated.</t>
    </r>
  </si>
  <si>
    <r>
      <t>Redundancy</t>
    </r>
    <r>
      <rPr>
        <sz val="10"/>
        <color theme="1"/>
        <rFont val="Century Gothic"/>
        <family val="2"/>
      </rPr>
      <t xml:space="preserve"> benefits are probably less likely than withdrawal/retirement, but may be more generous than the withdrawal benefit or the accrued retirement benefit.  What is the expected experience? Why would you set an decrement assumption other than 0% if the employer has no stated redundancy program? I am aware of some employers that do have publicised voluntary redundancy programs from time to time and these are readily then incorporated into a scheme's valuation assumptions as another decrement.</t>
    </r>
  </si>
  <si>
    <r>
      <t xml:space="preserve">For general interest, note that </t>
    </r>
    <r>
      <rPr>
        <b/>
        <sz val="10"/>
        <color theme="1"/>
        <rFont val="Century Gothic"/>
        <family val="2"/>
      </rPr>
      <t xml:space="preserve">in Australia </t>
    </r>
    <r>
      <rPr>
        <sz val="10"/>
        <color theme="1"/>
        <rFont val="Century Gothic"/>
        <family val="2"/>
      </rPr>
      <t>, there are redundancy benefits paid outside superannuation. So schemes may not have an explicit redundancy benefit. It may be reasonable to ignore redundancies altogether when preparing valuations or contribution rate advice, but to assess at a given date whether the scheme has sufficient assets to pay everyone their redundancy benefits (if the employer was wound up and everyone lost their jobs) and/or termination benefits (if the scheme was wound up for any reason).</t>
    </r>
  </si>
</sst>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4" formatCode="_(&quot;$&quot;* #,##0.00_);_(&quot;$&quot;* \(#,##0.00\);_(&quot;$&quot;* &quot;-&quot;??_);_(@_)"/>
    <numFmt numFmtId="43" formatCode="_(* #,##0.00_);_(* \(#,##0.00\);_(* &quot;-&quot;??_);_(@_)"/>
    <numFmt numFmtId="164" formatCode="_(* #,##0_);_(* \(#,##0\);_(* &quot;-&quot;??_);_(@_)"/>
    <numFmt numFmtId="165" formatCode="_(&quot;$&quot;* #,##0_);_(&quot;$&quot;* \(#,##0\);_(&quot;$&quot;* &quot;-&quot;??_);_(@_)"/>
    <numFmt numFmtId="166" formatCode="0.0%"/>
    <numFmt numFmtId="167" formatCode="_(* #,##0.0000_);_(* \(#,##0.0000\);_(* &quot;-&quot;??_);_(@_)"/>
    <numFmt numFmtId="168" formatCode="_-* #,##0.00_-;\-* #,##0.00_-;_-* &quot;-&quot;??_-;_-@_-"/>
  </numFmts>
  <fonts count="38" x14ac:knownFonts="1">
    <font>
      <sz val="11"/>
      <color theme="1"/>
      <name val="Calibri"/>
      <family val="2"/>
      <scheme val="minor"/>
    </font>
    <font>
      <sz val="11"/>
      <color theme="1"/>
      <name val="Calibri"/>
      <family val="2"/>
      <scheme val="minor"/>
    </font>
    <font>
      <sz val="10"/>
      <color rgb="FFFFFFFF"/>
      <name val="Century Gothic"/>
      <family val="2"/>
    </font>
    <font>
      <sz val="10"/>
      <color rgb="FF000000"/>
      <name val="Century Gothic"/>
      <family val="2"/>
    </font>
    <font>
      <sz val="10"/>
      <color theme="1"/>
      <name val="Century Gothic"/>
      <family val="2"/>
    </font>
    <font>
      <sz val="9"/>
      <color indexed="81"/>
      <name val="Tahoma"/>
      <family val="2"/>
    </font>
    <font>
      <sz val="10"/>
      <name val="Arial"/>
    </font>
    <font>
      <sz val="10"/>
      <name val="Century Gothic"/>
      <family val="2"/>
    </font>
    <font>
      <b/>
      <sz val="10"/>
      <name val="Century Gothic"/>
      <family val="2"/>
    </font>
    <font>
      <sz val="11"/>
      <color rgb="FF9C6500"/>
      <name val="Calibri"/>
      <family val="2"/>
      <scheme val="minor"/>
    </font>
    <font>
      <sz val="10"/>
      <color indexed="81"/>
      <name val="Tahoma"/>
      <family val="2"/>
    </font>
    <font>
      <sz val="11"/>
      <color rgb="FF006100"/>
      <name val="Calibri"/>
      <family val="2"/>
      <scheme val="minor"/>
    </font>
    <font>
      <sz val="11"/>
      <color rgb="FF9C0006"/>
      <name val="Calibri"/>
      <family val="2"/>
      <scheme val="minor"/>
    </font>
    <font>
      <vertAlign val="subscript"/>
      <sz val="10"/>
      <color indexed="81"/>
      <name val="Tahoma"/>
      <family val="2"/>
    </font>
    <font>
      <sz val="11"/>
      <color theme="1"/>
      <name val="Century Gothic"/>
      <family val="2"/>
    </font>
    <font>
      <b/>
      <i/>
      <sz val="10"/>
      <color theme="1"/>
      <name val="Century Gothic"/>
      <family val="2"/>
    </font>
    <font>
      <b/>
      <sz val="10"/>
      <color theme="1"/>
      <name val="Century Gothic"/>
      <family val="2"/>
    </font>
    <font>
      <i/>
      <sz val="10"/>
      <color theme="1"/>
      <name val="Century Gothic"/>
      <family val="2"/>
    </font>
    <font>
      <b/>
      <i/>
      <sz val="10"/>
      <name val="Century Gothic"/>
      <family val="2"/>
    </font>
    <font>
      <b/>
      <u/>
      <sz val="10"/>
      <color rgb="FFC00000"/>
      <name val="Century Gothic"/>
      <family val="2"/>
    </font>
    <font>
      <i/>
      <sz val="10"/>
      <color theme="0" tint="-0.499984740745262"/>
      <name val="Century Gothic"/>
      <family val="2"/>
    </font>
    <font>
      <b/>
      <sz val="10"/>
      <color rgb="FFFF0000"/>
      <name val="Century Gothic"/>
      <family val="2"/>
    </font>
    <font>
      <b/>
      <i/>
      <u/>
      <sz val="10"/>
      <color rgb="FFC00000"/>
      <name val="Century Gothic"/>
      <family val="2"/>
    </font>
    <font>
      <u/>
      <sz val="10"/>
      <color theme="1"/>
      <name val="Century Gothic"/>
      <family val="2"/>
    </font>
    <font>
      <sz val="10"/>
      <color theme="0" tint="-0.499984740745262"/>
      <name val="Century Gothic"/>
      <family val="2"/>
    </font>
    <font>
      <sz val="10"/>
      <color theme="0"/>
      <name val="Century Gothic"/>
      <family val="2"/>
    </font>
    <font>
      <vertAlign val="subscript"/>
      <sz val="10"/>
      <color theme="0"/>
      <name val="Century Gothic"/>
      <family val="2"/>
    </font>
    <font>
      <vertAlign val="superscript"/>
      <sz val="10"/>
      <color theme="0"/>
      <name val="Century Gothic"/>
      <family val="2"/>
    </font>
    <font>
      <sz val="11"/>
      <color theme="0"/>
      <name val="Century Gothic"/>
      <family val="2"/>
    </font>
    <font>
      <i/>
      <sz val="10"/>
      <color rgb="FF0070C0"/>
      <name val="Century Gothic"/>
      <family val="2"/>
    </font>
    <font>
      <sz val="10"/>
      <color rgb="FF9C0006"/>
      <name val="Century Gothic"/>
      <family val="2"/>
    </font>
    <font>
      <sz val="10"/>
      <color rgb="FF006100"/>
      <name val="Century Gothic"/>
      <family val="2"/>
    </font>
    <font>
      <i/>
      <sz val="10"/>
      <color rgb="FFC00000"/>
      <name val="Century Gothic"/>
      <family val="2"/>
    </font>
    <font>
      <sz val="10"/>
      <color rgb="FF9C6500"/>
      <name val="Century Gothic"/>
      <family val="2"/>
    </font>
    <font>
      <vertAlign val="subscript"/>
      <sz val="10"/>
      <color rgb="FF006100"/>
      <name val="Century Gothic"/>
      <family val="2"/>
    </font>
    <font>
      <sz val="10"/>
      <color rgb="FFFF0000"/>
      <name val="Century Gothic"/>
      <family val="2"/>
    </font>
    <font>
      <b/>
      <sz val="10"/>
      <color rgb="FFC00000"/>
      <name val="Century Gothic"/>
      <family val="2"/>
    </font>
    <font>
      <sz val="10"/>
      <color rgb="FFC00000"/>
      <name val="Century Gothic"/>
      <family val="2"/>
    </font>
  </fonts>
  <fills count="17">
    <fill>
      <patternFill patternType="none"/>
    </fill>
    <fill>
      <patternFill patternType="gray125"/>
    </fill>
    <fill>
      <patternFill patternType="solid">
        <fgColor rgb="FF002060"/>
        <bgColor indexed="64"/>
      </patternFill>
    </fill>
    <fill>
      <patternFill patternType="solid">
        <fgColor theme="4" tint="0.79998168889431442"/>
        <bgColor indexed="64"/>
      </patternFill>
    </fill>
    <fill>
      <patternFill patternType="solid">
        <fgColor rgb="FFFFFF00"/>
        <bgColor indexed="64"/>
      </patternFill>
    </fill>
    <fill>
      <patternFill patternType="solid">
        <fgColor theme="6" tint="-0.249977111117893"/>
        <bgColor indexed="64"/>
      </patternFill>
    </fill>
    <fill>
      <patternFill patternType="solid">
        <fgColor rgb="FFFFC000"/>
        <bgColor indexed="64"/>
      </patternFill>
    </fill>
    <fill>
      <patternFill patternType="solid">
        <fgColor theme="5" tint="0.79998168889431442"/>
        <bgColor indexed="64"/>
      </patternFill>
    </fill>
    <fill>
      <patternFill patternType="solid">
        <fgColor theme="4" tint="-0.499984740745262"/>
        <bgColor indexed="64"/>
      </patternFill>
    </fill>
    <fill>
      <patternFill patternType="solid">
        <fgColor theme="0" tint="-0.249977111117893"/>
        <bgColor indexed="64"/>
      </patternFill>
    </fill>
    <fill>
      <patternFill patternType="solid">
        <fgColor rgb="FFF2A900"/>
        <bgColor indexed="64"/>
      </patternFill>
    </fill>
    <fill>
      <patternFill patternType="solid">
        <fgColor rgb="FFFFEB9C"/>
      </patternFill>
    </fill>
    <fill>
      <patternFill patternType="solid">
        <fgColor theme="0" tint="-0.14999847407452621"/>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rgb="FFC6EFCE"/>
      </patternFill>
    </fill>
    <fill>
      <patternFill patternType="solid">
        <fgColor rgb="FFFFC7CE"/>
      </patternFill>
    </fill>
  </fills>
  <borders count="35">
    <border>
      <left/>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right/>
      <top style="medium">
        <color indexed="64"/>
      </top>
      <bottom style="medium">
        <color indexed="64"/>
      </bottom>
      <diagonal/>
    </border>
    <border>
      <left/>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right style="thin">
        <color indexed="64"/>
      </right>
      <top style="medium">
        <color indexed="64"/>
      </top>
      <bottom/>
      <diagonal/>
    </border>
    <border>
      <left/>
      <right style="medium">
        <color indexed="64"/>
      </right>
      <top style="medium">
        <color indexed="64"/>
      </top>
      <bottom/>
      <diagonal/>
    </border>
    <border>
      <left/>
      <right style="thin">
        <color indexed="64"/>
      </right>
      <top/>
      <bottom/>
      <diagonal/>
    </border>
    <border>
      <left/>
      <right style="medium">
        <color indexed="64"/>
      </right>
      <top/>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style="medium">
        <color indexed="64"/>
      </top>
      <bottom/>
      <diagonal/>
    </border>
    <border>
      <left style="thin">
        <color indexed="64"/>
      </left>
      <right style="thin">
        <color indexed="64"/>
      </right>
      <top style="thin">
        <color indexed="64"/>
      </top>
      <bottom style="thin">
        <color indexed="64"/>
      </bottom>
      <diagonal/>
    </border>
    <border>
      <left/>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top/>
      <bottom style="medium">
        <color indexed="64"/>
      </bottom>
      <diagonal/>
    </border>
    <border>
      <left style="medium">
        <color indexed="64"/>
      </left>
      <right style="medium">
        <color indexed="64"/>
      </right>
      <top style="medium">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s>
  <cellStyleXfs count="10">
    <xf numFmtId="0" fontId="0"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6" fillId="0" borderId="0"/>
    <xf numFmtId="168" fontId="6" fillId="0" borderId="0" applyFont="0" applyFill="0" applyBorder="0" applyAlignment="0" applyProtection="0"/>
    <xf numFmtId="9" fontId="6" fillId="0" borderId="0" applyFont="0" applyFill="0" applyBorder="0" applyAlignment="0" applyProtection="0"/>
    <xf numFmtId="0" fontId="9" fillId="11" borderId="0" applyNumberFormat="0" applyBorder="0" applyAlignment="0" applyProtection="0"/>
    <xf numFmtId="0" fontId="11" fillId="15" borderId="0" applyNumberFormat="0" applyBorder="0" applyAlignment="0" applyProtection="0"/>
    <xf numFmtId="0" fontId="12" fillId="16" borderId="0" applyNumberFormat="0" applyBorder="0" applyAlignment="0" applyProtection="0"/>
  </cellStyleXfs>
  <cellXfs count="125">
    <xf numFmtId="0" fontId="0" fillId="0" borderId="0" xfId="0"/>
    <xf numFmtId="0" fontId="2" fillId="2" borderId="0" xfId="0" applyFont="1" applyFill="1" applyAlignment="1">
      <alignment horizontal="center" vertical="center" wrapText="1"/>
    </xf>
    <xf numFmtId="0" fontId="3" fillId="0" borderId="1" xfId="0" applyFont="1" applyBorder="1" applyAlignment="1">
      <alignment horizontal="center" vertical="center"/>
    </xf>
    <xf numFmtId="0" fontId="3" fillId="0" borderId="2" xfId="0" applyFont="1" applyBorder="1" applyAlignment="1">
      <alignment horizontal="center" vertical="center"/>
    </xf>
    <xf numFmtId="3" fontId="3" fillId="0" borderId="2" xfId="0" applyNumberFormat="1" applyFont="1" applyBorder="1" applyAlignment="1">
      <alignment horizontal="center" vertical="center"/>
    </xf>
    <xf numFmtId="0" fontId="3" fillId="0" borderId="3" xfId="0" applyFont="1" applyBorder="1" applyAlignment="1">
      <alignment horizontal="center" vertical="center"/>
    </xf>
    <xf numFmtId="0" fontId="3" fillId="0" borderId="4" xfId="0" applyFont="1" applyBorder="1" applyAlignment="1">
      <alignment horizontal="center" vertical="center"/>
    </xf>
    <xf numFmtId="3" fontId="3" fillId="0" borderId="4" xfId="0" applyNumberFormat="1" applyFont="1" applyBorder="1" applyAlignment="1">
      <alignment horizontal="center" vertical="center"/>
    </xf>
    <xf numFmtId="0" fontId="2" fillId="5" borderId="0" xfId="0" applyFont="1" applyFill="1" applyAlignment="1">
      <alignment horizontal="center" vertical="center" wrapText="1"/>
    </xf>
    <xf numFmtId="0" fontId="3" fillId="0" borderId="11" xfId="0" applyFont="1" applyBorder="1" applyAlignment="1">
      <alignment horizontal="center" vertical="center"/>
    </xf>
    <xf numFmtId="0" fontId="3" fillId="0" borderId="12" xfId="0" applyFont="1" applyBorder="1" applyAlignment="1">
      <alignment horizontal="center" vertical="center"/>
    </xf>
    <xf numFmtId="0" fontId="2" fillId="5" borderId="8" xfId="0" applyFont="1" applyFill="1" applyBorder="1" applyAlignment="1">
      <alignment horizontal="center" vertical="center" wrapText="1"/>
    </xf>
    <xf numFmtId="0" fontId="2" fillId="5" borderId="13" xfId="0" applyFont="1" applyFill="1" applyBorder="1" applyAlignment="1">
      <alignment horizontal="center" vertical="center" wrapText="1"/>
    </xf>
    <xf numFmtId="0" fontId="4" fillId="0" borderId="0" xfId="0" applyFont="1"/>
    <xf numFmtId="0" fontId="7" fillId="0" borderId="0" xfId="4" applyFont="1"/>
    <xf numFmtId="0" fontId="8" fillId="0" borderId="0" xfId="4" applyFont="1"/>
    <xf numFmtId="0" fontId="7" fillId="10" borderId="0" xfId="4" applyFont="1" applyFill="1"/>
    <xf numFmtId="0" fontId="14" fillId="0" borderId="0" xfId="0" applyFont="1"/>
    <xf numFmtId="0" fontId="15" fillId="0" borderId="0" xfId="0" applyFont="1"/>
    <xf numFmtId="0" fontId="16" fillId="6" borderId="31" xfId="0" applyFont="1" applyFill="1" applyBorder="1" applyAlignment="1">
      <alignment horizontal="center" vertical="center"/>
    </xf>
    <xf numFmtId="0" fontId="15" fillId="7" borderId="0" xfId="0" applyFont="1" applyFill="1" applyAlignment="1">
      <alignment horizontal="right" vertical="center"/>
    </xf>
    <xf numFmtId="0" fontId="17" fillId="7" borderId="0" xfId="0" applyFont="1" applyFill="1" applyAlignment="1">
      <alignment horizontal="right"/>
    </xf>
    <xf numFmtId="0" fontId="18" fillId="13" borderId="0" xfId="0" applyFont="1" applyFill="1" applyAlignment="1">
      <alignment horizontal="centerContinuous"/>
    </xf>
    <xf numFmtId="0" fontId="7" fillId="13" borderId="0" xfId="0" applyFont="1" applyFill="1" applyAlignment="1">
      <alignment horizontal="centerContinuous"/>
    </xf>
    <xf numFmtId="0" fontId="16" fillId="6" borderId="3" xfId="0" applyFont="1" applyFill="1" applyBorder="1" applyAlignment="1">
      <alignment horizontal="center" vertical="center"/>
    </xf>
    <xf numFmtId="0" fontId="15" fillId="12" borderId="16" xfId="0" applyFont="1" applyFill="1" applyBorder="1" applyAlignment="1">
      <alignment horizontal="right" vertical="center"/>
    </xf>
    <xf numFmtId="0" fontId="17" fillId="12" borderId="19" xfId="0" applyFont="1" applyFill="1" applyBorder="1" applyAlignment="1">
      <alignment horizontal="right" vertical="center"/>
    </xf>
    <xf numFmtId="0" fontId="16" fillId="0" borderId="16" xfId="0" applyFont="1" applyBorder="1" applyAlignment="1">
      <alignment horizontal="center" vertical="center"/>
    </xf>
    <xf numFmtId="0" fontId="16" fillId="0" borderId="27" xfId="0" applyFont="1" applyBorder="1" applyAlignment="1">
      <alignment horizontal="center" vertical="center"/>
    </xf>
    <xf numFmtId="0" fontId="16" fillId="0" borderId="18" xfId="0" applyFont="1" applyBorder="1" applyAlignment="1">
      <alignment horizontal="center" vertical="center"/>
    </xf>
    <xf numFmtId="0" fontId="16" fillId="0" borderId="25" xfId="0" applyFont="1" applyBorder="1" applyAlignment="1">
      <alignment horizontal="center" vertical="center"/>
    </xf>
    <xf numFmtId="0" fontId="16" fillId="0" borderId="19" xfId="0" applyFont="1" applyBorder="1" applyAlignment="1">
      <alignment horizontal="center" vertical="center"/>
    </xf>
    <xf numFmtId="0" fontId="15" fillId="12" borderId="17" xfId="0" applyFont="1" applyFill="1" applyBorder="1" applyAlignment="1">
      <alignment horizontal="right" vertical="center"/>
    </xf>
    <xf numFmtId="0" fontId="17" fillId="12" borderId="21" xfId="0" applyFont="1" applyFill="1" applyBorder="1" applyAlignment="1">
      <alignment vertical="center"/>
    </xf>
    <xf numFmtId="164" fontId="4" fillId="0" borderId="17" xfId="1" applyNumberFormat="1" applyFont="1" applyBorder="1" applyAlignment="1">
      <alignment horizontal="center" vertical="center"/>
    </xf>
    <xf numFmtId="164" fontId="4" fillId="0" borderId="0" xfId="1" applyNumberFormat="1" applyFont="1" applyBorder="1" applyAlignment="1">
      <alignment horizontal="center" vertical="center"/>
    </xf>
    <xf numFmtId="164" fontId="4" fillId="0" borderId="20" xfId="1" applyNumberFormat="1" applyFont="1" applyBorder="1" applyAlignment="1">
      <alignment horizontal="center" vertical="center"/>
    </xf>
    <xf numFmtId="164" fontId="4" fillId="0" borderId="6" xfId="1" applyNumberFormat="1" applyFont="1" applyBorder="1" applyAlignment="1">
      <alignment horizontal="center" vertical="center"/>
    </xf>
    <xf numFmtId="164" fontId="4" fillId="0" borderId="21" xfId="1" applyNumberFormat="1" applyFont="1" applyBorder="1" applyAlignment="1">
      <alignment horizontal="center" vertical="center"/>
    </xf>
    <xf numFmtId="164" fontId="17" fillId="12" borderId="21" xfId="1" applyNumberFormat="1" applyFont="1" applyFill="1" applyBorder="1" applyAlignment="1">
      <alignment vertical="center"/>
    </xf>
    <xf numFmtId="9" fontId="17" fillId="7" borderId="0" xfId="3" applyFont="1" applyFill="1" applyAlignment="1">
      <alignment horizontal="right"/>
    </xf>
    <xf numFmtId="165" fontId="17" fillId="7" borderId="0" xfId="2" applyNumberFormat="1" applyFont="1" applyFill="1" applyAlignment="1">
      <alignment horizontal="right"/>
    </xf>
    <xf numFmtId="0" fontId="15" fillId="12" borderId="30" xfId="0" applyFont="1" applyFill="1" applyBorder="1" applyAlignment="1">
      <alignment horizontal="right" vertical="center"/>
    </xf>
    <xf numFmtId="164" fontId="17" fillId="12" borderId="4" xfId="1" applyNumberFormat="1" applyFont="1" applyFill="1" applyBorder="1" applyAlignment="1">
      <alignment horizontal="right" vertical="center"/>
    </xf>
    <xf numFmtId="0" fontId="15" fillId="9" borderId="22" xfId="0" applyFont="1" applyFill="1" applyBorder="1" applyAlignment="1">
      <alignment horizontal="right" vertical="center" wrapText="1"/>
    </xf>
    <xf numFmtId="0" fontId="15" fillId="9" borderId="5" xfId="0" applyFont="1" applyFill="1" applyBorder="1" applyAlignment="1">
      <alignment horizontal="right" vertical="center" wrapText="1"/>
    </xf>
    <xf numFmtId="0" fontId="15" fillId="9" borderId="10" xfId="0" applyFont="1" applyFill="1" applyBorder="1" applyAlignment="1">
      <alignment horizontal="right" vertical="center" wrapText="1"/>
    </xf>
    <xf numFmtId="0" fontId="15" fillId="9" borderId="23" xfId="0" applyFont="1" applyFill="1" applyBorder="1" applyAlignment="1">
      <alignment horizontal="right" vertical="center" wrapText="1"/>
    </xf>
    <xf numFmtId="10" fontId="17" fillId="7" borderId="0" xfId="3" applyNumberFormat="1" applyFont="1" applyFill="1" applyAlignment="1">
      <alignment horizontal="right"/>
    </xf>
    <xf numFmtId="0" fontId="15" fillId="4" borderId="34" xfId="1" applyNumberFormat="1" applyFont="1" applyFill="1" applyBorder="1" applyAlignment="1">
      <alignment horizontal="right"/>
    </xf>
    <xf numFmtId="0" fontId="15" fillId="4" borderId="15" xfId="0" applyFont="1" applyFill="1" applyBorder="1" applyAlignment="1">
      <alignment horizontal="center"/>
    </xf>
    <xf numFmtId="0" fontId="4" fillId="0" borderId="0" xfId="0" applyFont="1" applyBorder="1"/>
    <xf numFmtId="0" fontId="4" fillId="0" borderId="21" xfId="0" applyFont="1" applyBorder="1"/>
    <xf numFmtId="0" fontId="15" fillId="4" borderId="28" xfId="1" applyNumberFormat="1" applyFont="1" applyFill="1" applyBorder="1" applyAlignment="1">
      <alignment horizontal="right"/>
    </xf>
    <xf numFmtId="164" fontId="4" fillId="4" borderId="26" xfId="1" applyNumberFormat="1" applyFont="1" applyFill="1" applyBorder="1"/>
    <xf numFmtId="0" fontId="15" fillId="4" borderId="29" xfId="3" applyNumberFormat="1" applyFont="1" applyFill="1" applyBorder="1" applyAlignment="1">
      <alignment horizontal="right"/>
    </xf>
    <xf numFmtId="10" fontId="19" fillId="4" borderId="24" xfId="3" applyNumberFormat="1" applyFont="1" applyFill="1" applyBorder="1"/>
    <xf numFmtId="0" fontId="4" fillId="0" borderId="12" xfId="0" applyFont="1" applyBorder="1"/>
    <xf numFmtId="0" fontId="4" fillId="0" borderId="4" xfId="0" applyFont="1" applyBorder="1"/>
    <xf numFmtId="0" fontId="4" fillId="0" borderId="0" xfId="0" applyFont="1" applyAlignment="1"/>
    <xf numFmtId="0" fontId="15" fillId="9" borderId="0" xfId="0" applyFont="1" applyFill="1" applyAlignment="1">
      <alignment horizontal="center" vertical="center" wrapText="1"/>
    </xf>
    <xf numFmtId="0" fontId="4" fillId="0" borderId="0" xfId="0" applyFont="1" applyAlignment="1">
      <alignment horizontal="center"/>
    </xf>
    <xf numFmtId="0" fontId="4" fillId="7" borderId="0" xfId="0" applyFont="1" applyFill="1" applyAlignment="1">
      <alignment horizontal="center" vertical="center"/>
    </xf>
    <xf numFmtId="9" fontId="4" fillId="7" borderId="0" xfId="3" applyFont="1" applyFill="1" applyAlignment="1">
      <alignment horizontal="center" vertical="center"/>
    </xf>
    <xf numFmtId="3" fontId="4" fillId="7" borderId="0" xfId="0" applyNumberFormat="1" applyFont="1" applyFill="1" applyAlignment="1">
      <alignment horizontal="center" vertical="center"/>
    </xf>
    <xf numFmtId="166" fontId="4" fillId="7" borderId="0" xfId="3" applyNumberFormat="1" applyFont="1" applyFill="1" applyAlignment="1">
      <alignment horizontal="center" vertical="center"/>
    </xf>
    <xf numFmtId="166" fontId="4" fillId="0" borderId="0" xfId="3" applyNumberFormat="1" applyFont="1" applyAlignment="1">
      <alignment horizontal="center" vertical="center"/>
    </xf>
    <xf numFmtId="10" fontId="4" fillId="0" borderId="0" xfId="3" applyNumberFormat="1" applyFont="1" applyAlignment="1">
      <alignment horizontal="center" vertical="center"/>
    </xf>
    <xf numFmtId="43" fontId="4" fillId="0" borderId="0" xfId="1" applyNumberFormat="1" applyFont="1" applyAlignment="1">
      <alignment horizontal="center" vertical="center"/>
    </xf>
    <xf numFmtId="43" fontId="4" fillId="0" borderId="0" xfId="1" applyFont="1" applyAlignment="1">
      <alignment horizontal="center" vertical="center"/>
    </xf>
    <xf numFmtId="43" fontId="4" fillId="0" borderId="0" xfId="0" applyNumberFormat="1" applyFont="1" applyAlignment="1">
      <alignment horizontal="center" vertical="center"/>
    </xf>
    <xf numFmtId="43" fontId="4" fillId="0" borderId="0" xfId="3" applyNumberFormat="1" applyFont="1"/>
    <xf numFmtId="43" fontId="4" fillId="0" borderId="0" xfId="0" applyNumberFormat="1" applyFont="1"/>
    <xf numFmtId="164" fontId="20" fillId="0" borderId="0" xfId="0" applyNumberFormat="1" applyFont="1" applyAlignment="1">
      <alignment horizontal="center" vertical="center"/>
    </xf>
    <xf numFmtId="43" fontId="20" fillId="0" borderId="0" xfId="0" applyNumberFormat="1" applyFont="1"/>
    <xf numFmtId="0" fontId="4" fillId="0" borderId="0" xfId="0" applyFont="1" applyAlignment="1">
      <alignment horizontal="center" vertical="center"/>
    </xf>
    <xf numFmtId="9" fontId="4" fillId="0" borderId="0" xfId="3" applyFont="1" applyAlignment="1">
      <alignment horizontal="center" vertical="center"/>
    </xf>
    <xf numFmtId="3" fontId="4" fillId="0" borderId="0" xfId="0" applyNumberFormat="1" applyFont="1" applyAlignment="1">
      <alignment horizontal="center" vertical="center"/>
    </xf>
    <xf numFmtId="0" fontId="21" fillId="0" borderId="0" xfId="0" applyFont="1"/>
    <xf numFmtId="164" fontId="4" fillId="0" borderId="0" xfId="1" applyNumberFormat="1" applyFont="1"/>
    <xf numFmtId="9" fontId="4" fillId="0" borderId="0" xfId="3" applyFont="1"/>
    <xf numFmtId="166" fontId="4" fillId="0" borderId="6" xfId="0" applyNumberFormat="1" applyFont="1" applyBorder="1"/>
    <xf numFmtId="166" fontId="4" fillId="0" borderId="14" xfId="3" applyNumberFormat="1" applyFont="1" applyBorder="1"/>
    <xf numFmtId="166" fontId="4" fillId="0" borderId="6" xfId="3" applyNumberFormat="1" applyFont="1" applyBorder="1"/>
    <xf numFmtId="166" fontId="4" fillId="0" borderId="14" xfId="0" applyNumberFormat="1" applyFont="1" applyBorder="1"/>
    <xf numFmtId="166" fontId="4" fillId="0" borderId="7" xfId="3" applyNumberFormat="1" applyFont="1" applyBorder="1"/>
    <xf numFmtId="166" fontId="4" fillId="0" borderId="15" xfId="0" applyNumberFormat="1" applyFont="1" applyBorder="1"/>
    <xf numFmtId="0" fontId="4" fillId="0" borderId="5" xfId="0" applyFont="1" applyBorder="1"/>
    <xf numFmtId="166" fontId="17" fillId="0" borderId="13" xfId="0" applyNumberFormat="1" applyFont="1" applyBorder="1" applyAlignment="1">
      <alignment horizontal="center" vertical="center"/>
    </xf>
    <xf numFmtId="166" fontId="17" fillId="0" borderId="13" xfId="0" applyNumberFormat="1" applyFont="1" applyBorder="1"/>
    <xf numFmtId="0" fontId="4" fillId="0" borderId="9" xfId="0" quotePrefix="1" applyFont="1" applyBorder="1"/>
    <xf numFmtId="166" fontId="17" fillId="0" borderId="15" xfId="0" applyNumberFormat="1" applyFont="1" applyBorder="1" applyAlignment="1">
      <alignment horizontal="center" vertical="center"/>
    </xf>
    <xf numFmtId="9" fontId="4" fillId="0" borderId="15" xfId="0" applyNumberFormat="1" applyFont="1" applyBorder="1"/>
    <xf numFmtId="0" fontId="4" fillId="0" borderId="10" xfId="0" applyFont="1" applyBorder="1"/>
    <xf numFmtId="0" fontId="17" fillId="12" borderId="27" xfId="0" applyFont="1" applyFill="1" applyBorder="1" applyAlignment="1">
      <alignment horizontal="right" vertical="center"/>
    </xf>
    <xf numFmtId="0" fontId="17" fillId="12" borderId="0" xfId="0" applyFont="1" applyFill="1" applyBorder="1" applyAlignment="1">
      <alignment vertical="center"/>
    </xf>
    <xf numFmtId="164" fontId="17" fillId="12" borderId="0" xfId="1" applyNumberFormat="1" applyFont="1" applyFill="1" applyBorder="1" applyAlignment="1">
      <alignment vertical="center"/>
    </xf>
    <xf numFmtId="164" fontId="17" fillId="12" borderId="12" xfId="1" applyNumberFormat="1" applyFont="1" applyFill="1" applyBorder="1" applyAlignment="1">
      <alignment horizontal="right" vertical="center"/>
    </xf>
    <xf numFmtId="0" fontId="15" fillId="4" borderId="32" xfId="3" applyNumberFormat="1" applyFont="1" applyFill="1" applyBorder="1" applyAlignment="1">
      <alignment horizontal="right"/>
    </xf>
    <xf numFmtId="10" fontId="22" fillId="4" borderId="30" xfId="3" applyNumberFormat="1" applyFont="1" applyFill="1" applyBorder="1" applyAlignment="1">
      <alignment horizontal="right"/>
    </xf>
    <xf numFmtId="10" fontId="15" fillId="4" borderId="12" xfId="3" applyNumberFormat="1" applyFont="1" applyFill="1" applyBorder="1" applyAlignment="1">
      <alignment horizontal="right"/>
    </xf>
    <xf numFmtId="10" fontId="15" fillId="4" borderId="33" xfId="3" applyNumberFormat="1" applyFont="1" applyFill="1" applyBorder="1" applyAlignment="1">
      <alignment horizontal="right"/>
    </xf>
    <xf numFmtId="10" fontId="22" fillId="4" borderId="12" xfId="3" applyNumberFormat="1" applyFont="1" applyFill="1" applyBorder="1" applyAlignment="1">
      <alignment horizontal="right"/>
    </xf>
    <xf numFmtId="10" fontId="15" fillId="4" borderId="4" xfId="3" applyNumberFormat="1" applyFont="1" applyFill="1" applyBorder="1" applyAlignment="1">
      <alignment horizontal="right"/>
    </xf>
    <xf numFmtId="164" fontId="17" fillId="7" borderId="0" xfId="1" applyNumberFormat="1" applyFont="1" applyFill="1" applyAlignment="1">
      <alignment horizontal="right"/>
    </xf>
    <xf numFmtId="0" fontId="23" fillId="0" borderId="0" xfId="0" applyFont="1"/>
    <xf numFmtId="43" fontId="4" fillId="0" borderId="0" xfId="1" applyFont="1"/>
    <xf numFmtId="0" fontId="24" fillId="0" borderId="0" xfId="0" applyFont="1"/>
    <xf numFmtId="10" fontId="20" fillId="0" borderId="0" xfId="3" applyNumberFormat="1" applyFont="1"/>
    <xf numFmtId="10" fontId="20" fillId="0" borderId="0" xfId="0" applyNumberFormat="1" applyFont="1"/>
    <xf numFmtId="0" fontId="25" fillId="14" borderId="0" xfId="0" applyFont="1" applyFill="1" applyAlignment="1">
      <alignment horizontal="center" vertical="center" wrapText="1"/>
    </xf>
    <xf numFmtId="0" fontId="25" fillId="8" borderId="0" xfId="0" applyFont="1" applyFill="1" applyAlignment="1">
      <alignment horizontal="center" vertical="center" wrapText="1"/>
    </xf>
    <xf numFmtId="0" fontId="16" fillId="0" borderId="0" xfId="0" applyFont="1"/>
    <xf numFmtId="0" fontId="29" fillId="0" borderId="0" xfId="0" applyFont="1" applyAlignment="1">
      <alignment horizontal="center" vertical="center" wrapText="1"/>
    </xf>
    <xf numFmtId="167" fontId="4" fillId="7" borderId="0" xfId="1" applyNumberFormat="1" applyFont="1" applyFill="1" applyAlignment="1">
      <alignment horizontal="center" vertical="center"/>
    </xf>
    <xf numFmtId="167" fontId="4" fillId="0" borderId="0" xfId="1" applyNumberFormat="1" applyFont="1" applyAlignment="1">
      <alignment horizontal="center" vertical="center"/>
    </xf>
    <xf numFmtId="9" fontId="4" fillId="3" borderId="0" xfId="0" applyNumberFormat="1" applyFont="1" applyFill="1"/>
    <xf numFmtId="0" fontId="4" fillId="3" borderId="0" xfId="0" applyFont="1" applyFill="1"/>
    <xf numFmtId="0" fontId="30" fillId="16" borderId="0" xfId="9" applyFont="1"/>
    <xf numFmtId="0" fontId="31" fillId="15" borderId="0" xfId="8" applyFont="1"/>
    <xf numFmtId="0" fontId="32" fillId="0" borderId="0" xfId="0" applyFont="1"/>
    <xf numFmtId="0" fontId="33" fillId="11" borderId="0" xfId="7" applyFont="1"/>
    <xf numFmtId="0" fontId="35" fillId="0" borderId="0" xfId="0" applyFont="1"/>
    <xf numFmtId="166" fontId="4" fillId="3" borderId="0" xfId="0" applyNumberFormat="1" applyFont="1" applyFill="1"/>
    <xf numFmtId="0" fontId="36" fillId="0" borderId="0" xfId="0" applyFont="1"/>
  </cellXfs>
  <cellStyles count="10">
    <cellStyle name="Bad" xfId="9" builtinId="27"/>
    <cellStyle name="Comma" xfId="1" builtinId="3"/>
    <cellStyle name="Comma 2" xfId="5"/>
    <cellStyle name="Currency" xfId="2" builtinId="4"/>
    <cellStyle name="Good" xfId="8" builtinId="26"/>
    <cellStyle name="Neutral" xfId="7" builtinId="28"/>
    <cellStyle name="Normal" xfId="0" builtinId="0"/>
    <cellStyle name="Normal 2" xfId="4"/>
    <cellStyle name="Percent" xfId="3" builtinId="5"/>
    <cellStyle name="Percent 2" xfId="6"/>
  </cellStyles>
  <dxfs count="14">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15"/>
  <sheetViews>
    <sheetView showGridLines="0" workbookViewId="0"/>
  </sheetViews>
  <sheetFormatPr defaultRowHeight="15" x14ac:dyDescent="0.25"/>
  <sheetData>
    <row r="1" spans="1:2" x14ac:dyDescent="0.25">
      <c r="A1" s="13"/>
      <c r="B1" s="13"/>
    </row>
    <row r="2" spans="1:2" x14ac:dyDescent="0.25">
      <c r="A2" s="13"/>
      <c r="B2" s="13"/>
    </row>
    <row r="3" spans="1:2" x14ac:dyDescent="0.25">
      <c r="A3" s="13"/>
      <c r="B3" s="13"/>
    </row>
    <row r="4" spans="1:2" x14ac:dyDescent="0.25">
      <c r="A4" s="13"/>
      <c r="B4" s="13"/>
    </row>
    <row r="5" spans="1:2" x14ac:dyDescent="0.25">
      <c r="A5" s="13"/>
      <c r="B5" s="13"/>
    </row>
    <row r="6" spans="1:2" x14ac:dyDescent="0.25">
      <c r="A6" s="13"/>
      <c r="B6" s="13"/>
    </row>
    <row r="7" spans="1:2" x14ac:dyDescent="0.25">
      <c r="A7" s="13"/>
      <c r="B7" s="13"/>
    </row>
    <row r="8" spans="1:2" x14ac:dyDescent="0.25">
      <c r="A8" s="13"/>
      <c r="B8" s="13"/>
    </row>
    <row r="9" spans="1:2" x14ac:dyDescent="0.25">
      <c r="A9" s="15" t="s">
        <v>50</v>
      </c>
      <c r="B9" s="14"/>
    </row>
    <row r="10" spans="1:2" x14ac:dyDescent="0.25">
      <c r="A10" s="16" t="s">
        <v>47</v>
      </c>
      <c r="B10" s="14" t="s">
        <v>51</v>
      </c>
    </row>
    <row r="11" spans="1:2" x14ac:dyDescent="0.25">
      <c r="A11" s="16" t="s">
        <v>52</v>
      </c>
      <c r="B11" s="14" t="s">
        <v>53</v>
      </c>
    </row>
    <row r="12" spans="1:2" x14ac:dyDescent="0.25">
      <c r="A12" s="16" t="s">
        <v>54</v>
      </c>
      <c r="B12" s="14" t="s">
        <v>55</v>
      </c>
    </row>
    <row r="13" spans="1:2" x14ac:dyDescent="0.25">
      <c r="A13" s="16" t="s">
        <v>56</v>
      </c>
      <c r="B13" s="14" t="s">
        <v>57</v>
      </c>
    </row>
    <row r="14" spans="1:2" x14ac:dyDescent="0.25">
      <c r="A14" s="13"/>
      <c r="B14" s="13"/>
    </row>
    <row r="15" spans="1:2" x14ac:dyDescent="0.25">
      <c r="A15" s="15" t="s">
        <v>58</v>
      </c>
      <c r="B15" s="13"/>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5" tint="0.59999389629810485"/>
  </sheetPr>
  <dimension ref="A1:O42"/>
  <sheetViews>
    <sheetView tabSelected="1" zoomScaleNormal="100" workbookViewId="0"/>
  </sheetViews>
  <sheetFormatPr defaultRowHeight="16.5" x14ac:dyDescent="0.3"/>
  <cols>
    <col min="1" max="1" width="30.85546875" style="17" bestFit="1" customWidth="1"/>
    <col min="2" max="16384" width="9.140625" style="17"/>
  </cols>
  <sheetData>
    <row r="1" spans="1:15" x14ac:dyDescent="0.3">
      <c r="A1" s="112" t="s">
        <v>47</v>
      </c>
      <c r="B1" s="13"/>
      <c r="C1" s="13"/>
      <c r="D1" s="13"/>
      <c r="E1" s="13"/>
      <c r="F1" s="13"/>
      <c r="G1" s="13"/>
      <c r="H1" s="13"/>
      <c r="I1" s="13"/>
      <c r="J1" s="13"/>
      <c r="K1" s="13"/>
      <c r="L1" s="13"/>
      <c r="M1" s="13"/>
      <c r="N1" s="13"/>
      <c r="O1" s="13"/>
    </row>
    <row r="2" spans="1:15" x14ac:dyDescent="0.3">
      <c r="A2" s="13">
        <v>1</v>
      </c>
      <c r="B2" s="13" t="s">
        <v>0</v>
      </c>
      <c r="C2" s="13"/>
      <c r="D2" s="13"/>
      <c r="E2" s="13"/>
      <c r="F2" s="13"/>
      <c r="G2" s="13"/>
      <c r="H2" s="13"/>
      <c r="I2" s="13"/>
      <c r="J2" s="13"/>
      <c r="K2" s="13"/>
      <c r="L2" s="13"/>
      <c r="M2" s="13"/>
      <c r="N2" s="13"/>
      <c r="O2" s="13"/>
    </row>
    <row r="3" spans="1:15" x14ac:dyDescent="0.3">
      <c r="A3" s="13"/>
      <c r="B3" s="13"/>
      <c r="C3" s="13"/>
      <c r="D3" s="13"/>
      <c r="E3" s="13"/>
      <c r="F3" s="13"/>
      <c r="G3" s="13"/>
      <c r="H3" s="13"/>
      <c r="I3" s="13"/>
      <c r="J3" s="13"/>
      <c r="K3" s="13"/>
      <c r="L3" s="13"/>
      <c r="M3" s="13"/>
      <c r="N3" s="13"/>
      <c r="O3" s="13"/>
    </row>
    <row r="4" spans="1:15" x14ac:dyDescent="0.3">
      <c r="A4" s="13">
        <v>2</v>
      </c>
      <c r="B4" s="13" t="s">
        <v>42</v>
      </c>
      <c r="C4" s="13"/>
      <c r="D4" s="13"/>
      <c r="E4" s="13"/>
      <c r="F4" s="13"/>
      <c r="G4" s="13"/>
      <c r="H4" s="13"/>
      <c r="I4" s="13"/>
      <c r="J4" s="13"/>
      <c r="K4" s="13"/>
      <c r="L4" s="13"/>
      <c r="M4" s="13"/>
      <c r="N4" s="13"/>
      <c r="O4" s="13"/>
    </row>
    <row r="5" spans="1:15" x14ac:dyDescent="0.3">
      <c r="A5" s="13"/>
      <c r="B5" s="13"/>
      <c r="C5" s="13"/>
      <c r="D5" s="13"/>
      <c r="E5" s="13"/>
      <c r="F5" s="13"/>
      <c r="G5" s="13"/>
      <c r="H5" s="13"/>
      <c r="I5" s="13"/>
      <c r="J5" s="13"/>
      <c r="K5" s="13"/>
      <c r="L5" s="13"/>
      <c r="M5" s="13"/>
      <c r="N5" s="13"/>
      <c r="O5" s="13"/>
    </row>
    <row r="6" spans="1:15" x14ac:dyDescent="0.3">
      <c r="A6" s="13" t="s">
        <v>11</v>
      </c>
      <c r="B6" s="13" t="s">
        <v>12</v>
      </c>
      <c r="C6" s="116">
        <v>0.1</v>
      </c>
      <c r="D6" s="13"/>
      <c r="E6" s="13"/>
      <c r="F6" s="13"/>
      <c r="G6" s="13"/>
      <c r="H6" s="13"/>
      <c r="I6" s="13"/>
      <c r="J6" s="13"/>
      <c r="K6" s="13"/>
      <c r="L6" s="13"/>
      <c r="M6" s="13"/>
      <c r="N6" s="13"/>
      <c r="O6" s="13"/>
    </row>
    <row r="7" spans="1:15" x14ac:dyDescent="0.3">
      <c r="A7" s="13"/>
      <c r="B7" s="13" t="s">
        <v>13</v>
      </c>
      <c r="C7" s="116">
        <v>0.05</v>
      </c>
      <c r="D7" s="13"/>
      <c r="E7" s="13"/>
      <c r="F7" s="13"/>
      <c r="G7" s="13"/>
      <c r="H7" s="13"/>
      <c r="I7" s="13"/>
      <c r="J7" s="13"/>
      <c r="K7" s="13"/>
      <c r="L7" s="13"/>
      <c r="M7" s="13"/>
      <c r="N7" s="13"/>
      <c r="O7" s="13"/>
    </row>
    <row r="8" spans="1:15" x14ac:dyDescent="0.3">
      <c r="A8" s="13"/>
      <c r="B8" s="13"/>
      <c r="C8" s="13"/>
      <c r="D8" s="13"/>
      <c r="E8" s="13"/>
      <c r="F8" s="13"/>
      <c r="G8" s="18" t="s">
        <v>91</v>
      </c>
      <c r="H8" s="13"/>
      <c r="I8" s="13"/>
      <c r="J8" s="13"/>
      <c r="K8" s="13"/>
      <c r="L8" s="13"/>
      <c r="M8" s="13"/>
      <c r="N8" s="13"/>
      <c r="O8" s="13"/>
    </row>
    <row r="9" spans="1:15" x14ac:dyDescent="0.3">
      <c r="A9" s="13" t="s">
        <v>15</v>
      </c>
      <c r="B9" s="13" t="s">
        <v>12</v>
      </c>
      <c r="C9" s="117">
        <v>50</v>
      </c>
      <c r="D9" s="13"/>
      <c r="E9" s="13"/>
      <c r="F9" s="13"/>
      <c r="G9" s="118">
        <v>1</v>
      </c>
      <c r="H9" s="13" t="s">
        <v>92</v>
      </c>
      <c r="I9" s="13"/>
      <c r="J9" s="13"/>
      <c r="K9" s="13"/>
      <c r="L9" s="13"/>
      <c r="M9" s="13"/>
      <c r="N9" s="13"/>
      <c r="O9" s="13"/>
    </row>
    <row r="10" spans="1:15" x14ac:dyDescent="0.3">
      <c r="A10" s="13"/>
      <c r="B10" s="13" t="s">
        <v>13</v>
      </c>
      <c r="C10" s="117">
        <v>60</v>
      </c>
      <c r="D10" s="13"/>
      <c r="E10" s="13"/>
      <c r="F10" s="13"/>
      <c r="G10" s="119">
        <v>2</v>
      </c>
      <c r="H10" s="13" t="s">
        <v>93</v>
      </c>
      <c r="I10" s="13"/>
      <c r="J10" s="13"/>
      <c r="K10" s="120" t="s">
        <v>97</v>
      </c>
      <c r="L10" s="13"/>
      <c r="M10" s="13"/>
      <c r="N10" s="13"/>
      <c r="O10" s="13"/>
    </row>
    <row r="11" spans="1:15" x14ac:dyDescent="0.3">
      <c r="A11" s="13"/>
      <c r="B11" s="13"/>
      <c r="C11" s="13"/>
      <c r="D11" s="13"/>
      <c r="E11" s="13"/>
      <c r="F11" s="13"/>
      <c r="G11" s="13">
        <v>3</v>
      </c>
      <c r="H11" s="13" t="s">
        <v>94</v>
      </c>
      <c r="I11" s="13"/>
      <c r="J11" s="13"/>
      <c r="K11" s="13"/>
      <c r="L11" s="13"/>
      <c r="M11" s="13"/>
      <c r="N11" s="13"/>
      <c r="O11" s="13"/>
    </row>
    <row r="12" spans="1:15" x14ac:dyDescent="0.3">
      <c r="A12" s="13"/>
      <c r="B12" s="13"/>
      <c r="C12" s="13"/>
      <c r="D12" s="13"/>
      <c r="E12" s="13"/>
      <c r="F12" s="13"/>
      <c r="G12" s="119">
        <v>4</v>
      </c>
      <c r="H12" s="13" t="s">
        <v>95</v>
      </c>
      <c r="I12" s="13"/>
      <c r="J12" s="13"/>
      <c r="K12" s="13"/>
      <c r="L12" s="13"/>
      <c r="M12" s="13"/>
      <c r="N12" s="13"/>
      <c r="O12" s="13"/>
    </row>
    <row r="13" spans="1:15" x14ac:dyDescent="0.3">
      <c r="A13" s="121" t="s">
        <v>104</v>
      </c>
      <c r="B13" s="13"/>
      <c r="C13" s="13"/>
      <c r="D13" s="13"/>
      <c r="E13" s="13"/>
      <c r="F13" s="13"/>
      <c r="G13" s="119">
        <v>5</v>
      </c>
      <c r="H13" s="13" t="s">
        <v>96</v>
      </c>
      <c r="I13" s="13"/>
      <c r="J13" s="13"/>
      <c r="K13" s="13" t="s">
        <v>103</v>
      </c>
      <c r="L13" s="13"/>
      <c r="M13" s="13"/>
      <c r="N13" s="13"/>
      <c r="O13" s="13"/>
    </row>
    <row r="14" spans="1:15" x14ac:dyDescent="0.3">
      <c r="A14" s="13"/>
      <c r="B14" s="13"/>
      <c r="C14" s="13"/>
      <c r="D14" s="13"/>
      <c r="E14" s="13"/>
      <c r="F14" s="13"/>
      <c r="G14" s="121">
        <v>6</v>
      </c>
      <c r="H14" s="13" t="s">
        <v>99</v>
      </c>
      <c r="I14" s="13"/>
      <c r="J14" s="13"/>
      <c r="K14" s="13"/>
      <c r="L14" s="13"/>
      <c r="M14" s="13"/>
      <c r="N14" s="13"/>
      <c r="O14" s="119" t="s">
        <v>102</v>
      </c>
    </row>
    <row r="15" spans="1:15" x14ac:dyDescent="0.3">
      <c r="A15" s="121" t="s">
        <v>1</v>
      </c>
      <c r="B15" s="119" t="s">
        <v>118</v>
      </c>
      <c r="C15" s="13"/>
      <c r="D15" s="13"/>
      <c r="E15" s="13"/>
      <c r="F15" s="13"/>
      <c r="G15" s="13">
        <v>7</v>
      </c>
      <c r="H15" s="13" t="s">
        <v>100</v>
      </c>
      <c r="I15" s="13"/>
      <c r="J15" s="13"/>
      <c r="K15" s="120" t="s">
        <v>101</v>
      </c>
      <c r="L15" s="13"/>
      <c r="M15" s="13"/>
      <c r="N15" s="13"/>
      <c r="O15" s="13"/>
    </row>
    <row r="16" spans="1:15" x14ac:dyDescent="0.3">
      <c r="A16" s="13"/>
      <c r="B16" s="13" t="s">
        <v>105</v>
      </c>
      <c r="C16" s="13"/>
      <c r="D16" s="13"/>
      <c r="E16" s="13"/>
      <c r="F16" s="13"/>
      <c r="G16" s="13"/>
      <c r="H16" s="13"/>
      <c r="I16" s="13"/>
      <c r="J16" s="13"/>
      <c r="K16" s="13"/>
      <c r="L16" s="13"/>
      <c r="M16" s="13"/>
      <c r="N16" s="13"/>
      <c r="O16" s="13"/>
    </row>
    <row r="17" spans="1:15" x14ac:dyDescent="0.3">
      <c r="A17" s="13"/>
      <c r="B17" s="119" t="s">
        <v>106</v>
      </c>
      <c r="C17" s="13"/>
      <c r="D17" s="13"/>
      <c r="E17" s="13"/>
      <c r="F17" s="13"/>
      <c r="G17" s="13"/>
      <c r="H17" s="13"/>
      <c r="I17" s="13"/>
      <c r="J17" s="13"/>
      <c r="K17" s="13"/>
      <c r="L17" s="13"/>
      <c r="M17" s="13"/>
      <c r="N17" s="13"/>
      <c r="O17" s="13"/>
    </row>
    <row r="18" spans="1:15" x14ac:dyDescent="0.3">
      <c r="A18" s="13" t="s">
        <v>2</v>
      </c>
      <c r="B18" s="116">
        <v>0</v>
      </c>
      <c r="C18" s="122" t="s">
        <v>39</v>
      </c>
      <c r="D18" s="13"/>
      <c r="E18" s="13"/>
      <c r="F18" s="13"/>
      <c r="G18" s="13"/>
      <c r="H18" s="13"/>
      <c r="I18" s="13"/>
      <c r="J18" s="13"/>
      <c r="K18" s="13"/>
      <c r="L18" s="13"/>
      <c r="M18" s="13"/>
      <c r="N18" s="13"/>
      <c r="O18" s="13"/>
    </row>
    <row r="19" spans="1:15" x14ac:dyDescent="0.3">
      <c r="A19" s="13" t="s">
        <v>26</v>
      </c>
      <c r="B19" s="123">
        <v>0.75</v>
      </c>
      <c r="C19" s="13"/>
      <c r="D19" s="13"/>
      <c r="E19" s="13"/>
      <c r="F19" s="13"/>
      <c r="G19" s="13"/>
      <c r="H19" s="13"/>
      <c r="I19" s="13"/>
      <c r="J19" s="13"/>
      <c r="K19" s="13"/>
      <c r="L19" s="13"/>
      <c r="M19" s="13"/>
      <c r="N19" s="13"/>
      <c r="O19" s="13"/>
    </row>
    <row r="20" spans="1:15" x14ac:dyDescent="0.3">
      <c r="A20" s="13" t="s">
        <v>3</v>
      </c>
      <c r="B20" s="13" t="s">
        <v>12</v>
      </c>
      <c r="C20" s="123">
        <f>'opening demographics'!F12</f>
        <v>3.6484317092170926E-2</v>
      </c>
      <c r="D20" s="122" t="s">
        <v>39</v>
      </c>
      <c r="E20" s="13"/>
      <c r="F20" s="13"/>
      <c r="G20" s="13"/>
      <c r="H20" s="13"/>
      <c r="I20" s="13"/>
      <c r="J20" s="13"/>
      <c r="K20" s="13"/>
      <c r="L20" s="13"/>
      <c r="M20" s="13"/>
      <c r="N20" s="13"/>
      <c r="O20" s="13"/>
    </row>
    <row r="21" spans="1:15" x14ac:dyDescent="0.3">
      <c r="A21" s="13"/>
      <c r="B21" s="13" t="s">
        <v>13</v>
      </c>
      <c r="C21" s="123">
        <f>'opening demographics'!G12</f>
        <v>1.501035790919647E-2</v>
      </c>
      <c r="D21" s="122" t="s">
        <v>39</v>
      </c>
      <c r="E21" s="13"/>
      <c r="F21" s="13"/>
      <c r="G21" s="13"/>
      <c r="H21" s="13"/>
      <c r="I21" s="13"/>
      <c r="J21" s="13"/>
      <c r="K21" s="13"/>
      <c r="L21" s="13"/>
      <c r="M21" s="13"/>
      <c r="N21" s="13"/>
      <c r="O21" s="13"/>
    </row>
    <row r="22" spans="1:15" x14ac:dyDescent="0.3">
      <c r="A22" s="13"/>
      <c r="B22" s="13"/>
      <c r="C22" s="13"/>
      <c r="D22" s="13"/>
      <c r="E22" s="13"/>
      <c r="F22" s="13"/>
      <c r="G22" s="13"/>
      <c r="H22" s="13"/>
      <c r="I22" s="13"/>
      <c r="J22" s="13"/>
      <c r="K22" s="13"/>
      <c r="L22" s="13"/>
      <c r="M22" s="13"/>
      <c r="N22" s="13"/>
      <c r="O22" s="13"/>
    </row>
    <row r="23" spans="1:15" x14ac:dyDescent="0.3">
      <c r="A23" s="13" t="s">
        <v>14</v>
      </c>
      <c r="B23" s="116">
        <v>0.04</v>
      </c>
      <c r="C23" s="122" t="s">
        <v>39</v>
      </c>
      <c r="D23" s="13"/>
      <c r="E23" s="13"/>
      <c r="F23" s="13"/>
      <c r="G23" s="13"/>
      <c r="H23" s="13"/>
      <c r="I23" s="13"/>
      <c r="J23" s="13"/>
      <c r="K23" s="13"/>
      <c r="L23" s="13"/>
      <c r="M23" s="13"/>
      <c r="N23" s="13"/>
      <c r="O23" s="13"/>
    </row>
    <row r="24" spans="1:15" x14ac:dyDescent="0.3">
      <c r="A24" s="13"/>
      <c r="B24" s="13"/>
      <c r="C24" s="13"/>
      <c r="D24" s="13"/>
      <c r="E24" s="13"/>
      <c r="F24" s="13"/>
      <c r="G24" s="13"/>
      <c r="H24" s="13"/>
      <c r="I24" s="13"/>
      <c r="J24" s="13"/>
      <c r="K24" s="13"/>
      <c r="L24" s="13"/>
      <c r="M24" s="13"/>
      <c r="N24" s="13"/>
      <c r="O24" s="13"/>
    </row>
    <row r="25" spans="1:15" x14ac:dyDescent="0.3">
      <c r="A25" s="13" t="s">
        <v>4</v>
      </c>
      <c r="B25" s="116">
        <v>0.2</v>
      </c>
      <c r="C25" s="122" t="s">
        <v>38</v>
      </c>
      <c r="D25" s="13"/>
      <c r="E25" s="122" t="s">
        <v>43</v>
      </c>
      <c r="F25" s="13"/>
      <c r="G25" s="124" t="s">
        <v>89</v>
      </c>
      <c r="H25" s="13"/>
      <c r="I25" s="13"/>
      <c r="J25" s="13"/>
      <c r="K25" s="13"/>
      <c r="L25" s="13"/>
      <c r="M25" s="13"/>
      <c r="N25" s="13"/>
      <c r="O25" s="13"/>
    </row>
    <row r="26" spans="1:15" x14ac:dyDescent="0.3">
      <c r="A26" s="13"/>
      <c r="B26" s="13"/>
      <c r="C26" s="122"/>
      <c r="D26" s="13"/>
      <c r="E26" s="13"/>
      <c r="F26" s="13"/>
      <c r="G26" s="112" t="s">
        <v>119</v>
      </c>
      <c r="H26" s="13"/>
      <c r="I26" s="13"/>
      <c r="J26" s="13"/>
      <c r="K26" s="13"/>
      <c r="L26" s="13"/>
      <c r="M26" s="13"/>
      <c r="N26" s="13"/>
      <c r="O26" s="13"/>
    </row>
    <row r="27" spans="1:15" x14ac:dyDescent="0.3">
      <c r="A27" s="13" t="s">
        <v>41</v>
      </c>
      <c r="B27" s="116">
        <v>0.1</v>
      </c>
      <c r="C27" s="122" t="s">
        <v>38</v>
      </c>
      <c r="D27" s="13"/>
      <c r="E27" s="122" t="s">
        <v>43</v>
      </c>
      <c r="F27" s="13"/>
      <c r="G27" s="13" t="s">
        <v>82</v>
      </c>
      <c r="H27" s="13"/>
      <c r="I27" s="13"/>
      <c r="J27" s="13"/>
      <c r="K27" s="13"/>
      <c r="L27" s="13"/>
      <c r="M27" s="13"/>
      <c r="N27" s="13"/>
      <c r="O27" s="13"/>
    </row>
    <row r="28" spans="1:15" x14ac:dyDescent="0.3">
      <c r="A28" s="13"/>
      <c r="B28" s="13"/>
      <c r="C28" s="13"/>
      <c r="D28" s="13"/>
      <c r="E28" s="13"/>
      <c r="F28" s="13"/>
      <c r="G28" s="13" t="s">
        <v>120</v>
      </c>
      <c r="H28" s="13"/>
      <c r="I28" s="13"/>
      <c r="J28" s="13"/>
      <c r="K28" s="13"/>
      <c r="L28" s="13"/>
      <c r="M28" s="13"/>
      <c r="N28" s="13"/>
      <c r="O28" s="13"/>
    </row>
    <row r="29" spans="1:15" x14ac:dyDescent="0.3">
      <c r="A29" s="13"/>
      <c r="B29" s="13"/>
      <c r="C29" s="13"/>
      <c r="D29" s="13"/>
      <c r="E29" s="13"/>
      <c r="F29" s="13"/>
      <c r="G29" s="13" t="s">
        <v>48</v>
      </c>
      <c r="H29" s="13"/>
      <c r="I29" s="13"/>
      <c r="J29" s="13"/>
      <c r="K29" s="13"/>
      <c r="L29" s="13"/>
      <c r="M29" s="13"/>
      <c r="N29" s="13"/>
      <c r="O29" s="13"/>
    </row>
    <row r="30" spans="1:15" x14ac:dyDescent="0.3">
      <c r="A30" s="13"/>
      <c r="B30" s="13"/>
      <c r="C30" s="13"/>
      <c r="D30" s="13"/>
      <c r="E30" s="13"/>
      <c r="F30" s="13"/>
      <c r="G30" s="59" t="s">
        <v>83</v>
      </c>
      <c r="H30" s="13"/>
      <c r="I30" s="13"/>
      <c r="J30" s="13"/>
      <c r="K30" s="13"/>
      <c r="L30" s="13"/>
      <c r="M30" s="13"/>
      <c r="N30" s="13"/>
      <c r="O30" s="13"/>
    </row>
    <row r="31" spans="1:15" x14ac:dyDescent="0.3">
      <c r="A31" s="13"/>
      <c r="B31" s="13"/>
      <c r="C31" s="13"/>
      <c r="D31" s="13"/>
      <c r="E31" s="13"/>
      <c r="F31" s="13"/>
      <c r="G31" s="59" t="s">
        <v>85</v>
      </c>
      <c r="H31" s="13"/>
      <c r="I31" s="13"/>
      <c r="J31" s="13"/>
      <c r="K31" s="13"/>
      <c r="L31" s="13"/>
      <c r="M31" s="13"/>
      <c r="N31" s="13"/>
      <c r="O31" s="13"/>
    </row>
    <row r="32" spans="1:15" x14ac:dyDescent="0.3">
      <c r="A32" s="13"/>
      <c r="B32" s="13"/>
      <c r="C32" s="13"/>
      <c r="D32" s="13"/>
      <c r="E32" s="13"/>
      <c r="F32" s="13"/>
      <c r="G32" s="59" t="s">
        <v>84</v>
      </c>
      <c r="H32" s="13"/>
      <c r="I32" s="13"/>
      <c r="J32" s="13"/>
      <c r="K32" s="13"/>
      <c r="L32" s="13"/>
      <c r="M32" s="13"/>
      <c r="N32" s="13"/>
      <c r="O32" s="13"/>
    </row>
    <row r="33" spans="1:15" x14ac:dyDescent="0.3">
      <c r="A33" s="13"/>
      <c r="B33" s="13"/>
      <c r="C33" s="13"/>
      <c r="D33" s="13"/>
      <c r="E33" s="13"/>
      <c r="F33" s="13"/>
      <c r="G33" s="13"/>
      <c r="H33" s="13"/>
      <c r="I33" s="13"/>
      <c r="J33" s="13"/>
      <c r="K33" s="13"/>
      <c r="L33" s="13"/>
      <c r="M33" s="13"/>
      <c r="N33" s="13"/>
      <c r="O33" s="13"/>
    </row>
    <row r="34" spans="1:15" x14ac:dyDescent="0.3">
      <c r="A34" s="13"/>
      <c r="B34" s="13"/>
      <c r="C34" s="13"/>
      <c r="D34" s="13"/>
      <c r="E34" s="13"/>
      <c r="F34" s="13"/>
      <c r="G34" s="124" t="s">
        <v>90</v>
      </c>
      <c r="H34" s="13"/>
      <c r="I34" s="13"/>
      <c r="J34" s="13"/>
      <c r="K34" s="13"/>
      <c r="L34" s="13"/>
      <c r="M34" s="13"/>
      <c r="N34" s="13"/>
      <c r="O34" s="13"/>
    </row>
    <row r="35" spans="1:15" x14ac:dyDescent="0.3">
      <c r="A35" s="13"/>
      <c r="B35" s="13"/>
      <c r="C35" s="13"/>
      <c r="D35" s="13"/>
      <c r="E35" s="13"/>
      <c r="F35" s="13"/>
      <c r="G35" s="13" t="s">
        <v>87</v>
      </c>
      <c r="H35" s="13"/>
      <c r="I35" s="13"/>
      <c r="J35" s="13"/>
      <c r="K35" s="13"/>
      <c r="L35" s="13"/>
      <c r="M35" s="13"/>
      <c r="N35" s="13"/>
      <c r="O35" s="13"/>
    </row>
    <row r="36" spans="1:15" x14ac:dyDescent="0.3">
      <c r="A36" s="13"/>
      <c r="B36" s="13"/>
      <c r="C36" s="13"/>
      <c r="D36" s="13"/>
      <c r="E36" s="13"/>
      <c r="F36" s="13"/>
      <c r="G36" s="13" t="s">
        <v>86</v>
      </c>
      <c r="H36" s="13"/>
      <c r="I36" s="13"/>
      <c r="J36" s="13"/>
      <c r="K36" s="13"/>
      <c r="L36" s="13"/>
      <c r="M36" s="13"/>
      <c r="N36" s="13"/>
      <c r="O36" s="13"/>
    </row>
    <row r="37" spans="1:15" x14ac:dyDescent="0.3">
      <c r="A37" s="13"/>
      <c r="B37" s="13"/>
      <c r="C37" s="13"/>
      <c r="D37" s="13"/>
      <c r="E37" s="13"/>
      <c r="F37" s="13"/>
      <c r="G37" s="13"/>
      <c r="H37" s="13"/>
      <c r="I37" s="13"/>
      <c r="J37" s="13"/>
      <c r="K37" s="13"/>
      <c r="L37" s="13"/>
      <c r="M37" s="13"/>
      <c r="N37" s="13"/>
      <c r="O37" s="13"/>
    </row>
    <row r="38" spans="1:15" x14ac:dyDescent="0.3">
      <c r="A38" s="13"/>
      <c r="B38" s="13"/>
      <c r="C38" s="13"/>
      <c r="D38" s="13"/>
      <c r="E38" s="13"/>
      <c r="F38" s="13"/>
      <c r="G38" s="112" t="s">
        <v>121</v>
      </c>
      <c r="H38" s="13"/>
      <c r="I38" s="13"/>
      <c r="J38" s="13"/>
      <c r="K38" s="13"/>
      <c r="L38" s="13"/>
      <c r="M38" s="13"/>
      <c r="N38" s="13"/>
      <c r="O38" s="13"/>
    </row>
    <row r="39" spans="1:15" x14ac:dyDescent="0.3">
      <c r="A39" s="13"/>
      <c r="B39" s="13"/>
      <c r="C39" s="13"/>
      <c r="D39" s="13"/>
      <c r="E39" s="13"/>
      <c r="F39" s="13"/>
      <c r="G39" s="13"/>
      <c r="H39" s="13"/>
      <c r="I39" s="13"/>
      <c r="J39" s="13"/>
      <c r="K39" s="13"/>
      <c r="L39" s="13"/>
      <c r="M39" s="13"/>
      <c r="N39" s="13"/>
      <c r="O39" s="13"/>
    </row>
    <row r="40" spans="1:15" x14ac:dyDescent="0.3">
      <c r="A40" s="13"/>
      <c r="B40" s="13"/>
      <c r="C40" s="13"/>
      <c r="D40" s="13"/>
      <c r="E40" s="13"/>
      <c r="F40" s="13"/>
      <c r="G40" s="124" t="s">
        <v>88</v>
      </c>
      <c r="H40" s="13"/>
      <c r="I40" s="13"/>
      <c r="J40" s="13"/>
      <c r="K40" s="13"/>
      <c r="L40" s="13"/>
      <c r="M40" s="13"/>
      <c r="N40" s="13"/>
      <c r="O40" s="13"/>
    </row>
    <row r="41" spans="1:15" x14ac:dyDescent="0.3">
      <c r="A41" s="13"/>
      <c r="B41" s="13"/>
      <c r="C41" s="13"/>
      <c r="D41" s="13"/>
      <c r="E41" s="13"/>
      <c r="F41" s="13"/>
      <c r="G41" s="112" t="s">
        <v>122</v>
      </c>
      <c r="H41" s="13"/>
      <c r="I41" s="13"/>
      <c r="J41" s="13"/>
      <c r="K41" s="13"/>
      <c r="L41" s="13"/>
      <c r="M41" s="13"/>
      <c r="N41" s="13"/>
      <c r="O41" s="13"/>
    </row>
    <row r="42" spans="1:15" x14ac:dyDescent="0.3">
      <c r="A42" s="13"/>
      <c r="B42" s="13"/>
      <c r="C42" s="13"/>
      <c r="D42" s="13"/>
      <c r="E42" s="13"/>
      <c r="F42" s="13"/>
      <c r="G42" s="13" t="s">
        <v>123</v>
      </c>
      <c r="H42" s="13"/>
      <c r="I42" s="13"/>
      <c r="J42" s="13"/>
      <c r="K42" s="13"/>
      <c r="L42" s="13"/>
      <c r="M42" s="13"/>
      <c r="N42" s="13"/>
      <c r="O42" s="13"/>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3" tint="-0.249977111117893"/>
  </sheetPr>
  <dimension ref="A1"/>
  <sheetViews>
    <sheetView showGridLines="0" workbookViewId="0"/>
  </sheetViews>
  <sheetFormatPr defaultRowHeight="15"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4" tint="0.59999389629810485"/>
  </sheetPr>
  <dimension ref="A1:H81"/>
  <sheetViews>
    <sheetView zoomScale="85" zoomScaleNormal="85" workbookViewId="0"/>
  </sheetViews>
  <sheetFormatPr defaultRowHeight="16.5" x14ac:dyDescent="0.3"/>
  <cols>
    <col min="1" max="1" width="2.85546875" style="17" customWidth="1"/>
    <col min="2" max="2" width="14.85546875" style="17" customWidth="1"/>
    <col min="3" max="3" width="17.85546875" style="17" bestFit="1" customWidth="1"/>
    <col min="4" max="4" width="11.140625" style="17" customWidth="1"/>
    <col min="5" max="5" width="17.85546875" style="17" bestFit="1" customWidth="1"/>
    <col min="6" max="7" width="17.85546875" style="17" customWidth="1"/>
    <col min="8" max="8" width="17.42578125" style="17" bestFit="1" customWidth="1"/>
    <col min="9" max="16384" width="9.140625" style="17"/>
  </cols>
  <sheetData>
    <row r="1" spans="1:8" ht="15" customHeight="1" thickBot="1" x14ac:dyDescent="0.35">
      <c r="A1" s="18" t="s">
        <v>46</v>
      </c>
      <c r="B1" s="13"/>
      <c r="C1" s="13"/>
      <c r="D1" s="13"/>
      <c r="E1" s="13"/>
      <c r="F1" s="13"/>
      <c r="G1" s="13"/>
      <c r="H1" s="13"/>
    </row>
    <row r="2" spans="1:8" ht="15" customHeight="1" x14ac:dyDescent="0.3">
      <c r="A2" s="13"/>
      <c r="B2" s="19" t="s">
        <v>19</v>
      </c>
      <c r="C2" s="20" t="s">
        <v>28</v>
      </c>
      <c r="D2" s="21" t="str">
        <f>RIGHT($B$3,1)</f>
        <v>A</v>
      </c>
      <c r="E2" s="13"/>
      <c r="F2" s="13" t="s">
        <v>44</v>
      </c>
      <c r="G2" s="13"/>
      <c r="H2" s="13"/>
    </row>
    <row r="3" spans="1:8" ht="15" customHeight="1" thickBot="1" x14ac:dyDescent="0.35">
      <c r="A3" s="13"/>
      <c r="B3" s="24" t="str">
        <f>PUC_Projection!B3</f>
        <v>30A</v>
      </c>
      <c r="C3" s="20" t="s">
        <v>77</v>
      </c>
      <c r="D3" s="21">
        <f>VLOOKUP($B$3,'opening demographics'!$A$1:$E$11,3,FALSE)</f>
        <v>20</v>
      </c>
      <c r="E3" s="13"/>
      <c r="F3" s="13" t="s">
        <v>45</v>
      </c>
      <c r="G3" s="13"/>
      <c r="H3" s="13"/>
    </row>
    <row r="4" spans="1:8" ht="15" customHeight="1" x14ac:dyDescent="0.3">
      <c r="A4" s="13"/>
      <c r="B4" s="13"/>
      <c r="C4" s="20" t="s">
        <v>29</v>
      </c>
      <c r="D4" s="21">
        <f>VALUE(LEFT($B$3,2))</f>
        <v>30</v>
      </c>
      <c r="E4" s="13"/>
      <c r="F4" s="13"/>
      <c r="G4" s="13"/>
      <c r="H4" s="13"/>
    </row>
    <row r="5" spans="1:8" ht="15" customHeight="1" x14ac:dyDescent="0.3">
      <c r="A5" s="13"/>
      <c r="B5" s="13"/>
      <c r="C5" s="20" t="s">
        <v>30</v>
      </c>
      <c r="D5" s="21">
        <f ca="1">INDIRECT("NRA_"&amp;$D$2)</f>
        <v>50</v>
      </c>
      <c r="E5" s="13"/>
      <c r="F5" s="13"/>
      <c r="G5" s="13"/>
      <c r="H5" s="13"/>
    </row>
    <row r="6" spans="1:8" ht="15" customHeight="1" x14ac:dyDescent="0.3">
      <c r="A6" s="13"/>
      <c r="B6" s="13"/>
      <c r="C6" s="20" t="s">
        <v>31</v>
      </c>
      <c r="D6" s="40">
        <f ca="1">INDIRECT("accrual_rate_"&amp;$D$2)</f>
        <v>0.1</v>
      </c>
      <c r="E6" s="13"/>
      <c r="F6" s="13"/>
      <c r="G6" s="13"/>
      <c r="H6" s="13"/>
    </row>
    <row r="7" spans="1:8" ht="15" customHeight="1" x14ac:dyDescent="0.3">
      <c r="A7" s="13"/>
      <c r="B7" s="13"/>
      <c r="C7" s="20" t="s">
        <v>32</v>
      </c>
      <c r="D7" s="41">
        <f>VLOOKUP($B$3,'opening demographics'!$A$1:$E$11,4,FALSE)</f>
        <v>100000</v>
      </c>
      <c r="E7" s="13"/>
      <c r="F7" s="13"/>
      <c r="G7" s="13"/>
      <c r="H7" s="13"/>
    </row>
    <row r="8" spans="1:8" ht="15" customHeight="1" x14ac:dyDescent="0.3">
      <c r="A8" s="13"/>
      <c r="B8" s="13"/>
      <c r="C8" s="20" t="s">
        <v>33</v>
      </c>
      <c r="D8" s="48">
        <f ca="1">INDIRECT("e_"&amp;$D$2)</f>
        <v>3.6484317092170926E-2</v>
      </c>
      <c r="E8" s="13"/>
      <c r="F8" s="13"/>
      <c r="G8" s="13"/>
      <c r="H8" s="13"/>
    </row>
    <row r="9" spans="1:8" ht="15" customHeight="1" x14ac:dyDescent="0.3">
      <c r="A9" s="13"/>
      <c r="B9" s="13"/>
      <c r="C9" s="13"/>
      <c r="D9" s="13"/>
      <c r="E9" s="13"/>
      <c r="F9" s="13"/>
      <c r="G9" s="13"/>
      <c r="H9" s="13"/>
    </row>
    <row r="10" spans="1:8" ht="51.75" customHeight="1" x14ac:dyDescent="0.3">
      <c r="A10" s="13"/>
      <c r="B10" s="111" t="s">
        <v>75</v>
      </c>
      <c r="C10" s="111" t="s">
        <v>23</v>
      </c>
      <c r="D10" s="111" t="s">
        <v>35</v>
      </c>
      <c r="E10" s="111" t="s">
        <v>2</v>
      </c>
      <c r="F10" s="111" t="s">
        <v>37</v>
      </c>
      <c r="G10" s="111" t="s">
        <v>40</v>
      </c>
      <c r="H10" s="111" t="s">
        <v>36</v>
      </c>
    </row>
    <row r="11" spans="1:8" ht="15" customHeight="1" x14ac:dyDescent="0.3">
      <c r="A11" s="13"/>
      <c r="B11" s="61">
        <v>1</v>
      </c>
      <c r="C11" s="62">
        <f>D4</f>
        <v>30</v>
      </c>
      <c r="D11" s="114">
        <v>1</v>
      </c>
      <c r="E11" s="115">
        <f ca="1">IF($D$2="A",(D11-G11)*withdraw_rate*(C11&lt;$D$5),(D11-G11)*withdraw_rate*(C11&lt;&gt;$D$5-1))</f>
        <v>0</v>
      </c>
      <c r="F11" s="115">
        <f ca="1">IF($D$2="A",(D11-G11)*retire_rate_A*(C11&gt;=$D$5-1),(D11-G11)*100%*(C11=$D$5-1))</f>
        <v>0</v>
      </c>
      <c r="G11" s="115">
        <f ca="1">IF($D$2="A",D11*mort_rate_A*(C11&gt;=$D$5),0)</f>
        <v>0</v>
      </c>
      <c r="H11" s="115">
        <f ca="1">D11-E11-F11-G11</f>
        <v>1</v>
      </c>
    </row>
    <row r="12" spans="1:8" ht="15" customHeight="1" x14ac:dyDescent="0.3">
      <c r="A12" s="13"/>
      <c r="B12" s="61">
        <f>IF($C12="","",B11+1)</f>
        <v>2</v>
      </c>
      <c r="C12" s="75">
        <f t="shared" ref="C12:C43" si="0">IF(C11="","",IF($D$2="A",C11+1,IF(C11+1&gt;$D$5,"",C11+1)))</f>
        <v>31</v>
      </c>
      <c r="D12" s="115">
        <f ca="1">H11</f>
        <v>1</v>
      </c>
      <c r="E12" s="115">
        <f ca="1">IF($D$2="A",(D12-G12)*withdraw_rate*(C12&lt;$D$5),(D12-G12)*withdraw_rate*(C12&lt;&gt;$D$5-1))</f>
        <v>0</v>
      </c>
      <c r="F12" s="115">
        <f ca="1">IF($D$2="A",(D12-G12)*retire_rate_A*(C12&gt;=$D$5-1),(D12-G12)*100%*(C12=$D$5-1))</f>
        <v>0</v>
      </c>
      <c r="G12" s="115">
        <f ca="1">IF($D$2="A",D12*mort_rate_A*(C12&gt;=$D$5),0)</f>
        <v>0</v>
      </c>
      <c r="H12" s="115">
        <f t="shared" ref="H12:H75" ca="1" si="1">D12-E12-F12-G12</f>
        <v>1</v>
      </c>
    </row>
    <row r="13" spans="1:8" ht="15" customHeight="1" x14ac:dyDescent="0.3">
      <c r="A13" s="13"/>
      <c r="B13" s="61">
        <f t="shared" ref="B13:B76" si="2">IF($C13="","",B12+1)</f>
        <v>3</v>
      </c>
      <c r="C13" s="75">
        <f t="shared" si="0"/>
        <v>32</v>
      </c>
      <c r="D13" s="115">
        <f t="shared" ref="D13:D76" ca="1" si="3">H12</f>
        <v>1</v>
      </c>
      <c r="E13" s="115">
        <f ca="1">IF($D$2="A",(D13-G13)*withdraw_rate*(C13&lt;$D$5),(D13-G13)*withdraw_rate*(C13&lt;&gt;$D$5-1))</f>
        <v>0</v>
      </c>
      <c r="F13" s="115">
        <f ca="1">IF($D$2="A",(D13-G13)*retire_rate_A*(C13&gt;=$D$5-1),(D13-G13)*100%*(C13=$D$5-1))</f>
        <v>0</v>
      </c>
      <c r="G13" s="115">
        <f ca="1">IF($D$2="A",D13*mort_rate_A*(C13&gt;=$D$5),0)</f>
        <v>0</v>
      </c>
      <c r="H13" s="115">
        <f t="shared" ca="1" si="1"/>
        <v>1</v>
      </c>
    </row>
    <row r="14" spans="1:8" ht="15" customHeight="1" x14ac:dyDescent="0.3">
      <c r="A14" s="13"/>
      <c r="B14" s="61">
        <f t="shared" si="2"/>
        <v>4</v>
      </c>
      <c r="C14" s="75">
        <f t="shared" si="0"/>
        <v>33</v>
      </c>
      <c r="D14" s="115">
        <f t="shared" ca="1" si="3"/>
        <v>1</v>
      </c>
      <c r="E14" s="115">
        <f ca="1">IF($D$2="A",(D14-G14)*withdraw_rate*(C14&lt;$D$5),(D14-G14)*withdraw_rate*(C14&lt;&gt;$D$5-1))</f>
        <v>0</v>
      </c>
      <c r="F14" s="115">
        <f ca="1">IF($D$2="A",(D14-G14)*retire_rate_A*(C14&gt;=$D$5-1),(D14-G14)*100%*(C14=$D$5-1))</f>
        <v>0</v>
      </c>
      <c r="G14" s="115">
        <f ca="1">IF($D$2="A",D14*mort_rate_A*(C14&gt;=$D$5),0)</f>
        <v>0</v>
      </c>
      <c r="H14" s="115">
        <f t="shared" ca="1" si="1"/>
        <v>1</v>
      </c>
    </row>
    <row r="15" spans="1:8" ht="15" customHeight="1" x14ac:dyDescent="0.3">
      <c r="A15" s="13"/>
      <c r="B15" s="61">
        <f t="shared" si="2"/>
        <v>5</v>
      </c>
      <c r="C15" s="75">
        <f t="shared" si="0"/>
        <v>34</v>
      </c>
      <c r="D15" s="115">
        <f t="shared" ca="1" si="3"/>
        <v>1</v>
      </c>
      <c r="E15" s="115">
        <f ca="1">IF($D$2="A",(D15-G15)*withdraw_rate*(C15&lt;$D$5),(D15-G15)*withdraw_rate*(C15&lt;&gt;$D$5-1))</f>
        <v>0</v>
      </c>
      <c r="F15" s="115">
        <f ca="1">IF($D$2="A",(D15-G15)*retire_rate_A*(C15&gt;=$D$5-1),(D15-G15)*100%*(C15=$D$5-1))</f>
        <v>0</v>
      </c>
      <c r="G15" s="115">
        <f ca="1">IF($D$2="A",D15*mort_rate_A*(C15&gt;=$D$5),0)</f>
        <v>0</v>
      </c>
      <c r="H15" s="115">
        <f t="shared" ca="1" si="1"/>
        <v>1</v>
      </c>
    </row>
    <row r="16" spans="1:8" ht="15" customHeight="1" x14ac:dyDescent="0.3">
      <c r="A16" s="13"/>
      <c r="B16" s="61">
        <f t="shared" si="2"/>
        <v>6</v>
      </c>
      <c r="C16" s="75">
        <f t="shared" si="0"/>
        <v>35</v>
      </c>
      <c r="D16" s="115">
        <f t="shared" ca="1" si="3"/>
        <v>1</v>
      </c>
      <c r="E16" s="115">
        <f ca="1">IF($D$2="A",(D16-G16)*withdraw_rate*(C16&lt;$D$5),(D16-G16)*withdraw_rate*(C16&lt;&gt;$D$5-1))</f>
        <v>0</v>
      </c>
      <c r="F16" s="115">
        <f ca="1">IF($D$2="A",(D16-G16)*retire_rate_A*(C16&gt;=$D$5-1),(D16-G16)*100%*(C16=$D$5-1))</f>
        <v>0</v>
      </c>
      <c r="G16" s="115">
        <f ca="1">IF($D$2="A",D16*mort_rate_A*(C16&gt;=$D$5),0)</f>
        <v>0</v>
      </c>
      <c r="H16" s="115">
        <f t="shared" ca="1" si="1"/>
        <v>1</v>
      </c>
    </row>
    <row r="17" spans="1:8" ht="15" customHeight="1" x14ac:dyDescent="0.3">
      <c r="A17" s="13"/>
      <c r="B17" s="61">
        <f t="shared" si="2"/>
        <v>7</v>
      </c>
      <c r="C17" s="75">
        <f t="shared" si="0"/>
        <v>36</v>
      </c>
      <c r="D17" s="115">
        <f t="shared" ca="1" si="3"/>
        <v>1</v>
      </c>
      <c r="E17" s="115">
        <f ca="1">IF($D$2="A",(D17-G17)*withdraw_rate*(C17&lt;$D$5),(D17-G17)*withdraw_rate*(C17&lt;&gt;$D$5-1))</f>
        <v>0</v>
      </c>
      <c r="F17" s="115">
        <f ca="1">IF($D$2="A",(D17-G17)*retire_rate_A*(C17&gt;=$D$5-1),(D17-G17)*100%*(C17=$D$5-1))</f>
        <v>0</v>
      </c>
      <c r="G17" s="115">
        <f ca="1">IF($D$2="A",D17*mort_rate_A*(C17&gt;=$D$5),0)</f>
        <v>0</v>
      </c>
      <c r="H17" s="115">
        <f t="shared" ca="1" si="1"/>
        <v>1</v>
      </c>
    </row>
    <row r="18" spans="1:8" ht="15" customHeight="1" x14ac:dyDescent="0.3">
      <c r="A18" s="13"/>
      <c r="B18" s="61">
        <f t="shared" si="2"/>
        <v>8</v>
      </c>
      <c r="C18" s="75">
        <f t="shared" si="0"/>
        <v>37</v>
      </c>
      <c r="D18" s="115">
        <f t="shared" ca="1" si="3"/>
        <v>1</v>
      </c>
      <c r="E18" s="115">
        <f ca="1">IF($D$2="A",(D18-G18)*withdraw_rate*(C18&lt;$D$5),(D18-G18)*withdraw_rate*(C18&lt;&gt;$D$5-1))</f>
        <v>0</v>
      </c>
      <c r="F18" s="115">
        <f ca="1">IF($D$2="A",(D18-G18)*retire_rate_A*(C18&gt;=$D$5-1),(D18-G18)*100%*(C18=$D$5-1))</f>
        <v>0</v>
      </c>
      <c r="G18" s="115">
        <f ca="1">IF($D$2="A",D18*mort_rate_A*(C18&gt;=$D$5),0)</f>
        <v>0</v>
      </c>
      <c r="H18" s="115">
        <f t="shared" ca="1" si="1"/>
        <v>1</v>
      </c>
    </row>
    <row r="19" spans="1:8" ht="15" customHeight="1" x14ac:dyDescent="0.3">
      <c r="A19" s="13"/>
      <c r="B19" s="61">
        <f t="shared" si="2"/>
        <v>9</v>
      </c>
      <c r="C19" s="75">
        <f t="shared" si="0"/>
        <v>38</v>
      </c>
      <c r="D19" s="115">
        <f t="shared" ca="1" si="3"/>
        <v>1</v>
      </c>
      <c r="E19" s="115">
        <f ca="1">IF($D$2="A",(D19-G19)*withdraw_rate*(C19&lt;$D$5),(D19-G19)*withdraw_rate*(C19&lt;&gt;$D$5-1))</f>
        <v>0</v>
      </c>
      <c r="F19" s="115">
        <f ca="1">IF($D$2="A",(D19-G19)*retire_rate_A*(C19&gt;=$D$5-1),(D19-G19)*100%*(C19=$D$5-1))</f>
        <v>0</v>
      </c>
      <c r="G19" s="115">
        <f ca="1">IF($D$2="A",D19*mort_rate_A*(C19&gt;=$D$5),0)</f>
        <v>0</v>
      </c>
      <c r="H19" s="115">
        <f t="shared" ca="1" si="1"/>
        <v>1</v>
      </c>
    </row>
    <row r="20" spans="1:8" ht="15" customHeight="1" x14ac:dyDescent="0.3">
      <c r="A20" s="13"/>
      <c r="B20" s="61">
        <f t="shared" si="2"/>
        <v>10</v>
      </c>
      <c r="C20" s="75">
        <f t="shared" si="0"/>
        <v>39</v>
      </c>
      <c r="D20" s="115">
        <f t="shared" ca="1" si="3"/>
        <v>1</v>
      </c>
      <c r="E20" s="115">
        <f ca="1">IF($D$2="A",(D20-G20)*withdraw_rate*(C20&lt;$D$5),(D20-G20)*withdraw_rate*(C20&lt;&gt;$D$5-1))</f>
        <v>0</v>
      </c>
      <c r="F20" s="115">
        <f ca="1">IF($D$2="A",(D20-G20)*retire_rate_A*(C20&gt;=$D$5-1),(D20-G20)*100%*(C20=$D$5-1))</f>
        <v>0</v>
      </c>
      <c r="G20" s="115">
        <f ca="1">IF($D$2="A",D20*mort_rate_A*(C20&gt;=$D$5),0)</f>
        <v>0</v>
      </c>
      <c r="H20" s="115">
        <f t="shared" ca="1" si="1"/>
        <v>1</v>
      </c>
    </row>
    <row r="21" spans="1:8" ht="15" customHeight="1" x14ac:dyDescent="0.3">
      <c r="A21" s="13"/>
      <c r="B21" s="61">
        <f t="shared" si="2"/>
        <v>11</v>
      </c>
      <c r="C21" s="75">
        <f t="shared" si="0"/>
        <v>40</v>
      </c>
      <c r="D21" s="115">
        <f t="shared" ca="1" si="3"/>
        <v>1</v>
      </c>
      <c r="E21" s="115">
        <f ca="1">IF($D$2="A",(D21-G21)*withdraw_rate*(C21&lt;$D$5),(D21-G21)*withdraw_rate*(C21&lt;&gt;$D$5-1))</f>
        <v>0</v>
      </c>
      <c r="F21" s="115">
        <f ca="1">IF($D$2="A",(D21-G21)*retire_rate_A*(C21&gt;=$D$5-1),(D21-G21)*100%*(C21=$D$5-1))</f>
        <v>0</v>
      </c>
      <c r="G21" s="115">
        <f ca="1">IF($D$2="A",D21*mort_rate_A*(C21&gt;=$D$5),0)</f>
        <v>0</v>
      </c>
      <c r="H21" s="115">
        <f t="shared" ca="1" si="1"/>
        <v>1</v>
      </c>
    </row>
    <row r="22" spans="1:8" ht="15" customHeight="1" x14ac:dyDescent="0.3">
      <c r="A22" s="13"/>
      <c r="B22" s="61">
        <f t="shared" si="2"/>
        <v>12</v>
      </c>
      <c r="C22" s="75">
        <f t="shared" si="0"/>
        <v>41</v>
      </c>
      <c r="D22" s="115">
        <f t="shared" ca="1" si="3"/>
        <v>1</v>
      </c>
      <c r="E22" s="115">
        <f ca="1">IF($D$2="A",(D22-G22)*withdraw_rate*(C22&lt;$D$5),(D22-G22)*withdraw_rate*(C22&lt;&gt;$D$5-1))</f>
        <v>0</v>
      </c>
      <c r="F22" s="115">
        <f ca="1">IF($D$2="A",(D22-G22)*retire_rate_A*(C22&gt;=$D$5-1),(D22-G22)*100%*(C22=$D$5-1))</f>
        <v>0</v>
      </c>
      <c r="G22" s="115">
        <f ca="1">IF($D$2="A",D22*mort_rate_A*(C22&gt;=$D$5),0)</f>
        <v>0</v>
      </c>
      <c r="H22" s="115">
        <f t="shared" ca="1" si="1"/>
        <v>1</v>
      </c>
    </row>
    <row r="23" spans="1:8" ht="15" customHeight="1" x14ac:dyDescent="0.3">
      <c r="A23" s="13"/>
      <c r="B23" s="61">
        <f t="shared" si="2"/>
        <v>13</v>
      </c>
      <c r="C23" s="75">
        <f t="shared" si="0"/>
        <v>42</v>
      </c>
      <c r="D23" s="115">
        <f t="shared" ca="1" si="3"/>
        <v>1</v>
      </c>
      <c r="E23" s="115">
        <f ca="1">IF($D$2="A",(D23-G23)*withdraw_rate*(C23&lt;$D$5),(D23-G23)*withdraw_rate*(C23&lt;&gt;$D$5-1))</f>
        <v>0</v>
      </c>
      <c r="F23" s="115">
        <f ca="1">IF($D$2="A",(D23-G23)*retire_rate_A*(C23&gt;=$D$5-1),(D23-G23)*100%*(C23=$D$5-1))</f>
        <v>0</v>
      </c>
      <c r="G23" s="115">
        <f ca="1">IF($D$2="A",D23*mort_rate_A*(C23&gt;=$D$5),0)</f>
        <v>0</v>
      </c>
      <c r="H23" s="115">
        <f t="shared" ca="1" si="1"/>
        <v>1</v>
      </c>
    </row>
    <row r="24" spans="1:8" ht="15" customHeight="1" x14ac:dyDescent="0.3">
      <c r="A24" s="13"/>
      <c r="B24" s="61">
        <f t="shared" si="2"/>
        <v>14</v>
      </c>
      <c r="C24" s="75">
        <f t="shared" si="0"/>
        <v>43</v>
      </c>
      <c r="D24" s="115">
        <f t="shared" ca="1" si="3"/>
        <v>1</v>
      </c>
      <c r="E24" s="115">
        <f ca="1">IF($D$2="A",(D24-G24)*withdraw_rate*(C24&lt;$D$5),(D24-G24)*withdraw_rate*(C24&lt;&gt;$D$5-1))</f>
        <v>0</v>
      </c>
      <c r="F24" s="115">
        <f ca="1">IF($D$2="A",(D24-G24)*retire_rate_A*(C24&gt;=$D$5-1),(D24-G24)*100%*(C24=$D$5-1))</f>
        <v>0</v>
      </c>
      <c r="G24" s="115">
        <f ca="1">IF($D$2="A",D24*mort_rate_A*(C24&gt;=$D$5),0)</f>
        <v>0</v>
      </c>
      <c r="H24" s="115">
        <f t="shared" ca="1" si="1"/>
        <v>1</v>
      </c>
    </row>
    <row r="25" spans="1:8" ht="15" customHeight="1" x14ac:dyDescent="0.3">
      <c r="A25" s="13"/>
      <c r="B25" s="61">
        <f t="shared" si="2"/>
        <v>15</v>
      </c>
      <c r="C25" s="75">
        <f t="shared" si="0"/>
        <v>44</v>
      </c>
      <c r="D25" s="115">
        <f t="shared" ca="1" si="3"/>
        <v>1</v>
      </c>
      <c r="E25" s="115">
        <f ca="1">IF($D$2="A",(D25-G25)*withdraw_rate*(C25&lt;$D$5),(D25-G25)*withdraw_rate*(C25&lt;&gt;$D$5-1))</f>
        <v>0</v>
      </c>
      <c r="F25" s="115">
        <f ca="1">IF($D$2="A",(D25-G25)*retire_rate_A*(C25&gt;=$D$5-1),(D25-G25)*100%*(C25=$D$5-1))</f>
        <v>0</v>
      </c>
      <c r="G25" s="115">
        <f ca="1">IF($D$2="A",D25*mort_rate_A*(C25&gt;=$D$5),0)</f>
        <v>0</v>
      </c>
      <c r="H25" s="115">
        <f t="shared" ca="1" si="1"/>
        <v>1</v>
      </c>
    </row>
    <row r="26" spans="1:8" ht="15" customHeight="1" x14ac:dyDescent="0.3">
      <c r="A26" s="13"/>
      <c r="B26" s="61">
        <f t="shared" si="2"/>
        <v>16</v>
      </c>
      <c r="C26" s="75">
        <f t="shared" si="0"/>
        <v>45</v>
      </c>
      <c r="D26" s="115">
        <f t="shared" ca="1" si="3"/>
        <v>1</v>
      </c>
      <c r="E26" s="115">
        <f ca="1">IF($D$2="A",(D26-G26)*withdraw_rate*(C26&lt;$D$5),(D26-G26)*withdraw_rate*(C26&lt;&gt;$D$5-1))</f>
        <v>0</v>
      </c>
      <c r="F26" s="115">
        <f ca="1">IF($D$2="A",(D26-G26)*retire_rate_A*(C26&gt;=$D$5-1),(D26-G26)*100%*(C26=$D$5-1))</f>
        <v>0</v>
      </c>
      <c r="G26" s="115">
        <f ca="1">IF($D$2="A",D26*mort_rate_A*(C26&gt;=$D$5),0)</f>
        <v>0</v>
      </c>
      <c r="H26" s="115">
        <f t="shared" ca="1" si="1"/>
        <v>1</v>
      </c>
    </row>
    <row r="27" spans="1:8" ht="15" customHeight="1" x14ac:dyDescent="0.3">
      <c r="A27" s="13"/>
      <c r="B27" s="61">
        <f t="shared" si="2"/>
        <v>17</v>
      </c>
      <c r="C27" s="75">
        <f t="shared" si="0"/>
        <v>46</v>
      </c>
      <c r="D27" s="115">
        <f t="shared" ca="1" si="3"/>
        <v>1</v>
      </c>
      <c r="E27" s="115">
        <f ca="1">IF($D$2="A",(D27-G27)*withdraw_rate*(C27&lt;$D$5),(D27-G27)*withdraw_rate*(C27&lt;&gt;$D$5-1))</f>
        <v>0</v>
      </c>
      <c r="F27" s="115">
        <f ca="1">IF($D$2="A",(D27-G27)*retire_rate_A*(C27&gt;=$D$5-1),(D27-G27)*100%*(C27=$D$5-1))</f>
        <v>0</v>
      </c>
      <c r="G27" s="115">
        <f ca="1">IF($D$2="A",D27*mort_rate_A*(C27&gt;=$D$5),0)</f>
        <v>0</v>
      </c>
      <c r="H27" s="115">
        <f t="shared" ca="1" si="1"/>
        <v>1</v>
      </c>
    </row>
    <row r="28" spans="1:8" ht="15" customHeight="1" x14ac:dyDescent="0.3">
      <c r="A28" s="13"/>
      <c r="B28" s="61">
        <f t="shared" si="2"/>
        <v>18</v>
      </c>
      <c r="C28" s="75">
        <f t="shared" si="0"/>
        <v>47</v>
      </c>
      <c r="D28" s="115">
        <f t="shared" ca="1" si="3"/>
        <v>1</v>
      </c>
      <c r="E28" s="115">
        <f ca="1">IF($D$2="A",(D28-G28)*withdraw_rate*(C28&lt;$D$5),(D28-G28)*withdraw_rate*(C28&lt;&gt;$D$5-1))</f>
        <v>0</v>
      </c>
      <c r="F28" s="115">
        <f ca="1">IF($D$2="A",(D28-G28)*retire_rate_A*(C28&gt;=$D$5-1),(D28-G28)*100%*(C28=$D$5-1))</f>
        <v>0</v>
      </c>
      <c r="G28" s="115">
        <f ca="1">IF($D$2="A",D28*mort_rate_A*(C28&gt;=$D$5),0)</f>
        <v>0</v>
      </c>
      <c r="H28" s="115">
        <f t="shared" ca="1" si="1"/>
        <v>1</v>
      </c>
    </row>
    <row r="29" spans="1:8" ht="15" customHeight="1" x14ac:dyDescent="0.3">
      <c r="A29" s="13"/>
      <c r="B29" s="61">
        <f t="shared" si="2"/>
        <v>19</v>
      </c>
      <c r="C29" s="75">
        <f t="shared" si="0"/>
        <v>48</v>
      </c>
      <c r="D29" s="115">
        <f t="shared" ca="1" si="3"/>
        <v>1</v>
      </c>
      <c r="E29" s="115">
        <f ca="1">IF($D$2="A",(D29-G29)*withdraw_rate*(C29&lt;$D$5),(D29-G29)*withdraw_rate*(C29&lt;&gt;$D$5-1))</f>
        <v>0</v>
      </c>
      <c r="F29" s="115">
        <f ca="1">IF($D$2="A",(D29-G29)*retire_rate_A*(C29&gt;=$D$5-1),(D29-G29)*100%*(C29=$D$5-1))</f>
        <v>0</v>
      </c>
      <c r="G29" s="115">
        <f ca="1">IF($D$2="A",D29*mort_rate_A*(C29&gt;=$D$5),0)</f>
        <v>0</v>
      </c>
      <c r="H29" s="115">
        <f t="shared" ca="1" si="1"/>
        <v>1</v>
      </c>
    </row>
    <row r="30" spans="1:8" ht="15" customHeight="1" x14ac:dyDescent="0.3">
      <c r="A30" s="13"/>
      <c r="B30" s="61">
        <f t="shared" si="2"/>
        <v>20</v>
      </c>
      <c r="C30" s="75">
        <f t="shared" si="0"/>
        <v>49</v>
      </c>
      <c r="D30" s="115">
        <f t="shared" ca="1" si="3"/>
        <v>1</v>
      </c>
      <c r="E30" s="115">
        <f ca="1">IF($D$2="A",(D30-G30)*withdraw_rate*(C30&lt;$D$5),(D30-G30)*withdraw_rate*(C30&lt;&gt;$D$5-1))</f>
        <v>0</v>
      </c>
      <c r="F30" s="115">
        <f ca="1">IF($D$2="A",(D30-G30)*retire_rate_A*(C30&gt;=$D$5-1),(D30-G30)*100%*(C30=$D$5-1))</f>
        <v>0.2</v>
      </c>
      <c r="G30" s="115">
        <f ca="1">IF($D$2="A",D30*mort_rate_A*(C30&gt;=$D$5),0)</f>
        <v>0</v>
      </c>
      <c r="H30" s="115">
        <f t="shared" ca="1" si="1"/>
        <v>0.8</v>
      </c>
    </row>
    <row r="31" spans="1:8" ht="15" customHeight="1" x14ac:dyDescent="0.3">
      <c r="A31" s="13"/>
      <c r="B31" s="61">
        <f t="shared" si="2"/>
        <v>21</v>
      </c>
      <c r="C31" s="75">
        <f t="shared" si="0"/>
        <v>50</v>
      </c>
      <c r="D31" s="115">
        <f t="shared" ca="1" si="3"/>
        <v>0.8</v>
      </c>
      <c r="E31" s="115">
        <f ca="1">IF($D$2="A",(D31-G31)*withdraw_rate*(C31&lt;$D$5),(D31-G31)*withdraw_rate*(C31&lt;&gt;$D$5-1))</f>
        <v>0</v>
      </c>
      <c r="F31" s="115">
        <f ca="1">IF($D$2="A",(D31-G31)*retire_rate_A*(C31&gt;=$D$5-1),(D31-G31)*100%*(C31=$D$5-1))</f>
        <v>0.14399999999999999</v>
      </c>
      <c r="G31" s="115">
        <f ca="1">IF($D$2="A",D31*mort_rate_A*(C31&gt;=$D$5),0)</f>
        <v>8.0000000000000016E-2</v>
      </c>
      <c r="H31" s="115">
        <f t="shared" ca="1" si="1"/>
        <v>0.57600000000000007</v>
      </c>
    </row>
    <row r="32" spans="1:8" ht="15" customHeight="1" x14ac:dyDescent="0.3">
      <c r="A32" s="13"/>
      <c r="B32" s="61">
        <f t="shared" si="2"/>
        <v>22</v>
      </c>
      <c r="C32" s="75">
        <f t="shared" si="0"/>
        <v>51</v>
      </c>
      <c r="D32" s="115">
        <f t="shared" ca="1" si="3"/>
        <v>0.57600000000000007</v>
      </c>
      <c r="E32" s="115">
        <f ca="1">IF($D$2="A",(D32-G32)*withdraw_rate*(C32&lt;$D$5),(D32-G32)*withdraw_rate*(C32&lt;&gt;$D$5-1))</f>
        <v>0</v>
      </c>
      <c r="F32" s="115">
        <f ca="1">IF($D$2="A",(D32-G32)*retire_rate_A*(C32&gt;=$D$5-1),(D32-G32)*100%*(C32=$D$5-1))</f>
        <v>0.10368000000000002</v>
      </c>
      <c r="G32" s="115">
        <f ca="1">IF($D$2="A",D32*mort_rate_A*(C32&gt;=$D$5),0)</f>
        <v>5.7600000000000012E-2</v>
      </c>
      <c r="H32" s="115">
        <f t="shared" ca="1" si="1"/>
        <v>0.41472000000000009</v>
      </c>
    </row>
    <row r="33" spans="1:8" ht="15" customHeight="1" x14ac:dyDescent="0.3">
      <c r="A33" s="13"/>
      <c r="B33" s="61">
        <f t="shared" si="2"/>
        <v>23</v>
      </c>
      <c r="C33" s="75">
        <f t="shared" si="0"/>
        <v>52</v>
      </c>
      <c r="D33" s="115">
        <f t="shared" ca="1" si="3"/>
        <v>0.41472000000000009</v>
      </c>
      <c r="E33" s="115">
        <f ca="1">IF($D$2="A",(D33-G33)*withdraw_rate*(C33&lt;$D$5),(D33-G33)*withdraw_rate*(C33&lt;&gt;$D$5-1))</f>
        <v>0</v>
      </c>
      <c r="F33" s="115">
        <f ca="1">IF($D$2="A",(D33-G33)*retire_rate_A*(C33&gt;=$D$5-1),(D33-G33)*100%*(C33=$D$5-1))</f>
        <v>7.4649600000000024E-2</v>
      </c>
      <c r="G33" s="115">
        <f ca="1">IF($D$2="A",D33*mort_rate_A*(C33&gt;=$D$5),0)</f>
        <v>4.1472000000000009E-2</v>
      </c>
      <c r="H33" s="115">
        <f t="shared" ca="1" si="1"/>
        <v>0.29859840000000004</v>
      </c>
    </row>
    <row r="34" spans="1:8" ht="15" customHeight="1" x14ac:dyDescent="0.3">
      <c r="A34" s="13"/>
      <c r="B34" s="61">
        <f t="shared" si="2"/>
        <v>24</v>
      </c>
      <c r="C34" s="75">
        <f t="shared" si="0"/>
        <v>53</v>
      </c>
      <c r="D34" s="115">
        <f t="shared" ca="1" si="3"/>
        <v>0.29859840000000004</v>
      </c>
      <c r="E34" s="115">
        <f ca="1">IF($D$2="A",(D34-G34)*withdraw_rate*(C34&lt;$D$5),(D34-G34)*withdraw_rate*(C34&lt;&gt;$D$5-1))</f>
        <v>0</v>
      </c>
      <c r="F34" s="115">
        <f ca="1">IF($D$2="A",(D34-G34)*retire_rate_A*(C34&gt;=$D$5-1),(D34-G34)*100%*(C34=$D$5-1))</f>
        <v>5.3747712000000003E-2</v>
      </c>
      <c r="G34" s="115">
        <f ca="1">IF($D$2="A",D34*mort_rate_A*(C34&gt;=$D$5),0)</f>
        <v>2.9859840000000006E-2</v>
      </c>
      <c r="H34" s="115">
        <f t="shared" ca="1" si="1"/>
        <v>0.21499084800000004</v>
      </c>
    </row>
    <row r="35" spans="1:8" ht="15" customHeight="1" x14ac:dyDescent="0.3">
      <c r="A35" s="13"/>
      <c r="B35" s="61">
        <f t="shared" si="2"/>
        <v>25</v>
      </c>
      <c r="C35" s="75">
        <f t="shared" si="0"/>
        <v>54</v>
      </c>
      <c r="D35" s="115">
        <f t="shared" ca="1" si="3"/>
        <v>0.21499084800000004</v>
      </c>
      <c r="E35" s="115">
        <f ca="1">IF($D$2="A",(D35-G35)*withdraw_rate*(C35&lt;$D$5),(D35-G35)*withdraw_rate*(C35&lt;&gt;$D$5-1))</f>
        <v>0</v>
      </c>
      <c r="F35" s="115">
        <f ca="1">IF($D$2="A",(D35-G35)*retire_rate_A*(C35&gt;=$D$5-1),(D35-G35)*100%*(C35=$D$5-1))</f>
        <v>3.869835264000001E-2</v>
      </c>
      <c r="G35" s="115">
        <f ca="1">IF($D$2="A",D35*mort_rate_A*(C35&gt;=$D$5),0)</f>
        <v>2.1499084800000005E-2</v>
      </c>
      <c r="H35" s="115">
        <f t="shared" ca="1" si="1"/>
        <v>0.15479341056000001</v>
      </c>
    </row>
    <row r="36" spans="1:8" ht="15" customHeight="1" x14ac:dyDescent="0.3">
      <c r="A36" s="13"/>
      <c r="B36" s="61">
        <f t="shared" si="2"/>
        <v>26</v>
      </c>
      <c r="C36" s="75">
        <f t="shared" si="0"/>
        <v>55</v>
      </c>
      <c r="D36" s="115">
        <f t="shared" ca="1" si="3"/>
        <v>0.15479341056000001</v>
      </c>
      <c r="E36" s="115">
        <f ca="1">IF($D$2="A",(D36-G36)*withdraw_rate*(C36&lt;$D$5),(D36-G36)*withdraw_rate*(C36&lt;&gt;$D$5-1))</f>
        <v>0</v>
      </c>
      <c r="F36" s="115">
        <f ca="1">IF($D$2="A",(D36-G36)*retire_rate_A*(C36&gt;=$D$5-1),(D36-G36)*100%*(C36=$D$5-1))</f>
        <v>2.7862813900800004E-2</v>
      </c>
      <c r="G36" s="115">
        <f ca="1">IF($D$2="A",D36*mort_rate_A*(C36&gt;=$D$5),0)</f>
        <v>1.5479341056000002E-2</v>
      </c>
      <c r="H36" s="115">
        <f t="shared" ca="1" si="1"/>
        <v>0.1114512556032</v>
      </c>
    </row>
    <row r="37" spans="1:8" ht="15" customHeight="1" x14ac:dyDescent="0.3">
      <c r="A37" s="13"/>
      <c r="B37" s="61">
        <f t="shared" si="2"/>
        <v>27</v>
      </c>
      <c r="C37" s="75">
        <f t="shared" si="0"/>
        <v>56</v>
      </c>
      <c r="D37" s="115">
        <f t="shared" ca="1" si="3"/>
        <v>0.1114512556032</v>
      </c>
      <c r="E37" s="115">
        <f ca="1">IF($D$2="A",(D37-G37)*withdraw_rate*(C37&lt;$D$5),(D37-G37)*withdraw_rate*(C37&lt;&gt;$D$5-1))</f>
        <v>0</v>
      </c>
      <c r="F37" s="115">
        <f ca="1">IF($D$2="A",(D37-G37)*retire_rate_A*(C37&gt;=$D$5-1),(D37-G37)*100%*(C37=$D$5-1))</f>
        <v>2.0061226008576002E-2</v>
      </c>
      <c r="G37" s="115">
        <f ca="1">IF($D$2="A",D37*mort_rate_A*(C37&gt;=$D$5),0)</f>
        <v>1.1145125560320001E-2</v>
      </c>
      <c r="H37" s="115">
        <f t="shared" ca="1" si="1"/>
        <v>8.0244904034303996E-2</v>
      </c>
    </row>
    <row r="38" spans="1:8" ht="15" customHeight="1" x14ac:dyDescent="0.3">
      <c r="A38" s="13"/>
      <c r="B38" s="61">
        <f t="shared" si="2"/>
        <v>28</v>
      </c>
      <c r="C38" s="75">
        <f t="shared" si="0"/>
        <v>57</v>
      </c>
      <c r="D38" s="115">
        <f t="shared" ca="1" si="3"/>
        <v>8.0244904034303996E-2</v>
      </c>
      <c r="E38" s="115">
        <f ca="1">IF($D$2="A",(D38-G38)*withdraw_rate*(C38&lt;$D$5),(D38-G38)*withdraw_rate*(C38&lt;&gt;$D$5-1))</f>
        <v>0</v>
      </c>
      <c r="F38" s="115">
        <f ca="1">IF($D$2="A",(D38-G38)*retire_rate_A*(C38&gt;=$D$5-1),(D38-G38)*100%*(C38=$D$5-1))</f>
        <v>1.4444082726174721E-2</v>
      </c>
      <c r="G38" s="115">
        <f ca="1">IF($D$2="A",D38*mort_rate_A*(C38&gt;=$D$5),0)</f>
        <v>8.0244904034304006E-3</v>
      </c>
      <c r="H38" s="115">
        <f t="shared" ca="1" si="1"/>
        <v>5.7776330904698879E-2</v>
      </c>
    </row>
    <row r="39" spans="1:8" ht="15" customHeight="1" x14ac:dyDescent="0.3">
      <c r="A39" s="13"/>
      <c r="B39" s="61">
        <f t="shared" si="2"/>
        <v>29</v>
      </c>
      <c r="C39" s="75">
        <f t="shared" si="0"/>
        <v>58</v>
      </c>
      <c r="D39" s="115">
        <f t="shared" ca="1" si="3"/>
        <v>5.7776330904698879E-2</v>
      </c>
      <c r="E39" s="115">
        <f ca="1">IF($D$2="A",(D39-G39)*withdraw_rate*(C39&lt;$D$5),(D39-G39)*withdraw_rate*(C39&lt;&gt;$D$5-1))</f>
        <v>0</v>
      </c>
      <c r="F39" s="115">
        <f ca="1">IF($D$2="A",(D39-G39)*retire_rate_A*(C39&gt;=$D$5-1),(D39-G39)*100%*(C39=$D$5-1))</f>
        <v>1.0399739562845799E-2</v>
      </c>
      <c r="G39" s="115">
        <f ca="1">IF($D$2="A",D39*mort_rate_A*(C39&gt;=$D$5),0)</f>
        <v>5.7776330904698884E-3</v>
      </c>
      <c r="H39" s="115">
        <f t="shared" ca="1" si="1"/>
        <v>4.1598958251383197E-2</v>
      </c>
    </row>
    <row r="40" spans="1:8" ht="15" customHeight="1" x14ac:dyDescent="0.3">
      <c r="A40" s="13"/>
      <c r="B40" s="61">
        <f t="shared" si="2"/>
        <v>30</v>
      </c>
      <c r="C40" s="75">
        <f t="shared" si="0"/>
        <v>59</v>
      </c>
      <c r="D40" s="115">
        <f t="shared" ca="1" si="3"/>
        <v>4.1598958251383197E-2</v>
      </c>
      <c r="E40" s="115">
        <f ca="1">IF($D$2="A",(D40-G40)*withdraw_rate*(C40&lt;$D$5),(D40-G40)*withdraw_rate*(C40&lt;&gt;$D$5-1))</f>
        <v>0</v>
      </c>
      <c r="F40" s="115">
        <f ca="1">IF($D$2="A",(D40-G40)*retire_rate_A*(C40&gt;=$D$5-1),(D40-G40)*100%*(C40=$D$5-1))</f>
        <v>7.4878124852489755E-3</v>
      </c>
      <c r="G40" s="115">
        <f ca="1">IF($D$2="A",D40*mort_rate_A*(C40&gt;=$D$5),0)</f>
        <v>4.1598958251383199E-3</v>
      </c>
      <c r="H40" s="115">
        <f t="shared" ca="1" si="1"/>
        <v>2.9951249940995902E-2</v>
      </c>
    </row>
    <row r="41" spans="1:8" ht="15" customHeight="1" x14ac:dyDescent="0.3">
      <c r="A41" s="13"/>
      <c r="B41" s="61">
        <f t="shared" si="2"/>
        <v>31</v>
      </c>
      <c r="C41" s="75">
        <f t="shared" si="0"/>
        <v>60</v>
      </c>
      <c r="D41" s="115">
        <f t="shared" ca="1" si="3"/>
        <v>2.9951249940995902E-2</v>
      </c>
      <c r="E41" s="115">
        <f ca="1">IF($D$2="A",(D41-G41)*withdraw_rate*(C41&lt;$D$5),(D41-G41)*withdraw_rate*(C41&lt;&gt;$D$5-1))</f>
        <v>0</v>
      </c>
      <c r="F41" s="115">
        <f ca="1">IF($D$2="A",(D41-G41)*retire_rate_A*(C41&gt;=$D$5-1),(D41-G41)*100%*(C41=$D$5-1))</f>
        <v>5.3912249893792626E-3</v>
      </c>
      <c r="G41" s="115">
        <f ca="1">IF($D$2="A",D41*mort_rate_A*(C41&gt;=$D$5),0)</f>
        <v>2.9951249940995905E-3</v>
      </c>
      <c r="H41" s="115">
        <f t="shared" ca="1" si="1"/>
        <v>2.156489995751705E-2</v>
      </c>
    </row>
    <row r="42" spans="1:8" ht="15" customHeight="1" x14ac:dyDescent="0.3">
      <c r="A42" s="13"/>
      <c r="B42" s="61">
        <f t="shared" si="2"/>
        <v>32</v>
      </c>
      <c r="C42" s="75">
        <f t="shared" si="0"/>
        <v>61</v>
      </c>
      <c r="D42" s="115">
        <f t="shared" ca="1" si="3"/>
        <v>2.156489995751705E-2</v>
      </c>
      <c r="E42" s="115">
        <f ca="1">IF($D$2="A",(D42-G42)*withdraw_rate*(C42&lt;$D$5),(D42-G42)*withdraw_rate*(C42&lt;&gt;$D$5-1))</f>
        <v>0</v>
      </c>
      <c r="F42" s="115">
        <f ca="1">IF($D$2="A",(D42-G42)*retire_rate_A*(C42&gt;=$D$5-1),(D42-G42)*100%*(C42=$D$5-1))</f>
        <v>3.8816819923530692E-3</v>
      </c>
      <c r="G42" s="115">
        <f ca="1">IF($D$2="A",D42*mort_rate_A*(C42&gt;=$D$5),0)</f>
        <v>2.1564899957517052E-3</v>
      </c>
      <c r="H42" s="115">
        <f t="shared" ca="1" si="1"/>
        <v>1.5526727969412277E-2</v>
      </c>
    </row>
    <row r="43" spans="1:8" ht="15" customHeight="1" x14ac:dyDescent="0.3">
      <c r="A43" s="13"/>
      <c r="B43" s="61">
        <f t="shared" si="2"/>
        <v>33</v>
      </c>
      <c r="C43" s="75">
        <f t="shared" si="0"/>
        <v>62</v>
      </c>
      <c r="D43" s="115">
        <f t="shared" ca="1" si="3"/>
        <v>1.5526727969412277E-2</v>
      </c>
      <c r="E43" s="115">
        <f ca="1">IF($D$2="A",(D43-G43)*withdraw_rate*(C43&lt;$D$5),(D43-G43)*withdraw_rate*(C43&lt;&gt;$D$5-1))</f>
        <v>0</v>
      </c>
      <c r="F43" s="115">
        <f ca="1">IF($D$2="A",(D43-G43)*retire_rate_A*(C43&gt;=$D$5-1),(D43-G43)*100%*(C43=$D$5-1))</f>
        <v>2.7948110344942099E-3</v>
      </c>
      <c r="G43" s="115">
        <f ca="1">IF($D$2="A",D43*mort_rate_A*(C43&gt;=$D$5),0)</f>
        <v>1.5526727969412278E-3</v>
      </c>
      <c r="H43" s="115">
        <f t="shared" ca="1" si="1"/>
        <v>1.1179244137976838E-2</v>
      </c>
    </row>
    <row r="44" spans="1:8" ht="15" customHeight="1" x14ac:dyDescent="0.3">
      <c r="A44" s="13"/>
      <c r="B44" s="61">
        <f t="shared" si="2"/>
        <v>34</v>
      </c>
      <c r="C44" s="75">
        <f t="shared" ref="C44:C75" si="4">IF(C43="","",IF($D$2="A",C43+1,IF(C43+1&gt;$D$5,"",C43+1)))</f>
        <v>63</v>
      </c>
      <c r="D44" s="115">
        <f t="shared" ca="1" si="3"/>
        <v>1.1179244137976838E-2</v>
      </c>
      <c r="E44" s="115">
        <f ca="1">IF($D$2="A",(D44-G44)*withdraw_rate*(C44&lt;$D$5),(D44-G44)*withdraw_rate*(C44&lt;&gt;$D$5-1))</f>
        <v>0</v>
      </c>
      <c r="F44" s="115">
        <f ca="1">IF($D$2="A",(D44-G44)*retire_rate_A*(C44&gt;=$D$5-1),(D44-G44)*100%*(C44=$D$5-1))</f>
        <v>2.0122639448358309E-3</v>
      </c>
      <c r="G44" s="115">
        <f ca="1">IF($D$2="A",D44*mort_rate_A*(C44&gt;=$D$5),0)</f>
        <v>1.1179244137976838E-3</v>
      </c>
      <c r="H44" s="115">
        <f t="shared" ca="1" si="1"/>
        <v>8.0490557793433219E-3</v>
      </c>
    </row>
    <row r="45" spans="1:8" ht="15" customHeight="1" x14ac:dyDescent="0.3">
      <c r="A45" s="13"/>
      <c r="B45" s="61">
        <f t="shared" si="2"/>
        <v>35</v>
      </c>
      <c r="C45" s="75">
        <f t="shared" si="4"/>
        <v>64</v>
      </c>
      <c r="D45" s="115">
        <f t="shared" ca="1" si="3"/>
        <v>8.0490557793433219E-3</v>
      </c>
      <c r="E45" s="115">
        <f ca="1">IF($D$2="A",(D45-G45)*withdraw_rate*(C45&lt;$D$5),(D45-G45)*withdraw_rate*(C45&lt;&gt;$D$5-1))</f>
        <v>0</v>
      </c>
      <c r="F45" s="115">
        <f ca="1">IF($D$2="A",(D45-G45)*retire_rate_A*(C45&gt;=$D$5-1),(D45-G45)*100%*(C45=$D$5-1))</f>
        <v>1.448830040281798E-3</v>
      </c>
      <c r="G45" s="115">
        <f ca="1">IF($D$2="A",D45*mort_rate_A*(C45&gt;=$D$5),0)</f>
        <v>8.0490557793433219E-4</v>
      </c>
      <c r="H45" s="115">
        <f t="shared" ca="1" si="1"/>
        <v>5.795320161127192E-3</v>
      </c>
    </row>
    <row r="46" spans="1:8" ht="15" customHeight="1" x14ac:dyDescent="0.3">
      <c r="A46" s="13"/>
      <c r="B46" s="61">
        <f t="shared" si="2"/>
        <v>36</v>
      </c>
      <c r="C46" s="75">
        <f t="shared" si="4"/>
        <v>65</v>
      </c>
      <c r="D46" s="115">
        <f t="shared" ca="1" si="3"/>
        <v>5.795320161127192E-3</v>
      </c>
      <c r="E46" s="115">
        <f ca="1">IF($D$2="A",(D46-G46)*withdraw_rate*(C46&lt;$D$5),(D46-G46)*withdraw_rate*(C46&lt;&gt;$D$5-1))</f>
        <v>0</v>
      </c>
      <c r="F46" s="115">
        <f ca="1">IF($D$2="A",(D46-G46)*retire_rate_A*(C46&gt;=$D$5-1),(D46-G46)*100%*(C46=$D$5-1))</f>
        <v>1.0431576290028945E-3</v>
      </c>
      <c r="G46" s="115">
        <f ca="1">IF($D$2="A",D46*mort_rate_A*(C46&gt;=$D$5),0)</f>
        <v>5.7953201611271924E-4</v>
      </c>
      <c r="H46" s="115">
        <f t="shared" ca="1" si="1"/>
        <v>4.1726305160115782E-3</v>
      </c>
    </row>
    <row r="47" spans="1:8" ht="15" customHeight="1" x14ac:dyDescent="0.3">
      <c r="A47" s="13"/>
      <c r="B47" s="61">
        <f t="shared" si="2"/>
        <v>37</v>
      </c>
      <c r="C47" s="75">
        <f t="shared" si="4"/>
        <v>66</v>
      </c>
      <c r="D47" s="115">
        <f t="shared" ca="1" si="3"/>
        <v>4.1726305160115782E-3</v>
      </c>
      <c r="E47" s="115">
        <f ca="1">IF($D$2="A",(D47-G47)*withdraw_rate*(C47&lt;$D$5),(D47-G47)*withdraw_rate*(C47&lt;&gt;$D$5-1))</f>
        <v>0</v>
      </c>
      <c r="F47" s="115">
        <f ca="1">IF($D$2="A",(D47-G47)*retire_rate_A*(C47&gt;=$D$5-1),(D47-G47)*100%*(C47=$D$5-1))</f>
        <v>7.510734928820841E-4</v>
      </c>
      <c r="G47" s="115">
        <f ca="1">IF($D$2="A",D47*mort_rate_A*(C47&gt;=$D$5),0)</f>
        <v>4.1726305160115783E-4</v>
      </c>
      <c r="H47" s="115">
        <f t="shared" ca="1" si="1"/>
        <v>3.004293971528336E-3</v>
      </c>
    </row>
    <row r="48" spans="1:8" ht="15" customHeight="1" x14ac:dyDescent="0.3">
      <c r="A48" s="13"/>
      <c r="B48" s="61">
        <f t="shared" si="2"/>
        <v>38</v>
      </c>
      <c r="C48" s="75">
        <f t="shared" si="4"/>
        <v>67</v>
      </c>
      <c r="D48" s="115">
        <f t="shared" ca="1" si="3"/>
        <v>3.004293971528336E-3</v>
      </c>
      <c r="E48" s="115">
        <f ca="1">IF($D$2="A",(D48-G48)*withdraw_rate*(C48&lt;$D$5),(D48-G48)*withdraw_rate*(C48&lt;&gt;$D$5-1))</f>
        <v>0</v>
      </c>
      <c r="F48" s="115">
        <f ca="1">IF($D$2="A",(D48-G48)*retire_rate_A*(C48&gt;=$D$5-1),(D48-G48)*100%*(C48=$D$5-1))</f>
        <v>5.407729148751005E-4</v>
      </c>
      <c r="G48" s="115">
        <f ca="1">IF($D$2="A",D48*mort_rate_A*(C48&gt;=$D$5),0)</f>
        <v>3.0042939715283363E-4</v>
      </c>
      <c r="H48" s="115">
        <f t="shared" ca="1" si="1"/>
        <v>2.163091659500402E-3</v>
      </c>
    </row>
    <row r="49" spans="1:8" ht="15" customHeight="1" x14ac:dyDescent="0.3">
      <c r="A49" s="13"/>
      <c r="B49" s="61">
        <f t="shared" si="2"/>
        <v>39</v>
      </c>
      <c r="C49" s="75">
        <f t="shared" si="4"/>
        <v>68</v>
      </c>
      <c r="D49" s="115">
        <f t="shared" ca="1" si="3"/>
        <v>2.163091659500402E-3</v>
      </c>
      <c r="E49" s="115">
        <f ca="1">IF($D$2="A",(D49-G49)*withdraw_rate*(C49&lt;$D$5),(D49-G49)*withdraw_rate*(C49&lt;&gt;$D$5-1))</f>
        <v>0</v>
      </c>
      <c r="F49" s="115">
        <f ca="1">IF($D$2="A",(D49-G49)*retire_rate_A*(C49&gt;=$D$5-1),(D49-G49)*100%*(C49=$D$5-1))</f>
        <v>3.8935649871007236E-4</v>
      </c>
      <c r="G49" s="115">
        <f ca="1">IF($D$2="A",D49*mort_rate_A*(C49&gt;=$D$5),0)</f>
        <v>2.163091659500402E-4</v>
      </c>
      <c r="H49" s="115">
        <f t="shared" ca="1" si="1"/>
        <v>1.5574259948402894E-3</v>
      </c>
    </row>
    <row r="50" spans="1:8" ht="15" customHeight="1" x14ac:dyDescent="0.3">
      <c r="A50" s="13"/>
      <c r="B50" s="61">
        <f t="shared" si="2"/>
        <v>40</v>
      </c>
      <c r="C50" s="75">
        <f t="shared" si="4"/>
        <v>69</v>
      </c>
      <c r="D50" s="115">
        <f t="shared" ca="1" si="3"/>
        <v>1.5574259948402894E-3</v>
      </c>
      <c r="E50" s="115">
        <f ca="1">IF($D$2="A",(D50-G50)*withdraw_rate*(C50&lt;$D$5),(D50-G50)*withdraw_rate*(C50&lt;&gt;$D$5-1))</f>
        <v>0</v>
      </c>
      <c r="F50" s="115">
        <f ca="1">IF($D$2="A",(D50-G50)*retire_rate_A*(C50&gt;=$D$5-1),(D50-G50)*100%*(C50=$D$5-1))</f>
        <v>2.8033667907125209E-4</v>
      </c>
      <c r="G50" s="115">
        <f ca="1">IF($D$2="A",D50*mort_rate_A*(C50&gt;=$D$5),0)</f>
        <v>1.5574259948402896E-4</v>
      </c>
      <c r="H50" s="115">
        <f t="shared" ca="1" si="1"/>
        <v>1.1213467162850084E-3</v>
      </c>
    </row>
    <row r="51" spans="1:8" ht="15" customHeight="1" x14ac:dyDescent="0.3">
      <c r="A51" s="13"/>
      <c r="B51" s="61">
        <f t="shared" si="2"/>
        <v>41</v>
      </c>
      <c r="C51" s="75">
        <f t="shared" si="4"/>
        <v>70</v>
      </c>
      <c r="D51" s="115">
        <f t="shared" ca="1" si="3"/>
        <v>1.1213467162850084E-3</v>
      </c>
      <c r="E51" s="115">
        <f ca="1">IF($D$2="A",(D51-G51)*withdraw_rate*(C51&lt;$D$5),(D51-G51)*withdraw_rate*(C51&lt;&gt;$D$5-1))</f>
        <v>0</v>
      </c>
      <c r="F51" s="115">
        <f ca="1">IF($D$2="A",(D51-G51)*retire_rate_A*(C51&gt;=$D$5-1),(D51-G51)*100%*(C51=$D$5-1))</f>
        <v>2.0184240893130151E-4</v>
      </c>
      <c r="G51" s="115">
        <f ca="1">IF($D$2="A",D51*mort_rate_A*(C51&gt;=$D$5),0)</f>
        <v>1.1213467162850084E-4</v>
      </c>
      <c r="H51" s="115">
        <f t="shared" ca="1" si="1"/>
        <v>8.0736963572520604E-4</v>
      </c>
    </row>
    <row r="52" spans="1:8" ht="15" customHeight="1" x14ac:dyDescent="0.3">
      <c r="A52" s="13"/>
      <c r="B52" s="61">
        <f t="shared" si="2"/>
        <v>42</v>
      </c>
      <c r="C52" s="75">
        <f t="shared" si="4"/>
        <v>71</v>
      </c>
      <c r="D52" s="115">
        <f t="shared" ca="1" si="3"/>
        <v>8.0736963572520604E-4</v>
      </c>
      <c r="E52" s="115">
        <f ca="1">IF($D$2="A",(D52-G52)*withdraw_rate*(C52&lt;$D$5),(D52-G52)*withdraw_rate*(C52&lt;&gt;$D$5-1))</f>
        <v>0</v>
      </c>
      <c r="F52" s="115">
        <f ca="1">IF($D$2="A",(D52-G52)*retire_rate_A*(C52&gt;=$D$5-1),(D52-G52)*100%*(C52=$D$5-1))</f>
        <v>1.4532653443053711E-4</v>
      </c>
      <c r="G52" s="115">
        <f ca="1">IF($D$2="A",D52*mort_rate_A*(C52&gt;=$D$5),0)</f>
        <v>8.0736963572520609E-5</v>
      </c>
      <c r="H52" s="115">
        <f t="shared" ca="1" si="1"/>
        <v>5.8130613772214832E-4</v>
      </c>
    </row>
    <row r="53" spans="1:8" ht="15" customHeight="1" x14ac:dyDescent="0.3">
      <c r="A53" s="13"/>
      <c r="B53" s="61">
        <f t="shared" si="2"/>
        <v>43</v>
      </c>
      <c r="C53" s="75">
        <f t="shared" si="4"/>
        <v>72</v>
      </c>
      <c r="D53" s="115">
        <f t="shared" ca="1" si="3"/>
        <v>5.8130613772214832E-4</v>
      </c>
      <c r="E53" s="115">
        <f ca="1">IF($D$2="A",(D53-G53)*withdraw_rate*(C53&lt;$D$5),(D53-G53)*withdraw_rate*(C53&lt;&gt;$D$5-1))</f>
        <v>0</v>
      </c>
      <c r="F53" s="115">
        <f ca="1">IF($D$2="A",(D53-G53)*retire_rate_A*(C53&gt;=$D$5-1),(D53-G53)*100%*(C53=$D$5-1))</f>
        <v>1.0463510478998671E-4</v>
      </c>
      <c r="G53" s="115">
        <f ca="1">IF($D$2="A",D53*mort_rate_A*(C53&gt;=$D$5),0)</f>
        <v>5.8130613772214836E-5</v>
      </c>
      <c r="H53" s="115">
        <f t="shared" ca="1" si="1"/>
        <v>4.1854041915994678E-4</v>
      </c>
    </row>
    <row r="54" spans="1:8" ht="15" customHeight="1" x14ac:dyDescent="0.3">
      <c r="A54" s="13"/>
      <c r="B54" s="61">
        <f t="shared" si="2"/>
        <v>44</v>
      </c>
      <c r="C54" s="75">
        <f t="shared" si="4"/>
        <v>73</v>
      </c>
      <c r="D54" s="115">
        <f t="shared" ca="1" si="3"/>
        <v>4.1854041915994678E-4</v>
      </c>
      <c r="E54" s="115">
        <f ca="1">IF($D$2="A",(D54-G54)*withdraw_rate*(C54&lt;$D$5),(D54-G54)*withdraw_rate*(C54&lt;&gt;$D$5-1))</f>
        <v>0</v>
      </c>
      <c r="F54" s="115">
        <f ca="1">IF($D$2="A",(D54-G54)*retire_rate_A*(C54&gt;=$D$5-1),(D54-G54)*100%*(C54=$D$5-1))</f>
        <v>7.5337275448790432E-5</v>
      </c>
      <c r="G54" s="115">
        <f ca="1">IF($D$2="A",D54*mort_rate_A*(C54&gt;=$D$5),0)</f>
        <v>4.1854041915994678E-5</v>
      </c>
      <c r="H54" s="115">
        <f t="shared" ca="1" si="1"/>
        <v>3.0134910179516167E-4</v>
      </c>
    </row>
    <row r="55" spans="1:8" ht="15" customHeight="1" x14ac:dyDescent="0.3">
      <c r="A55" s="13"/>
      <c r="B55" s="61">
        <f t="shared" si="2"/>
        <v>45</v>
      </c>
      <c r="C55" s="75">
        <f t="shared" si="4"/>
        <v>74</v>
      </c>
      <c r="D55" s="115">
        <f t="shared" ca="1" si="3"/>
        <v>3.0134910179516167E-4</v>
      </c>
      <c r="E55" s="115">
        <f ca="1">IF($D$2="A",(D55-G55)*withdraw_rate*(C55&lt;$D$5),(D55-G55)*withdraw_rate*(C55&lt;&gt;$D$5-1))</f>
        <v>0</v>
      </c>
      <c r="F55" s="115">
        <f ca="1">IF($D$2="A",(D55-G55)*retire_rate_A*(C55&gt;=$D$5-1),(D55-G55)*100%*(C55=$D$5-1))</f>
        <v>5.4242838323129109E-5</v>
      </c>
      <c r="G55" s="115">
        <f ca="1">IF($D$2="A",D55*mort_rate_A*(C55&gt;=$D$5),0)</f>
        <v>3.0134910179516167E-5</v>
      </c>
      <c r="H55" s="115">
        <f t="shared" ca="1" si="1"/>
        <v>2.1697135329251641E-4</v>
      </c>
    </row>
    <row r="56" spans="1:8" ht="15" customHeight="1" x14ac:dyDescent="0.3">
      <c r="A56" s="13"/>
      <c r="B56" s="61">
        <f t="shared" si="2"/>
        <v>46</v>
      </c>
      <c r="C56" s="75">
        <f t="shared" si="4"/>
        <v>75</v>
      </c>
      <c r="D56" s="115">
        <f t="shared" ca="1" si="3"/>
        <v>2.1697135329251641E-4</v>
      </c>
      <c r="E56" s="115">
        <f ca="1">IF($D$2="A",(D56-G56)*withdraw_rate*(C56&lt;$D$5),(D56-G56)*withdraw_rate*(C56&lt;&gt;$D$5-1))</f>
        <v>0</v>
      </c>
      <c r="F56" s="115">
        <f ca="1">IF($D$2="A",(D56-G56)*retire_rate_A*(C56&gt;=$D$5-1),(D56-G56)*100%*(C56=$D$5-1))</f>
        <v>3.9054843592652956E-5</v>
      </c>
      <c r="G56" s="115">
        <f ca="1">IF($D$2="A",D56*mort_rate_A*(C56&gt;=$D$5),0)</f>
        <v>2.1697135329251642E-5</v>
      </c>
      <c r="H56" s="115">
        <f t="shared" ca="1" si="1"/>
        <v>1.562193743706118E-4</v>
      </c>
    </row>
    <row r="57" spans="1:8" ht="15" customHeight="1" x14ac:dyDescent="0.3">
      <c r="A57" s="13"/>
      <c r="B57" s="61">
        <f t="shared" si="2"/>
        <v>47</v>
      </c>
      <c r="C57" s="75">
        <f t="shared" si="4"/>
        <v>76</v>
      </c>
      <c r="D57" s="115">
        <f t="shared" ca="1" si="3"/>
        <v>1.562193743706118E-4</v>
      </c>
      <c r="E57" s="115">
        <f ca="1">IF($D$2="A",(D57-G57)*withdraw_rate*(C57&lt;$D$5),(D57-G57)*withdraw_rate*(C57&lt;&gt;$D$5-1))</f>
        <v>0</v>
      </c>
      <c r="F57" s="115">
        <f ca="1">IF($D$2="A",(D57-G57)*retire_rate_A*(C57&gt;=$D$5-1),(D57-G57)*100%*(C57=$D$5-1))</f>
        <v>2.8119487386710126E-5</v>
      </c>
      <c r="G57" s="115">
        <f ca="1">IF($D$2="A",D57*mort_rate_A*(C57&gt;=$D$5),0)</f>
        <v>1.5621937437061179E-5</v>
      </c>
      <c r="H57" s="115">
        <f t="shared" ca="1" si="1"/>
        <v>1.1247794954684049E-4</v>
      </c>
    </row>
    <row r="58" spans="1:8" ht="15" customHeight="1" x14ac:dyDescent="0.3">
      <c r="A58" s="13"/>
      <c r="B58" s="61">
        <f t="shared" si="2"/>
        <v>48</v>
      </c>
      <c r="C58" s="75">
        <f t="shared" si="4"/>
        <v>77</v>
      </c>
      <c r="D58" s="115">
        <f t="shared" ca="1" si="3"/>
        <v>1.1247794954684049E-4</v>
      </c>
      <c r="E58" s="115">
        <f ca="1">IF($D$2="A",(D58-G58)*withdraw_rate*(C58&lt;$D$5),(D58-G58)*withdraw_rate*(C58&lt;&gt;$D$5-1))</f>
        <v>0</v>
      </c>
      <c r="F58" s="115">
        <f ca="1">IF($D$2="A",(D58-G58)*retire_rate_A*(C58&gt;=$D$5-1),(D58-G58)*100%*(C58=$D$5-1))</f>
        <v>2.024603091843129E-5</v>
      </c>
      <c r="G58" s="115">
        <f ca="1">IF($D$2="A",D58*mort_rate_A*(C58&gt;=$D$5),0)</f>
        <v>1.124779495468405E-5</v>
      </c>
      <c r="H58" s="115">
        <f t="shared" ca="1" si="1"/>
        <v>8.0984123673725147E-5</v>
      </c>
    </row>
    <row r="59" spans="1:8" ht="15" customHeight="1" x14ac:dyDescent="0.3">
      <c r="A59" s="13"/>
      <c r="B59" s="61">
        <f t="shared" si="2"/>
        <v>49</v>
      </c>
      <c r="C59" s="75">
        <f t="shared" si="4"/>
        <v>78</v>
      </c>
      <c r="D59" s="115">
        <f t="shared" ca="1" si="3"/>
        <v>8.0984123673725147E-5</v>
      </c>
      <c r="E59" s="115">
        <f ca="1">IF($D$2="A",(D59-G59)*withdraw_rate*(C59&lt;$D$5),(D59-G59)*withdraw_rate*(C59&lt;&gt;$D$5-1))</f>
        <v>0</v>
      </c>
      <c r="F59" s="115">
        <f ca="1">IF($D$2="A",(D59-G59)*retire_rate_A*(C59&gt;=$D$5-1),(D59-G59)*100%*(C59=$D$5-1))</f>
        <v>1.4577142261270528E-5</v>
      </c>
      <c r="G59" s="115">
        <f ca="1">IF($D$2="A",D59*mort_rate_A*(C59&gt;=$D$5),0)</f>
        <v>8.0984123673725157E-6</v>
      </c>
      <c r="H59" s="115">
        <f t="shared" ca="1" si="1"/>
        <v>5.8308569045082097E-5</v>
      </c>
    </row>
    <row r="60" spans="1:8" ht="15" customHeight="1" x14ac:dyDescent="0.3">
      <c r="A60" s="13"/>
      <c r="B60" s="61">
        <f t="shared" si="2"/>
        <v>50</v>
      </c>
      <c r="C60" s="75">
        <f t="shared" si="4"/>
        <v>79</v>
      </c>
      <c r="D60" s="115">
        <f t="shared" ca="1" si="3"/>
        <v>5.8308569045082097E-5</v>
      </c>
      <c r="E60" s="115">
        <f ca="1">IF($D$2="A",(D60-G60)*withdraw_rate*(C60&lt;$D$5),(D60-G60)*withdraw_rate*(C60&lt;&gt;$D$5-1))</f>
        <v>0</v>
      </c>
      <c r="F60" s="115">
        <f ca="1">IF($D$2="A",(D60-G60)*retire_rate_A*(C60&gt;=$D$5-1),(D60-G60)*100%*(C60=$D$5-1))</f>
        <v>1.0495542428114778E-5</v>
      </c>
      <c r="G60" s="115">
        <f ca="1">IF($D$2="A",D60*mort_rate_A*(C60&gt;=$D$5),0)</f>
        <v>5.8308569045082103E-6</v>
      </c>
      <c r="H60" s="115">
        <f t="shared" ca="1" si="1"/>
        <v>4.1982169712459112E-5</v>
      </c>
    </row>
    <row r="61" spans="1:8" ht="15" customHeight="1" x14ac:dyDescent="0.3">
      <c r="A61" s="13"/>
      <c r="B61" s="61">
        <f t="shared" si="2"/>
        <v>51</v>
      </c>
      <c r="C61" s="75">
        <f t="shared" si="4"/>
        <v>80</v>
      </c>
      <c r="D61" s="115">
        <f t="shared" ca="1" si="3"/>
        <v>4.1982169712459112E-5</v>
      </c>
      <c r="E61" s="115">
        <f ca="1">IF($D$2="A",(D61-G61)*withdraw_rate*(C61&lt;$D$5),(D61-G61)*withdraw_rate*(C61&lt;&gt;$D$5-1))</f>
        <v>0</v>
      </c>
      <c r="F61" s="115">
        <f ca="1">IF($D$2="A",(D61-G61)*retire_rate_A*(C61&gt;=$D$5-1),(D61-G61)*100%*(C61=$D$5-1))</f>
        <v>7.5567905482426405E-6</v>
      </c>
      <c r="G61" s="115">
        <f ca="1">IF($D$2="A",D61*mort_rate_A*(C61&gt;=$D$5),0)</f>
        <v>4.1982169712459112E-6</v>
      </c>
      <c r="H61" s="115">
        <f t="shared" ca="1" si="1"/>
        <v>3.0227162192970562E-5</v>
      </c>
    </row>
    <row r="62" spans="1:8" ht="15" customHeight="1" x14ac:dyDescent="0.3">
      <c r="A62" s="13"/>
      <c r="B62" s="61">
        <f t="shared" si="2"/>
        <v>52</v>
      </c>
      <c r="C62" s="75">
        <f t="shared" si="4"/>
        <v>81</v>
      </c>
      <c r="D62" s="115">
        <f t="shared" ca="1" si="3"/>
        <v>3.0227162192970562E-5</v>
      </c>
      <c r="E62" s="115">
        <f ca="1">IF($D$2="A",(D62-G62)*withdraw_rate*(C62&lt;$D$5),(D62-G62)*withdraw_rate*(C62&lt;&gt;$D$5-1))</f>
        <v>0</v>
      </c>
      <c r="F62" s="115">
        <f ca="1">IF($D$2="A",(D62-G62)*retire_rate_A*(C62&gt;=$D$5-1),(D62-G62)*100%*(C62=$D$5-1))</f>
        <v>5.4408891947347014E-6</v>
      </c>
      <c r="G62" s="115">
        <f ca="1">IF($D$2="A",D62*mort_rate_A*(C62&gt;=$D$5),0)</f>
        <v>3.0227162192970565E-6</v>
      </c>
      <c r="H62" s="115">
        <f t="shared" ca="1" si="1"/>
        <v>2.1763556778938806E-5</v>
      </c>
    </row>
    <row r="63" spans="1:8" ht="15" customHeight="1" x14ac:dyDescent="0.3">
      <c r="A63" s="13"/>
      <c r="B63" s="61">
        <f t="shared" si="2"/>
        <v>53</v>
      </c>
      <c r="C63" s="75">
        <f t="shared" si="4"/>
        <v>82</v>
      </c>
      <c r="D63" s="115">
        <f t="shared" ca="1" si="3"/>
        <v>2.1763556778938806E-5</v>
      </c>
      <c r="E63" s="115">
        <f ca="1">IF($D$2="A",(D63-G63)*withdraw_rate*(C63&lt;$D$5),(D63-G63)*withdraw_rate*(C63&lt;&gt;$D$5-1))</f>
        <v>0</v>
      </c>
      <c r="F63" s="115">
        <f ca="1">IF($D$2="A",(D63-G63)*retire_rate_A*(C63&gt;=$D$5-1),(D63-G63)*100%*(C63=$D$5-1))</f>
        <v>3.9174402202089856E-6</v>
      </c>
      <c r="G63" s="115">
        <f ca="1">IF($D$2="A",D63*mort_rate_A*(C63&gt;=$D$5),0)</f>
        <v>2.1763556778938807E-6</v>
      </c>
      <c r="H63" s="115">
        <f t="shared" ca="1" si="1"/>
        <v>1.5669760880835939E-5</v>
      </c>
    </row>
    <row r="64" spans="1:8" ht="15" customHeight="1" x14ac:dyDescent="0.3">
      <c r="A64" s="13"/>
      <c r="B64" s="61">
        <f t="shared" si="2"/>
        <v>54</v>
      </c>
      <c r="C64" s="75">
        <f t="shared" si="4"/>
        <v>83</v>
      </c>
      <c r="D64" s="115">
        <f t="shared" ca="1" si="3"/>
        <v>1.5669760880835939E-5</v>
      </c>
      <c r="E64" s="115">
        <f ca="1">IF($D$2="A",(D64-G64)*withdraw_rate*(C64&lt;$D$5),(D64-G64)*withdraw_rate*(C64&lt;&gt;$D$5-1))</f>
        <v>0</v>
      </c>
      <c r="F64" s="115">
        <f ca="1">IF($D$2="A",(D64-G64)*retire_rate_A*(C64&gt;=$D$5-1),(D64-G64)*100%*(C64=$D$5-1))</f>
        <v>2.820556958550469E-6</v>
      </c>
      <c r="G64" s="115">
        <f ca="1">IF($D$2="A",D64*mort_rate_A*(C64&gt;=$D$5),0)</f>
        <v>1.566976088083594E-6</v>
      </c>
      <c r="H64" s="115">
        <f t="shared" ca="1" si="1"/>
        <v>1.1282227834201876E-5</v>
      </c>
    </row>
    <row r="65" spans="1:8" ht="15" customHeight="1" x14ac:dyDescent="0.3">
      <c r="A65" s="13"/>
      <c r="B65" s="61">
        <f t="shared" si="2"/>
        <v>55</v>
      </c>
      <c r="C65" s="75">
        <f t="shared" si="4"/>
        <v>84</v>
      </c>
      <c r="D65" s="115">
        <f t="shared" ca="1" si="3"/>
        <v>1.1282227834201876E-5</v>
      </c>
      <c r="E65" s="115">
        <f ca="1">IF($D$2="A",(D65-G65)*withdraw_rate*(C65&lt;$D$5),(D65-G65)*withdraw_rate*(C65&lt;&gt;$D$5-1))</f>
        <v>0</v>
      </c>
      <c r="F65" s="115">
        <f ca="1">IF($D$2="A",(D65-G65)*retire_rate_A*(C65&gt;=$D$5-1),(D65-G65)*100%*(C65=$D$5-1))</f>
        <v>2.0308010101563379E-6</v>
      </c>
      <c r="G65" s="115">
        <f ca="1">IF($D$2="A",D65*mort_rate_A*(C65&gt;=$D$5),0)</f>
        <v>1.1282227834201876E-6</v>
      </c>
      <c r="H65" s="115">
        <f t="shared" ca="1" si="1"/>
        <v>8.1232040406253516E-6</v>
      </c>
    </row>
    <row r="66" spans="1:8" ht="15" customHeight="1" x14ac:dyDescent="0.3">
      <c r="A66" s="13"/>
      <c r="B66" s="61">
        <f t="shared" si="2"/>
        <v>56</v>
      </c>
      <c r="C66" s="75">
        <f t="shared" si="4"/>
        <v>85</v>
      </c>
      <c r="D66" s="115">
        <f t="shared" ca="1" si="3"/>
        <v>8.1232040406253516E-6</v>
      </c>
      <c r="E66" s="115">
        <f ca="1">IF($D$2="A",(D66-G66)*withdraw_rate*(C66&lt;$D$5),(D66-G66)*withdraw_rate*(C66&lt;&gt;$D$5-1))</f>
        <v>0</v>
      </c>
      <c r="F66" s="115">
        <f ca="1">IF($D$2="A",(D66-G66)*retire_rate_A*(C66&gt;=$D$5-1),(D66-G66)*100%*(C66=$D$5-1))</f>
        <v>1.4621767273125633E-6</v>
      </c>
      <c r="G66" s="115">
        <f ca="1">IF($D$2="A",D66*mort_rate_A*(C66&gt;=$D$5),0)</f>
        <v>8.1232040406253522E-7</v>
      </c>
      <c r="H66" s="115">
        <f t="shared" ca="1" si="1"/>
        <v>5.8487069092502525E-6</v>
      </c>
    </row>
    <row r="67" spans="1:8" ht="15" customHeight="1" x14ac:dyDescent="0.3">
      <c r="A67" s="13"/>
      <c r="B67" s="61">
        <f t="shared" si="2"/>
        <v>57</v>
      </c>
      <c r="C67" s="75">
        <f t="shared" si="4"/>
        <v>86</v>
      </c>
      <c r="D67" s="115">
        <f t="shared" ca="1" si="3"/>
        <v>5.8487069092502525E-6</v>
      </c>
      <c r="E67" s="115">
        <f ca="1">IF($D$2="A",(D67-G67)*withdraw_rate*(C67&lt;$D$5),(D67-G67)*withdraw_rate*(C67&lt;&gt;$D$5-1))</f>
        <v>0</v>
      </c>
      <c r="F67" s="115">
        <f ca="1">IF($D$2="A",(D67-G67)*retire_rate_A*(C67&gt;=$D$5-1),(D67-G67)*100%*(C67=$D$5-1))</f>
        <v>1.0527672436650454E-6</v>
      </c>
      <c r="G67" s="115">
        <f ca="1">IF($D$2="A",D67*mort_rate_A*(C67&gt;=$D$5),0)</f>
        <v>5.8487069092502529E-7</v>
      </c>
      <c r="H67" s="115">
        <f t="shared" ca="1" si="1"/>
        <v>4.2110689746601814E-6</v>
      </c>
    </row>
    <row r="68" spans="1:8" ht="15" customHeight="1" x14ac:dyDescent="0.3">
      <c r="A68" s="13"/>
      <c r="B68" s="61">
        <f t="shared" si="2"/>
        <v>58</v>
      </c>
      <c r="C68" s="75">
        <f t="shared" si="4"/>
        <v>87</v>
      </c>
      <c r="D68" s="115">
        <f t="shared" ca="1" si="3"/>
        <v>4.2110689746601814E-6</v>
      </c>
      <c r="E68" s="115">
        <f ca="1">IF($D$2="A",(D68-G68)*withdraw_rate*(C68&lt;$D$5),(D68-G68)*withdraw_rate*(C68&lt;&gt;$D$5-1))</f>
        <v>0</v>
      </c>
      <c r="F68" s="115">
        <f ca="1">IF($D$2="A",(D68-G68)*retire_rate_A*(C68&gt;=$D$5-1),(D68-G68)*100%*(C68=$D$5-1))</f>
        <v>7.5799241543883273E-7</v>
      </c>
      <c r="G68" s="115">
        <f ca="1">IF($D$2="A",D68*mort_rate_A*(C68&gt;=$D$5),0)</f>
        <v>4.2110689746601816E-7</v>
      </c>
      <c r="H68" s="115">
        <f t="shared" ca="1" si="1"/>
        <v>3.0319696617553305E-6</v>
      </c>
    </row>
    <row r="69" spans="1:8" ht="15" customHeight="1" x14ac:dyDescent="0.3">
      <c r="A69" s="13"/>
      <c r="B69" s="61">
        <f t="shared" si="2"/>
        <v>59</v>
      </c>
      <c r="C69" s="75">
        <f t="shared" si="4"/>
        <v>88</v>
      </c>
      <c r="D69" s="115">
        <f t="shared" ca="1" si="3"/>
        <v>3.0319696617553305E-6</v>
      </c>
      <c r="E69" s="115">
        <f ca="1">IF($D$2="A",(D69-G69)*withdraw_rate*(C69&lt;$D$5),(D69-G69)*withdraw_rate*(C69&lt;&gt;$D$5-1))</f>
        <v>0</v>
      </c>
      <c r="F69" s="115">
        <f ca="1">IF($D$2="A",(D69-G69)*retire_rate_A*(C69&gt;=$D$5-1),(D69-G69)*100%*(C69=$D$5-1))</f>
        <v>5.4575453911595942E-7</v>
      </c>
      <c r="G69" s="115">
        <f ca="1">IF($D$2="A",D69*mort_rate_A*(C69&gt;=$D$5),0)</f>
        <v>3.0319696617553309E-7</v>
      </c>
      <c r="H69" s="115">
        <f t="shared" ca="1" si="1"/>
        <v>2.1830181564638381E-6</v>
      </c>
    </row>
    <row r="70" spans="1:8" ht="15" customHeight="1" x14ac:dyDescent="0.3">
      <c r="A70" s="13"/>
      <c r="B70" s="61">
        <f t="shared" si="2"/>
        <v>60</v>
      </c>
      <c r="C70" s="75">
        <f t="shared" si="4"/>
        <v>89</v>
      </c>
      <c r="D70" s="115">
        <f t="shared" ca="1" si="3"/>
        <v>2.1830181564638381E-6</v>
      </c>
      <c r="E70" s="115">
        <f ca="1">IF($D$2="A",(D70-G70)*withdraw_rate*(C70&lt;$D$5),(D70-G70)*withdraw_rate*(C70&lt;&gt;$D$5-1))</f>
        <v>0</v>
      </c>
      <c r="F70" s="115">
        <f ca="1">IF($D$2="A",(D70-G70)*retire_rate_A*(C70&gt;=$D$5-1),(D70-G70)*100%*(C70=$D$5-1))</f>
        <v>3.9294326816349082E-7</v>
      </c>
      <c r="G70" s="115">
        <f ca="1">IF($D$2="A",D70*mort_rate_A*(C70&gt;=$D$5),0)</f>
        <v>2.1830181564638382E-7</v>
      </c>
      <c r="H70" s="115">
        <f t="shared" ca="1" si="1"/>
        <v>1.5717730726539635E-6</v>
      </c>
    </row>
    <row r="71" spans="1:8" ht="15" customHeight="1" x14ac:dyDescent="0.3">
      <c r="A71" s="13"/>
      <c r="B71" s="61">
        <f t="shared" si="2"/>
        <v>61</v>
      </c>
      <c r="C71" s="75">
        <f t="shared" si="4"/>
        <v>90</v>
      </c>
      <c r="D71" s="115">
        <f t="shared" ca="1" si="3"/>
        <v>1.5717730726539635E-6</v>
      </c>
      <c r="E71" s="115">
        <f ca="1">IF($D$2="A",(D71-G71)*withdraw_rate*(C71&lt;$D$5),(D71-G71)*withdraw_rate*(C71&lt;&gt;$D$5-1))</f>
        <v>0</v>
      </c>
      <c r="F71" s="115">
        <f ca="1">IF($D$2="A",(D71-G71)*retire_rate_A*(C71&gt;=$D$5-1),(D71-G71)*100%*(C71=$D$5-1))</f>
        <v>2.8291915307771347E-7</v>
      </c>
      <c r="G71" s="115">
        <f ca="1">IF($D$2="A",D71*mort_rate_A*(C71&gt;=$D$5),0)</f>
        <v>1.5717730726539637E-7</v>
      </c>
      <c r="H71" s="115">
        <f t="shared" ca="1" si="1"/>
        <v>1.1316766123108537E-6</v>
      </c>
    </row>
    <row r="72" spans="1:8" ht="15" customHeight="1" x14ac:dyDescent="0.3">
      <c r="A72" s="13"/>
      <c r="B72" s="61">
        <f t="shared" si="2"/>
        <v>62</v>
      </c>
      <c r="C72" s="75">
        <f t="shared" si="4"/>
        <v>91</v>
      </c>
      <c r="D72" s="115">
        <f t="shared" ca="1" si="3"/>
        <v>1.1316766123108537E-6</v>
      </c>
      <c r="E72" s="115">
        <f ca="1">IF($D$2="A",(D72-G72)*withdraw_rate*(C72&lt;$D$5),(D72-G72)*withdraw_rate*(C72&lt;&gt;$D$5-1))</f>
        <v>0</v>
      </c>
      <c r="F72" s="115">
        <f ca="1">IF($D$2="A",(D72-G72)*retire_rate_A*(C72&gt;=$D$5-1),(D72-G72)*100%*(C72=$D$5-1))</f>
        <v>2.0370179021595368E-7</v>
      </c>
      <c r="G72" s="115">
        <f ca="1">IF($D$2="A",D72*mort_rate_A*(C72&gt;=$D$5),0)</f>
        <v>1.1316766123108537E-7</v>
      </c>
      <c r="H72" s="115">
        <f t="shared" ca="1" si="1"/>
        <v>8.1480716086381463E-7</v>
      </c>
    </row>
    <row r="73" spans="1:8" ht="15" customHeight="1" x14ac:dyDescent="0.3">
      <c r="A73" s="13"/>
      <c r="B73" s="61">
        <f t="shared" si="2"/>
        <v>63</v>
      </c>
      <c r="C73" s="75">
        <f t="shared" si="4"/>
        <v>92</v>
      </c>
      <c r="D73" s="115">
        <f t="shared" ca="1" si="3"/>
        <v>8.1480716086381463E-7</v>
      </c>
      <c r="E73" s="115">
        <f ca="1">IF($D$2="A",(D73-G73)*withdraw_rate*(C73&lt;$D$5),(D73-G73)*withdraw_rate*(C73&lt;&gt;$D$5-1))</f>
        <v>0</v>
      </c>
      <c r="F73" s="115">
        <f ca="1">IF($D$2="A",(D73-G73)*retire_rate_A*(C73&gt;=$D$5-1),(D73-G73)*100%*(C73=$D$5-1))</f>
        <v>1.4666528895548663E-7</v>
      </c>
      <c r="G73" s="115">
        <f ca="1">IF($D$2="A",D73*mort_rate_A*(C73&gt;=$D$5),0)</f>
        <v>8.1480716086381468E-8</v>
      </c>
      <c r="H73" s="115">
        <f t="shared" ca="1" si="1"/>
        <v>5.8666115582194653E-7</v>
      </c>
    </row>
    <row r="74" spans="1:8" ht="15" customHeight="1" x14ac:dyDescent="0.3">
      <c r="A74" s="13"/>
      <c r="B74" s="61">
        <f t="shared" si="2"/>
        <v>64</v>
      </c>
      <c r="C74" s="75">
        <f t="shared" si="4"/>
        <v>93</v>
      </c>
      <c r="D74" s="115">
        <f t="shared" ca="1" si="3"/>
        <v>5.8666115582194653E-7</v>
      </c>
      <c r="E74" s="115">
        <f ca="1">IF($D$2="A",(D74-G74)*withdraw_rate*(C74&lt;$D$5),(D74-G74)*withdraw_rate*(C74&lt;&gt;$D$5-1))</f>
        <v>0</v>
      </c>
      <c r="F74" s="115">
        <f ca="1">IF($D$2="A",(D74-G74)*retire_rate_A*(C74&gt;=$D$5-1),(D74-G74)*100%*(C74=$D$5-1))</f>
        <v>1.0559900804795038E-7</v>
      </c>
      <c r="G74" s="115">
        <f ca="1">IF($D$2="A",D74*mort_rate_A*(C74&gt;=$D$5),0)</f>
        <v>5.8666115582194654E-8</v>
      </c>
      <c r="H74" s="115">
        <f t="shared" ca="1" si="1"/>
        <v>4.2239603219180143E-7</v>
      </c>
    </row>
    <row r="75" spans="1:8" ht="15" customHeight="1" x14ac:dyDescent="0.3">
      <c r="A75" s="13"/>
      <c r="B75" s="61">
        <f t="shared" si="2"/>
        <v>65</v>
      </c>
      <c r="C75" s="75">
        <f t="shared" si="4"/>
        <v>94</v>
      </c>
      <c r="D75" s="115">
        <f t="shared" ca="1" si="3"/>
        <v>4.2239603219180143E-7</v>
      </c>
      <c r="E75" s="115">
        <f ca="1">IF($D$2="A",(D75-G75)*withdraw_rate*(C75&lt;$D$5),(D75-G75)*withdraw_rate*(C75&lt;&gt;$D$5-1))</f>
        <v>0</v>
      </c>
      <c r="F75" s="115">
        <f ca="1">IF($D$2="A",(D75-G75)*retire_rate_A*(C75&gt;=$D$5-1),(D75-G75)*100%*(C75=$D$5-1))</f>
        <v>7.6031285794524266E-8</v>
      </c>
      <c r="G75" s="115">
        <f ca="1">IF($D$2="A",D75*mort_rate_A*(C75&gt;=$D$5),0)</f>
        <v>4.2239603219180147E-8</v>
      </c>
      <c r="H75" s="115">
        <f t="shared" ca="1" si="1"/>
        <v>3.0412514317809706E-7</v>
      </c>
    </row>
    <row r="76" spans="1:8" ht="15" customHeight="1" x14ac:dyDescent="0.3">
      <c r="A76" s="13"/>
      <c r="B76" s="61">
        <f t="shared" si="2"/>
        <v>66</v>
      </c>
      <c r="C76" s="75">
        <f t="shared" ref="C76:C81" si="5">IF(C75="","",IF($D$2="A",C75+1,IF(C75+1&gt;$D$5,"",C75+1)))</f>
        <v>95</v>
      </c>
      <c r="D76" s="115">
        <f t="shared" ca="1" si="3"/>
        <v>3.0412514317809706E-7</v>
      </c>
      <c r="E76" s="115">
        <f ca="1">IF($D$2="A",(D76-G76)*withdraw_rate*(C76&lt;$D$5),(D76-G76)*withdraw_rate*(C76&lt;&gt;$D$5-1))</f>
        <v>0</v>
      </c>
      <c r="F76" s="115">
        <f ca="1">IF($D$2="A",(D76-G76)*retire_rate_A*(C76&gt;=$D$5-1),(D76-G76)*100%*(C76=$D$5-1))</f>
        <v>5.4742525772057475E-8</v>
      </c>
      <c r="G76" s="115">
        <f ca="1">IF($D$2="A",D76*mort_rate_A*(C76&gt;=$D$5),0)</f>
        <v>3.0412514317809706E-8</v>
      </c>
      <c r="H76" s="115">
        <f t="shared" ref="H76:H81" ca="1" si="6">D76-E76-F76-G76</f>
        <v>2.1897010308822987E-7</v>
      </c>
    </row>
    <row r="77" spans="1:8" ht="15" customHeight="1" x14ac:dyDescent="0.3">
      <c r="A77" s="13"/>
      <c r="B77" s="61">
        <f t="shared" ref="B77:B81" si="7">IF($C77="","",B76+1)</f>
        <v>67</v>
      </c>
      <c r="C77" s="75">
        <f t="shared" si="5"/>
        <v>96</v>
      </c>
      <c r="D77" s="115">
        <f t="shared" ref="D77:D81" ca="1" si="8">H76</f>
        <v>2.1897010308822987E-7</v>
      </c>
      <c r="E77" s="115">
        <f ca="1">IF($D$2="A",(D77-G77)*withdraw_rate*(C77&lt;$D$5),(D77-G77)*withdraw_rate*(C77&lt;&gt;$D$5-1))</f>
        <v>0</v>
      </c>
      <c r="F77" s="115">
        <f ca="1">IF($D$2="A",(D77-G77)*retire_rate_A*(C77&gt;=$D$5-1),(D77-G77)*100%*(C77=$D$5-1))</f>
        <v>3.9414618555881382E-8</v>
      </c>
      <c r="G77" s="115">
        <f ca="1">IF($D$2="A",D77*mort_rate_A*(C77&gt;=$D$5),0)</f>
        <v>2.1897010308822989E-8</v>
      </c>
      <c r="H77" s="115">
        <f t="shared" ca="1" si="6"/>
        <v>1.576584742235255E-7</v>
      </c>
    </row>
    <row r="78" spans="1:8" ht="15" customHeight="1" x14ac:dyDescent="0.3">
      <c r="A78" s="13"/>
      <c r="B78" s="61">
        <f t="shared" si="7"/>
        <v>68</v>
      </c>
      <c r="C78" s="75">
        <f t="shared" si="5"/>
        <v>97</v>
      </c>
      <c r="D78" s="115">
        <f t="shared" ca="1" si="8"/>
        <v>1.576584742235255E-7</v>
      </c>
      <c r="E78" s="115">
        <f ca="1">IF($D$2="A",(D78-G78)*withdraw_rate*(C78&lt;$D$5),(D78-G78)*withdraw_rate*(C78&lt;&gt;$D$5-1))</f>
        <v>0</v>
      </c>
      <c r="F78" s="115">
        <f ca="1">IF($D$2="A",(D78-G78)*retire_rate_A*(C78&gt;=$D$5-1),(D78-G78)*100%*(C78=$D$5-1))</f>
        <v>2.8378525360234592E-8</v>
      </c>
      <c r="G78" s="115">
        <f ca="1">IF($D$2="A",D78*mort_rate_A*(C78&gt;=$D$5),0)</f>
        <v>1.5765847422352552E-8</v>
      </c>
      <c r="H78" s="115">
        <f t="shared" ca="1" si="6"/>
        <v>1.1351410144093837E-7</v>
      </c>
    </row>
    <row r="79" spans="1:8" ht="15" customHeight="1" x14ac:dyDescent="0.3">
      <c r="A79" s="13"/>
      <c r="B79" s="61">
        <f t="shared" si="7"/>
        <v>69</v>
      </c>
      <c r="C79" s="75">
        <f t="shared" si="5"/>
        <v>98</v>
      </c>
      <c r="D79" s="115">
        <f t="shared" ca="1" si="8"/>
        <v>1.1351410144093837E-7</v>
      </c>
      <c r="E79" s="115">
        <f ca="1">IF($D$2="A",(D79-G79)*withdraw_rate*(C79&lt;$D$5),(D79-G79)*withdraw_rate*(C79&lt;&gt;$D$5-1))</f>
        <v>0</v>
      </c>
      <c r="F79" s="115">
        <f ca="1">IF($D$2="A",(D79-G79)*retire_rate_A*(C79&gt;=$D$5-1),(D79-G79)*100%*(C79=$D$5-1))</f>
        <v>2.0432538259368907E-8</v>
      </c>
      <c r="G79" s="115">
        <f ca="1">IF($D$2="A",D79*mort_rate_A*(C79&gt;=$D$5),0)</f>
        <v>1.1351410144093837E-8</v>
      </c>
      <c r="H79" s="115">
        <f t="shared" ca="1" si="6"/>
        <v>8.1730153037475627E-8</v>
      </c>
    </row>
    <row r="80" spans="1:8" ht="15" customHeight="1" x14ac:dyDescent="0.3">
      <c r="A80" s="13"/>
      <c r="B80" s="61">
        <f t="shared" si="7"/>
        <v>70</v>
      </c>
      <c r="C80" s="75">
        <f t="shared" si="5"/>
        <v>99</v>
      </c>
      <c r="D80" s="115">
        <f t="shared" ca="1" si="8"/>
        <v>8.1730153037475627E-8</v>
      </c>
      <c r="E80" s="115">
        <f ca="1">IF($D$2="A",(D80-G80)*withdraw_rate*(C80&lt;$D$5),(D80-G80)*withdraw_rate*(C80&lt;&gt;$D$5-1))</f>
        <v>0</v>
      </c>
      <c r="F80" s="115">
        <f ca="1">IF($D$2="A",(D80-G80)*retire_rate_A*(C80&gt;=$D$5-1),(D80-G80)*100%*(C80=$D$5-1))</f>
        <v>1.4711427546745612E-8</v>
      </c>
      <c r="G80" s="115">
        <f ca="1">IF($D$2="A",D80*mort_rate_A*(C80&gt;=$D$5),0)</f>
        <v>8.173015303747563E-9</v>
      </c>
      <c r="H80" s="115">
        <f t="shared" ca="1" si="6"/>
        <v>5.8845710186982453E-8</v>
      </c>
    </row>
    <row r="81" spans="1:8" ht="15" customHeight="1" x14ac:dyDescent="0.3">
      <c r="A81" s="13"/>
      <c r="B81" s="61">
        <f t="shared" si="7"/>
        <v>71</v>
      </c>
      <c r="C81" s="75">
        <f t="shared" si="5"/>
        <v>100</v>
      </c>
      <c r="D81" s="115">
        <f t="shared" ca="1" si="8"/>
        <v>5.8845710186982453E-8</v>
      </c>
      <c r="E81" s="115">
        <f ca="1">IF($D$2="A",(D81-G81)*withdraw_rate*(C81&lt;$D$5),(D81-G81)*withdraw_rate*(C81&lt;&gt;$D$5-1))</f>
        <v>0</v>
      </c>
      <c r="F81" s="115">
        <f ca="1">IF($D$2="A",(D81-G81)*retire_rate_A*(C81&gt;=$D$5-1),(D81-G81)*100%*(C81=$D$5-1))</f>
        <v>1.0592227833656842E-8</v>
      </c>
      <c r="G81" s="115">
        <f ca="1">IF($D$2="A",D81*mort_rate_A*(C81&gt;=$D$5),0)</f>
        <v>5.8845710186982457E-9</v>
      </c>
      <c r="H81" s="115">
        <f t="shared" ca="1" si="6"/>
        <v>4.2368911334627362E-8</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4" tint="0.59999389629810485"/>
  </sheetPr>
  <dimension ref="A1:AB84"/>
  <sheetViews>
    <sheetView topLeftCell="A16" zoomScale="85" zoomScaleNormal="85" workbookViewId="0">
      <selection activeCell="O50" sqref="O50"/>
    </sheetView>
  </sheetViews>
  <sheetFormatPr defaultRowHeight="15" x14ac:dyDescent="0.25"/>
  <cols>
    <col min="1" max="1" width="3" customWidth="1"/>
    <col min="2" max="2" width="14.85546875" customWidth="1"/>
    <col min="3" max="3" width="17.85546875" bestFit="1" customWidth="1"/>
    <col min="4" max="4" width="11.140625" customWidth="1"/>
    <col min="5" max="5" width="16.28515625" customWidth="1"/>
    <col min="6" max="6" width="17.7109375" bestFit="1" customWidth="1"/>
    <col min="7" max="7" width="12.140625" customWidth="1"/>
    <col min="8" max="8" width="16.85546875" customWidth="1"/>
    <col min="9" max="17" width="15.7109375" customWidth="1"/>
    <col min="18" max="18" width="2.140625" customWidth="1"/>
    <col min="19" max="19" width="13" customWidth="1"/>
    <col min="20" max="20" width="14.28515625" bestFit="1" customWidth="1"/>
    <col min="21" max="22" width="11.5703125" bestFit="1" customWidth="1"/>
    <col min="23" max="23" width="10.5703125" bestFit="1" customWidth="1"/>
    <col min="24" max="28" width="11.5703125" bestFit="1" customWidth="1"/>
  </cols>
  <sheetData>
    <row r="1" spans="1:28" ht="15" customHeight="1" thickBot="1" x14ac:dyDescent="0.3">
      <c r="A1" s="18" t="s">
        <v>59</v>
      </c>
      <c r="B1" s="13"/>
      <c r="C1" s="13"/>
      <c r="D1" s="13"/>
      <c r="E1" s="13"/>
      <c r="F1" s="13"/>
      <c r="G1" s="13"/>
      <c r="H1" s="13"/>
      <c r="I1" s="13"/>
      <c r="J1" s="13"/>
      <c r="K1" s="13"/>
      <c r="L1" s="13"/>
      <c r="M1" s="13"/>
      <c r="N1" s="13"/>
      <c r="O1" s="13"/>
      <c r="P1" s="13"/>
      <c r="Q1" s="13"/>
      <c r="R1" s="13"/>
      <c r="S1" s="13"/>
      <c r="T1" s="13"/>
      <c r="U1" s="13"/>
      <c r="V1" s="13"/>
      <c r="W1" s="13"/>
      <c r="X1" s="13"/>
      <c r="Y1" s="13"/>
      <c r="Z1" s="13"/>
      <c r="AA1" s="13"/>
      <c r="AB1" s="13"/>
    </row>
    <row r="2" spans="1:28" ht="15" customHeight="1" thickBot="1" x14ac:dyDescent="0.3">
      <c r="A2" s="13"/>
      <c r="B2" s="19" t="s">
        <v>19</v>
      </c>
      <c r="C2" s="20" t="s">
        <v>28</v>
      </c>
      <c r="D2" s="21" t="str">
        <f>RIGHT($B$3,1)</f>
        <v>A</v>
      </c>
      <c r="E2" s="13"/>
      <c r="F2" s="13"/>
      <c r="G2" s="13"/>
      <c r="H2" s="22" t="s">
        <v>78</v>
      </c>
      <c r="I2" s="23"/>
      <c r="J2" s="23"/>
      <c r="K2" s="23"/>
      <c r="L2" s="23"/>
      <c r="M2" s="23"/>
      <c r="N2" s="23"/>
      <c r="O2" s="23"/>
      <c r="P2" s="23"/>
      <c r="Q2" s="23"/>
      <c r="R2" s="13"/>
      <c r="S2" s="13"/>
      <c r="T2" s="13"/>
      <c r="U2" s="13"/>
      <c r="V2" s="13"/>
      <c r="W2" s="13"/>
      <c r="X2" s="13"/>
      <c r="Y2" s="13"/>
      <c r="Z2" s="13"/>
      <c r="AA2" s="13"/>
      <c r="AB2" s="13"/>
    </row>
    <row r="3" spans="1:28" ht="15" customHeight="1" thickBot="1" x14ac:dyDescent="0.3">
      <c r="A3" s="13"/>
      <c r="B3" s="24" t="str">
        <f>EAN_Projection!B3</f>
        <v>30A</v>
      </c>
      <c r="C3" s="20" t="s">
        <v>77</v>
      </c>
      <c r="D3" s="21">
        <f>VLOOKUP($B$3,'opening demographics'!$A$1:$E$11,3,FALSE)</f>
        <v>20</v>
      </c>
      <c r="E3" s="13"/>
      <c r="F3" s="25" t="s">
        <v>73</v>
      </c>
      <c r="G3" s="26" t="str">
        <f>B3</f>
        <v>30A</v>
      </c>
      <c r="H3" s="27" t="s">
        <v>20</v>
      </c>
      <c r="I3" s="28" t="s">
        <v>63</v>
      </c>
      <c r="J3" s="28" t="s">
        <v>65</v>
      </c>
      <c r="K3" s="28" t="s">
        <v>67</v>
      </c>
      <c r="L3" s="29" t="s">
        <v>69</v>
      </c>
      <c r="M3" s="30" t="s">
        <v>61</v>
      </c>
      <c r="N3" s="28" t="s">
        <v>62</v>
      </c>
      <c r="O3" s="28" t="s">
        <v>64</v>
      </c>
      <c r="P3" s="28" t="s">
        <v>66</v>
      </c>
      <c r="Q3" s="31" t="s">
        <v>68</v>
      </c>
      <c r="R3" s="13"/>
      <c r="S3" s="13"/>
      <c r="T3" s="13"/>
      <c r="U3" s="13"/>
      <c r="V3" s="13"/>
      <c r="W3" s="13"/>
      <c r="X3" s="13"/>
      <c r="Y3" s="13"/>
      <c r="Z3" s="13"/>
      <c r="AA3" s="13"/>
      <c r="AB3" s="13"/>
    </row>
    <row r="4" spans="1:28" ht="15" customHeight="1" x14ac:dyDescent="0.25">
      <c r="A4" s="13"/>
      <c r="B4" s="13"/>
      <c r="C4" s="20" t="s">
        <v>29</v>
      </c>
      <c r="D4" s="21">
        <f>VALUE(LEFT($B$3,2))</f>
        <v>30</v>
      </c>
      <c r="E4" s="13"/>
      <c r="F4" s="32" t="s">
        <v>74</v>
      </c>
      <c r="G4" s="33">
        <f>D3</f>
        <v>20</v>
      </c>
      <c r="H4" s="34">
        <f t="dataTable" ref="H4:Q7" dt2D="0" dtr="1" r1="B3" ca="1"/>
        <v>20</v>
      </c>
      <c r="I4" s="35">
        <v>15</v>
      </c>
      <c r="J4" s="35">
        <v>30</v>
      </c>
      <c r="K4" s="35">
        <v>25</v>
      </c>
      <c r="L4" s="36">
        <v>10</v>
      </c>
      <c r="M4" s="37">
        <v>210</v>
      </c>
      <c r="N4" s="35">
        <v>220</v>
      </c>
      <c r="O4" s="35">
        <v>240</v>
      </c>
      <c r="P4" s="35">
        <v>180</v>
      </c>
      <c r="Q4" s="38">
        <v>50</v>
      </c>
      <c r="R4" s="13"/>
      <c r="S4" s="13"/>
      <c r="T4" s="13"/>
      <c r="U4" s="13"/>
      <c r="V4" s="13"/>
      <c r="W4" s="13"/>
      <c r="X4" s="13"/>
      <c r="Y4" s="13"/>
      <c r="Z4" s="13"/>
      <c r="AA4" s="13"/>
      <c r="AB4" s="13"/>
    </row>
    <row r="5" spans="1:28" ht="15" customHeight="1" x14ac:dyDescent="0.25">
      <c r="A5" s="13"/>
      <c r="B5" s="13"/>
      <c r="C5" s="20" t="s">
        <v>30</v>
      </c>
      <c r="D5" s="21">
        <f ca="1">INDIRECT("NRA_"&amp;$D$2)</f>
        <v>50</v>
      </c>
      <c r="E5" s="13"/>
      <c r="F5" s="32" t="s">
        <v>16</v>
      </c>
      <c r="G5" s="39">
        <f ca="1">I14</f>
        <v>9718.9927433616194</v>
      </c>
      <c r="H5" s="34">
        <v>9718.9927433616194</v>
      </c>
      <c r="I5" s="35">
        <v>15080.597806276177</v>
      </c>
      <c r="J5" s="35">
        <v>17894.450538829002</v>
      </c>
      <c r="K5" s="35">
        <v>19240.000000000004</v>
      </c>
      <c r="L5" s="36">
        <v>26443.952496513255</v>
      </c>
      <c r="M5" s="37">
        <v>1955.2936564113406</v>
      </c>
      <c r="N5" s="35">
        <v>2781.4118006497902</v>
      </c>
      <c r="O5" s="35">
        <v>3429.9198483455698</v>
      </c>
      <c r="P5" s="35">
        <v>4199.6385794697735</v>
      </c>
      <c r="Q5" s="38">
        <v>4742.7064247790113</v>
      </c>
      <c r="R5" s="13"/>
      <c r="S5" s="13"/>
      <c r="T5" s="13"/>
      <c r="U5" s="13"/>
      <c r="V5" s="13"/>
      <c r="W5" s="13"/>
      <c r="X5" s="13"/>
      <c r="Y5" s="13"/>
      <c r="Z5" s="13"/>
      <c r="AA5" s="13"/>
      <c r="AB5" s="13"/>
    </row>
    <row r="6" spans="1:28" ht="15" customHeight="1" x14ac:dyDescent="0.25">
      <c r="A6" s="13"/>
      <c r="B6" s="13"/>
      <c r="C6" s="20" t="s">
        <v>31</v>
      </c>
      <c r="D6" s="40">
        <f ca="1">INDIRECT("accrual_rate_"&amp;$D$2)</f>
        <v>0.1</v>
      </c>
      <c r="E6" s="13"/>
      <c r="F6" s="32" t="s">
        <v>76</v>
      </c>
      <c r="G6" s="39">
        <f ca="1">E15</f>
        <v>103648.4317092171</v>
      </c>
      <c r="H6" s="34">
        <v>103648.4317092171</v>
      </c>
      <c r="I6" s="35">
        <v>155472.64756382565</v>
      </c>
      <c r="J6" s="35">
        <v>181384.75549112991</v>
      </c>
      <c r="K6" s="35">
        <v>191749.59866205163</v>
      </c>
      <c r="L6" s="36">
        <v>259121.07927304273</v>
      </c>
      <c r="M6" s="37">
        <v>79170.807916917329</v>
      </c>
      <c r="N6" s="35">
        <v>88305.901138100089</v>
      </c>
      <c r="O6" s="35">
        <v>96425.984001373668</v>
      </c>
      <c r="P6" s="35">
        <v>104546.06686464723</v>
      </c>
      <c r="Q6" s="38">
        <v>104546.06686464723</v>
      </c>
      <c r="R6" s="13"/>
      <c r="S6" s="13"/>
      <c r="T6" s="13"/>
      <c r="U6" s="13"/>
      <c r="V6" s="13"/>
      <c r="W6" s="13"/>
      <c r="X6" s="13"/>
      <c r="Y6" s="13"/>
      <c r="Z6" s="13"/>
      <c r="AA6" s="13"/>
      <c r="AB6" s="13"/>
    </row>
    <row r="7" spans="1:28" ht="15" customHeight="1" thickBot="1" x14ac:dyDescent="0.3">
      <c r="A7" s="13"/>
      <c r="B7" s="13"/>
      <c r="C7" s="20" t="s">
        <v>32</v>
      </c>
      <c r="D7" s="41">
        <f>VLOOKUP($B$3,'opening demographics'!$A$1:$E$11,4,FALSE)</f>
        <v>100000</v>
      </c>
      <c r="E7" s="13"/>
      <c r="F7" s="42" t="s">
        <v>25</v>
      </c>
      <c r="G7" s="43" t="str">
        <f ca="1">T13</f>
        <v>Pass</v>
      </c>
      <c r="H7" s="44" t="str">
        <v>Pass</v>
      </c>
      <c r="I7" s="45" t="str">
        <v>Pass</v>
      </c>
      <c r="J7" s="45" t="str">
        <v>Pass</v>
      </c>
      <c r="K7" s="45" t="str">
        <v>Pass</v>
      </c>
      <c r="L7" s="46" t="str">
        <v>Pass</v>
      </c>
      <c r="M7" s="45" t="str">
        <v>Pass</v>
      </c>
      <c r="N7" s="45" t="str">
        <v>Pass</v>
      </c>
      <c r="O7" s="45" t="str">
        <v>Pass</v>
      </c>
      <c r="P7" s="45" t="str">
        <v>Pass</v>
      </c>
      <c r="Q7" s="47" t="str">
        <v>Pass</v>
      </c>
      <c r="R7" s="13"/>
      <c r="S7" s="13"/>
      <c r="T7" s="13"/>
      <c r="U7" s="13"/>
      <c r="V7" s="13"/>
      <c r="W7" s="13"/>
      <c r="X7" s="13"/>
      <c r="Y7" s="13"/>
      <c r="Z7" s="13"/>
      <c r="AA7" s="13"/>
      <c r="AB7" s="13"/>
    </row>
    <row r="8" spans="1:28" ht="15" customHeight="1" x14ac:dyDescent="0.25">
      <c r="A8" s="13"/>
      <c r="B8" s="13"/>
      <c r="C8" s="20" t="s">
        <v>33</v>
      </c>
      <c r="D8" s="48">
        <f ca="1">INDIRECT("e_"&amp;$D$2)</f>
        <v>3.6484317092170926E-2</v>
      </c>
      <c r="E8" s="13"/>
      <c r="F8" s="13"/>
      <c r="G8" s="13"/>
      <c r="H8" s="49" t="s">
        <v>80</v>
      </c>
      <c r="I8" s="50" t="s">
        <v>10</v>
      </c>
      <c r="J8" s="50" t="s">
        <v>9</v>
      </c>
      <c r="K8" s="51"/>
      <c r="L8" s="51"/>
      <c r="M8" s="51"/>
      <c r="N8" s="51"/>
      <c r="O8" s="51"/>
      <c r="P8" s="51"/>
      <c r="Q8" s="52"/>
      <c r="R8" s="13"/>
      <c r="S8" s="13"/>
      <c r="T8" s="13"/>
      <c r="U8" s="13"/>
      <c r="V8" s="13"/>
      <c r="W8" s="13"/>
      <c r="X8" s="13"/>
      <c r="Y8" s="13"/>
      <c r="Z8" s="13"/>
      <c r="AA8" s="13"/>
      <c r="AB8" s="13"/>
    </row>
    <row r="9" spans="1:28" ht="15" customHeight="1" x14ac:dyDescent="0.25">
      <c r="A9" s="13"/>
      <c r="B9" s="13"/>
      <c r="C9" s="13"/>
      <c r="D9" s="13"/>
      <c r="E9" s="13"/>
      <c r="F9" s="13"/>
      <c r="G9" s="13"/>
      <c r="H9" s="53" t="s">
        <v>70</v>
      </c>
      <c r="I9" s="54">
        <f>SUMPRODUCT(H4:L4,H5:L5)</f>
        <v>1702861.8630913778</v>
      </c>
      <c r="J9" s="54">
        <f>SUMPRODUCT(M4:Q4,M5:Q5)</f>
        <v>2838773.2931357818</v>
      </c>
      <c r="K9" s="51"/>
      <c r="L9" s="51"/>
      <c r="M9" s="51"/>
      <c r="N9" s="51"/>
      <c r="O9" s="51"/>
      <c r="P9" s="51"/>
      <c r="Q9" s="52"/>
      <c r="R9" s="13"/>
      <c r="S9" s="13"/>
      <c r="T9" s="13"/>
      <c r="U9" s="13"/>
      <c r="V9" s="13"/>
      <c r="W9" s="13"/>
      <c r="X9" s="13"/>
      <c r="Y9" s="13"/>
      <c r="Z9" s="13"/>
      <c r="AA9" s="13"/>
      <c r="AB9" s="13"/>
    </row>
    <row r="10" spans="1:28" ht="15" customHeight="1" x14ac:dyDescent="0.25">
      <c r="A10" s="13"/>
      <c r="B10" s="13"/>
      <c r="C10" s="13"/>
      <c r="D10" s="13"/>
      <c r="E10" s="13"/>
      <c r="F10" s="13"/>
      <c r="G10" s="13"/>
      <c r="H10" s="53" t="s">
        <v>71</v>
      </c>
      <c r="I10" s="54">
        <f>SUMPRODUCT(H6:L6,H4:L4)</f>
        <v>17231551.77165734</v>
      </c>
      <c r="J10" s="54">
        <f>SUMPRODUCT(M6:Q6,M4:Q4)</f>
        <v>83240999.452133209</v>
      </c>
      <c r="K10" s="51"/>
      <c r="L10" s="51"/>
      <c r="M10" s="51"/>
      <c r="N10" s="51"/>
      <c r="O10" s="51"/>
      <c r="P10" s="51"/>
      <c r="Q10" s="52"/>
      <c r="R10" s="13"/>
      <c r="S10" s="13"/>
      <c r="T10" s="13"/>
      <c r="U10" s="13"/>
      <c r="V10" s="13"/>
      <c r="W10" s="13"/>
      <c r="X10" s="13"/>
      <c r="Y10" s="13"/>
      <c r="Z10" s="13"/>
      <c r="AA10" s="13"/>
      <c r="AB10" s="13"/>
    </row>
    <row r="11" spans="1:28" ht="15" customHeight="1" thickBot="1" x14ac:dyDescent="0.3">
      <c r="A11" s="13"/>
      <c r="B11" s="13"/>
      <c r="C11" s="13"/>
      <c r="D11" s="13"/>
      <c r="E11" s="13"/>
      <c r="F11" s="13"/>
      <c r="G11" s="13"/>
      <c r="H11" s="55" t="s">
        <v>72</v>
      </c>
      <c r="I11" s="56">
        <f>I9/I10</f>
        <v>9.882231650734237E-2</v>
      </c>
      <c r="J11" s="56">
        <f>J9/J10</f>
        <v>3.4103065938896927E-2</v>
      </c>
      <c r="K11" s="57"/>
      <c r="L11" s="57"/>
      <c r="M11" s="57"/>
      <c r="N11" s="57"/>
      <c r="O11" s="57"/>
      <c r="P11" s="57"/>
      <c r="Q11" s="58"/>
      <c r="R11" s="13"/>
      <c r="S11" s="13"/>
      <c r="T11" s="13"/>
      <c r="U11" s="13"/>
      <c r="V11" s="13"/>
      <c r="W11" s="13"/>
      <c r="X11" s="13"/>
      <c r="Y11" s="13"/>
      <c r="Z11" s="13"/>
      <c r="AA11" s="13"/>
      <c r="AB11" s="13"/>
    </row>
    <row r="12" spans="1:28" ht="15" customHeight="1" x14ac:dyDescent="0.25">
      <c r="A12" s="13"/>
      <c r="B12" s="13"/>
      <c r="C12" s="13"/>
      <c r="D12" s="13"/>
      <c r="E12" s="13"/>
      <c r="F12" s="13"/>
      <c r="G12" s="13"/>
      <c r="H12" s="13"/>
      <c r="I12" s="13"/>
      <c r="J12" s="59"/>
      <c r="K12" s="13"/>
      <c r="L12" s="13"/>
      <c r="M12" s="13"/>
      <c r="N12" s="13"/>
      <c r="O12" s="13"/>
      <c r="P12" s="13"/>
      <c r="Q12" s="13"/>
      <c r="R12" s="13"/>
      <c r="S12" s="13"/>
      <c r="T12" s="13"/>
      <c r="U12" s="13"/>
      <c r="V12" s="13"/>
      <c r="W12" s="13"/>
      <c r="X12" s="13"/>
      <c r="Y12" s="13"/>
      <c r="Z12" s="13"/>
      <c r="AA12" s="13"/>
      <c r="AB12" s="13"/>
    </row>
    <row r="13" spans="1:28" ht="51.75" customHeight="1" x14ac:dyDescent="0.25">
      <c r="A13" s="13"/>
      <c r="B13" s="111" t="s">
        <v>75</v>
      </c>
      <c r="C13" s="111" t="s">
        <v>23</v>
      </c>
      <c r="D13" s="111" t="s">
        <v>21</v>
      </c>
      <c r="E13" s="111" t="s">
        <v>24</v>
      </c>
      <c r="F13" s="111" t="s">
        <v>108</v>
      </c>
      <c r="G13" s="111" t="s">
        <v>22</v>
      </c>
      <c r="H13" s="111" t="s">
        <v>27</v>
      </c>
      <c r="I13" s="111" t="s">
        <v>49</v>
      </c>
      <c r="J13" s="111" t="s">
        <v>109</v>
      </c>
      <c r="K13" s="111" t="s">
        <v>98</v>
      </c>
      <c r="L13" s="113" t="s">
        <v>110</v>
      </c>
      <c r="M13" s="111" t="s">
        <v>107</v>
      </c>
      <c r="N13" s="111" t="s">
        <v>111</v>
      </c>
      <c r="O13" s="111" t="s">
        <v>112</v>
      </c>
      <c r="P13" s="13"/>
      <c r="Q13" s="13"/>
      <c r="R13" s="13"/>
      <c r="S13" s="110" t="s">
        <v>79</v>
      </c>
      <c r="T13" s="60" t="str">
        <f ca="1">IF(ABS(SUM(T14:T84))&lt;0.0001,"Pass","Check!")</f>
        <v>Pass</v>
      </c>
      <c r="U13" s="13"/>
      <c r="V13" s="13"/>
      <c r="W13" s="13"/>
      <c r="X13" s="13"/>
      <c r="Y13" s="13"/>
      <c r="Z13" s="13"/>
      <c r="AA13" s="13"/>
      <c r="AB13" s="13"/>
    </row>
    <row r="14" spans="1:28" x14ac:dyDescent="0.25">
      <c r="A14" s="13"/>
      <c r="B14" s="61">
        <v>0</v>
      </c>
      <c r="C14" s="62">
        <f>D4</f>
        <v>30</v>
      </c>
      <c r="D14" s="63">
        <f ca="1">D6</f>
        <v>0.1</v>
      </c>
      <c r="E14" s="64">
        <f>D7</f>
        <v>100000</v>
      </c>
      <c r="F14" s="65">
        <f ca="1">D8</f>
        <v>3.6484317092170926E-2</v>
      </c>
      <c r="G14" s="66">
        <f t="shared" ref="G14" si="0">i</f>
        <v>0.04</v>
      </c>
      <c r="H14" s="67">
        <f ca="1">IF($C14="","",
D14*((1+F14)/(1+G14))^($D$5-C14-1))</f>
        <v>9.3768835505663936E-2</v>
      </c>
      <c r="I14" s="68">
        <f ca="1">IF($C15="",0,
H14*E14*(1+F14))</f>
        <v>9718.9927433616194</v>
      </c>
      <c r="J14" s="68">
        <f ca="1">IF($C14="",0,
D14*E14*B14*((1+F14)/(1+G14))^($D$5-C14))</f>
        <v>0</v>
      </c>
      <c r="K14" s="69">
        <f ca="1">J14/1</f>
        <v>0</v>
      </c>
      <c r="L14" s="70"/>
      <c r="M14" s="71">
        <f ca="1">IF($C14="",0,
I14*Decrements!D11)</f>
        <v>9718.9927433616194</v>
      </c>
      <c r="N14" s="72">
        <f ca="1">K14*Assumptions!$B$19*Decrements!E11</f>
        <v>0</v>
      </c>
      <c r="O14" s="72">
        <f ca="1">J15*(Decrements!F11+Decrements!G11)</f>
        <v>0</v>
      </c>
      <c r="P14" s="13"/>
      <c r="Q14" s="13"/>
      <c r="R14" s="13"/>
      <c r="S14" s="73">
        <f ca="1">IF($C15="","",J15-J14*(1+i))</f>
        <v>9718.9927433616213</v>
      </c>
      <c r="T14" s="74">
        <f ca="1">IFERROR(S14-I14,"")</f>
        <v>1.8189894035458565E-12</v>
      </c>
      <c r="U14" s="13"/>
      <c r="V14" s="13"/>
      <c r="W14" s="13"/>
      <c r="X14" s="13"/>
      <c r="Y14" s="13"/>
      <c r="Z14" s="13"/>
      <c r="AA14" s="13"/>
      <c r="AB14" s="13"/>
    </row>
    <row r="15" spans="1:28" x14ac:dyDescent="0.25">
      <c r="A15" s="13"/>
      <c r="B15" s="61">
        <f>IF($C15="","",B14+1)</f>
        <v>1</v>
      </c>
      <c r="C15" s="75">
        <f t="shared" ref="C15:C46" si="1">IF(C14="","",IF($D$2="A",C14+1,IF(C14+1&gt;$D$5,"",C14+1)))</f>
        <v>31</v>
      </c>
      <c r="D15" s="76">
        <f ca="1">IF($C15="","",D14)</f>
        <v>0.1</v>
      </c>
      <c r="E15" s="77">
        <f ca="1">IF($C15="","",E14*(1+F14))</f>
        <v>103648.4317092171</v>
      </c>
      <c r="F15" s="66">
        <f ca="1">IF($C15="","",F14)</f>
        <v>3.6484317092170926E-2</v>
      </c>
      <c r="G15" s="66">
        <f>IF($C15="","",G14)</f>
        <v>0.04</v>
      </c>
      <c r="H15" s="67">
        <f t="shared" ref="H15:H78" ca="1" si="2">IF($C15="","",
D15*((1+F15)/(1+G15))^($D$5-C15-1))</f>
        <v>9.4086892891422691E-2</v>
      </c>
      <c r="I15" s="68">
        <f t="shared" ref="I15:I78" ca="1" si="3">IF($C16="",0,
H15*E15*(1+F15))</f>
        <v>10107.752453096082</v>
      </c>
      <c r="J15" s="68">
        <f t="shared" ref="J15:J78" ca="1" si="4">IF($C15="",0,
D15*E15*B15*((1+F15)/(1+G15))^($D$5-C15))</f>
        <v>9718.9927433616213</v>
      </c>
      <c r="K15" s="69">
        <f t="shared" ref="K15:K78" ca="1" si="5">J15/1</f>
        <v>9718.9927433616213</v>
      </c>
      <c r="L15" s="70"/>
      <c r="M15" s="71">
        <f ca="1">IF($C15="",0,
I15*Decrements!D12+(M14-N14-O14)*(1+G14))</f>
        <v>20215.504906192167</v>
      </c>
      <c r="N15" s="72">
        <f ca="1">K15*Assumptions!$B$19*Decrements!E12</f>
        <v>0</v>
      </c>
      <c r="O15" s="72">
        <f ca="1">J16*(Decrements!F12+Decrements!G12)</f>
        <v>0</v>
      </c>
      <c r="P15" s="13"/>
      <c r="Q15" s="13"/>
      <c r="R15" s="13"/>
      <c r="S15" s="73">
        <f ca="1">IF($C16="","",J16-J15*(1+i))</f>
        <v>10107.752453096084</v>
      </c>
      <c r="T15" s="74">
        <f ca="1">IFERROR(S15-I15,"")</f>
        <v>1.8189894035458565E-12</v>
      </c>
      <c r="U15" s="13"/>
      <c r="V15" s="13"/>
      <c r="W15" s="13"/>
      <c r="X15" s="13"/>
      <c r="Y15" s="13"/>
      <c r="Z15" s="13"/>
      <c r="AA15" s="13"/>
      <c r="AB15" s="13"/>
    </row>
    <row r="16" spans="1:28" x14ac:dyDescent="0.25">
      <c r="A16" s="13"/>
      <c r="B16" s="61">
        <f t="shared" ref="B16:B61" si="6">IF($C16="","",B15+1)</f>
        <v>2</v>
      </c>
      <c r="C16" s="75">
        <f t="shared" si="1"/>
        <v>32</v>
      </c>
      <c r="D16" s="76">
        <f t="shared" ref="D16:D61" ca="1" si="7">IF($C16="","",D15)</f>
        <v>0.1</v>
      </c>
      <c r="E16" s="77">
        <f t="shared" ref="E16:E79" ca="1" si="8">IF($C16="","",E15*(1+F15))</f>
        <v>107429.9739578024</v>
      </c>
      <c r="F16" s="66">
        <f t="shared" ref="F16:F61" ca="1" si="9">IF($C16="","",F15)</f>
        <v>3.6484317092170926E-2</v>
      </c>
      <c r="G16" s="66">
        <f t="shared" ref="G16:G61" si="10">IF($C16="","",G15)</f>
        <v>0.04</v>
      </c>
      <c r="H16" s="67">
        <f t="shared" ca="1" si="2"/>
        <v>9.4406029105771894E-2</v>
      </c>
      <c r="I16" s="68">
        <f t="shared" ca="1" si="3"/>
        <v>10512.062551219928</v>
      </c>
      <c r="J16" s="68">
        <f t="shared" ca="1" si="4"/>
        <v>20215.504906192171</v>
      </c>
      <c r="K16" s="69">
        <f t="shared" ca="1" si="5"/>
        <v>20215.504906192171</v>
      </c>
      <c r="L16" s="70"/>
      <c r="M16" s="71">
        <f ca="1">IF($C16="",0,
I16*Decrements!D13+(M15-N15-O15)*(1+G15))</f>
        <v>31536.187653659785</v>
      </c>
      <c r="N16" s="72">
        <f ca="1">K16*Assumptions!$B$19*Decrements!E13</f>
        <v>0</v>
      </c>
      <c r="O16" s="72">
        <f ca="1">J17*(Decrements!F13+Decrements!G13)</f>
        <v>0</v>
      </c>
      <c r="P16" s="13"/>
      <c r="Q16" s="13"/>
      <c r="R16" s="13"/>
      <c r="S16" s="73">
        <f ca="1">IF($C17="","",J17-J16*(1+i))</f>
        <v>10512.062551219926</v>
      </c>
      <c r="T16" s="74">
        <f ca="1">IFERROR(S16-I16,"")</f>
        <v>-1.8189894035458565E-12</v>
      </c>
      <c r="U16" s="13"/>
      <c r="V16" s="13"/>
      <c r="W16" s="13"/>
      <c r="X16" s="13"/>
      <c r="Y16" s="13"/>
      <c r="Z16" s="13"/>
      <c r="AA16" s="13"/>
      <c r="AB16" s="13"/>
    </row>
    <row r="17" spans="1:28" x14ac:dyDescent="0.25">
      <c r="A17" s="13"/>
      <c r="B17" s="61">
        <f t="shared" si="6"/>
        <v>3</v>
      </c>
      <c r="C17" s="75">
        <f t="shared" si="1"/>
        <v>33</v>
      </c>
      <c r="D17" s="76">
        <f t="shared" ca="1" si="7"/>
        <v>0.1</v>
      </c>
      <c r="E17" s="77">
        <f t="shared" ca="1" si="8"/>
        <v>111349.48319288253</v>
      </c>
      <c r="F17" s="66">
        <f t="shared" ca="1" si="9"/>
        <v>3.6484317092170926E-2</v>
      </c>
      <c r="G17" s="66">
        <f t="shared" si="10"/>
        <v>0.04</v>
      </c>
      <c r="H17" s="67">
        <f t="shared" ca="1" si="2"/>
        <v>9.4726247808023301E-2</v>
      </c>
      <c r="I17" s="68">
        <f t="shared" ca="1" si="3"/>
        <v>10932.545053268725</v>
      </c>
      <c r="J17" s="68">
        <f t="shared" ca="1" si="4"/>
        <v>31536.187653659785</v>
      </c>
      <c r="K17" s="69">
        <f t="shared" ca="1" si="5"/>
        <v>31536.187653659785</v>
      </c>
      <c r="L17" s="70"/>
      <c r="M17" s="71">
        <f ca="1">IF($C17="",0,
I17*Decrements!D14+(M16-N16-O16)*(1+G16))</f>
        <v>43730.180213074898</v>
      </c>
      <c r="N17" s="72">
        <f ca="1">K17*Assumptions!$B$19*Decrements!E14</f>
        <v>0</v>
      </c>
      <c r="O17" s="72">
        <f ca="1">J18*(Decrements!F14+Decrements!G14)</f>
        <v>0</v>
      </c>
      <c r="P17" s="13"/>
      <c r="Q17" s="13"/>
      <c r="R17" s="13"/>
      <c r="S17" s="73">
        <f ca="1">IF($C18="","",J18-J17*(1+i))</f>
        <v>10932.545053268725</v>
      </c>
      <c r="T17" s="74">
        <f ca="1">IFERROR(S17-I17,"")</f>
        <v>0</v>
      </c>
      <c r="U17" s="13"/>
      <c r="V17" s="13"/>
      <c r="W17" s="13"/>
      <c r="X17" s="13"/>
      <c r="Y17" s="13"/>
      <c r="Z17" s="13"/>
      <c r="AA17" s="13"/>
      <c r="AB17" s="13"/>
    </row>
    <row r="18" spans="1:28" x14ac:dyDescent="0.25">
      <c r="A18" s="13"/>
      <c r="B18" s="61">
        <f t="shared" si="6"/>
        <v>4</v>
      </c>
      <c r="C18" s="75">
        <f t="shared" si="1"/>
        <v>34</v>
      </c>
      <c r="D18" s="76">
        <f t="shared" ca="1" si="7"/>
        <v>0.1</v>
      </c>
      <c r="E18" s="77">
        <f t="shared" ca="1" si="8"/>
        <v>115411.99304574101</v>
      </c>
      <c r="F18" s="66">
        <f t="shared" ca="1" si="9"/>
        <v>3.6484317092170926E-2</v>
      </c>
      <c r="G18" s="66">
        <f t="shared" si="10"/>
        <v>0.04</v>
      </c>
      <c r="H18" s="67">
        <f t="shared" ca="1" si="2"/>
        <v>9.5047552669900753E-2</v>
      </c>
      <c r="I18" s="68">
        <f t="shared" ca="1" si="3"/>
        <v>11369.846855399473</v>
      </c>
      <c r="J18" s="68">
        <f t="shared" ca="1" si="4"/>
        <v>43730.180213074898</v>
      </c>
      <c r="K18" s="69">
        <f t="shared" ca="1" si="5"/>
        <v>43730.180213074898</v>
      </c>
      <c r="L18" s="70"/>
      <c r="M18" s="71">
        <f ca="1">IF($C18="",0,
I18*Decrements!D15+(M17-N17-O17)*(1+G17))</f>
        <v>56849.234276997369</v>
      </c>
      <c r="N18" s="72">
        <f ca="1">K18*Assumptions!$B$19*Decrements!E15</f>
        <v>0</v>
      </c>
      <c r="O18" s="72">
        <f ca="1">J19*(Decrements!F15+Decrements!G15)</f>
        <v>0</v>
      </c>
      <c r="P18" s="13"/>
      <c r="Q18" s="13"/>
      <c r="R18" s="13"/>
      <c r="S18" s="73">
        <f ca="1">IF($C19="","",J19-J18*(1+i))</f>
        <v>11369.846855399475</v>
      </c>
      <c r="T18" s="74">
        <f ca="1">IFERROR(S18-I18,"")</f>
        <v>1.8189894035458565E-12</v>
      </c>
      <c r="U18" s="13"/>
      <c r="V18" s="13"/>
      <c r="W18" s="13"/>
      <c r="X18" s="13"/>
      <c r="Y18" s="13"/>
      <c r="Z18" s="13"/>
      <c r="AA18" s="13"/>
      <c r="AB18" s="13"/>
    </row>
    <row r="19" spans="1:28" x14ac:dyDescent="0.25">
      <c r="A19" s="13"/>
      <c r="B19" s="61">
        <f t="shared" si="6"/>
        <v>5</v>
      </c>
      <c r="C19" s="75">
        <f t="shared" si="1"/>
        <v>35</v>
      </c>
      <c r="D19" s="76">
        <f t="shared" ca="1" si="7"/>
        <v>0.1</v>
      </c>
      <c r="E19" s="77">
        <f t="shared" ca="1" si="8"/>
        <v>119622.72079626124</v>
      </c>
      <c r="F19" s="66">
        <f t="shared" ca="1" si="9"/>
        <v>3.6484317092170926E-2</v>
      </c>
      <c r="G19" s="66">
        <f t="shared" si="10"/>
        <v>0.04</v>
      </c>
      <c r="H19" s="67">
        <f t="shared" ca="1" si="2"/>
        <v>9.5369947375582381E-2</v>
      </c>
      <c r="I19" s="68">
        <f t="shared" ca="1" si="3"/>
        <v>11824.640729615452</v>
      </c>
      <c r="J19" s="68">
        <f t="shared" ca="1" si="4"/>
        <v>56849.234276997369</v>
      </c>
      <c r="K19" s="69">
        <f t="shared" ca="1" si="5"/>
        <v>56849.234276997369</v>
      </c>
      <c r="L19" s="70"/>
      <c r="M19" s="71">
        <f ca="1">IF($C19="",0,
I19*Decrements!D16+(M18-N18-O18)*(1+G18))</f>
        <v>70947.844377692716</v>
      </c>
      <c r="N19" s="72">
        <f ca="1">K19*Assumptions!$B$19*Decrements!E16</f>
        <v>0</v>
      </c>
      <c r="O19" s="72">
        <f ca="1">J20*(Decrements!F16+Decrements!G16)</f>
        <v>0</v>
      </c>
      <c r="P19" s="13"/>
      <c r="Q19" s="13"/>
      <c r="R19" s="13"/>
      <c r="S19" s="73">
        <f ca="1">IF($C20="","",J20-J19*(1+i))</f>
        <v>11824.64072961545</v>
      </c>
      <c r="T19" s="74">
        <f ca="1">IFERROR(S19-I19,"")</f>
        <v>-1.8189894035458565E-12</v>
      </c>
      <c r="U19" s="13"/>
      <c r="V19" s="13"/>
      <c r="W19" s="13"/>
      <c r="X19" s="13"/>
      <c r="Y19" s="13"/>
      <c r="Z19" s="13"/>
      <c r="AA19" s="13"/>
      <c r="AB19" s="13"/>
    </row>
    <row r="20" spans="1:28" x14ac:dyDescent="0.25">
      <c r="A20" s="13"/>
      <c r="B20" s="61">
        <f t="shared" si="6"/>
        <v>6</v>
      </c>
      <c r="C20" s="75">
        <f t="shared" si="1"/>
        <v>36</v>
      </c>
      <c r="D20" s="76">
        <f t="shared" ca="1" si="7"/>
        <v>0.1</v>
      </c>
      <c r="E20" s="77">
        <f t="shared" ca="1" si="8"/>
        <v>123987.07407322027</v>
      </c>
      <c r="F20" s="66">
        <f t="shared" ca="1" si="9"/>
        <v>3.6484317092170926E-2</v>
      </c>
      <c r="G20" s="66">
        <f t="shared" si="10"/>
        <v>0.04</v>
      </c>
      <c r="H20" s="67">
        <f t="shared" ca="1" si="2"/>
        <v>9.5693435621742762E-2</v>
      </c>
      <c r="I20" s="68">
        <f t="shared" ca="1" si="3"/>
        <v>12297.626358800067</v>
      </c>
      <c r="J20" s="68">
        <f t="shared" ca="1" si="4"/>
        <v>70947.844377692716</v>
      </c>
      <c r="K20" s="69">
        <f t="shared" ca="1" si="5"/>
        <v>70947.844377692716</v>
      </c>
      <c r="L20" s="70"/>
      <c r="M20" s="71">
        <f ca="1">IF($C20="",0,
I20*Decrements!D17+(M19-N19-O19)*(1+G19))</f>
        <v>86083.384511600496</v>
      </c>
      <c r="N20" s="72">
        <f ca="1">K20*Assumptions!$B$19*Decrements!E17</f>
        <v>0</v>
      </c>
      <c r="O20" s="72">
        <f ca="1">J21*(Decrements!F17+Decrements!G17)</f>
        <v>0</v>
      </c>
      <c r="P20" s="13"/>
      <c r="Q20" s="13"/>
      <c r="R20" s="13"/>
      <c r="S20" s="73">
        <f ca="1">IF($C21="","",J21-J20*(1+i))</f>
        <v>12297.626358800058</v>
      </c>
      <c r="T20" s="74">
        <f ca="1">IFERROR(S20-I20,"")</f>
        <v>-9.0949470177292824E-12</v>
      </c>
      <c r="U20" s="13"/>
      <c r="V20" s="13"/>
      <c r="W20" s="13"/>
      <c r="X20" s="13"/>
      <c r="Y20" s="13"/>
      <c r="Z20" s="13"/>
      <c r="AA20" s="13"/>
      <c r="AB20" s="13"/>
    </row>
    <row r="21" spans="1:28" x14ac:dyDescent="0.25">
      <c r="A21" s="13"/>
      <c r="B21" s="61">
        <f t="shared" si="6"/>
        <v>7</v>
      </c>
      <c r="C21" s="75">
        <f t="shared" si="1"/>
        <v>37</v>
      </c>
      <c r="D21" s="76">
        <f t="shared" ca="1" si="7"/>
        <v>0.1</v>
      </c>
      <c r="E21" s="77">
        <f t="shared" ca="1" si="8"/>
        <v>128510.65779903812</v>
      </c>
      <c r="F21" s="66">
        <f t="shared" ca="1" si="9"/>
        <v>3.6484317092170926E-2</v>
      </c>
      <c r="G21" s="66">
        <f t="shared" si="10"/>
        <v>0.04</v>
      </c>
      <c r="H21" s="67">
        <f t="shared" ca="1" si="2"/>
        <v>9.6018021117595359E-2</v>
      </c>
      <c r="I21" s="68">
        <f t="shared" ca="1" si="3"/>
        <v>12789.531413152072</v>
      </c>
      <c r="J21" s="68">
        <f t="shared" ca="1" si="4"/>
        <v>86083.384511600481</v>
      </c>
      <c r="K21" s="69">
        <f t="shared" ca="1" si="5"/>
        <v>86083.384511600481</v>
      </c>
      <c r="L21" s="70"/>
      <c r="M21" s="71">
        <f ca="1">IF($C21="",0,
I21*Decrements!D18+(M20-N20-O20)*(1+G20))</f>
        <v>102316.25130521659</v>
      </c>
      <c r="N21" s="72">
        <f ca="1">K21*Assumptions!$B$19*Decrements!E18</f>
        <v>0</v>
      </c>
      <c r="O21" s="72">
        <f ca="1">J22*(Decrements!F18+Decrements!G18)</f>
        <v>0</v>
      </c>
      <c r="P21" s="13"/>
      <c r="Q21" s="13"/>
      <c r="R21" s="13"/>
      <c r="S21" s="73">
        <f ca="1">IF($C22="","",J22-J21*(1+i))</f>
        <v>12789.531413152072</v>
      </c>
      <c r="T21" s="74">
        <f ca="1">IFERROR(S21-I21,"")</f>
        <v>0</v>
      </c>
      <c r="U21" s="13"/>
      <c r="V21" s="13"/>
      <c r="W21" s="13"/>
      <c r="X21" s="13"/>
      <c r="Y21" s="13"/>
      <c r="Z21" s="13"/>
      <c r="AA21" s="13"/>
      <c r="AB21" s="13"/>
    </row>
    <row r="22" spans="1:28" x14ac:dyDescent="0.25">
      <c r="A22" s="13"/>
      <c r="B22" s="61">
        <f t="shared" si="6"/>
        <v>8</v>
      </c>
      <c r="C22" s="75">
        <f t="shared" si="1"/>
        <v>38</v>
      </c>
      <c r="D22" s="76">
        <f t="shared" ca="1" si="7"/>
        <v>0.1</v>
      </c>
      <c r="E22" s="77">
        <f t="shared" ca="1" si="8"/>
        <v>133199.28138790169</v>
      </c>
      <c r="F22" s="66">
        <f t="shared" ca="1" si="9"/>
        <v>3.6484317092170926E-2</v>
      </c>
      <c r="G22" s="66">
        <f t="shared" si="10"/>
        <v>0.04</v>
      </c>
      <c r="H22" s="67">
        <f t="shared" ca="1" si="2"/>
        <v>9.6343707584935018E-2</v>
      </c>
      <c r="I22" s="68">
        <f t="shared" ca="1" si="3"/>
        <v>13301.112669678154</v>
      </c>
      <c r="J22" s="68">
        <f t="shared" ca="1" si="4"/>
        <v>102316.25130521657</v>
      </c>
      <c r="K22" s="69">
        <f t="shared" ca="1" si="5"/>
        <v>102316.25130521657</v>
      </c>
      <c r="L22" s="70"/>
      <c r="M22" s="71">
        <f ca="1">IF($C22="",0,
I22*Decrements!D19+(M21-N21-O21)*(1+G21))</f>
        <v>119710.01402710342</v>
      </c>
      <c r="N22" s="72">
        <f ca="1">K22*Assumptions!$B$19*Decrements!E19</f>
        <v>0</v>
      </c>
      <c r="O22" s="72">
        <f ca="1">J23*(Decrements!F19+Decrements!G19)</f>
        <v>0</v>
      </c>
      <c r="P22" s="13"/>
      <c r="Q22" s="13"/>
      <c r="R22" s="13"/>
      <c r="S22" s="73">
        <f ca="1">IF($C23="","",J23-J22*(1+i))</f>
        <v>13301.112669678143</v>
      </c>
      <c r="T22" s="74">
        <f ca="1">IFERROR(S22-I22,"")</f>
        <v>-1.0913936421275139E-11</v>
      </c>
      <c r="U22" s="13"/>
      <c r="V22" s="13"/>
      <c r="W22" s="13"/>
      <c r="X22" s="13"/>
      <c r="Y22" s="13"/>
      <c r="Z22" s="13"/>
      <c r="AA22" s="13"/>
      <c r="AB22" s="13"/>
    </row>
    <row r="23" spans="1:28" x14ac:dyDescent="0.25">
      <c r="A23" s="13"/>
      <c r="B23" s="61">
        <f t="shared" si="6"/>
        <v>9</v>
      </c>
      <c r="C23" s="75">
        <f t="shared" si="1"/>
        <v>39</v>
      </c>
      <c r="D23" s="76">
        <f t="shared" ca="1" si="7"/>
        <v>0.1</v>
      </c>
      <c r="E23" s="77">
        <f t="shared" ca="1" si="8"/>
        <v>138058.9662065072</v>
      </c>
      <c r="F23" s="66">
        <f t="shared" ca="1" si="9"/>
        <v>3.6484317092170926E-2</v>
      </c>
      <c r="G23" s="66">
        <f t="shared" si="10"/>
        <v>0.04</v>
      </c>
      <c r="H23" s="67">
        <f t="shared" ca="1" si="2"/>
        <v>9.6670498758180623E-2</v>
      </c>
      <c r="I23" s="68">
        <f t="shared" ca="1" si="3"/>
        <v>13833.15717646528</v>
      </c>
      <c r="J23" s="68">
        <f t="shared" ca="1" si="4"/>
        <v>119710.01402710339</v>
      </c>
      <c r="K23" s="69">
        <f t="shared" ca="1" si="5"/>
        <v>119710.01402710339</v>
      </c>
      <c r="L23" s="70"/>
      <c r="M23" s="71">
        <f ca="1">IF($C23="",0,
I23*Decrements!D20+(M22-N22-O22)*(1+G22))</f>
        <v>138331.57176465285</v>
      </c>
      <c r="N23" s="72">
        <f ca="1">K23*Assumptions!$B$19*Decrements!E20</f>
        <v>0</v>
      </c>
      <c r="O23" s="72">
        <f ca="1">J24*(Decrements!F20+Decrements!G20)</f>
        <v>0</v>
      </c>
      <c r="P23" s="13"/>
      <c r="Q23" s="13"/>
      <c r="R23" s="13"/>
      <c r="S23" s="73">
        <f ca="1">IF($C24="","",J24-J23*(1+i))</f>
        <v>13833.157176465262</v>
      </c>
      <c r="T23" s="74">
        <f ca="1">IFERROR(S23-I23,"")</f>
        <v>-1.8189894035458565E-11</v>
      </c>
      <c r="U23" s="13"/>
      <c r="V23" s="13"/>
      <c r="W23" s="13"/>
      <c r="X23" s="13"/>
      <c r="Y23" s="13"/>
      <c r="Z23" s="13"/>
      <c r="AA23" s="13"/>
      <c r="AB23" s="13"/>
    </row>
    <row r="24" spans="1:28" x14ac:dyDescent="0.25">
      <c r="A24" s="13"/>
      <c r="B24" s="61">
        <f t="shared" si="6"/>
        <v>10</v>
      </c>
      <c r="C24" s="75">
        <f t="shared" si="1"/>
        <v>40</v>
      </c>
      <c r="D24" s="76">
        <f t="shared" ca="1" si="7"/>
        <v>0.1</v>
      </c>
      <c r="E24" s="77">
        <f t="shared" ca="1" si="8"/>
        <v>143095.95330700272</v>
      </c>
      <c r="F24" s="66">
        <f t="shared" ca="1" si="9"/>
        <v>3.6484317092170926E-2</v>
      </c>
      <c r="G24" s="66">
        <f t="shared" si="10"/>
        <v>0.04</v>
      </c>
      <c r="H24" s="67">
        <f t="shared" ca="1" si="2"/>
        <v>9.6998398384418025E-2</v>
      </c>
      <c r="I24" s="68">
        <f t="shared" ca="1" si="3"/>
        <v>14386.483463523891</v>
      </c>
      <c r="J24" s="68">
        <f t="shared" ca="1" si="4"/>
        <v>138331.57176465279</v>
      </c>
      <c r="K24" s="69">
        <f t="shared" ca="1" si="5"/>
        <v>138331.57176465279</v>
      </c>
      <c r="L24" s="70"/>
      <c r="M24" s="71">
        <f ca="1">IF($C24="",0,
I24*Decrements!D21+(M23-N23-O23)*(1+G23))</f>
        <v>158251.31809876286</v>
      </c>
      <c r="N24" s="72">
        <f ca="1">K24*Assumptions!$B$19*Decrements!E21</f>
        <v>0</v>
      </c>
      <c r="O24" s="72">
        <f ca="1">J25*(Decrements!F21+Decrements!G21)</f>
        <v>0</v>
      </c>
      <c r="P24" s="13"/>
      <c r="Q24" s="13"/>
      <c r="R24" s="13"/>
      <c r="S24" s="73">
        <f ca="1">IF($C25="","",J25-J24*(1+i))</f>
        <v>14386.48346352388</v>
      </c>
      <c r="T24" s="74">
        <f ca="1">IFERROR(S24-I24,"")</f>
        <v>-1.0913936421275139E-11</v>
      </c>
      <c r="U24" s="13"/>
      <c r="V24" s="13"/>
      <c r="W24" s="13"/>
      <c r="X24" s="13"/>
      <c r="Y24" s="13"/>
      <c r="Z24" s="13"/>
      <c r="AA24" s="13"/>
      <c r="AB24" s="13"/>
    </row>
    <row r="25" spans="1:28" x14ac:dyDescent="0.25">
      <c r="A25" s="13"/>
      <c r="B25" s="61">
        <f t="shared" si="6"/>
        <v>11</v>
      </c>
      <c r="C25" s="75">
        <f t="shared" si="1"/>
        <v>41</v>
      </c>
      <c r="D25" s="76">
        <f t="shared" ca="1" si="7"/>
        <v>0.1</v>
      </c>
      <c r="E25" s="77">
        <f t="shared" ca="1" si="8"/>
        <v>148316.7114420619</v>
      </c>
      <c r="F25" s="66">
        <f t="shared" ca="1" si="9"/>
        <v>3.6484317092170926E-2</v>
      </c>
      <c r="G25" s="66">
        <f t="shared" si="10"/>
        <v>0.04</v>
      </c>
      <c r="H25" s="67">
        <f t="shared" ca="1" si="2"/>
        <v>9.7327410223442865E-2</v>
      </c>
      <c r="I25" s="68">
        <f t="shared" ca="1" si="3"/>
        <v>14961.942802064848</v>
      </c>
      <c r="J25" s="68">
        <f t="shared" ca="1" si="4"/>
        <v>158251.3180987628</v>
      </c>
      <c r="K25" s="69">
        <f t="shared" ca="1" si="5"/>
        <v>158251.3180987628</v>
      </c>
      <c r="L25" s="70"/>
      <c r="M25" s="71">
        <f ca="1">IF($C25="",0,
I25*Decrements!D22+(M24-N24-O24)*(1+G24))</f>
        <v>179543.31362477824</v>
      </c>
      <c r="N25" s="72">
        <f ca="1">K25*Assumptions!$B$19*Decrements!E22</f>
        <v>0</v>
      </c>
      <c r="O25" s="72">
        <f ca="1">J26*(Decrements!F22+Decrements!G22)</f>
        <v>0</v>
      </c>
      <c r="P25" s="13"/>
      <c r="Q25" s="13"/>
      <c r="R25" s="13"/>
      <c r="S25" s="73">
        <f ca="1">IF($C26="","",J26-J25*(1+i))</f>
        <v>14961.942802064819</v>
      </c>
      <c r="T25" s="74">
        <f ca="1">IFERROR(S25-I25,"")</f>
        <v>-2.9103830456733704E-11</v>
      </c>
      <c r="U25" s="13"/>
      <c r="V25" s="13"/>
      <c r="W25" s="13"/>
      <c r="X25" s="13"/>
      <c r="Y25" s="13"/>
      <c r="Z25" s="13"/>
      <c r="AA25" s="13"/>
      <c r="AB25" s="13"/>
    </row>
    <row r="26" spans="1:28" x14ac:dyDescent="0.25">
      <c r="A26" s="13"/>
      <c r="B26" s="61">
        <f t="shared" si="6"/>
        <v>12</v>
      </c>
      <c r="C26" s="75">
        <f t="shared" si="1"/>
        <v>42</v>
      </c>
      <c r="D26" s="76">
        <f t="shared" ca="1" si="7"/>
        <v>0.1</v>
      </c>
      <c r="E26" s="77">
        <f t="shared" ca="1" si="8"/>
        <v>153727.94537238209</v>
      </c>
      <c r="F26" s="66">
        <f t="shared" ca="1" si="9"/>
        <v>3.6484317092170926E-2</v>
      </c>
      <c r="G26" s="66">
        <f t="shared" si="10"/>
        <v>0.04</v>
      </c>
      <c r="H26" s="67">
        <f t="shared" ca="1" si="2"/>
        <v>9.7657538047803749E-2</v>
      </c>
      <c r="I26" s="68">
        <f t="shared" ca="1" si="3"/>
        <v>15560.420514147439</v>
      </c>
      <c r="J26" s="68">
        <f t="shared" ca="1" si="4"/>
        <v>179543.31362477815</v>
      </c>
      <c r="K26" s="69">
        <f t="shared" ca="1" si="5"/>
        <v>179543.31362477815</v>
      </c>
      <c r="L26" s="70"/>
      <c r="M26" s="71">
        <f ca="1">IF($C26="",0,
I26*Decrements!D23+(M25-N25-O25)*(1+G25))</f>
        <v>202285.46668391681</v>
      </c>
      <c r="N26" s="72">
        <f ca="1">K26*Assumptions!$B$19*Decrements!E23</f>
        <v>0</v>
      </c>
      <c r="O26" s="72">
        <f ca="1">J27*(Decrements!F23+Decrements!G23)</f>
        <v>0</v>
      </c>
      <c r="P26" s="13"/>
      <c r="Q26" s="13"/>
      <c r="R26" s="13"/>
      <c r="S26" s="73">
        <f ca="1">IF($C27="","",J27-J26*(1+i))</f>
        <v>15560.420514147438</v>
      </c>
      <c r="T26" s="74">
        <f ca="1">IFERROR(S26-I26,"")</f>
        <v>-1.8189894035458565E-12</v>
      </c>
      <c r="U26" s="13"/>
      <c r="V26" s="13"/>
      <c r="W26" s="13"/>
      <c r="X26" s="13"/>
      <c r="Y26" s="13"/>
      <c r="Z26" s="13"/>
      <c r="AA26" s="13"/>
      <c r="AB26" s="13"/>
    </row>
    <row r="27" spans="1:28" x14ac:dyDescent="0.25">
      <c r="A27" s="13"/>
      <c r="B27" s="61">
        <f t="shared" si="6"/>
        <v>13</v>
      </c>
      <c r="C27" s="75">
        <f t="shared" si="1"/>
        <v>43</v>
      </c>
      <c r="D27" s="76">
        <f t="shared" ca="1" si="7"/>
        <v>0.1</v>
      </c>
      <c r="E27" s="77">
        <f t="shared" ca="1" si="8"/>
        <v>159336.60447727601</v>
      </c>
      <c r="F27" s="66">
        <f t="shared" ca="1" si="9"/>
        <v>3.6484317092170926E-2</v>
      </c>
      <c r="G27" s="66">
        <f t="shared" si="10"/>
        <v>0.04</v>
      </c>
      <c r="H27" s="67">
        <f t="shared" ca="1" si="2"/>
        <v>9.7988785642845563E-2</v>
      </c>
      <c r="I27" s="68">
        <f t="shared" ca="1" si="3"/>
        <v>16182.837334713338</v>
      </c>
      <c r="J27" s="68">
        <f t="shared" ca="1" si="4"/>
        <v>202285.46668391672</v>
      </c>
      <c r="K27" s="69">
        <f t="shared" ca="1" si="5"/>
        <v>202285.46668391672</v>
      </c>
      <c r="L27" s="70"/>
      <c r="M27" s="71">
        <f ca="1">IF($C27="",0,
I27*Decrements!D24+(M26-N26-O26)*(1+G26))</f>
        <v>226559.72268598684</v>
      </c>
      <c r="N27" s="72">
        <f ca="1">K27*Assumptions!$B$19*Decrements!E24</f>
        <v>0</v>
      </c>
      <c r="O27" s="72">
        <f ca="1">J28*(Decrements!F24+Decrements!G24)</f>
        <v>0</v>
      </c>
      <c r="P27" s="13"/>
      <c r="Q27" s="13"/>
      <c r="R27" s="13"/>
      <c r="S27" s="73">
        <f ca="1">IF($C28="","",J28-J27*(1+i))</f>
        <v>16182.837334713346</v>
      </c>
      <c r="T27" s="74">
        <f ca="1">IFERROR(S27-I27,"")</f>
        <v>7.2759576141834259E-12</v>
      </c>
      <c r="U27" s="13"/>
      <c r="V27" s="13"/>
      <c r="W27" s="13"/>
      <c r="X27" s="13"/>
      <c r="Y27" s="13"/>
      <c r="Z27" s="13"/>
      <c r="AA27" s="13"/>
      <c r="AB27" s="13"/>
    </row>
    <row r="28" spans="1:28" x14ac:dyDescent="0.25">
      <c r="A28" s="13"/>
      <c r="B28" s="61">
        <f t="shared" si="6"/>
        <v>14</v>
      </c>
      <c r="C28" s="75">
        <f t="shared" si="1"/>
        <v>44</v>
      </c>
      <c r="D28" s="76">
        <f t="shared" ca="1" si="7"/>
        <v>0.1</v>
      </c>
      <c r="E28" s="77">
        <f t="shared" ca="1" si="8"/>
        <v>165149.89167941478</v>
      </c>
      <c r="F28" s="66">
        <f t="shared" ca="1" si="9"/>
        <v>3.6484317092170926E-2</v>
      </c>
      <c r="G28" s="66">
        <f t="shared" si="10"/>
        <v>0.04</v>
      </c>
      <c r="H28" s="67">
        <f t="shared" ca="1" si="2"/>
        <v>9.8321156806752755E-2</v>
      </c>
      <c r="I28" s="68">
        <f t="shared" ca="1" si="3"/>
        <v>16830.150828101872</v>
      </c>
      <c r="J28" s="68">
        <f t="shared" ca="1" si="4"/>
        <v>226559.72268598675</v>
      </c>
      <c r="K28" s="69">
        <f t="shared" ca="1" si="5"/>
        <v>226559.72268598675</v>
      </c>
      <c r="L28" s="70"/>
      <c r="M28" s="71">
        <f ca="1">IF($C28="",0,
I28*Decrements!D25+(M27-N27-O27)*(1+G27))</f>
        <v>252452.2624215282</v>
      </c>
      <c r="N28" s="72">
        <f ca="1">K28*Assumptions!$B$19*Decrements!E25</f>
        <v>0</v>
      </c>
      <c r="O28" s="72">
        <f ca="1">J29*(Decrements!F25+Decrements!G25)</f>
        <v>0</v>
      </c>
      <c r="P28" s="13"/>
      <c r="Q28" s="78"/>
      <c r="R28" s="13"/>
      <c r="S28" s="73">
        <f ca="1">IF($C29="","",J29-J28*(1+i))</f>
        <v>16830.150828101818</v>
      </c>
      <c r="T28" s="74">
        <f ca="1">IFERROR(S28-I28,"")</f>
        <v>-5.4569682106375694E-11</v>
      </c>
      <c r="U28" s="13"/>
      <c r="V28" s="13"/>
      <c r="W28" s="13"/>
      <c r="X28" s="13"/>
      <c r="Y28" s="13"/>
      <c r="Z28" s="13"/>
      <c r="AA28" s="13"/>
      <c r="AB28" s="13"/>
    </row>
    <row r="29" spans="1:28" x14ac:dyDescent="0.25">
      <c r="A29" s="13"/>
      <c r="B29" s="61">
        <f t="shared" si="6"/>
        <v>15</v>
      </c>
      <c r="C29" s="75">
        <f t="shared" si="1"/>
        <v>45</v>
      </c>
      <c r="D29" s="76">
        <f t="shared" ca="1" si="7"/>
        <v>0.1</v>
      </c>
      <c r="E29" s="77">
        <f t="shared" ca="1" si="8"/>
        <v>171175.27269518422</v>
      </c>
      <c r="F29" s="66">
        <f t="shared" ca="1" si="9"/>
        <v>3.6484317092170926E-2</v>
      </c>
      <c r="G29" s="66">
        <f t="shared" si="10"/>
        <v>0.04</v>
      </c>
      <c r="H29" s="67">
        <f t="shared" ca="1" si="2"/>
        <v>9.8654655350592993E-2</v>
      </c>
      <c r="I29" s="68">
        <f t="shared" ca="1" si="3"/>
        <v>17503.356861225944</v>
      </c>
      <c r="J29" s="68">
        <f t="shared" ca="1" si="4"/>
        <v>252452.26242152805</v>
      </c>
      <c r="K29" s="69">
        <f t="shared" ca="1" si="5"/>
        <v>252452.26242152805</v>
      </c>
      <c r="L29" s="70"/>
      <c r="M29" s="71">
        <f ca="1">IF($C29="",0,
I29*Decrements!D26+(M28-N28-O28)*(1+G28))</f>
        <v>280053.70977961528</v>
      </c>
      <c r="N29" s="72">
        <f ca="1">K29*Assumptions!$B$19*Decrements!E26</f>
        <v>0</v>
      </c>
      <c r="O29" s="72">
        <f ca="1">J30*(Decrements!F26+Decrements!G26)</f>
        <v>0</v>
      </c>
      <c r="P29" s="13"/>
      <c r="Q29" s="13"/>
      <c r="R29" s="13"/>
      <c r="S29" s="73">
        <f ca="1">IF($C30="","",J30-J29*(1+i))</f>
        <v>17503.356861225911</v>
      </c>
      <c r="T29" s="74">
        <f ca="1">IFERROR(S29-I29,"")</f>
        <v>-3.2741809263825417E-11</v>
      </c>
      <c r="U29" s="13"/>
      <c r="V29" s="13"/>
      <c r="W29" s="13"/>
      <c r="X29" s="13"/>
      <c r="Y29" s="13"/>
      <c r="Z29" s="13"/>
      <c r="AA29" s="13"/>
      <c r="AB29" s="13"/>
    </row>
    <row r="30" spans="1:28" x14ac:dyDescent="0.25">
      <c r="A30" s="13"/>
      <c r="B30" s="61">
        <f t="shared" si="6"/>
        <v>16</v>
      </c>
      <c r="C30" s="75">
        <f t="shared" si="1"/>
        <v>46</v>
      </c>
      <c r="D30" s="76">
        <f t="shared" ca="1" si="7"/>
        <v>0.1</v>
      </c>
      <c r="E30" s="77">
        <f t="shared" ca="1" si="8"/>
        <v>177420.48562253415</v>
      </c>
      <c r="F30" s="66">
        <f t="shared" ca="1" si="9"/>
        <v>3.6484317092170926E-2</v>
      </c>
      <c r="G30" s="66">
        <f t="shared" si="10"/>
        <v>0.04</v>
      </c>
      <c r="H30" s="67">
        <f t="shared" ca="1" si="2"/>
        <v>9.8989285098360802E-2</v>
      </c>
      <c r="I30" s="68">
        <f t="shared" ca="1" si="3"/>
        <v>18203.491135674984</v>
      </c>
      <c r="J30" s="68">
        <f t="shared" ca="1" si="4"/>
        <v>280053.70977961511</v>
      </c>
      <c r="K30" s="69">
        <f t="shared" ca="1" si="5"/>
        <v>280053.70977961511</v>
      </c>
      <c r="L30" s="70"/>
      <c r="M30" s="71">
        <f ca="1">IF($C30="",0,
I30*Decrements!D27+(M29-N29-O29)*(1+G29))</f>
        <v>309459.34930647491</v>
      </c>
      <c r="N30" s="72">
        <f ca="1">K30*Assumptions!$B$19*Decrements!E27</f>
        <v>0</v>
      </c>
      <c r="O30" s="72">
        <f ca="1">J31*(Decrements!F27+Decrements!G27)</f>
        <v>0</v>
      </c>
      <c r="P30" s="13"/>
      <c r="Q30" s="13"/>
      <c r="R30" s="13"/>
      <c r="S30" s="73">
        <f ca="1">IF($C31="","",J31-J30*(1+i))</f>
        <v>18203.491135674994</v>
      </c>
      <c r="T30" s="74">
        <f ca="1">IFERROR(S30-I30,"")</f>
        <v>1.0913936421275139E-11</v>
      </c>
      <c r="U30" s="13"/>
      <c r="V30" s="13"/>
      <c r="W30" s="13"/>
      <c r="X30" s="13"/>
      <c r="Y30" s="13"/>
      <c r="Z30" s="13"/>
      <c r="AA30" s="13"/>
      <c r="AB30" s="13"/>
    </row>
    <row r="31" spans="1:28" x14ac:dyDescent="0.25">
      <c r="A31" s="13"/>
      <c r="B31" s="61">
        <f t="shared" si="6"/>
        <v>17</v>
      </c>
      <c r="C31" s="75">
        <f t="shared" si="1"/>
        <v>47</v>
      </c>
      <c r="D31" s="76">
        <f t="shared" ca="1" si="7"/>
        <v>0.1</v>
      </c>
      <c r="E31" s="77">
        <f t="shared" ca="1" si="8"/>
        <v>183893.55087863363</v>
      </c>
      <c r="F31" s="66">
        <f t="shared" ca="1" si="9"/>
        <v>3.6484317092170926E-2</v>
      </c>
      <c r="G31" s="66">
        <f t="shared" si="10"/>
        <v>0.04</v>
      </c>
      <c r="H31" s="67">
        <f t="shared" ca="1" si="2"/>
        <v>9.9325049887021455E-2</v>
      </c>
      <c r="I31" s="68">
        <f t="shared" ca="1" si="3"/>
        <v>18931.630781101983</v>
      </c>
      <c r="J31" s="68">
        <f t="shared" ca="1" si="4"/>
        <v>309459.34930647473</v>
      </c>
      <c r="K31" s="69">
        <f t="shared" ca="1" si="5"/>
        <v>309459.34930647473</v>
      </c>
      <c r="L31" s="70"/>
      <c r="M31" s="71">
        <f ca="1">IF($C31="",0,
I31*Decrements!D28+(M30-N30-O30)*(1+G30))</f>
        <v>340769.3540598359</v>
      </c>
      <c r="N31" s="72">
        <f ca="1">K31*Assumptions!$B$19*Decrements!E28</f>
        <v>0</v>
      </c>
      <c r="O31" s="72">
        <f ca="1">J32*(Decrements!F28+Decrements!G28)</f>
        <v>0</v>
      </c>
      <c r="P31" s="13"/>
      <c r="Q31" s="13"/>
      <c r="R31" s="79"/>
      <c r="S31" s="73">
        <f ca="1">IF($C32="","",J32-J31*(1+i))</f>
        <v>18931.630781101936</v>
      </c>
      <c r="T31" s="74">
        <f ca="1">IFERROR(S31-I31,"")</f>
        <v>-4.7293724492192268E-11</v>
      </c>
      <c r="U31" s="13"/>
      <c r="V31" s="79"/>
      <c r="W31" s="79"/>
      <c r="X31" s="79"/>
      <c r="Y31" s="79"/>
      <c r="Z31" s="79"/>
      <c r="AA31" s="79"/>
      <c r="AB31" s="79"/>
    </row>
    <row r="32" spans="1:28" x14ac:dyDescent="0.25">
      <c r="A32" s="13"/>
      <c r="B32" s="61">
        <f t="shared" si="6"/>
        <v>18</v>
      </c>
      <c r="C32" s="75">
        <f t="shared" si="1"/>
        <v>48</v>
      </c>
      <c r="D32" s="76">
        <f t="shared" ca="1" si="7"/>
        <v>0.1</v>
      </c>
      <c r="E32" s="77">
        <f t="shared" ca="1" si="8"/>
        <v>190602.78150009498</v>
      </c>
      <c r="F32" s="66">
        <f t="shared" ca="1" si="9"/>
        <v>3.6484317092170926E-2</v>
      </c>
      <c r="G32" s="66">
        <f t="shared" si="10"/>
        <v>0.04</v>
      </c>
      <c r="H32" s="67">
        <f t="shared" ca="1" si="2"/>
        <v>9.9661953566554898E-2</v>
      </c>
      <c r="I32" s="68">
        <f t="shared" ca="1" si="3"/>
        <v>19688.89601234606</v>
      </c>
      <c r="J32" s="68">
        <f t="shared" ca="1" si="4"/>
        <v>340769.35405983566</v>
      </c>
      <c r="K32" s="69">
        <f t="shared" ca="1" si="5"/>
        <v>340769.35405983566</v>
      </c>
      <c r="L32" s="70"/>
      <c r="M32" s="71">
        <f ca="1">IF($C32="",0,
I32*Decrements!D29+(M31-N31-O31)*(1+G31))</f>
        <v>374089.02423457545</v>
      </c>
      <c r="N32" s="72">
        <f ca="1">K32*Assumptions!$B$19*Decrements!E29</f>
        <v>0</v>
      </c>
      <c r="O32" s="72">
        <f ca="1">J33*(Decrements!F29+Decrements!G29)</f>
        <v>0</v>
      </c>
      <c r="P32" s="13"/>
      <c r="Q32" s="13"/>
      <c r="R32" s="79"/>
      <c r="S32" s="73">
        <f ca="1">IF($C33="","",J33-J32*(1+i))</f>
        <v>19688.896012346086</v>
      </c>
      <c r="T32" s="74">
        <f ca="1">IFERROR(S32-I32,"")</f>
        <v>2.5465851649641991E-11</v>
      </c>
      <c r="U32" s="13"/>
      <c r="V32" s="79"/>
      <c r="W32" s="79"/>
      <c r="X32" s="79"/>
      <c r="Y32" s="79"/>
      <c r="Z32" s="79"/>
      <c r="AA32" s="79"/>
      <c r="AB32" s="79"/>
    </row>
    <row r="33" spans="1:28" x14ac:dyDescent="0.25">
      <c r="A33" s="13"/>
      <c r="B33" s="61">
        <f t="shared" si="6"/>
        <v>19</v>
      </c>
      <c r="C33" s="75">
        <f t="shared" si="1"/>
        <v>49</v>
      </c>
      <c r="D33" s="76">
        <f t="shared" ca="1" si="7"/>
        <v>0.1</v>
      </c>
      <c r="E33" s="77">
        <f t="shared" ca="1" si="8"/>
        <v>197556.79381899422</v>
      </c>
      <c r="F33" s="66">
        <f t="shared" ca="1" si="9"/>
        <v>3.6484317092170926E-2</v>
      </c>
      <c r="G33" s="66">
        <f t="shared" si="10"/>
        <v>0.04</v>
      </c>
      <c r="H33" s="67">
        <f t="shared" ca="1" si="2"/>
        <v>0.1</v>
      </c>
      <c r="I33" s="68">
        <f t="shared" ca="1" si="3"/>
        <v>20476.451852839906</v>
      </c>
      <c r="J33" s="68">
        <f t="shared" ca="1" si="4"/>
        <v>374089.02423457516</v>
      </c>
      <c r="K33" s="69">
        <f t="shared" ca="1" si="5"/>
        <v>374089.02423457516</v>
      </c>
      <c r="L33" s="70"/>
      <c r="M33" s="71">
        <f ca="1">IF($C33="",0,
I33*Decrements!D30+(M32-N32-O32)*(1+G32))</f>
        <v>409529.03705679841</v>
      </c>
      <c r="N33" s="72">
        <f ca="1">K33*Assumptions!$B$19*Decrements!E30</f>
        <v>0</v>
      </c>
      <c r="O33" s="72">
        <f ca="1">J34*(Decrements!F30+Decrements!G30)</f>
        <v>81905.807411359623</v>
      </c>
      <c r="P33" s="13"/>
      <c r="Q33" s="13"/>
      <c r="R33" s="79"/>
      <c r="S33" s="73">
        <f ca="1">IF($C34="","",J34-J33*(1+i))</f>
        <v>20476.451852839906</v>
      </c>
      <c r="T33" s="74">
        <f ca="1">IFERROR(S33-I33,"")</f>
        <v>0</v>
      </c>
      <c r="U33" s="13"/>
      <c r="V33" s="13"/>
      <c r="W33" s="13"/>
      <c r="X33" s="13"/>
      <c r="Y33" s="13"/>
      <c r="Z33" s="13"/>
      <c r="AA33" s="13"/>
      <c r="AB33" s="13"/>
    </row>
    <row r="34" spans="1:28" x14ac:dyDescent="0.25">
      <c r="A34" s="13"/>
      <c r="B34" s="61">
        <f t="shared" si="6"/>
        <v>20</v>
      </c>
      <c r="C34" s="75">
        <f t="shared" si="1"/>
        <v>50</v>
      </c>
      <c r="D34" s="76">
        <f t="shared" ca="1" si="7"/>
        <v>0.1</v>
      </c>
      <c r="E34" s="77">
        <f t="shared" ca="1" si="8"/>
        <v>204764.51852839903</v>
      </c>
      <c r="F34" s="66">
        <f t="shared" ca="1" si="9"/>
        <v>3.6484317092170926E-2</v>
      </c>
      <c r="G34" s="66">
        <f t="shared" si="10"/>
        <v>0.04</v>
      </c>
      <c r="H34" s="67">
        <f t="shared" ca="1" si="2"/>
        <v>0.10033919306349877</v>
      </c>
      <c r="I34" s="68">
        <f t="shared" ca="1" si="3"/>
        <v>21295.509926953502</v>
      </c>
      <c r="J34" s="68">
        <f t="shared" ca="1" si="4"/>
        <v>409529.03705679812</v>
      </c>
      <c r="K34" s="69">
        <f t="shared" ca="1" si="5"/>
        <v>409529.03705679812</v>
      </c>
      <c r="L34" s="70"/>
      <c r="M34" s="71">
        <f ca="1">IF($C34="",0,
I34*Decrements!D31+(M33-N33-O33)*(1+G33))</f>
        <v>357764.56677281915</v>
      </c>
      <c r="N34" s="72">
        <f ca="1">K34*Assumptions!$B$19*Decrements!E31</f>
        <v>0</v>
      </c>
      <c r="O34" s="72">
        <f ca="1">J35*(Decrements!F31+Decrements!G31)</f>
        <v>100174.07869638928</v>
      </c>
      <c r="P34" s="13"/>
      <c r="Q34" s="13"/>
      <c r="R34" s="79"/>
      <c r="S34" s="73">
        <f ca="1">IF($C35="","",J35-J34*(1+i))</f>
        <v>21295.509926953528</v>
      </c>
      <c r="T34" s="74">
        <f ca="1">IFERROR(S34-I34,"")</f>
        <v>2.5465851649641991E-11</v>
      </c>
      <c r="U34" s="13"/>
      <c r="V34" s="13"/>
      <c r="W34" s="13"/>
      <c r="X34" s="13"/>
      <c r="Y34" s="13"/>
      <c r="Z34" s="13"/>
      <c r="AA34" s="13"/>
      <c r="AB34" s="13"/>
    </row>
    <row r="35" spans="1:28" x14ac:dyDescent="0.25">
      <c r="A35" s="13"/>
      <c r="B35" s="61">
        <f t="shared" si="6"/>
        <v>21</v>
      </c>
      <c r="C35" s="75">
        <f t="shared" si="1"/>
        <v>51</v>
      </c>
      <c r="D35" s="76">
        <f t="shared" ca="1" si="7"/>
        <v>0.1</v>
      </c>
      <c r="E35" s="77">
        <f t="shared" ca="1" si="8"/>
        <v>212235.21215161486</v>
      </c>
      <c r="F35" s="66">
        <f t="shared" ca="1" si="9"/>
        <v>3.6484317092170926E-2</v>
      </c>
      <c r="G35" s="66">
        <f t="shared" si="10"/>
        <v>0.04</v>
      </c>
      <c r="H35" s="67">
        <f t="shared" ca="1" si="2"/>
        <v>0.10067953664634077</v>
      </c>
      <c r="I35" s="68">
        <f t="shared" ca="1" si="3"/>
        <v>22147.330324031642</v>
      </c>
      <c r="J35" s="68">
        <f t="shared" ca="1" si="4"/>
        <v>447205.70846602356</v>
      </c>
      <c r="K35" s="69">
        <f t="shared" ca="1" si="5"/>
        <v>447205.70846602356</v>
      </c>
      <c r="L35" s="70"/>
      <c r="M35" s="71">
        <f ca="1">IF($C35="",0,
I35*Decrements!D32+(M34-N34-O34)*(1+G34))</f>
        <v>280650.96986612928</v>
      </c>
      <c r="N35" s="72">
        <f ca="1">K35*Assumptions!$B$19*Decrements!E32</f>
        <v>0</v>
      </c>
      <c r="O35" s="72">
        <f ca="1">J36*(Decrements!F32+Decrements!G32)</f>
        <v>78582.271562516151</v>
      </c>
      <c r="P35" s="13"/>
      <c r="Q35" s="13"/>
      <c r="R35" s="80"/>
      <c r="S35" s="73">
        <f ca="1">IF($C36="","",J36-J35*(1+i))</f>
        <v>22147.330324031762</v>
      </c>
      <c r="T35" s="74">
        <f ca="1">IFERROR(S35-I35,"")</f>
        <v>1.2005330063402653E-10</v>
      </c>
      <c r="U35" s="13"/>
      <c r="V35" s="13"/>
      <c r="W35" s="13"/>
      <c r="X35" s="13"/>
      <c r="Y35" s="13"/>
      <c r="Z35" s="13"/>
      <c r="AA35" s="13"/>
      <c r="AB35" s="13"/>
    </row>
    <row r="36" spans="1:28" x14ac:dyDescent="0.25">
      <c r="A36" s="13"/>
      <c r="B36" s="61">
        <f t="shared" si="6"/>
        <v>22</v>
      </c>
      <c r="C36" s="75">
        <f t="shared" si="1"/>
        <v>52</v>
      </c>
      <c r="D36" s="76">
        <f t="shared" ca="1" si="7"/>
        <v>0.1</v>
      </c>
      <c r="E36" s="77">
        <f t="shared" ca="1" si="8"/>
        <v>219978.46892987855</v>
      </c>
      <c r="F36" s="66">
        <f t="shared" ca="1" si="9"/>
        <v>3.6484317092170926E-2</v>
      </c>
      <c r="G36" s="66">
        <f t="shared" si="10"/>
        <v>0.04</v>
      </c>
      <c r="H36" s="67">
        <f t="shared" ca="1" si="2"/>
        <v>0.10102103465100783</v>
      </c>
      <c r="I36" s="68">
        <f t="shared" ca="1" si="3"/>
        <v>23033.223536992904</v>
      </c>
      <c r="J36" s="68">
        <f t="shared" ca="1" si="4"/>
        <v>487241.26712869626</v>
      </c>
      <c r="K36" s="69">
        <f t="shared" ca="1" si="5"/>
        <v>487241.26712869626</v>
      </c>
      <c r="L36" s="70"/>
      <c r="M36" s="71">
        <f ca="1">IF($C36="",0,
I36*Decrements!D33+(M35-N35-O35)*(1+G35))</f>
        <v>219703.78470101935</v>
      </c>
      <c r="N36" s="72">
        <f ca="1">K36*Assumptions!$B$19*Decrements!E33</f>
        <v>0</v>
      </c>
      <c r="O36" s="72">
        <f ca="1">J37*(Decrements!F33+Decrements!G33)</f>
        <v>61517.059716285337</v>
      </c>
      <c r="P36" s="13"/>
      <c r="Q36" s="13"/>
      <c r="R36" s="13"/>
      <c r="S36" s="73">
        <f ca="1">IF($C37="","",J37-J36*(1+i))</f>
        <v>23033.22353699262</v>
      </c>
      <c r="T36" s="74">
        <f ca="1">IFERROR(S36-I36,"")</f>
        <v>-2.8376234695315361E-10</v>
      </c>
      <c r="U36" s="13"/>
      <c r="V36" s="13"/>
      <c r="W36" s="13"/>
      <c r="X36" s="13"/>
      <c r="Y36" s="13"/>
      <c r="Z36" s="13"/>
      <c r="AA36" s="13"/>
      <c r="AB36" s="13"/>
    </row>
    <row r="37" spans="1:28" x14ac:dyDescent="0.25">
      <c r="A37" s="13"/>
      <c r="B37" s="61">
        <f t="shared" si="6"/>
        <v>23</v>
      </c>
      <c r="C37" s="75">
        <f t="shared" si="1"/>
        <v>53</v>
      </c>
      <c r="D37" s="76">
        <f t="shared" ca="1" si="7"/>
        <v>0.1</v>
      </c>
      <c r="E37" s="77">
        <f t="shared" ca="1" si="8"/>
        <v>228004.2331437665</v>
      </c>
      <c r="F37" s="66">
        <f t="shared" ca="1" si="9"/>
        <v>3.6484317092170926E-2</v>
      </c>
      <c r="G37" s="66">
        <f t="shared" si="10"/>
        <v>0.04</v>
      </c>
      <c r="H37" s="67">
        <f t="shared" ca="1" si="2"/>
        <v>0.10136369099321872</v>
      </c>
      <c r="I37" s="68">
        <f t="shared" ca="1" si="3"/>
        <v>23954.552478472619</v>
      </c>
      <c r="J37" s="68">
        <f t="shared" ca="1" si="4"/>
        <v>529764.14135083673</v>
      </c>
      <c r="K37" s="69">
        <f t="shared" ca="1" si="5"/>
        <v>529764.14135083673</v>
      </c>
      <c r="L37" s="70"/>
      <c r="M37" s="71">
        <f ca="1">IF($C37="",0,
I37*Decrements!D34+(M36-N36-O36)*(1+G36))</f>
        <v>171666.98502691134</v>
      </c>
      <c r="N37" s="72">
        <f ca="1">K37*Assumptions!$B$19*Decrements!E34</f>
        <v>0</v>
      </c>
      <c r="O37" s="72">
        <f ca="1">J38*(Decrements!F34+Decrements!G34)</f>
        <v>48066.755807535083</v>
      </c>
      <c r="P37" s="13"/>
      <c r="Q37" s="13"/>
      <c r="R37" s="13"/>
      <c r="S37" s="73">
        <f ca="1">IF($C38="","",J38-J37*(1+i))</f>
        <v>23954.552478472702</v>
      </c>
      <c r="T37" s="74">
        <f ca="1">IFERROR(S37-I37,"")</f>
        <v>8.3673512563109398E-11</v>
      </c>
      <c r="U37" s="13"/>
      <c r="V37" s="13"/>
      <c r="W37" s="13"/>
      <c r="X37" s="13"/>
      <c r="Y37" s="13"/>
      <c r="Z37" s="13"/>
      <c r="AA37" s="13"/>
      <c r="AB37" s="13"/>
    </row>
    <row r="38" spans="1:28" x14ac:dyDescent="0.25">
      <c r="A38" s="13"/>
      <c r="B38" s="61">
        <f t="shared" si="6"/>
        <v>24</v>
      </c>
      <c r="C38" s="75">
        <f t="shared" si="1"/>
        <v>54</v>
      </c>
      <c r="D38" s="76">
        <f t="shared" ca="1" si="7"/>
        <v>0.1</v>
      </c>
      <c r="E38" s="77">
        <f t="shared" ca="1" si="8"/>
        <v>236322.81188414095</v>
      </c>
      <c r="F38" s="66">
        <f t="shared" ca="1" si="9"/>
        <v>3.6484317092170926E-2</v>
      </c>
      <c r="G38" s="66">
        <f t="shared" si="10"/>
        <v>0.04</v>
      </c>
      <c r="H38" s="67">
        <f t="shared" ca="1" si="2"/>
        <v>0.10170750960197404</v>
      </c>
      <c r="I38" s="68">
        <f t="shared" ca="1" si="3"/>
        <v>24912.734577611525</v>
      </c>
      <c r="J38" s="68">
        <f t="shared" ca="1" si="4"/>
        <v>574909.25948334287</v>
      </c>
      <c r="K38" s="69">
        <f t="shared" ca="1" si="5"/>
        <v>574909.25948334287</v>
      </c>
      <c r="L38" s="70"/>
      <c r="M38" s="71">
        <f ca="1">IF($C38="",0,
I38*Decrements!D35+(M37-N37-O37)*(1+G37))</f>
        <v>133900.24832099094</v>
      </c>
      <c r="N38" s="72">
        <f ca="1">K38*Assumptions!$B$19*Decrements!E35</f>
        <v>0</v>
      </c>
      <c r="O38" s="72">
        <f ca="1">J39*(Decrements!F35+Decrements!G35)</f>
        <v>37492.069529877379</v>
      </c>
      <c r="P38" s="13"/>
      <c r="Q38" s="13"/>
      <c r="R38" s="13"/>
      <c r="S38" s="73">
        <f ca="1">IF($C39="","",J39-J38*(1+i))</f>
        <v>24912.734577611554</v>
      </c>
      <c r="T38" s="74">
        <f ca="1">IFERROR(S38-I38,"")</f>
        <v>2.9103830456733704E-11</v>
      </c>
      <c r="U38" s="13"/>
      <c r="V38" s="13"/>
      <c r="W38" s="13"/>
      <c r="X38" s="13"/>
      <c r="Y38" s="13"/>
      <c r="Z38" s="13"/>
      <c r="AA38" s="13"/>
      <c r="AB38" s="13"/>
    </row>
    <row r="39" spans="1:28" x14ac:dyDescent="0.25">
      <c r="A39" s="13"/>
      <c r="B39" s="61">
        <f t="shared" si="6"/>
        <v>25</v>
      </c>
      <c r="C39" s="75">
        <f t="shared" si="1"/>
        <v>55</v>
      </c>
      <c r="D39" s="76">
        <f t="shared" ca="1" si="7"/>
        <v>0.1</v>
      </c>
      <c r="E39" s="77">
        <f t="shared" ca="1" si="8"/>
        <v>244944.88828903541</v>
      </c>
      <c r="F39" s="66">
        <f t="shared" ca="1" si="9"/>
        <v>3.6484317092170926E-2</v>
      </c>
      <c r="G39" s="66">
        <f t="shared" si="10"/>
        <v>0.04</v>
      </c>
      <c r="H39" s="67">
        <f t="shared" ca="1" si="2"/>
        <v>0.10205249441960128</v>
      </c>
      <c r="I39" s="68">
        <f t="shared" ca="1" si="3"/>
        <v>25909.243960715994</v>
      </c>
      <c r="J39" s="68">
        <f t="shared" ca="1" si="4"/>
        <v>622818.36444028816</v>
      </c>
      <c r="K39" s="69">
        <f t="shared" ca="1" si="5"/>
        <v>622818.36444028816</v>
      </c>
      <c r="L39" s="70"/>
      <c r="M39" s="71">
        <f ca="1">IF($C39="",0,
I39*Decrements!D36+(M38-N38-O38)*(1+G38))</f>
        <v>104275.08618046842</v>
      </c>
      <c r="N39" s="72">
        <f ca="1">K39*Assumptions!$B$19*Decrements!E36</f>
        <v>0</v>
      </c>
      <c r="O39" s="72">
        <f ca="1">J40*(Decrements!F36+Decrements!G36)</f>
        <v>29197.02413053107</v>
      </c>
      <c r="P39" s="13"/>
      <c r="Q39" s="13"/>
      <c r="R39" s="13"/>
      <c r="S39" s="73">
        <f ca="1">IF($C40="","",J40-J39*(1+i))</f>
        <v>25909.243960716063</v>
      </c>
      <c r="T39" s="74">
        <f ca="1">IFERROR(S39-I39,"")</f>
        <v>6.9121597334742546E-11</v>
      </c>
      <c r="U39" s="13"/>
      <c r="V39" s="13"/>
      <c r="W39" s="13"/>
      <c r="X39" s="13"/>
      <c r="Y39" s="13"/>
      <c r="Z39" s="13"/>
      <c r="AA39" s="13"/>
      <c r="AB39" s="13"/>
    </row>
    <row r="40" spans="1:28" x14ac:dyDescent="0.25">
      <c r="A40" s="13"/>
      <c r="B40" s="61">
        <f t="shared" si="6"/>
        <v>26</v>
      </c>
      <c r="C40" s="75">
        <f t="shared" si="1"/>
        <v>56</v>
      </c>
      <c r="D40" s="76">
        <f t="shared" ca="1" si="7"/>
        <v>0.1</v>
      </c>
      <c r="E40" s="77">
        <f t="shared" ca="1" si="8"/>
        <v>253881.53526347896</v>
      </c>
      <c r="F40" s="66">
        <f t="shared" ca="1" si="9"/>
        <v>3.6484317092170926E-2</v>
      </c>
      <c r="G40" s="66">
        <f t="shared" si="10"/>
        <v>0.04</v>
      </c>
      <c r="H40" s="67">
        <f t="shared" ca="1" si="2"/>
        <v>0.10239864940179999</v>
      </c>
      <c r="I40" s="68">
        <f t="shared" ca="1" si="3"/>
        <v>26945.613719144621</v>
      </c>
      <c r="J40" s="68">
        <f t="shared" ca="1" si="4"/>
        <v>673640.34297861578</v>
      </c>
      <c r="K40" s="69">
        <f t="shared" ca="1" si="5"/>
        <v>673640.34297861578</v>
      </c>
      <c r="L40" s="70"/>
      <c r="M40" s="71">
        <f ca="1">IF($C40="",0,
I40*Decrements!D37+(M39-N39-O39)*(1+G39))</f>
        <v>81084.307013932324</v>
      </c>
      <c r="N40" s="72">
        <f ca="1">K40*Assumptions!$B$19*Decrements!E37</f>
        <v>0</v>
      </c>
      <c r="O40" s="72">
        <f ca="1">J41*(Decrements!F37+Decrements!G37)</f>
        <v>22703.605963900951</v>
      </c>
      <c r="P40" s="13"/>
      <c r="Q40" s="13"/>
      <c r="R40" s="13"/>
      <c r="S40" s="73">
        <f ca="1">IF($C41="","",J41-J40*(1+i))</f>
        <v>26945.613719144487</v>
      </c>
      <c r="T40" s="74">
        <f ca="1">IFERROR(S40-I40,"")</f>
        <v>-1.3460521586239338E-10</v>
      </c>
      <c r="U40" s="13"/>
      <c r="V40" s="13"/>
      <c r="W40" s="13"/>
      <c r="X40" s="13"/>
      <c r="Y40" s="13"/>
      <c r="Z40" s="13"/>
      <c r="AA40" s="13"/>
      <c r="AB40" s="13"/>
    </row>
    <row r="41" spans="1:28" x14ac:dyDescent="0.25">
      <c r="A41" s="13"/>
      <c r="B41" s="61">
        <f t="shared" si="6"/>
        <v>27</v>
      </c>
      <c r="C41" s="75">
        <f t="shared" si="1"/>
        <v>57</v>
      </c>
      <c r="D41" s="76">
        <f t="shared" ca="1" si="7"/>
        <v>0.1</v>
      </c>
      <c r="E41" s="77">
        <f t="shared" ca="1" si="8"/>
        <v>263144.2296998789</v>
      </c>
      <c r="F41" s="66">
        <f t="shared" ca="1" si="9"/>
        <v>3.6484317092170926E-2</v>
      </c>
      <c r="G41" s="66">
        <f t="shared" si="10"/>
        <v>0.04</v>
      </c>
      <c r="H41" s="67">
        <f t="shared" ca="1" si="2"/>
        <v>0.10274597851768733</v>
      </c>
      <c r="I41" s="68">
        <f t="shared" ca="1" si="3"/>
        <v>28023.438267910413</v>
      </c>
      <c r="J41" s="68">
        <f t="shared" ca="1" si="4"/>
        <v>727531.57041690487</v>
      </c>
      <c r="K41" s="69">
        <f t="shared" ca="1" si="5"/>
        <v>727531.57041690487</v>
      </c>
      <c r="L41" s="70"/>
      <c r="M41" s="71">
        <f ca="1">IF($C41="",0,
I41*Decrements!D38+(M40-N40-O40)*(1+G40))</f>
        <v>62964.667206552345</v>
      </c>
      <c r="N41" s="72">
        <f ca="1">K41*Assumptions!$B$19*Decrements!E38</f>
        <v>0</v>
      </c>
      <c r="O41" s="72">
        <f ca="1">J42*(Decrements!F38+Decrements!G38)</f>
        <v>17630.106817834556</v>
      </c>
      <c r="P41" s="13"/>
      <c r="Q41" s="13"/>
      <c r="R41" s="13"/>
      <c r="S41" s="73">
        <f ca="1">IF($C42="","",J42-J41*(1+i))</f>
        <v>28023.438267910504</v>
      </c>
      <c r="T41" s="74">
        <f ca="1">IFERROR(S41-I41,"")</f>
        <v>9.0949470177292824E-11</v>
      </c>
      <c r="U41" s="13"/>
      <c r="V41" s="13"/>
      <c r="W41" s="13"/>
      <c r="X41" s="13"/>
      <c r="Y41" s="13"/>
      <c r="Z41" s="13"/>
      <c r="AA41" s="13"/>
      <c r="AB41" s="13"/>
    </row>
    <row r="42" spans="1:28" x14ac:dyDescent="0.25">
      <c r="A42" s="13"/>
      <c r="B42" s="61">
        <f t="shared" si="6"/>
        <v>28</v>
      </c>
      <c r="C42" s="75">
        <f t="shared" si="1"/>
        <v>58</v>
      </c>
      <c r="D42" s="76">
        <f t="shared" ca="1" si="7"/>
        <v>0.1</v>
      </c>
      <c r="E42" s="77">
        <f t="shared" ca="1" si="8"/>
        <v>272744.86721722432</v>
      </c>
      <c r="F42" s="66">
        <f t="shared" ca="1" si="9"/>
        <v>3.6484317092170926E-2</v>
      </c>
      <c r="G42" s="66">
        <f t="shared" si="10"/>
        <v>0.04</v>
      </c>
      <c r="H42" s="67">
        <f t="shared" ca="1" si="2"/>
        <v>0.10309448574984324</v>
      </c>
      <c r="I42" s="68">
        <f t="shared" ca="1" si="3"/>
        <v>29144.375798626832</v>
      </c>
      <c r="J42" s="68">
        <f t="shared" ca="1" si="4"/>
        <v>784656.27150149154</v>
      </c>
      <c r="K42" s="69">
        <f t="shared" ca="1" si="5"/>
        <v>784656.27150149154</v>
      </c>
      <c r="L42" s="70"/>
      <c r="M42" s="71">
        <f ca="1">IF($C42="",0,
I42*Decrements!D39+(M41-N41-O41)*(1+G41))</f>
        <v>48831.797904418861</v>
      </c>
      <c r="N42" s="72">
        <f ca="1">K42*Assumptions!$B$19*Decrements!E39</f>
        <v>0</v>
      </c>
      <c r="O42" s="72">
        <f ca="1">J43*(Decrements!F39+Decrements!G39)</f>
        <v>13672.903413237176</v>
      </c>
      <c r="P42" s="13"/>
      <c r="Q42" s="13"/>
      <c r="R42" s="13"/>
      <c r="S42" s="73">
        <f ca="1">IF($C43="","",J43-J42*(1+i))</f>
        <v>29144.375798626919</v>
      </c>
      <c r="T42" s="74">
        <f ca="1">IFERROR(S42-I42,"")</f>
        <v>8.7311491370201111E-11</v>
      </c>
      <c r="U42" s="13"/>
      <c r="V42" s="13"/>
      <c r="W42" s="13"/>
      <c r="X42" s="13"/>
      <c r="Y42" s="13"/>
      <c r="Z42" s="13"/>
      <c r="AA42" s="13"/>
      <c r="AB42" s="13"/>
    </row>
    <row r="43" spans="1:28" x14ac:dyDescent="0.25">
      <c r="A43" s="13"/>
      <c r="B43" s="61">
        <f t="shared" si="6"/>
        <v>29</v>
      </c>
      <c r="C43" s="75">
        <f t="shared" si="1"/>
        <v>59</v>
      </c>
      <c r="D43" s="76">
        <f t="shared" ca="1" si="7"/>
        <v>0.1</v>
      </c>
      <c r="E43" s="77">
        <f t="shared" ca="1" si="8"/>
        <v>282695.7774380396</v>
      </c>
      <c r="F43" s="66">
        <f t="shared" ca="1" si="9"/>
        <v>3.6484317092170926E-2</v>
      </c>
      <c r="G43" s="66">
        <f t="shared" si="10"/>
        <v>0.04</v>
      </c>
      <c r="H43" s="67">
        <f t="shared" ca="1" si="2"/>
        <v>0.10344417509435642</v>
      </c>
      <c r="I43" s="68">
        <f t="shared" ca="1" si="3"/>
        <v>30310.150830571903</v>
      </c>
      <c r="J43" s="68">
        <f t="shared" ca="1" si="4"/>
        <v>845186.8981601781</v>
      </c>
      <c r="K43" s="69">
        <f t="shared" ca="1" si="5"/>
        <v>845186.8981601781</v>
      </c>
      <c r="L43" s="70"/>
      <c r="M43" s="71">
        <f ca="1">IF($C43="",0,
I43*Decrements!D40+(M42-N42-O42)*(1+G42))</f>
        <v>37826.120969823045</v>
      </c>
      <c r="N43" s="72">
        <f ca="1">K43*Assumptions!$B$19*Decrements!E40</f>
        <v>0</v>
      </c>
      <c r="O43" s="72">
        <f ca="1">J44*(Decrements!F40+Decrements!G40)</f>
        <v>10591.313871550341</v>
      </c>
      <c r="P43" s="13"/>
      <c r="Q43" s="13"/>
      <c r="R43" s="13"/>
      <c r="S43" s="73">
        <f ca="1">IF($C44="","",J44-J43*(1+i))</f>
        <v>30310.150830571773</v>
      </c>
      <c r="T43" s="74">
        <f ca="1">IFERROR(S43-I43,"")</f>
        <v>-1.3096723705530167E-10</v>
      </c>
      <c r="U43" s="13"/>
      <c r="V43" s="13"/>
      <c r="W43" s="13"/>
      <c r="X43" s="13"/>
      <c r="Y43" s="13"/>
      <c r="Z43" s="13"/>
      <c r="AA43" s="13"/>
      <c r="AB43" s="13"/>
    </row>
    <row r="44" spans="1:28" x14ac:dyDescent="0.25">
      <c r="A44" s="13"/>
      <c r="B44" s="61">
        <f t="shared" si="6"/>
        <v>30</v>
      </c>
      <c r="C44" s="75">
        <f t="shared" si="1"/>
        <v>60</v>
      </c>
      <c r="D44" s="76">
        <f t="shared" ca="1" si="7"/>
        <v>0.1</v>
      </c>
      <c r="E44" s="77">
        <f t="shared" ca="1" si="8"/>
        <v>293009.73982270679</v>
      </c>
      <c r="F44" s="66">
        <f t="shared" ca="1" si="9"/>
        <v>3.6484317092170926E-2</v>
      </c>
      <c r="G44" s="66">
        <f t="shared" si="10"/>
        <v>0.04</v>
      </c>
      <c r="H44" s="67">
        <f t="shared" ca="1" si="2"/>
        <v>0.10379505056086996</v>
      </c>
      <c r="I44" s="68">
        <f t="shared" ca="1" si="3"/>
        <v>31522.556863794769</v>
      </c>
      <c r="J44" s="68">
        <f t="shared" ca="1" si="4"/>
        <v>909304.52491715702</v>
      </c>
      <c r="K44" s="69">
        <f t="shared" ca="1" si="5"/>
        <v>909304.52491715702</v>
      </c>
      <c r="L44" s="70"/>
      <c r="M44" s="71">
        <f ca="1">IF($C44="",0,
I44*Decrements!D41+(M43-N43-O43)*(1+G43))</f>
        <v>29268.339361610386</v>
      </c>
      <c r="N44" s="72">
        <f ca="1">K44*Assumptions!$B$19*Decrements!E41</f>
        <v>0</v>
      </c>
      <c r="O44" s="72">
        <f ca="1">J45*(Decrements!F41+Decrements!G41)</f>
        <v>8195.1350212507914</v>
      </c>
      <c r="P44" s="13"/>
      <c r="Q44" s="13"/>
      <c r="R44" s="13"/>
      <c r="S44" s="73">
        <f ca="1">IF($C45="","",J45-J44*(1+i))</f>
        <v>31522.556863794453</v>
      </c>
      <c r="T44" s="74">
        <f ca="1">IFERROR(S44-I44,"")</f>
        <v>-3.1650415621697903E-10</v>
      </c>
      <c r="U44" s="13"/>
      <c r="V44" s="13"/>
      <c r="W44" s="13"/>
      <c r="X44" s="13"/>
      <c r="Y44" s="13"/>
      <c r="Z44" s="13"/>
      <c r="AA44" s="13"/>
      <c r="AB44" s="13"/>
    </row>
    <row r="45" spans="1:28" x14ac:dyDescent="0.25">
      <c r="A45" s="13"/>
      <c r="B45" s="61">
        <f t="shared" si="6"/>
        <v>31</v>
      </c>
      <c r="C45" s="75">
        <f t="shared" si="1"/>
        <v>61</v>
      </c>
      <c r="D45" s="76">
        <f t="shared" ca="1" si="7"/>
        <v>0.1</v>
      </c>
      <c r="E45" s="77">
        <f t="shared" ca="1" si="8"/>
        <v>303700.00008149294</v>
      </c>
      <c r="F45" s="66">
        <f t="shared" ca="1" si="9"/>
        <v>3.6484317092170926E-2</v>
      </c>
      <c r="G45" s="66">
        <f t="shared" si="10"/>
        <v>0.04</v>
      </c>
      <c r="H45" s="67">
        <f t="shared" ca="1" si="2"/>
        <v>0.10414711617262747</v>
      </c>
      <c r="I45" s="68">
        <f t="shared" ca="1" si="3"/>
        <v>32783.459138346567</v>
      </c>
      <c r="J45" s="68">
        <f t="shared" ca="1" si="4"/>
        <v>977199.26277763781</v>
      </c>
      <c r="K45" s="69">
        <f t="shared" ca="1" si="5"/>
        <v>977199.26277763781</v>
      </c>
      <c r="L45" s="70"/>
      <c r="M45" s="71">
        <f ca="1">IF($C45="",0,
I45*Decrements!D42+(M44-N44-O44)*(1+G44))</f>
        <v>22623.104530553774</v>
      </c>
      <c r="N45" s="72">
        <f ca="1">K45*Assumptions!$B$19*Decrements!E42</f>
        <v>0</v>
      </c>
      <c r="O45" s="72">
        <f ca="1">J46*(Decrements!F42+Decrements!G42)</f>
        <v>6334.4692685549353</v>
      </c>
      <c r="P45" s="13"/>
      <c r="Q45" s="13"/>
      <c r="R45" s="13"/>
      <c r="S45" s="73">
        <f ca="1">IF($C46="","",J46-J45*(1+i))</f>
        <v>32783.459138346836</v>
      </c>
      <c r="T45" s="74">
        <f ca="1">IFERROR(S45-I45,"")</f>
        <v>2.6921043172478676E-10</v>
      </c>
      <c r="U45" s="13"/>
      <c r="V45" s="13"/>
      <c r="W45" s="13"/>
      <c r="X45" s="13"/>
      <c r="Y45" s="13"/>
      <c r="Z45" s="13"/>
      <c r="AA45" s="13"/>
      <c r="AB45" s="13"/>
    </row>
    <row r="46" spans="1:28" x14ac:dyDescent="0.25">
      <c r="A46" s="13"/>
      <c r="B46" s="61">
        <f t="shared" si="6"/>
        <v>32</v>
      </c>
      <c r="C46" s="75">
        <f t="shared" si="1"/>
        <v>62</v>
      </c>
      <c r="D46" s="76">
        <f t="shared" ca="1" si="7"/>
        <v>0.1</v>
      </c>
      <c r="E46" s="77">
        <f t="shared" ca="1" si="8"/>
        <v>314780.28718535847</v>
      </c>
      <c r="F46" s="66">
        <f t="shared" ca="1" si="9"/>
        <v>3.6484317092170926E-2</v>
      </c>
      <c r="G46" s="66">
        <f t="shared" si="10"/>
        <v>0.04</v>
      </c>
      <c r="H46" s="67">
        <f t="shared" ca="1" si="2"/>
        <v>0.10450037596651901</v>
      </c>
      <c r="I46" s="68">
        <f t="shared" ca="1" si="3"/>
        <v>34094.797503880429</v>
      </c>
      <c r="J46" s="68">
        <f t="shared" ca="1" si="4"/>
        <v>1049070.6924270901</v>
      </c>
      <c r="K46" s="69">
        <f t="shared" ca="1" si="5"/>
        <v>1049070.6924270901</v>
      </c>
      <c r="L46" s="70"/>
      <c r="M46" s="71">
        <f ca="1">IF($C46="",0,
I46*Decrements!D43+(M45-N45-O45)*(1+G45))</f>
        <v>17469.561318493743</v>
      </c>
      <c r="N46" s="72">
        <f ca="1">K46*Assumptions!$B$19*Decrements!E43</f>
        <v>0</v>
      </c>
      <c r="O46" s="72">
        <f ca="1">J47*(Decrements!F43+Decrements!G43)</f>
        <v>4891.4771691781207</v>
      </c>
      <c r="P46" s="13"/>
      <c r="Q46" s="13"/>
      <c r="R46" s="13"/>
      <c r="S46" s="73">
        <f ca="1">IF($C47="","",J47-J46*(1+i))</f>
        <v>34094.797503880225</v>
      </c>
      <c r="T46" s="74">
        <f ca="1">IFERROR(S46-I46,"")</f>
        <v>-2.0372681319713593E-10</v>
      </c>
      <c r="U46" s="13"/>
      <c r="V46" s="13"/>
      <c r="W46" s="13"/>
      <c r="X46" s="13"/>
      <c r="Y46" s="13"/>
      <c r="Z46" s="13"/>
      <c r="AA46" s="13"/>
      <c r="AB46" s="13"/>
    </row>
    <row r="47" spans="1:28" x14ac:dyDescent="0.25">
      <c r="A47" s="13"/>
      <c r="B47" s="61">
        <f t="shared" si="6"/>
        <v>33</v>
      </c>
      <c r="C47" s="75">
        <f t="shared" ref="C47:C78" si="11">IF(C46="","",IF($D$2="A",C46+1,IF(C46+1&gt;$D$5,"",C46+1)))</f>
        <v>63</v>
      </c>
      <c r="D47" s="76">
        <f t="shared" ca="1" si="7"/>
        <v>0.1</v>
      </c>
      <c r="E47" s="77">
        <f t="shared" ca="1" si="8"/>
        <v>326264.8309973937</v>
      </c>
      <c r="F47" s="66">
        <f t="shared" ca="1" si="9"/>
        <v>3.6484317092170926E-2</v>
      </c>
      <c r="G47" s="66">
        <f t="shared" si="10"/>
        <v>0.04</v>
      </c>
      <c r="H47" s="67">
        <f t="shared" ca="1" si="2"/>
        <v>0.10485483399312755</v>
      </c>
      <c r="I47" s="68">
        <f t="shared" ca="1" si="3"/>
        <v>35458.589404035636</v>
      </c>
      <c r="J47" s="68">
        <f t="shared" ca="1" si="4"/>
        <v>1125128.3176280539</v>
      </c>
      <c r="K47" s="69">
        <f t="shared" ca="1" si="5"/>
        <v>1125128.3176280539</v>
      </c>
      <c r="L47" s="70"/>
      <c r="M47" s="71">
        <f ca="1">IF($C47="",0,
I47*Decrements!D44+(M46-N46-O46)*(1+G46))</f>
        <v>13477.60774302424</v>
      </c>
      <c r="N47" s="72">
        <f ca="1">K47*Assumptions!$B$19*Decrements!E44</f>
        <v>0</v>
      </c>
      <c r="O47" s="72">
        <f ca="1">J48*(Decrements!F44+Decrements!G44)</f>
        <v>3773.7301680466539</v>
      </c>
      <c r="P47" s="13"/>
      <c r="Q47" s="13"/>
      <c r="R47" s="13"/>
      <c r="S47" s="73">
        <f ca="1">IF($C48="","",J48-J47*(1+i))</f>
        <v>35458.589404035592</v>
      </c>
      <c r="T47" s="74">
        <f ca="1">IFERROR(S47-I47,"")</f>
        <v>-4.3655745685100555E-11</v>
      </c>
      <c r="U47" s="13"/>
      <c r="V47" s="13"/>
      <c r="W47" s="13"/>
      <c r="X47" s="13"/>
      <c r="Y47" s="13"/>
      <c r="Z47" s="13"/>
      <c r="AA47" s="13"/>
      <c r="AB47" s="13"/>
    </row>
    <row r="48" spans="1:28" x14ac:dyDescent="0.25">
      <c r="A48" s="13"/>
      <c r="B48" s="61">
        <f t="shared" si="6"/>
        <v>34</v>
      </c>
      <c r="C48" s="75">
        <f t="shared" si="11"/>
        <v>64</v>
      </c>
      <c r="D48" s="76">
        <f t="shared" ca="1" si="7"/>
        <v>0.1</v>
      </c>
      <c r="E48" s="77">
        <f t="shared" ca="1" si="8"/>
        <v>338168.38054752618</v>
      </c>
      <c r="F48" s="66">
        <f t="shared" ca="1" si="9"/>
        <v>3.6484317092170926E-2</v>
      </c>
      <c r="G48" s="66">
        <f t="shared" si="10"/>
        <v>0.04</v>
      </c>
      <c r="H48" s="67">
        <f t="shared" ca="1" si="2"/>
        <v>0.10521049431677537</v>
      </c>
      <c r="I48" s="68">
        <f t="shared" ca="1" si="3"/>
        <v>36876.93298019706</v>
      </c>
      <c r="J48" s="68">
        <f t="shared" ca="1" si="4"/>
        <v>1205592.0397372118</v>
      </c>
      <c r="K48" s="69">
        <f t="shared" ca="1" si="5"/>
        <v>1205592.0397372118</v>
      </c>
      <c r="L48" s="70"/>
      <c r="M48" s="71">
        <f ca="1">IF($C48="",0,
I48*Decrements!D45+(M47-N47-O47)*(1+G47))</f>
        <v>10388.857168505403</v>
      </c>
      <c r="N48" s="72">
        <f ca="1">K48*Assumptions!$B$19*Decrements!E45</f>
        <v>0</v>
      </c>
      <c r="O48" s="72">
        <f ca="1">J49*(Decrements!F45+Decrements!G45)</f>
        <v>2908.8800071813725</v>
      </c>
      <c r="P48" s="13"/>
      <c r="Q48" s="13"/>
      <c r="R48" s="13"/>
      <c r="S48" s="73">
        <f ca="1">IF($C49="","",J49-J48*(1+i))</f>
        <v>36876.932980197016</v>
      </c>
      <c r="T48" s="74">
        <f ca="1">IFERROR(S48-I48,"")</f>
        <v>-4.3655745685100555E-11</v>
      </c>
      <c r="U48" s="13"/>
      <c r="V48" s="13"/>
      <c r="W48" s="13"/>
      <c r="X48" s="13"/>
      <c r="Y48" s="13"/>
      <c r="Z48" s="13"/>
      <c r="AA48" s="13"/>
      <c r="AB48" s="13"/>
    </row>
    <row r="49" spans="1:28" x14ac:dyDescent="0.25">
      <c r="A49" s="13"/>
      <c r="B49" s="61">
        <f t="shared" si="6"/>
        <v>35</v>
      </c>
      <c r="C49" s="75">
        <f t="shared" si="11"/>
        <v>65</v>
      </c>
      <c r="D49" s="76">
        <f t="shared" ca="1" si="7"/>
        <v>0.1</v>
      </c>
      <c r="E49" s="77">
        <f t="shared" ca="1" si="8"/>
        <v>350506.22297396802</v>
      </c>
      <c r="F49" s="66">
        <f t="shared" ca="1" si="9"/>
        <v>3.6484317092170926E-2</v>
      </c>
      <c r="G49" s="66">
        <f t="shared" si="10"/>
        <v>0.04</v>
      </c>
      <c r="H49" s="67">
        <f t="shared" ca="1" si="2"/>
        <v>0.10556736101557063</v>
      </c>
      <c r="I49" s="68">
        <f t="shared" ca="1" si="3"/>
        <v>38352.010299404952</v>
      </c>
      <c r="J49" s="68">
        <f t="shared" ca="1" si="4"/>
        <v>1290692.6543068972</v>
      </c>
      <c r="K49" s="69">
        <f t="shared" ca="1" si="5"/>
        <v>1290692.6543068972</v>
      </c>
      <c r="L49" s="70"/>
      <c r="M49" s="71">
        <f ca="1">IF($C49="",0,
I49*Decrements!D46+(M48-N48-O48)*(1+G48))</f>
        <v>8001.4384262848907</v>
      </c>
      <c r="N49" s="72">
        <f ca="1">K49*Assumptions!$B$19*Decrements!E46</f>
        <v>0</v>
      </c>
      <c r="O49" s="72">
        <f ca="1">J50*(Decrements!F46+Decrements!G46)</f>
        <v>2240.4027593596238</v>
      </c>
      <c r="P49" s="13"/>
      <c r="Q49" s="13"/>
      <c r="R49" s="13"/>
      <c r="S49" s="73">
        <f ca="1">IF($C50="","",J50-J49*(1+i))</f>
        <v>38352.010299405083</v>
      </c>
      <c r="T49" s="74">
        <f ca="1">IFERROR(S49-I49,"")</f>
        <v>1.3096723705530167E-10</v>
      </c>
      <c r="U49" s="13"/>
      <c r="V49" s="13"/>
      <c r="W49" s="13"/>
      <c r="X49" s="13"/>
      <c r="Y49" s="13"/>
      <c r="Z49" s="13"/>
      <c r="AA49" s="13"/>
      <c r="AB49" s="13"/>
    </row>
    <row r="50" spans="1:28" x14ac:dyDescent="0.25">
      <c r="A50" s="13"/>
      <c r="B50" s="61">
        <f t="shared" si="6"/>
        <v>36</v>
      </c>
      <c r="C50" s="75">
        <f t="shared" si="11"/>
        <v>66</v>
      </c>
      <c r="D50" s="76">
        <f t="shared" ca="1" si="7"/>
        <v>0.1</v>
      </c>
      <c r="E50" s="77">
        <f t="shared" ca="1" si="8"/>
        <v>363294.20315572945</v>
      </c>
      <c r="F50" s="66">
        <f t="shared" ca="1" si="9"/>
        <v>3.6484317092170926E-2</v>
      </c>
      <c r="G50" s="66">
        <f t="shared" si="10"/>
        <v>0.04</v>
      </c>
      <c r="H50" s="67">
        <f t="shared" ca="1" si="2"/>
        <v>0.10592543818145413</v>
      </c>
      <c r="I50" s="68">
        <f t="shared" ca="1" si="3"/>
        <v>39886.090711381148</v>
      </c>
      <c r="J50" s="68">
        <f t="shared" ca="1" si="4"/>
        <v>1380672.3707785781</v>
      </c>
      <c r="K50" s="69">
        <f t="shared" ca="1" si="5"/>
        <v>1380672.3707785781</v>
      </c>
      <c r="L50" s="70"/>
      <c r="M50" s="71">
        <f ca="1">IF($C50="",0,
I50*Decrements!D47+(M49-N49-O49)*(1+G49))</f>
        <v>6157.9070128689928</v>
      </c>
      <c r="N50" s="72">
        <f ca="1">K50*Assumptions!$B$19*Decrements!E47</f>
        <v>0</v>
      </c>
      <c r="O50" s="72">
        <f ca="1">J51*(Decrements!F47+Decrements!G47)</f>
        <v>1724.213963603167</v>
      </c>
      <c r="P50" s="13"/>
      <c r="Q50" s="13"/>
      <c r="R50" s="13"/>
      <c r="S50" s="73">
        <f ca="1">IF($C51="","",J51-J50*(1+i))</f>
        <v>39886.090711381519</v>
      </c>
      <c r="T50" s="74">
        <f ca="1">IFERROR(S50-I50,"")</f>
        <v>3.7107383832335472E-10</v>
      </c>
      <c r="U50" s="13"/>
      <c r="V50" s="13"/>
      <c r="W50" s="13"/>
      <c r="X50" s="13"/>
      <c r="Y50" s="13"/>
      <c r="Z50" s="13"/>
      <c r="AA50" s="13"/>
      <c r="AB50" s="13"/>
    </row>
    <row r="51" spans="1:28" x14ac:dyDescent="0.25">
      <c r="A51" s="13"/>
      <c r="B51" s="61">
        <f t="shared" si="6"/>
        <v>37</v>
      </c>
      <c r="C51" s="75">
        <f t="shared" si="11"/>
        <v>67</v>
      </c>
      <c r="D51" s="76">
        <f t="shared" ca="1" si="7"/>
        <v>0.1</v>
      </c>
      <c r="E51" s="77">
        <f t="shared" ca="1" si="8"/>
        <v>376548.74406141066</v>
      </c>
      <c r="F51" s="66">
        <f t="shared" ca="1" si="9"/>
        <v>3.6484317092170926E-2</v>
      </c>
      <c r="G51" s="66">
        <f t="shared" si="10"/>
        <v>0.04</v>
      </c>
      <c r="H51" s="67">
        <f t="shared" ca="1" si="2"/>
        <v>0.10628472992024628</v>
      </c>
      <c r="I51" s="68">
        <f t="shared" ca="1" si="3"/>
        <v>41481.534339836391</v>
      </c>
      <c r="J51" s="68">
        <f t="shared" ca="1" si="4"/>
        <v>1475785.3563211027</v>
      </c>
      <c r="K51" s="69">
        <f t="shared" ca="1" si="5"/>
        <v>1475785.3563211027</v>
      </c>
      <c r="L51" s="70"/>
      <c r="M51" s="71">
        <f ca="1">IF($C51="",0,
I51*Decrements!D48+(M50-N50-O50)*(1+G50))</f>
        <v>4735.6634947833745</v>
      </c>
      <c r="N51" s="72">
        <f ca="1">K51*Assumptions!$B$19*Decrements!E48</f>
        <v>0</v>
      </c>
      <c r="O51" s="72">
        <f ca="1">J52*(Decrements!F48+Decrements!G48)</f>
        <v>1325.9857785391875</v>
      </c>
      <c r="P51" s="13"/>
      <c r="Q51" s="13"/>
      <c r="R51" s="13"/>
      <c r="S51" s="73">
        <f ca="1">IF($C52="","",J52-J51*(1+i))</f>
        <v>41481.534339835867</v>
      </c>
      <c r="T51" s="74">
        <f ca="1">IFERROR(S51-I51,"")</f>
        <v>-5.2386894822120667E-10</v>
      </c>
      <c r="U51" s="13"/>
      <c r="V51" s="13"/>
      <c r="W51" s="13"/>
      <c r="X51" s="13"/>
      <c r="Y51" s="13"/>
      <c r="Z51" s="13"/>
      <c r="AA51" s="13"/>
      <c r="AB51" s="13"/>
    </row>
    <row r="52" spans="1:28" x14ac:dyDescent="0.25">
      <c r="A52" s="13"/>
      <c r="B52" s="61">
        <f t="shared" si="6"/>
        <v>38</v>
      </c>
      <c r="C52" s="75">
        <f t="shared" si="11"/>
        <v>68</v>
      </c>
      <c r="D52" s="76">
        <f t="shared" ca="1" si="7"/>
        <v>0.1</v>
      </c>
      <c r="E52" s="77">
        <f t="shared" ca="1" si="8"/>
        <v>390286.8678404059</v>
      </c>
      <c r="F52" s="66">
        <f t="shared" ca="1" si="9"/>
        <v>3.6484317092170926E-2</v>
      </c>
      <c r="G52" s="66">
        <f t="shared" si="10"/>
        <v>0.04</v>
      </c>
      <c r="H52" s="67">
        <f t="shared" ca="1" si="2"/>
        <v>0.10664524035169415</v>
      </c>
      <c r="I52" s="68">
        <f t="shared" ca="1" si="3"/>
        <v>43140.795713429856</v>
      </c>
      <c r="J52" s="68">
        <f t="shared" ca="1" si="4"/>
        <v>1576298.3049137827</v>
      </c>
      <c r="K52" s="69">
        <f t="shared" ca="1" si="5"/>
        <v>1576298.3049137827</v>
      </c>
      <c r="L52" s="70"/>
      <c r="M52" s="71">
        <f ca="1">IF($C52="",0,
I52*Decrements!D49+(M51-N51-O51)*(1+G51))</f>
        <v>3639.3823202858848</v>
      </c>
      <c r="N52" s="72">
        <f ca="1">K52*Assumptions!$B$19*Decrements!E49</f>
        <v>0</v>
      </c>
      <c r="O52" s="72">
        <f ca="1">J53*(Decrements!F49+Decrements!G49)</f>
        <v>1019.0270496798844</v>
      </c>
      <c r="P52" s="13"/>
      <c r="Q52" s="13"/>
      <c r="R52" s="13"/>
      <c r="S52" s="73">
        <f ca="1">IF($C53="","",J53-J52*(1+i))</f>
        <v>43140.795713430038</v>
      </c>
      <c r="T52" s="74">
        <f ca="1">IFERROR(S52-I52,"")</f>
        <v>1.8189894035458565E-10</v>
      </c>
      <c r="U52" s="13"/>
      <c r="V52" s="13"/>
      <c r="W52" s="13"/>
      <c r="X52" s="13"/>
      <c r="Y52" s="13"/>
      <c r="Z52" s="13"/>
      <c r="AA52" s="13"/>
      <c r="AB52" s="13"/>
    </row>
    <row r="53" spans="1:28" x14ac:dyDescent="0.25">
      <c r="A53" s="13"/>
      <c r="B53" s="61">
        <f t="shared" si="6"/>
        <v>39</v>
      </c>
      <c r="C53" s="75">
        <f t="shared" si="11"/>
        <v>69</v>
      </c>
      <c r="D53" s="76">
        <f t="shared" ca="1" si="7"/>
        <v>0.1</v>
      </c>
      <c r="E53" s="77">
        <f t="shared" ca="1" si="8"/>
        <v>404526.2176836055</v>
      </c>
      <c r="F53" s="66">
        <f t="shared" ca="1" si="9"/>
        <v>3.6484317092170926E-2</v>
      </c>
      <c r="G53" s="66">
        <f t="shared" si="10"/>
        <v>0.04</v>
      </c>
      <c r="H53" s="67">
        <f t="shared" ca="1" si="2"/>
        <v>0.10700697360951866</v>
      </c>
      <c r="I53" s="68">
        <f t="shared" ca="1" si="3"/>
        <v>44866.427541967045</v>
      </c>
      <c r="J53" s="68">
        <f t="shared" ca="1" si="4"/>
        <v>1682491.0328237643</v>
      </c>
      <c r="K53" s="69">
        <f t="shared" ca="1" si="5"/>
        <v>1682491.0328237643</v>
      </c>
      <c r="L53" s="70"/>
      <c r="M53" s="71">
        <f ca="1">IF($C53="",0,
I53*Decrements!D50+(M52-N52-O52)*(1+G52))</f>
        <v>2795.0456219797184</v>
      </c>
      <c r="N53" s="72">
        <f ca="1">K53*Assumptions!$B$19*Decrements!E50</f>
        <v>0</v>
      </c>
      <c r="O53" s="72">
        <f ca="1">J54*(Decrements!F50+Decrements!G50)</f>
        <v>782.61277415415123</v>
      </c>
      <c r="P53" s="13"/>
      <c r="Q53" s="13"/>
      <c r="R53" s="13"/>
      <c r="S53" s="73">
        <f ca="1">IF($C54="","",J54-J53*(1+i))</f>
        <v>44866.427541967016</v>
      </c>
      <c r="T53" s="74">
        <f ca="1">IFERROR(S53-I53,"")</f>
        <v>-2.9103830456733704E-11</v>
      </c>
      <c r="U53" s="13"/>
      <c r="V53" s="13"/>
      <c r="W53" s="13"/>
      <c r="X53" s="13"/>
      <c r="Y53" s="13"/>
      <c r="Z53" s="13"/>
      <c r="AA53" s="13"/>
      <c r="AB53" s="13"/>
    </row>
    <row r="54" spans="1:28" x14ac:dyDescent="0.25">
      <c r="A54" s="13"/>
      <c r="B54" s="61">
        <f t="shared" si="6"/>
        <v>40</v>
      </c>
      <c r="C54" s="75">
        <f t="shared" si="11"/>
        <v>70</v>
      </c>
      <c r="D54" s="76">
        <f t="shared" ca="1" si="7"/>
        <v>0.1</v>
      </c>
      <c r="E54" s="77">
        <f t="shared" ca="1" si="8"/>
        <v>419285.08048167074</v>
      </c>
      <c r="F54" s="66">
        <f t="shared" ca="1" si="9"/>
        <v>3.6484317092170926E-2</v>
      </c>
      <c r="G54" s="66">
        <f t="shared" si="10"/>
        <v>0.04</v>
      </c>
      <c r="H54" s="67">
        <f t="shared" ca="1" si="2"/>
        <v>0.10736993384146208</v>
      </c>
      <c r="I54" s="68">
        <f t="shared" ca="1" si="3"/>
        <v>46661.084643645721</v>
      </c>
      <c r="J54" s="68">
        <f t="shared" ca="1" si="4"/>
        <v>1794657.1016786818</v>
      </c>
      <c r="K54" s="69">
        <f t="shared" ca="1" si="5"/>
        <v>1794657.1016786818</v>
      </c>
      <c r="L54" s="70"/>
      <c r="M54" s="71">
        <f ca="1">IF($C54="",0,
I54*Decrements!D51+(M53-N53-O53)*(1+G53))</f>
        <v>2145.2534157820387</v>
      </c>
      <c r="N54" s="72">
        <f ca="1">K54*Assumptions!$B$19*Decrements!E51</f>
        <v>0</v>
      </c>
      <c r="O54" s="72">
        <f ca="1">J55*(Decrements!F51+Decrements!G51)</f>
        <v>600.67095641879416</v>
      </c>
      <c r="P54" s="13"/>
      <c r="Q54" s="13"/>
      <c r="R54" s="13"/>
      <c r="S54" s="73">
        <f ca="1">IF($C55="","",J55-J54*(1+i))</f>
        <v>46661.084643645678</v>
      </c>
      <c r="T54" s="74">
        <f ca="1">IFERROR(S54-I54,"")</f>
        <v>-4.3655745685100555E-11</v>
      </c>
      <c r="U54" s="13"/>
      <c r="V54" s="13"/>
      <c r="W54" s="13"/>
      <c r="X54" s="13"/>
      <c r="Y54" s="13"/>
      <c r="Z54" s="13"/>
      <c r="AA54" s="13"/>
      <c r="AB54" s="13"/>
    </row>
    <row r="55" spans="1:28" x14ac:dyDescent="0.25">
      <c r="A55" s="13"/>
      <c r="B55" s="61">
        <f t="shared" si="6"/>
        <v>41</v>
      </c>
      <c r="C55" s="75">
        <f t="shared" si="11"/>
        <v>71</v>
      </c>
      <c r="D55" s="76">
        <f t="shared" ca="1" si="7"/>
        <v>0.1</v>
      </c>
      <c r="E55" s="77">
        <f t="shared" ca="1" si="8"/>
        <v>434582.41030998045</v>
      </c>
      <c r="F55" s="66">
        <f t="shared" ca="1" si="9"/>
        <v>3.6484317092170926E-2</v>
      </c>
      <c r="G55" s="66">
        <f t="shared" si="10"/>
        <v>0.04</v>
      </c>
      <c r="H55" s="67">
        <f t="shared" ca="1" si="2"/>
        <v>0.10773412520933552</v>
      </c>
      <c r="I55" s="68">
        <f t="shared" ca="1" si="3"/>
        <v>48527.528029391557</v>
      </c>
      <c r="J55" s="68">
        <f t="shared" ca="1" si="4"/>
        <v>1913104.4703894749</v>
      </c>
      <c r="K55" s="69">
        <f t="shared" ca="1" si="5"/>
        <v>1913104.4703894749</v>
      </c>
      <c r="L55" s="70"/>
      <c r="M55" s="71">
        <f ca="1">IF($C55="",0,
I55*Decrements!D52+(M54-N54-O54)*(1+G54))</f>
        <v>1645.545410365509</v>
      </c>
      <c r="N55" s="72">
        <f ca="1">K55*Assumptions!$B$19*Decrements!E52</f>
        <v>0</v>
      </c>
      <c r="O55" s="72">
        <f ca="1">J56*(Decrements!F52+Decrements!G52)</f>
        <v>460.7527149021588</v>
      </c>
      <c r="P55" s="13"/>
      <c r="Q55" s="13"/>
      <c r="R55" s="13"/>
      <c r="S55" s="73">
        <f ca="1">IF($C56="","",J56-J55*(1+i))</f>
        <v>48527.528029391542</v>
      </c>
      <c r="T55" s="74">
        <f ca="1">IFERROR(S55-I55,"")</f>
        <v>-1.4551915228366852E-11</v>
      </c>
      <c r="U55" s="13"/>
      <c r="V55" s="13"/>
      <c r="W55" s="13"/>
      <c r="X55" s="13"/>
      <c r="Y55" s="13"/>
      <c r="Z55" s="13"/>
      <c r="AA55" s="13"/>
      <c r="AB55" s="13"/>
    </row>
    <row r="56" spans="1:28" x14ac:dyDescent="0.25">
      <c r="A56" s="13"/>
      <c r="B56" s="61">
        <f t="shared" si="6"/>
        <v>42</v>
      </c>
      <c r="C56" s="75">
        <f t="shared" si="11"/>
        <v>72</v>
      </c>
      <c r="D56" s="76">
        <f t="shared" ca="1" si="7"/>
        <v>0.1</v>
      </c>
      <c r="E56" s="77">
        <f t="shared" ca="1" si="8"/>
        <v>450437.85277040972</v>
      </c>
      <c r="F56" s="66">
        <f t="shared" ca="1" si="9"/>
        <v>3.6484317092170926E-2</v>
      </c>
      <c r="G56" s="66">
        <f t="shared" si="10"/>
        <v>0.04</v>
      </c>
      <c r="H56" s="67">
        <f t="shared" ca="1" si="2"/>
        <v>0.10809955188906667</v>
      </c>
      <c r="I56" s="68">
        <f t="shared" ca="1" si="3"/>
        <v>50468.629150567227</v>
      </c>
      <c r="J56" s="68">
        <f t="shared" ca="1" si="4"/>
        <v>2038156.1772344455</v>
      </c>
      <c r="K56" s="69">
        <f t="shared" ca="1" si="5"/>
        <v>2038156.1772344455</v>
      </c>
      <c r="L56" s="70"/>
      <c r="M56" s="71">
        <f ca="1">IF($C56="",0,
I56*Decrements!D53+(M55-N55-O55)*(1+G55))</f>
        <v>1261.522127169532</v>
      </c>
      <c r="N56" s="72">
        <f ca="1">K56*Assumptions!$B$19*Decrements!E53</f>
        <v>0</v>
      </c>
      <c r="O56" s="72">
        <f ca="1">J57*(Decrements!F53+Decrements!G53)</f>
        <v>353.22619560727787</v>
      </c>
      <c r="P56" s="13"/>
      <c r="Q56" s="13"/>
      <c r="R56" s="13"/>
      <c r="S56" s="73">
        <f ca="1">IF($C57="","",J57-J56*(1+i))</f>
        <v>50468.629150567576</v>
      </c>
      <c r="T56" s="74">
        <f ca="1">IFERROR(S56-I56,"")</f>
        <v>3.4924596548080444E-10</v>
      </c>
      <c r="U56" s="13"/>
      <c r="V56" s="13"/>
      <c r="W56" s="13"/>
      <c r="X56" s="13"/>
      <c r="Y56" s="13"/>
      <c r="Z56" s="13"/>
      <c r="AA56" s="13"/>
      <c r="AB56" s="13"/>
    </row>
    <row r="57" spans="1:28" x14ac:dyDescent="0.25">
      <c r="A57" s="13"/>
      <c r="B57" s="61">
        <f t="shared" si="6"/>
        <v>43</v>
      </c>
      <c r="C57" s="75">
        <f t="shared" si="11"/>
        <v>73</v>
      </c>
      <c r="D57" s="76">
        <f t="shared" ca="1" si="7"/>
        <v>0.1</v>
      </c>
      <c r="E57" s="77">
        <f t="shared" ca="1" si="8"/>
        <v>466871.77022120194</v>
      </c>
      <c r="F57" s="66">
        <f t="shared" ca="1" si="9"/>
        <v>3.6484317092170926E-2</v>
      </c>
      <c r="G57" s="66">
        <f t="shared" si="10"/>
        <v>0.04</v>
      </c>
      <c r="H57" s="67">
        <f t="shared" ca="1" si="2"/>
        <v>0.10846621807074762</v>
      </c>
      <c r="I57" s="68">
        <f t="shared" ca="1" si="3"/>
        <v>52487.374316589921</v>
      </c>
      <c r="J57" s="68">
        <f t="shared" ca="1" si="4"/>
        <v>2170151.0534743909</v>
      </c>
      <c r="K57" s="69">
        <f t="shared" ca="1" si="5"/>
        <v>2170151.0534743909</v>
      </c>
      <c r="L57" s="70"/>
      <c r="M57" s="71">
        <f ca="1">IF($C57="",0,
I57*Decrements!D54+(M56-N56-O56)*(1+G56))</f>
        <v>966.59585647181495</v>
      </c>
      <c r="N57" s="72">
        <f ca="1">K57*Assumptions!$B$19*Decrements!E54</f>
        <v>0</v>
      </c>
      <c r="O57" s="72">
        <f ca="1">J58*(Decrements!F54+Decrements!G54)</f>
        <v>270.64683981190944</v>
      </c>
      <c r="P57" s="13"/>
      <c r="Q57" s="13"/>
      <c r="R57" s="13"/>
      <c r="S57" s="73">
        <f ca="1">IF($C58="","",J58-J57*(1+i))</f>
        <v>52487.374316589907</v>
      </c>
      <c r="T57" s="74">
        <f ca="1">IFERROR(S57-I57,"")</f>
        <v>-1.4551915228366852E-11</v>
      </c>
      <c r="U57" s="13"/>
      <c r="V57" s="13"/>
      <c r="W57" s="13"/>
      <c r="X57" s="13"/>
      <c r="Y57" s="13"/>
      <c r="Z57" s="13"/>
      <c r="AA57" s="13"/>
      <c r="AB57" s="13"/>
    </row>
    <row r="58" spans="1:28" x14ac:dyDescent="0.25">
      <c r="A58" s="13"/>
      <c r="B58" s="61">
        <f t="shared" si="6"/>
        <v>44</v>
      </c>
      <c r="C58" s="75">
        <f t="shared" si="11"/>
        <v>74</v>
      </c>
      <c r="D58" s="76">
        <f t="shared" ca="1" si="7"/>
        <v>0.1</v>
      </c>
      <c r="E58" s="77">
        <f t="shared" ca="1" si="8"/>
        <v>483905.26792733546</v>
      </c>
      <c r="F58" s="66">
        <f t="shared" ca="1" si="9"/>
        <v>3.6484317092170926E-2</v>
      </c>
      <c r="G58" s="66">
        <f t="shared" si="10"/>
        <v>0.04</v>
      </c>
      <c r="H58" s="67">
        <f t="shared" ca="1" si="2"/>
        <v>0.10883412795868302</v>
      </c>
      <c r="I58" s="68">
        <f t="shared" ca="1" si="3"/>
        <v>54586.869289253518</v>
      </c>
      <c r="J58" s="68">
        <f t="shared" ca="1" si="4"/>
        <v>2309444.4699299564</v>
      </c>
      <c r="K58" s="69">
        <f t="shared" ca="1" si="5"/>
        <v>2309444.4699299564</v>
      </c>
      <c r="L58" s="70"/>
      <c r="M58" s="71">
        <f ca="1">IF($C58="",0,
I58*Decrements!D55+(M57-N57-O57)*(1+G57))</f>
        <v>740.23668135642822</v>
      </c>
      <c r="N58" s="72">
        <f ca="1">K58*Assumptions!$B$19*Decrements!E55</f>
        <v>0</v>
      </c>
      <c r="O58" s="72">
        <f ca="1">J59*(Decrements!F55+Decrements!G55)</f>
        <v>207.26627077959316</v>
      </c>
      <c r="P58" s="13"/>
      <c r="Q58" s="13"/>
      <c r="R58" s="13"/>
      <c r="S58" s="73">
        <f ca="1">IF($C59="","",J59-J58*(1+i))</f>
        <v>54586.869289252907</v>
      </c>
      <c r="T58" s="74">
        <f ca="1">IFERROR(S58-I58,"")</f>
        <v>-6.1118043959140778E-10</v>
      </c>
      <c r="U58" s="13"/>
      <c r="V58" s="13"/>
      <c r="W58" s="13"/>
      <c r="X58" s="13"/>
      <c r="Y58" s="13"/>
      <c r="Z58" s="13"/>
      <c r="AA58" s="13"/>
      <c r="AB58" s="13"/>
    </row>
    <row r="59" spans="1:28" x14ac:dyDescent="0.25">
      <c r="A59" s="13"/>
      <c r="B59" s="61">
        <f t="shared" si="6"/>
        <v>45</v>
      </c>
      <c r="C59" s="75">
        <f t="shared" si="11"/>
        <v>75</v>
      </c>
      <c r="D59" s="76">
        <f t="shared" ca="1" si="7"/>
        <v>0.1</v>
      </c>
      <c r="E59" s="77">
        <f t="shared" ca="1" si="8"/>
        <v>501560.22116496827</v>
      </c>
      <c r="F59" s="66">
        <f t="shared" ca="1" si="9"/>
        <v>3.6484317092170926E-2</v>
      </c>
      <c r="G59" s="66">
        <f t="shared" si="10"/>
        <v>0.04</v>
      </c>
      <c r="H59" s="67">
        <f t="shared" ca="1" si="2"/>
        <v>0.10920328577143823</v>
      </c>
      <c r="I59" s="68">
        <f t="shared" ca="1" si="3"/>
        <v>56770.344060823656</v>
      </c>
      <c r="J59" s="68">
        <f t="shared" ca="1" si="4"/>
        <v>2456409.1180164078</v>
      </c>
      <c r="K59" s="69">
        <f t="shared" ca="1" si="5"/>
        <v>2456409.1180164078</v>
      </c>
      <c r="L59" s="70"/>
      <c r="M59" s="71">
        <f ca="1">IF($C59="",0,
I59*Decrements!D56+(M58-N58-O58)*(1+G58))</f>
        <v>566.6067653776671</v>
      </c>
      <c r="N59" s="72">
        <f ca="1">K59*Assumptions!$B$19*Decrements!E56</f>
        <v>0</v>
      </c>
      <c r="O59" s="72">
        <f ca="1">J60*(Decrements!F56+Decrements!G56)</f>
        <v>158.6498943055318</v>
      </c>
      <c r="P59" s="13"/>
      <c r="Q59" s="13"/>
      <c r="R59" s="13"/>
      <c r="S59" s="73">
        <f ca="1">IF($C60="","",J60-J59*(1+i))</f>
        <v>56770.344060823787</v>
      </c>
      <c r="T59" s="74">
        <f ca="1">IFERROR(S59-I59,"")</f>
        <v>1.3096723705530167E-10</v>
      </c>
      <c r="U59" s="13"/>
      <c r="V59" s="13"/>
      <c r="W59" s="13"/>
      <c r="X59" s="13"/>
      <c r="Y59" s="13"/>
      <c r="Z59" s="13"/>
      <c r="AA59" s="13"/>
      <c r="AB59" s="13"/>
    </row>
    <row r="60" spans="1:28" x14ac:dyDescent="0.25">
      <c r="A60" s="13"/>
      <c r="B60" s="61">
        <f t="shared" si="6"/>
        <v>46</v>
      </c>
      <c r="C60" s="75">
        <f t="shared" si="11"/>
        <v>76</v>
      </c>
      <c r="D60" s="76">
        <f t="shared" ca="1" si="7"/>
        <v>0.1</v>
      </c>
      <c r="E60" s="77">
        <f t="shared" ca="1" si="8"/>
        <v>519859.30331477034</v>
      </c>
      <c r="F60" s="66">
        <f t="shared" ca="1" si="9"/>
        <v>3.6484317092170926E-2</v>
      </c>
      <c r="G60" s="66">
        <f t="shared" si="10"/>
        <v>0.04</v>
      </c>
      <c r="H60" s="67">
        <f t="shared" ca="1" si="2"/>
        <v>0.10957369574188765</v>
      </c>
      <c r="I60" s="68">
        <f t="shared" ca="1" si="3"/>
        <v>59041.157823256581</v>
      </c>
      <c r="J60" s="68">
        <f t="shared" ca="1" si="4"/>
        <v>2611435.8267978881</v>
      </c>
      <c r="K60" s="69">
        <f t="shared" ca="1" si="5"/>
        <v>2611435.8267978881</v>
      </c>
      <c r="L60" s="70"/>
      <c r="M60" s="71">
        <f ca="1">IF($C60="",0,
I60*Decrements!D57+(M59-N59-O59)*(1+G59))</f>
        <v>433.49851865228646</v>
      </c>
      <c r="N60" s="72">
        <f ca="1">K60*Assumptions!$B$19*Decrements!E57</f>
        <v>0</v>
      </c>
      <c r="O60" s="72">
        <f ca="1">J61*(Decrements!F57+Decrements!G57)</f>
        <v>121.37958522241657</v>
      </c>
      <c r="P60" s="13"/>
      <c r="Q60" s="13"/>
      <c r="R60" s="13"/>
      <c r="S60" s="73">
        <f ca="1">IF($C61="","",J61-J60*(1+i))</f>
        <v>59041.157823255751</v>
      </c>
      <c r="T60" s="74">
        <f ca="1">IFERROR(S60-I60,"")</f>
        <v>-8.2945916801691055E-10</v>
      </c>
      <c r="U60" s="13"/>
      <c r="V60" s="13"/>
      <c r="W60" s="13"/>
      <c r="X60" s="13"/>
      <c r="Y60" s="13"/>
      <c r="Z60" s="13"/>
      <c r="AA60" s="13"/>
      <c r="AB60" s="13"/>
    </row>
    <row r="61" spans="1:28" x14ac:dyDescent="0.25">
      <c r="A61" s="13"/>
      <c r="B61" s="61">
        <f t="shared" si="6"/>
        <v>47</v>
      </c>
      <c r="C61" s="75">
        <f t="shared" si="11"/>
        <v>77</v>
      </c>
      <c r="D61" s="76">
        <f t="shared" ca="1" si="7"/>
        <v>0.1</v>
      </c>
      <c r="E61" s="77">
        <f t="shared" ca="1" si="8"/>
        <v>538826.01498022152</v>
      </c>
      <c r="F61" s="66">
        <f t="shared" ca="1" si="9"/>
        <v>3.6484317092170926E-2</v>
      </c>
      <c r="G61" s="66">
        <f t="shared" si="10"/>
        <v>0.04</v>
      </c>
      <c r="H61" s="67">
        <f t="shared" ca="1" si="2"/>
        <v>0.10994536211726338</v>
      </c>
      <c r="I61" s="68">
        <f t="shared" ca="1" si="3"/>
        <v>61402.804136186867</v>
      </c>
      <c r="J61" s="68">
        <f t="shared" ca="1" si="4"/>
        <v>2774934.4176930594</v>
      </c>
      <c r="K61" s="69">
        <f t="shared" ca="1" si="5"/>
        <v>2774934.4176930594</v>
      </c>
      <c r="L61" s="70"/>
      <c r="M61" s="71">
        <f ca="1">IF($C61="",0,
I61*Decrements!D58+(M60-N60-O60)*(1+G60))</f>
        <v>331.51015227272927</v>
      </c>
      <c r="N61" s="72">
        <f ca="1">K61*Assumptions!$B$19*Decrements!E58</f>
        <v>0</v>
      </c>
      <c r="O61" s="72">
        <f ca="1">J62*(Decrements!F58+Decrements!G58)</f>
        <v>92.822842636131654</v>
      </c>
      <c r="P61" s="13"/>
      <c r="Q61" s="13"/>
      <c r="R61" s="13"/>
      <c r="S61" s="73">
        <f ca="1">IF($C62="","",J62-J61*(1+i))</f>
        <v>61402.804136188235</v>
      </c>
      <c r="T61" s="74">
        <f ca="1">IFERROR(S61-I61,"")</f>
        <v>1.3678800314664841E-9</v>
      </c>
      <c r="U61" s="13"/>
      <c r="V61" s="13"/>
      <c r="W61" s="13"/>
      <c r="X61" s="13"/>
      <c r="Y61" s="13"/>
      <c r="Z61" s="13"/>
      <c r="AA61" s="13"/>
      <c r="AB61" s="13"/>
    </row>
    <row r="62" spans="1:28" x14ac:dyDescent="0.25">
      <c r="A62" s="13"/>
      <c r="B62" s="61">
        <f t="shared" ref="B62:B69" si="12">IF($C62="","",B61+1)</f>
        <v>48</v>
      </c>
      <c r="C62" s="75">
        <f t="shared" si="11"/>
        <v>78</v>
      </c>
      <c r="D62" s="76">
        <f t="shared" ref="D62:D69" ca="1" si="13">IF($C62="","",D61)</f>
        <v>0.1</v>
      </c>
      <c r="E62" s="77">
        <f t="shared" ca="1" si="8"/>
        <v>558484.71416827082</v>
      </c>
      <c r="F62" s="66">
        <f t="shared" ref="F62:F69" ca="1" si="14">IF($C62="","",F61)</f>
        <v>3.6484317092170926E-2</v>
      </c>
      <c r="G62" s="66">
        <f t="shared" ref="G62:G69" si="15">IF($C62="","",G61)</f>
        <v>0.04</v>
      </c>
      <c r="H62" s="67">
        <f t="shared" ca="1" si="2"/>
        <v>0.11031828915920372</v>
      </c>
      <c r="I62" s="68">
        <f t="shared" ca="1" si="3"/>
        <v>63858.916301634345</v>
      </c>
      <c r="J62" s="68">
        <f t="shared" ca="1" si="4"/>
        <v>2947334.5985369701</v>
      </c>
      <c r="K62" s="69">
        <f t="shared" ca="1" si="5"/>
        <v>2947334.5985369701</v>
      </c>
      <c r="L62" s="70"/>
      <c r="M62" s="71">
        <f ca="1">IF($C62="",0,
I62*Decrements!D59+(M61-N61-O61)*(1+G61))</f>
        <v>253.40636039750314</v>
      </c>
      <c r="N62" s="72">
        <f ca="1">K62*Assumptions!$B$19*Decrements!E59</f>
        <v>0</v>
      </c>
      <c r="O62" s="72">
        <f ca="1">J63*(Decrements!F59+Decrements!G59)</f>
        <v>70.953780911059027</v>
      </c>
      <c r="P62" s="13"/>
      <c r="Q62" s="13"/>
      <c r="R62" s="13"/>
      <c r="S62" s="73">
        <f ca="1">IF($C63="","",J63-J62*(1+i))</f>
        <v>63858.916301634163</v>
      </c>
      <c r="T62" s="74">
        <f ca="1">IFERROR(S62-I62,"")</f>
        <v>-1.8189894035458565E-10</v>
      </c>
      <c r="U62" s="13"/>
      <c r="V62" s="13"/>
      <c r="W62" s="13"/>
      <c r="X62" s="13"/>
      <c r="Y62" s="13"/>
      <c r="Z62" s="13"/>
      <c r="AA62" s="13"/>
      <c r="AB62" s="13"/>
    </row>
    <row r="63" spans="1:28" x14ac:dyDescent="0.25">
      <c r="A63" s="13"/>
      <c r="B63" s="61">
        <f t="shared" si="12"/>
        <v>49</v>
      </c>
      <c r="C63" s="75">
        <f t="shared" si="11"/>
        <v>79</v>
      </c>
      <c r="D63" s="76">
        <f t="shared" ca="1" si="13"/>
        <v>0.1</v>
      </c>
      <c r="E63" s="77">
        <f t="shared" ca="1" si="8"/>
        <v>578860.64757111645</v>
      </c>
      <c r="F63" s="66">
        <f t="shared" ca="1" si="14"/>
        <v>3.6484317092170926E-2</v>
      </c>
      <c r="G63" s="66">
        <f t="shared" si="15"/>
        <v>0.04</v>
      </c>
      <c r="H63" s="67">
        <f t="shared" ca="1" si="2"/>
        <v>0.11069248114380222</v>
      </c>
      <c r="I63" s="68">
        <f t="shared" ca="1" si="3"/>
        <v>66413.272953699707</v>
      </c>
      <c r="J63" s="68">
        <f t="shared" ca="1" si="4"/>
        <v>3129086.8987800833</v>
      </c>
      <c r="K63" s="69">
        <f t="shared" ca="1" si="5"/>
        <v>3129086.8987800833</v>
      </c>
      <c r="L63" s="70"/>
      <c r="M63" s="71">
        <f ca="1">IF($C63="",0,
I63*Decrements!D60+(M62-N62-O62)*(1+G62))</f>
        <v>193.62314557743255</v>
      </c>
      <c r="N63" s="72">
        <f ca="1">K63*Assumptions!$B$19*Decrements!E60</f>
        <v>0</v>
      </c>
      <c r="O63" s="72">
        <f ca="1">J64*(Decrements!F60+Decrements!G60)</f>
        <v>54.21448076142957</v>
      </c>
      <c r="P63" s="13"/>
      <c r="Q63" s="13"/>
      <c r="R63" s="13"/>
      <c r="S63" s="73">
        <f ca="1">IF($C64="","",J64-J63*(1+i))</f>
        <v>66413.272953698877</v>
      </c>
      <c r="T63" s="74">
        <f ca="1">IFERROR(S63-I63,"")</f>
        <v>-8.2945916801691055E-10</v>
      </c>
      <c r="U63" s="13"/>
      <c r="V63" s="13"/>
      <c r="W63" s="13"/>
      <c r="X63" s="13"/>
      <c r="Y63" s="13"/>
      <c r="Z63" s="13"/>
      <c r="AA63" s="13"/>
      <c r="AB63" s="13"/>
    </row>
    <row r="64" spans="1:28" x14ac:dyDescent="0.25">
      <c r="A64" s="13"/>
      <c r="B64" s="61">
        <f t="shared" si="12"/>
        <v>50</v>
      </c>
      <c r="C64" s="75">
        <f t="shared" si="11"/>
        <v>80</v>
      </c>
      <c r="D64" s="76">
        <f t="shared" ca="1" si="13"/>
        <v>0.1</v>
      </c>
      <c r="E64" s="77">
        <f t="shared" ca="1" si="8"/>
        <v>599979.98298928048</v>
      </c>
      <c r="F64" s="66">
        <f t="shared" ca="1" si="14"/>
        <v>3.6484317092170926E-2</v>
      </c>
      <c r="G64" s="66">
        <f t="shared" si="15"/>
        <v>0.04</v>
      </c>
      <c r="H64" s="67">
        <f t="shared" ca="1" si="2"/>
        <v>0.11106794236165668</v>
      </c>
      <c r="I64" s="68">
        <f t="shared" ca="1" si="3"/>
        <v>69069.803871847704</v>
      </c>
      <c r="J64" s="68">
        <f t="shared" ca="1" si="4"/>
        <v>3320663.6476849858</v>
      </c>
      <c r="K64" s="69">
        <f t="shared" ca="1" si="5"/>
        <v>3320663.6476849858</v>
      </c>
      <c r="L64" s="70"/>
      <c r="M64" s="71">
        <f ca="1">IF($C64="",0,
I64*Decrements!D61+(M63-N63-O63)*(1+G63))</f>
        <v>147.88471163679731</v>
      </c>
      <c r="N64" s="72">
        <f ca="1">K64*Assumptions!$B$19*Decrements!E61</f>
        <v>0</v>
      </c>
      <c r="O64" s="72">
        <f ca="1">J65*(Decrements!F61+Decrements!G61)</f>
        <v>41.407719258041631</v>
      </c>
      <c r="P64" s="13"/>
      <c r="Q64" s="13"/>
      <c r="R64" s="13"/>
      <c r="S64" s="73">
        <f ca="1">IF($C65="","",J65-J64*(1+i))</f>
        <v>69069.803871847689</v>
      </c>
      <c r="T64" s="74">
        <f ca="1">IFERROR(S64-I64,"")</f>
        <v>-1.4551915228366852E-11</v>
      </c>
      <c r="U64" s="13"/>
      <c r="V64" s="13"/>
      <c r="W64" s="13"/>
      <c r="X64" s="13"/>
      <c r="Y64" s="13"/>
      <c r="Z64" s="13"/>
      <c r="AA64" s="13"/>
      <c r="AB64" s="13"/>
    </row>
    <row r="65" spans="1:28" x14ac:dyDescent="0.25">
      <c r="A65" s="13"/>
      <c r="B65" s="61">
        <f t="shared" si="12"/>
        <v>51</v>
      </c>
      <c r="C65" s="75">
        <f t="shared" si="11"/>
        <v>81</v>
      </c>
      <c r="D65" s="76">
        <f t="shared" ca="1" si="13"/>
        <v>0.1</v>
      </c>
      <c r="E65" s="77">
        <f t="shared" ca="1" si="8"/>
        <v>621869.84293761675</v>
      </c>
      <c r="F65" s="66">
        <f t="shared" ca="1" si="14"/>
        <v>3.6484317092170926E-2</v>
      </c>
      <c r="G65" s="66">
        <f t="shared" si="15"/>
        <v>0.04</v>
      </c>
      <c r="H65" s="67">
        <f t="shared" ca="1" si="2"/>
        <v>0.11144467711791819</v>
      </c>
      <c r="I65" s="68">
        <f t="shared" ca="1" si="3"/>
        <v>71832.5960267216</v>
      </c>
      <c r="J65" s="68">
        <f t="shared" ca="1" si="4"/>
        <v>3522559.9974642331</v>
      </c>
      <c r="K65" s="69">
        <f t="shared" ca="1" si="5"/>
        <v>3522559.9974642331</v>
      </c>
      <c r="L65" s="70"/>
      <c r="M65" s="71">
        <f ca="1">IF($C65="",0,
I65*Decrements!D62+(M64-N64-O64)*(1+G64))</f>
        <v>112.90736760474776</v>
      </c>
      <c r="N65" s="72">
        <f ca="1">K65*Assumptions!$B$19*Decrements!E62</f>
        <v>0</v>
      </c>
      <c r="O65" s="72">
        <f ca="1">J66*(Decrements!F62+Decrements!G62)</f>
        <v>31.61406292905729</v>
      </c>
      <c r="P65" s="13"/>
      <c r="Q65" s="13"/>
      <c r="R65" s="13"/>
      <c r="S65" s="73">
        <f ca="1">IF($C66="","",J66-J65*(1+i))</f>
        <v>71832.596026720945</v>
      </c>
      <c r="T65" s="74">
        <f ca="1">IFERROR(S65-I65,"")</f>
        <v>-6.5483618527650833E-10</v>
      </c>
      <c r="U65" s="13"/>
      <c r="V65" s="13"/>
      <c r="W65" s="13"/>
      <c r="X65" s="13"/>
      <c r="Y65" s="13"/>
      <c r="Z65" s="13"/>
      <c r="AA65" s="13"/>
      <c r="AB65" s="13"/>
    </row>
    <row r="66" spans="1:28" x14ac:dyDescent="0.25">
      <c r="A66" s="13"/>
      <c r="B66" s="61">
        <f t="shared" si="12"/>
        <v>52</v>
      </c>
      <c r="C66" s="75">
        <f t="shared" si="11"/>
        <v>82</v>
      </c>
      <c r="D66" s="76">
        <f t="shared" ca="1" si="13"/>
        <v>0.1</v>
      </c>
      <c r="E66" s="77">
        <f t="shared" ca="1" si="8"/>
        <v>644558.33947741124</v>
      </c>
      <c r="F66" s="66">
        <f t="shared" ca="1" si="14"/>
        <v>3.6484317092170926E-2</v>
      </c>
      <c r="G66" s="66">
        <f t="shared" si="15"/>
        <v>0.04</v>
      </c>
      <c r="H66" s="67">
        <f t="shared" ca="1" si="2"/>
        <v>0.11182268973234077</v>
      </c>
      <c r="I66" s="68">
        <f t="shared" ca="1" si="3"/>
        <v>74705.899867790475</v>
      </c>
      <c r="J66" s="68">
        <f t="shared" ca="1" si="4"/>
        <v>3735294.9933895236</v>
      </c>
      <c r="K66" s="69">
        <f t="shared" ca="1" si="5"/>
        <v>3735294.9933895236</v>
      </c>
      <c r="L66" s="70"/>
      <c r="M66" s="71">
        <f ca="1">IF($C66="",0,
I66*Decrements!D63+(M65-N65-O65)*(1+G65))</f>
        <v>86.170902956212487</v>
      </c>
      <c r="N66" s="72">
        <f ca="1">K66*Assumptions!$B$19*Decrements!E63</f>
        <v>0</v>
      </c>
      <c r="O66" s="72">
        <f ca="1">J67*(Decrements!F63+Decrements!G63)</f>
        <v>24.127852827456529</v>
      </c>
      <c r="P66" s="13"/>
      <c r="Q66" s="13"/>
      <c r="R66" s="13"/>
      <c r="S66" s="73">
        <f ca="1">IF($C67="","",J67-J66*(1+i))</f>
        <v>74705.899867790751</v>
      </c>
      <c r="T66" s="74">
        <f ca="1">IFERROR(S66-I66,"")</f>
        <v>2.7648638933897018E-10</v>
      </c>
      <c r="U66" s="13"/>
      <c r="V66" s="13"/>
      <c r="W66" s="13"/>
      <c r="X66" s="13"/>
      <c r="Y66" s="13"/>
      <c r="Z66" s="13"/>
      <c r="AA66" s="13"/>
      <c r="AB66" s="13"/>
    </row>
    <row r="67" spans="1:28" x14ac:dyDescent="0.25">
      <c r="A67" s="13"/>
      <c r="B67" s="61">
        <f t="shared" si="12"/>
        <v>53</v>
      </c>
      <c r="C67" s="75">
        <f t="shared" si="11"/>
        <v>83</v>
      </c>
      <c r="D67" s="76">
        <f t="shared" ca="1" si="13"/>
        <v>0.1</v>
      </c>
      <c r="E67" s="77">
        <f t="shared" ca="1" si="8"/>
        <v>668074.61031930824</v>
      </c>
      <c r="F67" s="66">
        <f t="shared" ca="1" si="14"/>
        <v>3.6484317092170926E-2</v>
      </c>
      <c r="G67" s="66">
        <f t="shared" si="15"/>
        <v>0.04</v>
      </c>
      <c r="H67" s="67">
        <f t="shared" ca="1" si="2"/>
        <v>0.1122019845393306</v>
      </c>
      <c r="I67" s="68">
        <f t="shared" ca="1" si="3"/>
        <v>77694.13586250208</v>
      </c>
      <c r="J67" s="68">
        <f t="shared" ca="1" si="4"/>
        <v>3959412.6929928954</v>
      </c>
      <c r="K67" s="69">
        <f t="shared" ca="1" si="5"/>
        <v>3959412.6929928954</v>
      </c>
      <c r="L67" s="70"/>
      <c r="M67" s="71">
        <f ca="1">IF($C67="",0,
I67*Decrements!D64+(M66-N66-O66)*(1+G66))</f>
        <v>65.742220664714779</v>
      </c>
      <c r="N67" s="72">
        <f ca="1">K67*Assumptions!$B$19*Decrements!E64</f>
        <v>0</v>
      </c>
      <c r="O67" s="72">
        <f ca="1">J68*(Decrements!F64+Decrements!G64)</f>
        <v>18.407821785825845</v>
      </c>
      <c r="P67" s="13"/>
      <c r="Q67" s="13"/>
      <c r="R67" s="13"/>
      <c r="S67" s="73">
        <f ca="1">IF($C68="","",J68-J67*(1+i))</f>
        <v>77694.135862500872</v>
      </c>
      <c r="T67" s="74">
        <f ca="1">IFERROR(S67-I67,"")</f>
        <v>-1.2078089639544487E-9</v>
      </c>
      <c r="U67" s="13"/>
      <c r="V67" s="13"/>
      <c r="W67" s="13"/>
      <c r="X67" s="13"/>
      <c r="Y67" s="13"/>
      <c r="Z67" s="13"/>
      <c r="AA67" s="13"/>
      <c r="AB67" s="13"/>
    </row>
    <row r="68" spans="1:28" x14ac:dyDescent="0.25">
      <c r="A68" s="13"/>
      <c r="B68" s="61">
        <f t="shared" si="12"/>
        <v>54</v>
      </c>
      <c r="C68" s="75">
        <f t="shared" si="11"/>
        <v>84</v>
      </c>
      <c r="D68" s="76">
        <f t="shared" ca="1" si="13"/>
        <v>0.1</v>
      </c>
      <c r="E68" s="77">
        <f t="shared" ca="1" si="8"/>
        <v>692448.85624342645</v>
      </c>
      <c r="F68" s="66">
        <f t="shared" ca="1" si="14"/>
        <v>3.6484317092170926E-2</v>
      </c>
      <c r="G68" s="66">
        <f t="shared" si="15"/>
        <v>0.04</v>
      </c>
      <c r="H68" s="67">
        <f t="shared" ca="1" si="2"/>
        <v>0.11258256588799594</v>
      </c>
      <c r="I68" s="68">
        <f t="shared" ca="1" si="3"/>
        <v>80801.901297002172</v>
      </c>
      <c r="J68" s="68">
        <f t="shared" ca="1" si="4"/>
        <v>4195483.3365751123</v>
      </c>
      <c r="K68" s="69">
        <f t="shared" ca="1" si="5"/>
        <v>4195483.3365751123</v>
      </c>
      <c r="L68" s="70"/>
      <c r="M68" s="71">
        <f ca="1">IF($C68="",0,
I68*Decrements!D65+(M67-N67-O67)*(1+G67))</f>
        <v>50.139400293913965</v>
      </c>
      <c r="N68" s="72">
        <f ca="1">K68*Assumptions!$B$19*Decrements!E65</f>
        <v>0</v>
      </c>
      <c r="O68" s="72">
        <f ca="1">J69*(Decrements!F65+Decrements!G65)</f>
        <v>14.039032081989843</v>
      </c>
      <c r="P68" s="13"/>
      <c r="Q68" s="13"/>
      <c r="R68" s="13"/>
      <c r="S68" s="73">
        <f ca="1">IF($C69="","",J69-J68*(1+i))</f>
        <v>80801.901297001168</v>
      </c>
      <c r="T68" s="74">
        <f ca="1">IFERROR(S68-I68,"")</f>
        <v>-1.0040821507573128E-9</v>
      </c>
      <c r="U68" s="13"/>
      <c r="V68" s="13"/>
      <c r="W68" s="13"/>
      <c r="X68" s="13"/>
      <c r="Y68" s="13"/>
      <c r="Z68" s="13"/>
      <c r="AA68" s="13"/>
      <c r="AB68" s="13"/>
    </row>
    <row r="69" spans="1:28" x14ac:dyDescent="0.25">
      <c r="A69" s="13"/>
      <c r="B69" s="61">
        <f t="shared" si="12"/>
        <v>55</v>
      </c>
      <c r="C69" s="75">
        <f t="shared" si="11"/>
        <v>85</v>
      </c>
      <c r="D69" s="76">
        <f t="shared" ca="1" si="13"/>
        <v>0.1</v>
      </c>
      <c r="E69" s="77">
        <f t="shared" ca="1" si="8"/>
        <v>717712.37988472264</v>
      </c>
      <c r="F69" s="66">
        <f t="shared" ca="1" si="14"/>
        <v>3.6484317092170926E-2</v>
      </c>
      <c r="G69" s="66">
        <f t="shared" si="15"/>
        <v>0.04</v>
      </c>
      <c r="H69" s="67">
        <f t="shared" ca="1" si="2"/>
        <v>0.11296443814219695</v>
      </c>
      <c r="I69" s="68">
        <f t="shared" ca="1" si="3"/>
        <v>84033.977348882254</v>
      </c>
      <c r="J69" s="68">
        <f t="shared" ca="1" si="4"/>
        <v>4444104.5713351183</v>
      </c>
      <c r="K69" s="69">
        <f t="shared" ca="1" si="5"/>
        <v>4444104.5713351183</v>
      </c>
      <c r="L69" s="70"/>
      <c r="M69" s="71">
        <f ca="1">IF($C69="",0,
I69*Decrements!D66+(M68-N68-O68)*(1+G68))</f>
        <v>38.227008084751347</v>
      </c>
      <c r="N69" s="72">
        <f ca="1">K69*Assumptions!$B$19*Decrements!E66</f>
        <v>0</v>
      </c>
      <c r="O69" s="72">
        <f ca="1">J70*(Decrements!F66+Decrements!G66)</f>
        <v>10.703562263412072</v>
      </c>
      <c r="P69" s="13"/>
      <c r="Q69" s="13"/>
      <c r="R69" s="13"/>
      <c r="S69" s="73">
        <f ca="1">IF($C70="","",J70-J69*(1+i))</f>
        <v>84033.977348883636</v>
      </c>
      <c r="T69" s="74">
        <f ca="1">IFERROR(S69-I69,"")</f>
        <v>1.3824319466948509E-9</v>
      </c>
      <c r="U69" s="13"/>
      <c r="V69" s="13"/>
      <c r="W69" s="13"/>
      <c r="X69" s="13"/>
      <c r="Y69" s="13"/>
      <c r="Z69" s="13"/>
      <c r="AA69" s="13"/>
      <c r="AB69" s="13"/>
    </row>
    <row r="70" spans="1:28" x14ac:dyDescent="0.25">
      <c r="A70" s="13"/>
      <c r="B70" s="61">
        <f t="shared" ref="B70:B84" si="16">IF($C70="","",B69+1)</f>
        <v>56</v>
      </c>
      <c r="C70" s="75">
        <f t="shared" si="11"/>
        <v>86</v>
      </c>
      <c r="D70" s="76">
        <f t="shared" ref="D70:D84" ca="1" si="17">IF($C70="","",D69)</f>
        <v>0.1</v>
      </c>
      <c r="E70" s="77">
        <f t="shared" ca="1" si="8"/>
        <v>743897.62593341351</v>
      </c>
      <c r="F70" s="66">
        <f t="shared" ref="F70:F84" ca="1" si="18">IF($C70="","",F69)</f>
        <v>3.6484317092170926E-2</v>
      </c>
      <c r="G70" s="66">
        <f t="shared" ref="G70:G84" si="19">IF($C70="","",G69)</f>
        <v>0.04</v>
      </c>
      <c r="H70" s="67">
        <f t="shared" ca="1" si="2"/>
        <v>0.11334760568059561</v>
      </c>
      <c r="I70" s="68">
        <f t="shared" ca="1" si="3"/>
        <v>87395.336442837535</v>
      </c>
      <c r="J70" s="68">
        <f t="shared" ca="1" si="4"/>
        <v>4705902.7315374063</v>
      </c>
      <c r="K70" s="69">
        <f t="shared" ca="1" si="5"/>
        <v>4705902.7315374063</v>
      </c>
      <c r="L70" s="70"/>
      <c r="M70" s="71">
        <f ca="1">IF($C70="",0,
I70*Decrements!D67+(M69-N69-O69)*(1+G69))</f>
        <v>29.135533362282317</v>
      </c>
      <c r="N70" s="72">
        <f ca="1">K70*Assumptions!$B$19*Decrements!E67</f>
        <v>0</v>
      </c>
      <c r="O70" s="72">
        <f ca="1">J71*(Decrements!F67+Decrements!G67)</f>
        <v>8.1579493411080097</v>
      </c>
      <c r="P70" s="13"/>
      <c r="Q70" s="13"/>
      <c r="R70" s="13"/>
      <c r="S70" s="73">
        <f ca="1">IF($C71="","",J71-J70*(1+i))</f>
        <v>87395.336442837492</v>
      </c>
      <c r="T70" s="74">
        <f ca="1">IFERROR(S70-I70,"")</f>
        <v>-4.3655745685100555E-11</v>
      </c>
      <c r="U70" s="13"/>
      <c r="V70" s="13"/>
      <c r="W70" s="13"/>
      <c r="X70" s="13"/>
      <c r="Y70" s="13"/>
      <c r="Z70" s="13"/>
      <c r="AA70" s="13"/>
      <c r="AB70" s="13"/>
    </row>
    <row r="71" spans="1:28" x14ac:dyDescent="0.25">
      <c r="A71" s="13"/>
      <c r="B71" s="61">
        <f t="shared" si="16"/>
        <v>57</v>
      </c>
      <c r="C71" s="75">
        <f t="shared" si="11"/>
        <v>87</v>
      </c>
      <c r="D71" s="76">
        <f t="shared" ca="1" si="17"/>
        <v>0.1</v>
      </c>
      <c r="E71" s="77">
        <f t="shared" ca="1" si="8"/>
        <v>771038.22280208138</v>
      </c>
      <c r="F71" s="66">
        <f t="shared" ca="1" si="18"/>
        <v>3.6484317092170926E-2</v>
      </c>
      <c r="G71" s="66">
        <f t="shared" si="19"/>
        <v>0.04</v>
      </c>
      <c r="H71" s="67">
        <f t="shared" ca="1" si="2"/>
        <v>0.11373207289670613</v>
      </c>
      <c r="I71" s="68">
        <f t="shared" ca="1" si="3"/>
        <v>90891.149900551056</v>
      </c>
      <c r="J71" s="68">
        <f t="shared" ca="1" si="4"/>
        <v>4981534.1772417398</v>
      </c>
      <c r="K71" s="69">
        <f t="shared" ca="1" si="5"/>
        <v>4981534.1772417398</v>
      </c>
      <c r="L71" s="70"/>
      <c r="M71" s="71">
        <f ca="1">IF($C71="",0,
I71*Decrements!D68+(M70-N70-O70)*(1+G70))</f>
        <v>22.199436283438679</v>
      </c>
      <c r="N71" s="72">
        <f ca="1">K71*Assumptions!$B$19*Decrements!E68</f>
        <v>0</v>
      </c>
      <c r="O71" s="72">
        <f ca="1">J72*(Decrements!F68+Decrements!G68)</f>
        <v>6.2158421590185506</v>
      </c>
      <c r="P71" s="13"/>
      <c r="Q71" s="13"/>
      <c r="R71" s="13"/>
      <c r="S71" s="73">
        <f ca="1">IF($C72="","",J72-J71*(1+i))</f>
        <v>90891.149900551885</v>
      </c>
      <c r="T71" s="74">
        <f ca="1">IFERROR(S71-I71,"")</f>
        <v>8.2945916801691055E-10</v>
      </c>
      <c r="U71" s="13"/>
      <c r="V71" s="13"/>
      <c r="W71" s="13"/>
      <c r="X71" s="13"/>
      <c r="Y71" s="13"/>
      <c r="Z71" s="13"/>
      <c r="AA71" s="13"/>
      <c r="AB71" s="13"/>
    </row>
    <row r="72" spans="1:28" x14ac:dyDescent="0.25">
      <c r="A72" s="13"/>
      <c r="B72" s="61">
        <f t="shared" si="16"/>
        <v>58</v>
      </c>
      <c r="C72" s="75">
        <f t="shared" si="11"/>
        <v>88</v>
      </c>
      <c r="D72" s="76">
        <f t="shared" ca="1" si="17"/>
        <v>0.1</v>
      </c>
      <c r="E72" s="77">
        <f t="shared" ca="1" si="8"/>
        <v>799169.02581297641</v>
      </c>
      <c r="F72" s="66">
        <f t="shared" ca="1" si="18"/>
        <v>3.6484317092170926E-2</v>
      </c>
      <c r="G72" s="66">
        <f t="shared" si="19"/>
        <v>0.04</v>
      </c>
      <c r="H72" s="67">
        <f t="shared" ca="1" si="2"/>
        <v>0.11411784419894509</v>
      </c>
      <c r="I72" s="68">
        <f t="shared" ca="1" si="3"/>
        <v>94526.795896573094</v>
      </c>
      <c r="J72" s="68">
        <f t="shared" ca="1" si="4"/>
        <v>5271686.6942319619</v>
      </c>
      <c r="K72" s="69">
        <f t="shared" ca="1" si="5"/>
        <v>5271686.6942319619</v>
      </c>
      <c r="L72" s="70"/>
      <c r="M72" s="71">
        <f ca="1">IF($C72="",0,
I72*Decrements!D69+(M71-N71-O71)*(1+G71))</f>
        <v>16.909540266778286</v>
      </c>
      <c r="N72" s="72">
        <f ca="1">K72*Assumptions!$B$19*Decrements!E69</f>
        <v>0</v>
      </c>
      <c r="O72" s="72">
        <f ca="1">J73*(Decrements!F69+Decrements!G69)</f>
        <v>4.7346712743398678</v>
      </c>
      <c r="P72" s="13"/>
      <c r="Q72" s="13"/>
      <c r="R72" s="13"/>
      <c r="S72" s="73">
        <f ca="1">IF($C73="","",J73-J72*(1+i))</f>
        <v>94526.795896572992</v>
      </c>
      <c r="T72" s="74">
        <f ca="1">IFERROR(S72-I72,"")</f>
        <v>-1.0186340659856796E-10</v>
      </c>
      <c r="U72" s="13"/>
      <c r="V72" s="13"/>
      <c r="W72" s="13"/>
      <c r="X72" s="13"/>
      <c r="Y72" s="13"/>
      <c r="Z72" s="13"/>
      <c r="AA72" s="13"/>
      <c r="AB72" s="13"/>
    </row>
    <row r="73" spans="1:28" x14ac:dyDescent="0.25">
      <c r="A73" s="13"/>
      <c r="B73" s="61">
        <f t="shared" si="16"/>
        <v>59</v>
      </c>
      <c r="C73" s="75">
        <f t="shared" si="11"/>
        <v>89</v>
      </c>
      <c r="D73" s="76">
        <f t="shared" ca="1" si="17"/>
        <v>0.1</v>
      </c>
      <c r="E73" s="77">
        <f t="shared" ca="1" si="8"/>
        <v>828326.16196097841</v>
      </c>
      <c r="F73" s="66">
        <f t="shared" ca="1" si="18"/>
        <v>3.6484317092170926E-2</v>
      </c>
      <c r="G73" s="66">
        <f t="shared" si="19"/>
        <v>0.04</v>
      </c>
      <c r="H73" s="67">
        <f t="shared" ca="1" si="2"/>
        <v>0.11450492401068223</v>
      </c>
      <c r="I73" s="68">
        <f t="shared" ca="1" si="3"/>
        <v>98307.867732436018</v>
      </c>
      <c r="J73" s="68">
        <f t="shared" ca="1" si="4"/>
        <v>5577080.9578978131</v>
      </c>
      <c r="K73" s="69">
        <f t="shared" ca="1" si="5"/>
        <v>5577080.9578978131</v>
      </c>
      <c r="L73" s="70"/>
      <c r="M73" s="71">
        <f ca="1">IF($C73="",0,
I73*Decrements!D70+(M72-N72-O72)*(1+G72))</f>
        <v>12.876471612319111</v>
      </c>
      <c r="N73" s="72">
        <f ca="1">K73*Assumptions!$B$19*Decrements!E70</f>
        <v>0</v>
      </c>
      <c r="O73" s="72">
        <f ca="1">J74*(Decrements!F70+Decrements!G70)</f>
        <v>3.6054120510769754</v>
      </c>
      <c r="P73" s="13"/>
      <c r="Q73" s="13"/>
      <c r="R73" s="13"/>
      <c r="S73" s="73">
        <f ca="1">IF($C74="","",J74-J73*(1+i))</f>
        <v>98307.867732435465</v>
      </c>
      <c r="T73" s="74">
        <f ca="1">IFERROR(S73-I73,"")</f>
        <v>-5.5297277867794037E-10</v>
      </c>
      <c r="U73" s="13"/>
      <c r="V73" s="13"/>
      <c r="W73" s="13"/>
      <c r="X73" s="13"/>
      <c r="Y73" s="13"/>
      <c r="Z73" s="13"/>
      <c r="AA73" s="13"/>
      <c r="AB73" s="13"/>
    </row>
    <row r="74" spans="1:28" x14ac:dyDescent="0.25">
      <c r="A74" s="13"/>
      <c r="B74" s="61">
        <f t="shared" si="16"/>
        <v>60</v>
      </c>
      <c r="C74" s="75">
        <f t="shared" si="11"/>
        <v>90</v>
      </c>
      <c r="D74" s="76">
        <f t="shared" ca="1" si="17"/>
        <v>0.1</v>
      </c>
      <c r="E74" s="77">
        <f t="shared" ca="1" si="8"/>
        <v>858547.07630970364</v>
      </c>
      <c r="F74" s="66">
        <f t="shared" ca="1" si="18"/>
        <v>3.6484317092170926E-2</v>
      </c>
      <c r="G74" s="66">
        <f t="shared" si="19"/>
        <v>0.04</v>
      </c>
      <c r="H74" s="67">
        <f t="shared" ca="1" si="2"/>
        <v>0.11489331677029098</v>
      </c>
      <c r="I74" s="68">
        <f t="shared" ca="1" si="3"/>
        <v>102240.18244173344</v>
      </c>
      <c r="J74" s="68">
        <f t="shared" ca="1" si="4"/>
        <v>5898472.0639461614</v>
      </c>
      <c r="K74" s="69">
        <f t="shared" ca="1" si="5"/>
        <v>5898472.0639461614</v>
      </c>
      <c r="L74" s="70"/>
      <c r="M74" s="71">
        <f ca="1">IF($C74="",0,
I74*Decrements!D71+(M73-N73-O73)*(1+G73))</f>
        <v>9.8026003093969667</v>
      </c>
      <c r="N74" s="72">
        <f ca="1">K74*Assumptions!$B$19*Decrements!E71</f>
        <v>0</v>
      </c>
      <c r="O74" s="72">
        <f ca="1">J75*(Decrements!F71+Decrements!G71)</f>
        <v>2.7447280862438808</v>
      </c>
      <c r="P74" s="13"/>
      <c r="Q74" s="13"/>
      <c r="R74" s="13"/>
      <c r="S74" s="73">
        <f ca="1">IF($C75="","",J75-J74*(1+i))</f>
        <v>102240.18244173285</v>
      </c>
      <c r="T74" s="74">
        <f ca="1">IFERROR(S74-I74,"")</f>
        <v>-5.9662852436304092E-10</v>
      </c>
      <c r="U74" s="13"/>
      <c r="V74" s="13"/>
      <c r="W74" s="13"/>
      <c r="X74" s="13"/>
      <c r="Y74" s="13"/>
      <c r="Z74" s="13"/>
      <c r="AA74" s="13"/>
      <c r="AB74" s="13"/>
    </row>
    <row r="75" spans="1:28" x14ac:dyDescent="0.25">
      <c r="A75" s="13"/>
      <c r="B75" s="61">
        <f t="shared" si="16"/>
        <v>61</v>
      </c>
      <c r="C75" s="75">
        <f t="shared" si="11"/>
        <v>91</v>
      </c>
      <c r="D75" s="76">
        <f t="shared" ca="1" si="17"/>
        <v>0.1</v>
      </c>
      <c r="E75" s="77">
        <f t="shared" ca="1" si="8"/>
        <v>889870.58008034318</v>
      </c>
      <c r="F75" s="66">
        <f t="shared" ca="1" si="18"/>
        <v>3.6484317092170926E-2</v>
      </c>
      <c r="G75" s="66">
        <f t="shared" si="19"/>
        <v>0.04</v>
      </c>
      <c r="H75" s="67">
        <f t="shared" ca="1" si="2"/>
        <v>0.11528302693119946</v>
      </c>
      <c r="I75" s="68">
        <f t="shared" ca="1" si="3"/>
        <v>106329.7897394028</v>
      </c>
      <c r="J75" s="68">
        <f t="shared" ca="1" si="4"/>
        <v>6236651.1289457409</v>
      </c>
      <c r="K75" s="69">
        <f t="shared" ca="1" si="5"/>
        <v>6236651.1289457409</v>
      </c>
      <c r="L75" s="70"/>
      <c r="M75" s="71">
        <f ca="1">IF($C75="",0,
I75*Decrements!D72+(M74-N74-O74)*(1+G74))</f>
        <v>7.4605180483192219</v>
      </c>
      <c r="N75" s="72">
        <f ca="1">K75*Assumptions!$B$19*Decrements!E72</f>
        <v>0</v>
      </c>
      <c r="O75" s="72">
        <f ca="1">J76*(Decrements!F72+Decrements!G72)</f>
        <v>2.0889450531266212</v>
      </c>
      <c r="P75" s="13"/>
      <c r="Q75" s="13"/>
      <c r="R75" s="13"/>
      <c r="S75" s="73">
        <f ca="1">IF($C76="","",J76-J75*(1+i))</f>
        <v>106329.78973940294</v>
      </c>
      <c r="T75" s="74">
        <f ca="1">IFERROR(S75-I75,"")</f>
        <v>1.4551915228366852E-10</v>
      </c>
      <c r="U75" s="13"/>
      <c r="V75" s="13"/>
      <c r="W75" s="13"/>
      <c r="X75" s="13"/>
      <c r="Y75" s="13"/>
      <c r="Z75" s="13"/>
      <c r="AA75" s="13"/>
      <c r="AB75" s="13"/>
    </row>
    <row r="76" spans="1:28" x14ac:dyDescent="0.25">
      <c r="A76" s="13"/>
      <c r="B76" s="61">
        <f t="shared" si="16"/>
        <v>62</v>
      </c>
      <c r="C76" s="75">
        <f t="shared" si="11"/>
        <v>92</v>
      </c>
      <c r="D76" s="76">
        <f t="shared" ca="1" si="17"/>
        <v>0.1</v>
      </c>
      <c r="E76" s="77">
        <f t="shared" ca="1" si="8"/>
        <v>922336.90049498854</v>
      </c>
      <c r="F76" s="66">
        <f t="shared" ca="1" si="18"/>
        <v>3.6484317092170926E-2</v>
      </c>
      <c r="G76" s="66">
        <f t="shared" si="19"/>
        <v>0.04</v>
      </c>
      <c r="H76" s="67">
        <f t="shared" ca="1" si="2"/>
        <v>0.11567405896194148</v>
      </c>
      <c r="I76" s="68">
        <f t="shared" ca="1" si="3"/>
        <v>110582.9813289789</v>
      </c>
      <c r="J76" s="68">
        <f t="shared" ca="1" si="4"/>
        <v>6592446.963842974</v>
      </c>
      <c r="K76" s="69">
        <f t="shared" ca="1" si="5"/>
        <v>6592446.963842974</v>
      </c>
      <c r="L76" s="70"/>
      <c r="M76" s="71">
        <f ca="1">IF($C76="",0,
I76*Decrements!D73+(M75-N75-O75)*(1+G75))</f>
        <v>5.6765397200568266</v>
      </c>
      <c r="N76" s="72">
        <f ca="1">K76*Assumptions!$B$19*Decrements!E73</f>
        <v>0</v>
      </c>
      <c r="O76" s="72">
        <f ca="1">J77*(Decrements!F73+Decrements!G73)</f>
        <v>1.5894311211970398</v>
      </c>
      <c r="P76" s="13"/>
      <c r="Q76" s="13"/>
      <c r="R76" s="13"/>
      <c r="S76" s="73">
        <f ca="1">IF($C77="","",J77-J76*(1+i))</f>
        <v>110582.9813289782</v>
      </c>
      <c r="T76" s="74">
        <f ca="1">IFERROR(S76-I76,"")</f>
        <v>-6.9849193096160889E-10</v>
      </c>
      <c r="U76" s="13"/>
      <c r="V76" s="13"/>
      <c r="W76" s="13"/>
      <c r="X76" s="13"/>
      <c r="Y76" s="13"/>
      <c r="Z76" s="13"/>
      <c r="AA76" s="13"/>
      <c r="AB76" s="13"/>
    </row>
    <row r="77" spans="1:28" x14ac:dyDescent="0.25">
      <c r="A77" s="13"/>
      <c r="B77" s="61">
        <f t="shared" si="16"/>
        <v>63</v>
      </c>
      <c r="C77" s="75">
        <f t="shared" si="11"/>
        <v>93</v>
      </c>
      <c r="D77" s="76">
        <f t="shared" ca="1" si="17"/>
        <v>0.1</v>
      </c>
      <c r="E77" s="77">
        <f t="shared" ca="1" si="8"/>
        <v>955987.73243845778</v>
      </c>
      <c r="F77" s="66">
        <f t="shared" ca="1" si="18"/>
        <v>3.6484317092170926E-2</v>
      </c>
      <c r="G77" s="66">
        <f t="shared" si="19"/>
        <v>0.04</v>
      </c>
      <c r="H77" s="67">
        <f t="shared" ca="1" si="2"/>
        <v>0.11606641734620785</v>
      </c>
      <c r="I77" s="68">
        <f t="shared" ca="1" si="3"/>
        <v>115006.30058213805</v>
      </c>
      <c r="J77" s="68">
        <f t="shared" ca="1" si="4"/>
        <v>6966727.8237256715</v>
      </c>
      <c r="K77" s="69">
        <f t="shared" ca="1" si="5"/>
        <v>6966727.8237256715</v>
      </c>
      <c r="L77" s="70"/>
      <c r="M77" s="71">
        <f ca="1">IF($C77="",0,
I77*Decrements!D74+(M76-N76-O76)*(1+G76))</f>
        <v>4.3180626720405018</v>
      </c>
      <c r="N77" s="72">
        <f ca="1">K77*Assumptions!$B$19*Decrements!E74</f>
        <v>0</v>
      </c>
      <c r="O77" s="72">
        <f ca="1">J78*(Decrements!F74+Decrements!G74)</f>
        <v>1.2090575477357139</v>
      </c>
      <c r="P77" s="13"/>
      <c r="Q77" s="13"/>
      <c r="R77" s="13"/>
      <c r="S77" s="73">
        <f ca="1">IF($C78="","",J78-J77*(1+i))</f>
        <v>115006.30058213789</v>
      </c>
      <c r="T77" s="74">
        <f ca="1">IFERROR(S77-I77,"")</f>
        <v>-1.6007106751203537E-10</v>
      </c>
      <c r="U77" s="13"/>
      <c r="V77" s="13"/>
      <c r="W77" s="13"/>
      <c r="X77" s="13"/>
      <c r="Y77" s="13"/>
      <c r="Z77" s="13"/>
      <c r="AA77" s="13"/>
      <c r="AB77" s="13"/>
    </row>
    <row r="78" spans="1:28" x14ac:dyDescent="0.25">
      <c r="A78" s="13"/>
      <c r="B78" s="61">
        <f t="shared" si="16"/>
        <v>64</v>
      </c>
      <c r="C78" s="75">
        <f t="shared" si="11"/>
        <v>94</v>
      </c>
      <c r="D78" s="76">
        <f t="shared" ca="1" si="17"/>
        <v>0.1</v>
      </c>
      <c r="E78" s="77">
        <f t="shared" ca="1" si="8"/>
        <v>990866.29200496792</v>
      </c>
      <c r="F78" s="66">
        <f t="shared" ca="1" si="18"/>
        <v>3.6484317092170926E-2</v>
      </c>
      <c r="G78" s="66">
        <f t="shared" si="19"/>
        <v>0.04</v>
      </c>
      <c r="H78" s="67">
        <f t="shared" ca="1" si="2"/>
        <v>0.1164601065828977</v>
      </c>
      <c r="I78" s="68">
        <f t="shared" ca="1" si="3"/>
        <v>119606.55260542358</v>
      </c>
      <c r="J78" s="68">
        <f t="shared" ca="1" si="4"/>
        <v>7360403.2372568361</v>
      </c>
      <c r="K78" s="69">
        <f t="shared" ca="1" si="5"/>
        <v>7360403.2372568361</v>
      </c>
      <c r="L78" s="70"/>
      <c r="M78" s="71">
        <f ca="1">IF($C78="",0,
I78*Decrements!D75+(M77-N77-O77)*(1+G77))</f>
        <v>3.2838866625216498</v>
      </c>
      <c r="N78" s="72">
        <f ca="1">K78*Assumptions!$B$19*Decrements!E75</f>
        <v>0</v>
      </c>
      <c r="O78" s="72">
        <f ca="1">J79*(Decrements!F75+Decrements!G75)</f>
        <v>0.91948826505301029</v>
      </c>
      <c r="P78" s="13"/>
      <c r="Q78" s="13"/>
      <c r="R78" s="13"/>
      <c r="S78" s="73">
        <f ca="1">IF($C79="","",J79-J78*(1+i))</f>
        <v>119606.55260542221</v>
      </c>
      <c r="T78" s="74">
        <f ca="1">IFERROR(S78-I78,"")</f>
        <v>-1.3678800314664841E-9</v>
      </c>
      <c r="U78" s="13"/>
      <c r="V78" s="13"/>
      <c r="W78" s="13"/>
      <c r="X78" s="13"/>
      <c r="Y78" s="13"/>
      <c r="Z78" s="13"/>
      <c r="AA78" s="13"/>
      <c r="AB78" s="13"/>
    </row>
    <row r="79" spans="1:28" x14ac:dyDescent="0.25">
      <c r="A79" s="13"/>
      <c r="B79" s="61">
        <f t="shared" si="16"/>
        <v>65</v>
      </c>
      <c r="C79" s="75">
        <f t="shared" ref="C79:C84" si="20">IF(C78="","",IF($D$2="A",C78+1,IF(C78+1&gt;$D$5,"",C78+1)))</f>
        <v>95</v>
      </c>
      <c r="D79" s="76">
        <f t="shared" ca="1" si="17"/>
        <v>0.1</v>
      </c>
      <c r="E79" s="77">
        <f t="shared" ca="1" si="8"/>
        <v>1027017.3719984208</v>
      </c>
      <c r="F79" s="66">
        <f t="shared" ca="1" si="18"/>
        <v>3.6484317092170926E-2</v>
      </c>
      <c r="G79" s="66">
        <f t="shared" si="19"/>
        <v>0.04</v>
      </c>
      <c r="H79" s="67">
        <f t="shared" ref="H79:H84" ca="1" si="21">IF($C79="","",
D79*((1+F79)/(1+G79))^($D$5-C79-1))</f>
        <v>0.11685513118617014</v>
      </c>
      <c r="I79" s="68">
        <f t="shared" ref="I79:I84" ca="1" si="22">IF($C80="",0,
H79*E79*(1+F79))</f>
        <v>124390.81470964052</v>
      </c>
      <c r="J79" s="68">
        <f t="shared" ref="J79:J84" ca="1" si="23">IF($C79="",0,
D79*E79*B79*((1+F79)/(1+G79))^($D$5-C79))</f>
        <v>7774425.9193525324</v>
      </c>
      <c r="K79" s="69">
        <f t="shared" ref="K79:K84" ca="1" si="24">J79/1</f>
        <v>7774425.9193525324</v>
      </c>
      <c r="L79" s="70"/>
      <c r="M79" s="71">
        <f ca="1">IF($C79="",0,
I79*Decrements!D76+(M78-N78-O78)*(1+G78))</f>
        <v>2.4968047077009947</v>
      </c>
      <c r="N79" s="72">
        <f ca="1">K79*Assumptions!$B$19*Decrements!E76</f>
        <v>0</v>
      </c>
      <c r="O79" s="72">
        <f ca="1">J80*(Decrements!F76+Decrements!G76)</f>
        <v>0.69910531768510487</v>
      </c>
      <c r="P79" s="13"/>
      <c r="Q79" s="13"/>
      <c r="R79" s="13"/>
      <c r="S79" s="73">
        <f ca="1">IF($C80="","",J80-J79*(1+i))</f>
        <v>124390.81470964011</v>
      </c>
      <c r="T79" s="74">
        <f ca="1">IFERROR(S79-I79,"")</f>
        <v>-4.0745362639427185E-10</v>
      </c>
      <c r="U79" s="13"/>
      <c r="V79" s="13"/>
      <c r="W79" s="13"/>
      <c r="X79" s="13"/>
      <c r="Y79" s="13"/>
      <c r="Z79" s="13"/>
      <c r="AA79" s="13"/>
      <c r="AB79" s="13"/>
    </row>
    <row r="80" spans="1:28" x14ac:dyDescent="0.25">
      <c r="A80" s="13"/>
      <c r="B80" s="61">
        <f t="shared" si="16"/>
        <v>66</v>
      </c>
      <c r="C80" s="75">
        <f t="shared" si="20"/>
        <v>96</v>
      </c>
      <c r="D80" s="76">
        <f t="shared" ca="1" si="17"/>
        <v>0.1</v>
      </c>
      <c r="E80" s="77">
        <f t="shared" ref="E80:E84" ca="1" si="25">IF($C80="","",E79*(1+F79))</f>
        <v>1064487.3994575792</v>
      </c>
      <c r="F80" s="66">
        <f t="shared" ca="1" si="18"/>
        <v>3.6484317092170926E-2</v>
      </c>
      <c r="G80" s="66">
        <f t="shared" si="19"/>
        <v>0.04</v>
      </c>
      <c r="H80" s="67">
        <f t="shared" ca="1" si="21"/>
        <v>0.11725149568549598</v>
      </c>
      <c r="I80" s="68">
        <f t="shared" ca="1" si="22"/>
        <v>129366.44729802612</v>
      </c>
      <c r="J80" s="68">
        <f t="shared" ca="1" si="23"/>
        <v>8209793.7708362741</v>
      </c>
      <c r="K80" s="69">
        <f t="shared" ca="1" si="24"/>
        <v>8209793.7708362741</v>
      </c>
      <c r="L80" s="70"/>
      <c r="M80" s="71">
        <f ca="1">IF($C80="",0,
I80*Decrements!D77+(M79-N79-O79)*(1+G79))</f>
        <v>1.8979347499175323</v>
      </c>
      <c r="N80" s="72">
        <f ca="1">K80*Assumptions!$B$19*Decrements!E77</f>
        <v>0</v>
      </c>
      <c r="O80" s="72">
        <f ca="1">J81*(Decrements!F77+Decrements!G77)</f>
        <v>0.53142172948688837</v>
      </c>
      <c r="P80" s="13"/>
      <c r="Q80" s="13"/>
      <c r="R80" s="13"/>
      <c r="S80" s="73">
        <f ca="1">IF($C81="","",J81-J80*(1+i))</f>
        <v>129366.44729802571</v>
      </c>
      <c r="T80" s="74">
        <f ca="1">IFERROR(S80-I80,"")</f>
        <v>-4.0745362639427185E-10</v>
      </c>
      <c r="U80" s="13"/>
      <c r="V80" s="13"/>
      <c r="W80" s="13"/>
      <c r="X80" s="13"/>
      <c r="Y80" s="13"/>
      <c r="Z80" s="13"/>
      <c r="AA80" s="13"/>
      <c r="AB80" s="13"/>
    </row>
    <row r="81" spans="1:28" x14ac:dyDescent="0.25">
      <c r="A81" s="13"/>
      <c r="B81" s="61">
        <f t="shared" si="16"/>
        <v>67</v>
      </c>
      <c r="C81" s="75">
        <f t="shared" si="20"/>
        <v>97</v>
      </c>
      <c r="D81" s="76">
        <f t="shared" ca="1" si="17"/>
        <v>0.1</v>
      </c>
      <c r="E81" s="77">
        <f t="shared" ca="1" si="25"/>
        <v>1103324.4952800099</v>
      </c>
      <c r="F81" s="66">
        <f t="shared" ca="1" si="18"/>
        <v>3.6484317092170926E-2</v>
      </c>
      <c r="G81" s="66">
        <f t="shared" si="19"/>
        <v>0.04</v>
      </c>
      <c r="H81" s="67">
        <f t="shared" ca="1" si="21"/>
        <v>0.11764920462570974</v>
      </c>
      <c r="I81" s="68">
        <f t="shared" ca="1" si="22"/>
        <v>134541.10518994718</v>
      </c>
      <c r="J81" s="68">
        <f t="shared" ca="1" si="23"/>
        <v>8667551.9689677507</v>
      </c>
      <c r="K81" s="69">
        <f t="shared" ca="1" si="24"/>
        <v>8667551.9689677507</v>
      </c>
      <c r="L81" s="70"/>
      <c r="M81" s="71">
        <f ca="1">IF($C81="",0,
I81*Decrements!D78+(M80-N80-O80)*(1+G80))</f>
        <v>1.4423850866124637</v>
      </c>
      <c r="N81" s="72">
        <f ca="1">K81*Assumptions!$B$19*Decrements!E78</f>
        <v>0</v>
      </c>
      <c r="O81" s="72">
        <f ca="1">J82*(Decrements!F78+Decrements!G78)</f>
        <v>0.40386782374186836</v>
      </c>
      <c r="P81" s="13"/>
      <c r="Q81" s="13"/>
      <c r="R81" s="13"/>
      <c r="S81" s="73">
        <f ca="1">IF($C82="","",J82-J81*(1+i))</f>
        <v>134541.10518994741</v>
      </c>
      <c r="T81" s="74">
        <f ca="1">IFERROR(S81-I81,"")</f>
        <v>2.3283064365386963E-10</v>
      </c>
      <c r="U81" s="13"/>
      <c r="V81" s="13"/>
      <c r="W81" s="13"/>
      <c r="X81" s="13"/>
      <c r="Y81" s="13"/>
      <c r="Z81" s="13"/>
      <c r="AA81" s="13"/>
      <c r="AB81" s="13"/>
    </row>
    <row r="82" spans="1:28" x14ac:dyDescent="0.25">
      <c r="A82" s="13"/>
      <c r="B82" s="61">
        <f t="shared" si="16"/>
        <v>68</v>
      </c>
      <c r="C82" s="75">
        <f t="shared" si="20"/>
        <v>98</v>
      </c>
      <c r="D82" s="76">
        <f t="shared" ca="1" si="17"/>
        <v>0.1</v>
      </c>
      <c r="E82" s="77">
        <f t="shared" ca="1" si="25"/>
        <v>1143578.5360213653</v>
      </c>
      <c r="F82" s="66">
        <f t="shared" ca="1" si="18"/>
        <v>3.6484317092170926E-2</v>
      </c>
      <c r="G82" s="66">
        <f t="shared" si="19"/>
        <v>0.04</v>
      </c>
      <c r="H82" s="67">
        <f t="shared" ca="1" si="21"/>
        <v>0.11804826256706161</v>
      </c>
      <c r="I82" s="68">
        <f t="shared" ca="1" si="22"/>
        <v>139922.74939754509</v>
      </c>
      <c r="J82" s="68">
        <f t="shared" ca="1" si="23"/>
        <v>9148795.1529164091</v>
      </c>
      <c r="K82" s="69">
        <f t="shared" ca="1" si="24"/>
        <v>9148795.1529164091</v>
      </c>
      <c r="L82" s="70"/>
      <c r="M82" s="71">
        <f ca="1">IF($C82="",0,
I82*Decrements!D79+(M81-N81-O81)*(1+G81))</f>
        <v>1.095941158554427</v>
      </c>
      <c r="N82" s="72">
        <f ca="1">K82*Assumptions!$B$19*Decrements!E79</f>
        <v>0</v>
      </c>
      <c r="O82" s="72">
        <f ca="1">J83*(Decrements!F79+Decrements!G79)</f>
        <v>0.30686352386523319</v>
      </c>
      <c r="P82" s="13"/>
      <c r="Q82" s="13"/>
      <c r="R82" s="13"/>
      <c r="S82" s="73">
        <f ca="1">IF($C83="","",J83-J82*(1+i))</f>
        <v>139922.74939754419</v>
      </c>
      <c r="T82" s="74">
        <f ca="1">IFERROR(S82-I82,"")</f>
        <v>-9.0221874415874481E-10</v>
      </c>
      <c r="U82" s="13"/>
      <c r="V82" s="13"/>
      <c r="W82" s="13"/>
      <c r="X82" s="13"/>
      <c r="Y82" s="13"/>
      <c r="Z82" s="13"/>
      <c r="AA82" s="13"/>
      <c r="AB82" s="13"/>
    </row>
    <row r="83" spans="1:28" x14ac:dyDescent="0.25">
      <c r="A83" s="13"/>
      <c r="B83" s="61">
        <f t="shared" si="16"/>
        <v>69</v>
      </c>
      <c r="C83" s="75">
        <f t="shared" si="20"/>
        <v>99</v>
      </c>
      <c r="D83" s="76">
        <f t="shared" ca="1" si="17"/>
        <v>0.1</v>
      </c>
      <c r="E83" s="77">
        <f t="shared" ca="1" si="25"/>
        <v>1185301.2179493695</v>
      </c>
      <c r="F83" s="66">
        <f t="shared" ca="1" si="18"/>
        <v>3.6484317092170926E-2</v>
      </c>
      <c r="G83" s="66">
        <f t="shared" si="19"/>
        <v>0.04</v>
      </c>
      <c r="H83" s="67">
        <f t="shared" ca="1" si="21"/>
        <v>0.11844867408526988</v>
      </c>
      <c r="I83" s="68">
        <f t="shared" ca="1" si="22"/>
        <v>145519.65937344689</v>
      </c>
      <c r="J83" s="68">
        <f t="shared" ca="1" si="23"/>
        <v>9654669.7084306106</v>
      </c>
      <c r="K83" s="69">
        <f t="shared" ca="1" si="24"/>
        <v>9654669.7084306106</v>
      </c>
      <c r="L83" s="70"/>
      <c r="M83" s="71">
        <f ca="1">IF($C83="",0,
I83*Decrements!D80+(M82-N82-O82)*(1+G82))</f>
        <v>0.83253408410731466</v>
      </c>
      <c r="N83" s="72">
        <f ca="1">K83*Assumptions!$B$19*Decrements!E80</f>
        <v>0</v>
      </c>
      <c r="O83" s="72">
        <f ca="1">J84*(Decrements!F80+Decrements!G80)</f>
        <v>0.23310954299884146</v>
      </c>
      <c r="P83" s="13"/>
      <c r="Q83" s="13"/>
      <c r="R83" s="13"/>
      <c r="S83" s="73">
        <f ca="1">IF($C84="","",J84-J83*(1+i))</f>
        <v>145519.65937344544</v>
      </c>
      <c r="T83" s="74">
        <f ca="1">IFERROR(S83-I83,"")</f>
        <v>-1.4551915228366852E-9</v>
      </c>
      <c r="U83" s="13"/>
      <c r="V83" s="13"/>
      <c r="W83" s="13"/>
      <c r="X83" s="13"/>
      <c r="Y83" s="13"/>
      <c r="Z83" s="13"/>
      <c r="AA83" s="13"/>
      <c r="AB83" s="13"/>
    </row>
    <row r="84" spans="1:28" x14ac:dyDescent="0.25">
      <c r="A84" s="13"/>
      <c r="B84" s="61">
        <f t="shared" si="16"/>
        <v>70</v>
      </c>
      <c r="C84" s="75">
        <f t="shared" si="20"/>
        <v>100</v>
      </c>
      <c r="D84" s="76">
        <f t="shared" ca="1" si="17"/>
        <v>0.1</v>
      </c>
      <c r="E84" s="77">
        <f t="shared" ca="1" si="25"/>
        <v>1228546.1234347706</v>
      </c>
      <c r="F84" s="66">
        <f t="shared" ca="1" si="18"/>
        <v>3.6484317092170926E-2</v>
      </c>
      <c r="G84" s="66">
        <f t="shared" si="19"/>
        <v>0.04</v>
      </c>
      <c r="H84" s="67">
        <f t="shared" ca="1" si="21"/>
        <v>0.11885044377157335</v>
      </c>
      <c r="I84" s="68">
        <f t="shared" si="22"/>
        <v>0</v>
      </c>
      <c r="J84" s="68">
        <f t="shared" ca="1" si="23"/>
        <v>10186376.156141281</v>
      </c>
      <c r="K84" s="69">
        <f t="shared" ca="1" si="24"/>
        <v>10186376.156141281</v>
      </c>
      <c r="L84" s="70"/>
      <c r="M84" s="71">
        <f ca="1">IF($C84="",0,
I84*Decrements!D81+(M83-N83-O83)*(1+G83))</f>
        <v>0.62340152275281213</v>
      </c>
      <c r="N84" s="72">
        <f ca="1">K84*Assumptions!$B$19*Decrements!E81</f>
        <v>0</v>
      </c>
      <c r="O84" s="72">
        <f ca="1">J85*(Decrements!F81+Decrements!G81)</f>
        <v>0</v>
      </c>
      <c r="P84" s="13"/>
      <c r="Q84" s="13"/>
      <c r="R84" s="13"/>
      <c r="S84" s="73" t="str">
        <f>IF($C85="","",J85-J84*(1+i))</f>
        <v/>
      </c>
      <c r="T84" s="74" t="str">
        <f>IFERROR(S84-I84,"")</f>
        <v/>
      </c>
      <c r="U84" s="13"/>
      <c r="V84" s="13"/>
      <c r="W84" s="13"/>
      <c r="X84" s="13"/>
      <c r="Y84" s="13"/>
      <c r="Z84" s="13"/>
      <c r="AA84" s="13"/>
      <c r="AB84" s="13"/>
    </row>
  </sheetData>
  <conditionalFormatting sqref="T13">
    <cfRule type="cellIs" dxfId="13" priority="5" operator="equal">
      <formula>"Pass"</formula>
    </cfRule>
    <cfRule type="cellIs" dxfId="12" priority="6" operator="equal">
      <formula>"Check!"</formula>
    </cfRule>
  </conditionalFormatting>
  <conditionalFormatting sqref="H7">
    <cfRule type="cellIs" dxfId="11" priority="3" operator="equal">
      <formula>"Pass"</formula>
    </cfRule>
    <cfRule type="cellIs" dxfId="10" priority="4" operator="equal">
      <formula>"Check!"</formula>
    </cfRule>
  </conditionalFormatting>
  <conditionalFormatting sqref="I7:Q7">
    <cfRule type="cellIs" dxfId="9" priority="1" operator="equal">
      <formula>"Pass"</formula>
    </cfRule>
    <cfRule type="cellIs" dxfId="8" priority="2" operator="equal">
      <formula>"Check!"</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4" tint="0.59999389629810485"/>
  </sheetPr>
  <dimension ref="A1:X84"/>
  <sheetViews>
    <sheetView zoomScale="85" zoomScaleNormal="85" workbookViewId="0"/>
  </sheetViews>
  <sheetFormatPr defaultRowHeight="13.5" x14ac:dyDescent="0.25"/>
  <cols>
    <col min="1" max="1" width="3" style="13" customWidth="1"/>
    <col min="2" max="2" width="14.85546875" style="13" customWidth="1"/>
    <col min="3" max="3" width="17.85546875" style="13" bestFit="1" customWidth="1"/>
    <col min="4" max="4" width="11.140625" style="13" customWidth="1"/>
    <col min="5" max="5" width="16.28515625" style="13" customWidth="1"/>
    <col min="6" max="6" width="17.7109375" style="13" bestFit="1" customWidth="1"/>
    <col min="7" max="7" width="12.140625" style="13" customWidth="1"/>
    <col min="8" max="9" width="15.7109375" style="13" customWidth="1"/>
    <col min="10" max="10" width="16.85546875" style="13" customWidth="1"/>
    <col min="11" max="17" width="15.7109375" style="13" customWidth="1"/>
    <col min="18" max="18" width="2.28515625" style="13" customWidth="1"/>
    <col min="19" max="19" width="13.5703125" style="13" customWidth="1"/>
    <col min="20" max="20" width="14.28515625" style="13" customWidth="1"/>
    <col min="21" max="21" width="2" style="13" customWidth="1"/>
    <col min="22" max="22" width="14.7109375" style="13" customWidth="1"/>
    <col min="23" max="23" width="14.140625" style="13" customWidth="1"/>
    <col min="24" max="24" width="13.42578125" style="13" customWidth="1"/>
    <col min="25" max="25" width="11.5703125" style="13" bestFit="1" customWidth="1"/>
    <col min="26" max="16384" width="9.140625" style="13"/>
  </cols>
  <sheetData>
    <row r="1" spans="1:24" ht="15" customHeight="1" thickBot="1" x14ac:dyDescent="0.3">
      <c r="A1" s="18" t="s">
        <v>60</v>
      </c>
    </row>
    <row r="2" spans="1:24" ht="15" customHeight="1" thickBot="1" x14ac:dyDescent="0.3">
      <c r="B2" s="19" t="s">
        <v>19</v>
      </c>
      <c r="C2" s="20" t="s">
        <v>28</v>
      </c>
      <c r="D2" s="21" t="str">
        <f>RIGHT($B$3,1)</f>
        <v>A</v>
      </c>
      <c r="H2" s="22" t="s">
        <v>78</v>
      </c>
      <c r="I2" s="23"/>
      <c r="J2" s="23"/>
      <c r="K2" s="23"/>
      <c r="L2" s="23"/>
      <c r="M2" s="23"/>
      <c r="N2" s="23"/>
      <c r="O2" s="23"/>
      <c r="P2" s="23"/>
      <c r="Q2" s="23"/>
    </row>
    <row r="3" spans="1:24" ht="15" customHeight="1" thickBot="1" x14ac:dyDescent="0.3">
      <c r="B3" s="24" t="s">
        <v>20</v>
      </c>
      <c r="C3" s="20" t="s">
        <v>77</v>
      </c>
      <c r="D3" s="21">
        <f>VLOOKUP($B$3,'opening demographics'!$A$1:$E$11,3,FALSE)</f>
        <v>20</v>
      </c>
      <c r="F3" s="25" t="s">
        <v>73</v>
      </c>
      <c r="G3" s="94" t="str">
        <f>B3</f>
        <v>30A</v>
      </c>
      <c r="H3" s="27" t="s">
        <v>20</v>
      </c>
      <c r="I3" s="28" t="s">
        <v>63</v>
      </c>
      <c r="J3" s="28" t="s">
        <v>65</v>
      </c>
      <c r="K3" s="28" t="s">
        <v>67</v>
      </c>
      <c r="L3" s="29" t="s">
        <v>69</v>
      </c>
      <c r="M3" s="30" t="s">
        <v>61</v>
      </c>
      <c r="N3" s="28" t="s">
        <v>62</v>
      </c>
      <c r="O3" s="28" t="s">
        <v>64</v>
      </c>
      <c r="P3" s="28" t="s">
        <v>66</v>
      </c>
      <c r="Q3" s="31" t="s">
        <v>68</v>
      </c>
    </row>
    <row r="4" spans="1:24" ht="15" customHeight="1" x14ac:dyDescent="0.25">
      <c r="C4" s="20" t="s">
        <v>29</v>
      </c>
      <c r="D4" s="21">
        <f>VALUE(LEFT($B$3,2))</f>
        <v>30</v>
      </c>
      <c r="F4" s="32" t="s">
        <v>74</v>
      </c>
      <c r="G4" s="95">
        <f>D3</f>
        <v>20</v>
      </c>
      <c r="H4" s="34">
        <f t="dataTable" ref="H4:Q7" dt2D="0" dtr="1" r1="B3" ca="1"/>
        <v>20</v>
      </c>
      <c r="I4" s="35">
        <v>15</v>
      </c>
      <c r="J4" s="35">
        <v>30</v>
      </c>
      <c r="K4" s="35">
        <v>25</v>
      </c>
      <c r="L4" s="36">
        <v>10</v>
      </c>
      <c r="M4" s="37">
        <v>210</v>
      </c>
      <c r="N4" s="35">
        <v>220</v>
      </c>
      <c r="O4" s="35">
        <v>240</v>
      </c>
      <c r="P4" s="35">
        <v>180</v>
      </c>
      <c r="Q4" s="38">
        <v>50</v>
      </c>
    </row>
    <row r="5" spans="1:24" ht="15" customHeight="1" x14ac:dyDescent="0.25">
      <c r="C5" s="20" t="s">
        <v>30</v>
      </c>
      <c r="D5" s="21">
        <f ca="1">INDIRECT("NRA_"&amp;$D$2)</f>
        <v>50</v>
      </c>
      <c r="F5" s="32" t="s">
        <v>16</v>
      </c>
      <c r="G5" s="96">
        <f ca="1">K14</f>
        <v>10034.811328683076</v>
      </c>
      <c r="H5" s="34">
        <v>10034.811328683076</v>
      </c>
      <c r="I5" s="35">
        <v>15052.216993024613</v>
      </c>
      <c r="J5" s="35">
        <v>17560.919825195382</v>
      </c>
      <c r="K5" s="35">
        <v>18564.400958063692</v>
      </c>
      <c r="L5" s="36">
        <v>25087.02832170769</v>
      </c>
      <c r="M5" s="37">
        <v>2721.4010136238189</v>
      </c>
      <c r="N5" s="35">
        <v>3035.4088228881055</v>
      </c>
      <c r="O5" s="35">
        <v>3314.5268755674715</v>
      </c>
      <c r="P5" s="35">
        <v>3593.6449282468375</v>
      </c>
      <c r="Q5" s="38">
        <v>3593.6449282468375</v>
      </c>
    </row>
    <row r="6" spans="1:24" ht="15" customHeight="1" x14ac:dyDescent="0.25">
      <c r="C6" s="20" t="s">
        <v>31</v>
      </c>
      <c r="D6" s="40">
        <f ca="1">INDIRECT("accrual_rate_"&amp;$D$2)</f>
        <v>0.1</v>
      </c>
      <c r="F6" s="32" t="s">
        <v>76</v>
      </c>
      <c r="G6" s="96">
        <f ca="1">E15</f>
        <v>103648.4317092171</v>
      </c>
      <c r="H6" s="34">
        <v>103648.4317092171</v>
      </c>
      <c r="I6" s="35">
        <v>155472.64756382565</v>
      </c>
      <c r="J6" s="35">
        <v>181384.75549112991</v>
      </c>
      <c r="K6" s="35">
        <v>191749.59866205163</v>
      </c>
      <c r="L6" s="36">
        <v>259121.07927304273</v>
      </c>
      <c r="M6" s="37">
        <v>79170.807916917329</v>
      </c>
      <c r="N6" s="35">
        <v>88305.901138100089</v>
      </c>
      <c r="O6" s="35">
        <v>96425.984001373668</v>
      </c>
      <c r="P6" s="35">
        <v>104546.06686464723</v>
      </c>
      <c r="Q6" s="38">
        <v>104546.06686464723</v>
      </c>
    </row>
    <row r="7" spans="1:24" ht="15" customHeight="1" thickBot="1" x14ac:dyDescent="0.3">
      <c r="C7" s="20" t="s">
        <v>32</v>
      </c>
      <c r="D7" s="41">
        <f>VLOOKUP($B$3,'opening demographics'!$A$1:$E$11,4,FALSE)</f>
        <v>100000</v>
      </c>
      <c r="F7" s="42" t="s">
        <v>25</v>
      </c>
      <c r="G7" s="97" t="str">
        <f ca="1">T13</f>
        <v>Pass</v>
      </c>
      <c r="H7" s="44" t="str">
        <v>Pass</v>
      </c>
      <c r="I7" s="45" t="str">
        <v>Pass</v>
      </c>
      <c r="J7" s="45" t="str">
        <v>Pass</v>
      </c>
      <c r="K7" s="45" t="str">
        <v>Pass</v>
      </c>
      <c r="L7" s="46" t="str">
        <v>Pass</v>
      </c>
      <c r="M7" s="45" t="str">
        <v>Pass</v>
      </c>
      <c r="N7" s="45" t="str">
        <v>Pass</v>
      </c>
      <c r="O7" s="45" t="str">
        <v>Pass</v>
      </c>
      <c r="P7" s="45" t="str">
        <v>Pass</v>
      </c>
      <c r="Q7" s="47" t="str">
        <v>Pass</v>
      </c>
    </row>
    <row r="8" spans="1:24" ht="15" customHeight="1" thickBot="1" x14ac:dyDescent="0.3">
      <c r="C8" s="20" t="s">
        <v>33</v>
      </c>
      <c r="D8" s="48">
        <f ca="1">INDIRECT("e_"&amp;$D$2)</f>
        <v>3.6484317092170926E-2</v>
      </c>
      <c r="G8" s="98" t="s">
        <v>72</v>
      </c>
      <c r="H8" s="99">
        <f>H5/H6</f>
        <v>9.681585300620342E-2</v>
      </c>
      <c r="I8" s="100">
        <f t="shared" ref="I8:Q8" si="0">I5/I6</f>
        <v>9.6815853006203406E-2</v>
      </c>
      <c r="J8" s="100">
        <f t="shared" si="0"/>
        <v>9.681585300620342E-2</v>
      </c>
      <c r="K8" s="100">
        <f t="shared" si="0"/>
        <v>9.681585300620342E-2</v>
      </c>
      <c r="L8" s="101">
        <f t="shared" si="0"/>
        <v>9.681585300620342E-2</v>
      </c>
      <c r="M8" s="102">
        <f t="shared" si="0"/>
        <v>3.4373793639692111E-2</v>
      </c>
      <c r="N8" s="100">
        <f t="shared" si="0"/>
        <v>3.4373793639692111E-2</v>
      </c>
      <c r="O8" s="100">
        <f t="shared" si="0"/>
        <v>3.4373793639692111E-2</v>
      </c>
      <c r="P8" s="100">
        <f t="shared" si="0"/>
        <v>3.4373793639692111E-2</v>
      </c>
      <c r="Q8" s="103">
        <f t="shared" si="0"/>
        <v>3.4373793639692111E-2</v>
      </c>
    </row>
    <row r="9" spans="1:24" ht="15" customHeight="1" x14ac:dyDescent="0.25">
      <c r="C9" s="20" t="s">
        <v>34</v>
      </c>
      <c r="D9" s="104">
        <v>30</v>
      </c>
      <c r="E9" s="105"/>
    </row>
    <row r="10" spans="1:24" ht="15" customHeight="1" x14ac:dyDescent="0.25">
      <c r="C10" s="20" t="s">
        <v>81</v>
      </c>
      <c r="D10" s="48">
        <f ca="1">(1+G14)/(1+D8)-1</f>
        <v>3.391930634987661E-3</v>
      </c>
    </row>
    <row r="11" spans="1:24" ht="15" customHeight="1" x14ac:dyDescent="0.25"/>
    <row r="12" spans="1:24" ht="15" customHeight="1" x14ac:dyDescent="0.25"/>
    <row r="13" spans="1:24" ht="51.75" customHeight="1" x14ac:dyDescent="0.25">
      <c r="B13" s="111" t="s">
        <v>75</v>
      </c>
      <c r="C13" s="111" t="s">
        <v>23</v>
      </c>
      <c r="D13" s="111" t="s">
        <v>21</v>
      </c>
      <c r="E13" s="111" t="s">
        <v>24</v>
      </c>
      <c r="F13" s="111" t="s">
        <v>108</v>
      </c>
      <c r="G13" s="111" t="s">
        <v>22</v>
      </c>
      <c r="H13" s="111" t="s">
        <v>115</v>
      </c>
      <c r="I13" s="111" t="s">
        <v>116</v>
      </c>
      <c r="J13" s="111" t="s">
        <v>117</v>
      </c>
      <c r="K13" s="111" t="s">
        <v>49</v>
      </c>
      <c r="L13" s="111" t="s">
        <v>109</v>
      </c>
      <c r="M13" s="111" t="s">
        <v>98</v>
      </c>
      <c r="N13" s="113" t="s">
        <v>110</v>
      </c>
      <c r="O13" s="111" t="s">
        <v>107</v>
      </c>
      <c r="P13" s="111" t="s">
        <v>111</v>
      </c>
      <c r="Q13" s="111" t="s">
        <v>112</v>
      </c>
      <c r="S13" s="110" t="s">
        <v>79</v>
      </c>
      <c r="T13" s="60" t="str">
        <f ca="1">IF(ABS(SUM(T14:T84))&lt;0.0001,"Pass","Check!")</f>
        <v>Pass</v>
      </c>
      <c r="V13" s="110" t="s">
        <v>113</v>
      </c>
      <c r="W13" s="110" t="s">
        <v>114</v>
      </c>
      <c r="X13" s="60" t="str">
        <f ca="1">IF(ABS(SUM(X14:X84))&lt;0.0001,"Pass","Check!")</f>
        <v>Pass</v>
      </c>
    </row>
    <row r="14" spans="1:24" ht="15" customHeight="1" x14ac:dyDescent="0.25">
      <c r="B14" s="61">
        <v>0</v>
      </c>
      <c r="C14" s="62">
        <f>D4</f>
        <v>30</v>
      </c>
      <c r="D14" s="63">
        <f ca="1">D6</f>
        <v>0.1</v>
      </c>
      <c r="E14" s="64">
        <f>D7</f>
        <v>100000</v>
      </c>
      <c r="F14" s="65">
        <f ca="1">D8</f>
        <v>3.6484317092170926E-2</v>
      </c>
      <c r="G14" s="66">
        <f t="shared" ref="G14" si="1">i</f>
        <v>0.04</v>
      </c>
      <c r="H14" s="106">
        <f ca="1">(1-(1+$D$10)^-($D$5-$D$9))/$D$10</f>
        <v>19.305072547481693</v>
      </c>
      <c r="I14" s="106">
        <f t="shared" ref="I14:I45" ca="1" si="2">IFERROR((1-(1+$D$10)^-($D$5-$C14))/$D$10,0)</f>
        <v>19.305072547481693</v>
      </c>
      <c r="J14" s="67">
        <f t="shared" ref="J14:J45" ca="1" si="3">IF($C14="","",
D14*($D$5-$D$9)*((1+F14)/(1+G14))^($D$5-$D$9)/$H$14)</f>
        <v>9.681585300620342E-2</v>
      </c>
      <c r="K14" s="69">
        <f t="shared" ref="K14:K45" ca="1" si="4">IF($C15="",0,
J14*E14*(1+F14))</f>
        <v>10034.811328683076</v>
      </c>
      <c r="L14" s="68">
        <f ca="1">IF($C14="",0,
D14*($D$5-$D$4)*E14*((1+F14)/(1+G14))^($D$5-C14)-J14*E14*I14)</f>
        <v>-2.9103830456733704E-11</v>
      </c>
      <c r="M14" s="69">
        <f ca="1">IF($C14="",0,
D14*B14*E14*((1+F14)/(1+G14))^($D$5-C14))</f>
        <v>0</v>
      </c>
      <c r="N14" s="70"/>
      <c r="O14" s="71">
        <f ca="1">IF($C14="",0,
(K14+L14*(1+G14))*Decrements!D11)</f>
        <v>10034.811328683045</v>
      </c>
      <c r="P14" s="72">
        <f ca="1">M14*Assumptions!$B$19*Decrements!E11</f>
        <v>0</v>
      </c>
      <c r="Q14" s="72">
        <f ca="1">L15*(Decrements!F11+Decrements!G11)</f>
        <v>0</v>
      </c>
      <c r="S14" s="73">
        <f ca="1">IF($C15="","",L15-L14*(1+i))</f>
        <v>10034.811328682526</v>
      </c>
      <c r="T14" s="74">
        <f ca="1">IFERROR(S14-K14,"")</f>
        <v>-5.4933479987084866E-10</v>
      </c>
      <c r="U14" s="107"/>
      <c r="V14" s="108">
        <f ca="1">IFERROR(J14/PUC_Projection!H14,"")</f>
        <v>1.0324949913700852</v>
      </c>
      <c r="W14" s="108">
        <f ca="1">IF($C14="","",($D$5-$D$9)/$H$14*(1+$D$10)^-(C14-$D$9+1))</f>
        <v>1.0324949913700852</v>
      </c>
      <c r="X14" s="109">
        <f t="shared" ref="X14:X45" ca="1" si="5">IFERROR(V14-W14,"")</f>
        <v>0</v>
      </c>
    </row>
    <row r="15" spans="1:24" ht="15" customHeight="1" x14ac:dyDescent="0.25">
      <c r="B15" s="61">
        <f>IF($C15="","",B14+1)</f>
        <v>1</v>
      </c>
      <c r="C15" s="75">
        <f t="shared" ref="C15:C78" si="6">IF(C14="","",IF($D$2="A",C14+1,IF(C14+1&gt;$D$5,"",C14+1)))</f>
        <v>31</v>
      </c>
      <c r="D15" s="76">
        <f ca="1">IF($C15="","",D14)</f>
        <v>0.1</v>
      </c>
      <c r="E15" s="77">
        <f ca="1">IF($C15="","",E14*(1+F14))</f>
        <v>103648.4317092171</v>
      </c>
      <c r="F15" s="66">
        <f ca="1">IF($C15="","",F14)</f>
        <v>3.6484317092170926E-2</v>
      </c>
      <c r="G15" s="66">
        <f>IF($C15="","",G14)</f>
        <v>0.04</v>
      </c>
      <c r="I15" s="106">
        <f t="shared" ca="1" si="2"/>
        <v>18.370554014466212</v>
      </c>
      <c r="J15" s="67">
        <f t="shared" ca="1" si="3"/>
        <v>9.681585300620342E-2</v>
      </c>
      <c r="K15" s="69">
        <f t="shared" ca="1" si="4"/>
        <v>10400.924567158858</v>
      </c>
      <c r="L15" s="68">
        <f t="shared" ref="L15:L78" ca="1" si="7">IF($C15="",0,
D15*($D$5-$D$4)*E15*((1+F15)/(1+G15))^($D$5-C15)-J15*E15*I15)</f>
        <v>10034.811328682496</v>
      </c>
      <c r="M15" s="69">
        <f t="shared" ref="M15:M78" ca="1" si="8">IF($C15="",0,
D15*B15*E15*((1+F15)/(1+G15))^($D$5-C15))</f>
        <v>9718.9927433616213</v>
      </c>
      <c r="N15" s="70"/>
      <c r="O15" s="71">
        <f ca="1">IF($C15="",0,
K15*Decrements!D12+(O14-P14-Q14)*(1+G14))</f>
        <v>20837.128348989223</v>
      </c>
      <c r="P15" s="72">
        <f ca="1">M15*Assumptions!$B$19*Decrements!E12</f>
        <v>0</v>
      </c>
      <c r="Q15" s="72">
        <f ca="1">L16*(Decrements!F12+Decrements!G12)</f>
        <v>0</v>
      </c>
      <c r="S15" s="73">
        <f ca="1">IF($C16="","",L16-L15*(1+i))</f>
        <v>10400.924567159325</v>
      </c>
      <c r="T15" s="74">
        <f ca="1">IFERROR(S15-K15,"")</f>
        <v>4.6748027671128511E-10</v>
      </c>
      <c r="U15" s="107"/>
      <c r="V15" s="108">
        <f ca="1">IFERROR(J15/PUC_Projection!H15,"")</f>
        <v>1.0290046788762595</v>
      </c>
      <c r="W15" s="108">
        <f ca="1">IF($C15="","",($D$5-$D$9)/$H$14*(1+$D$10)^-(C15-$D$9+1))</f>
        <v>1.029004678876259</v>
      </c>
      <c r="X15" s="109">
        <f t="shared" ca="1" si="5"/>
        <v>4.4408920985006262E-16</v>
      </c>
    </row>
    <row r="16" spans="1:24" ht="15" customHeight="1" x14ac:dyDescent="0.25">
      <c r="B16" s="61">
        <f t="shared" ref="B16:B79" si="9">IF($C16="","",B15+1)</f>
        <v>2</v>
      </c>
      <c r="C16" s="75">
        <f t="shared" si="6"/>
        <v>32</v>
      </c>
      <c r="D16" s="76">
        <f t="shared" ref="D16:D79" ca="1" si="10">IF($C16="","",D15)</f>
        <v>0.1</v>
      </c>
      <c r="E16" s="77">
        <f t="shared" ref="E16:E79" ca="1" si="11">IF($C16="","",E15*(1+F15))</f>
        <v>107429.9739578024</v>
      </c>
      <c r="F16" s="66">
        <f t="shared" ref="F16:G31" ca="1" si="12">IF($C16="","",F15)</f>
        <v>3.6484317092170926E-2</v>
      </c>
      <c r="G16" s="66">
        <f t="shared" si="12"/>
        <v>0.04</v>
      </c>
      <c r="I16" s="106">
        <f t="shared" ca="1" si="2"/>
        <v>17.432865659409522</v>
      </c>
      <c r="J16" s="67">
        <f t="shared" ca="1" si="3"/>
        <v>9.681585300620342E-2</v>
      </c>
      <c r="K16" s="69">
        <f t="shared" ca="1" si="4"/>
        <v>10780.395197118834</v>
      </c>
      <c r="L16" s="68">
        <f t="shared" ca="1" si="7"/>
        <v>20837.128348989121</v>
      </c>
      <c r="M16" s="69">
        <f t="shared" ca="1" si="8"/>
        <v>20215.504906192171</v>
      </c>
      <c r="N16" s="70"/>
      <c r="O16" s="71">
        <f ca="1">IF($C16="",0,
K16*Decrements!D13+(O15-P15-Q15)*(1+G15))</f>
        <v>32451.008680067629</v>
      </c>
      <c r="P16" s="72">
        <f ca="1">M16*Assumptions!$B$19*Decrements!E13</f>
        <v>0</v>
      </c>
      <c r="Q16" s="72">
        <f ca="1">L17*(Decrements!F13+Decrements!G13)</f>
        <v>0</v>
      </c>
      <c r="S16" s="73">
        <f ca="1">IF($C17="","",L17-L16*(1+i))</f>
        <v>10780.395197118658</v>
      </c>
      <c r="T16" s="74">
        <f ca="1">IFERROR(S16-K16,"")</f>
        <v>-1.7644197214394808E-10</v>
      </c>
      <c r="U16" s="107"/>
      <c r="V16" s="108">
        <f ca="1">IFERROR(J16/PUC_Projection!H16,"")</f>
        <v>1.025526165259335</v>
      </c>
      <c r="W16" s="108">
        <f ca="1">IF($C16="","",($D$5-$D$9)/$H$14*(1+$D$10)^-(C16-$D$9+1))</f>
        <v>1.0255261652593344</v>
      </c>
      <c r="X16" s="109">
        <f t="shared" ca="1" si="5"/>
        <v>6.6613381477509392E-16</v>
      </c>
    </row>
    <row r="17" spans="2:24" ht="15" customHeight="1" x14ac:dyDescent="0.25">
      <c r="B17" s="61">
        <f t="shared" si="9"/>
        <v>3</v>
      </c>
      <c r="C17" s="75">
        <f t="shared" si="6"/>
        <v>33</v>
      </c>
      <c r="D17" s="76">
        <f t="shared" ca="1" si="10"/>
        <v>0.1</v>
      </c>
      <c r="E17" s="77">
        <f t="shared" ca="1" si="11"/>
        <v>111349.48319288253</v>
      </c>
      <c r="F17" s="66">
        <f t="shared" ca="1" si="12"/>
        <v>3.6484317092170926E-2</v>
      </c>
      <c r="G17" s="66">
        <f t="shared" si="12"/>
        <v>0.04</v>
      </c>
      <c r="I17" s="106">
        <f t="shared" ca="1" si="2"/>
        <v>16.491996730495313</v>
      </c>
      <c r="J17" s="67">
        <f t="shared" ca="1" si="3"/>
        <v>9.681585300620342E-2</v>
      </c>
      <c r="K17" s="69">
        <f t="shared" ca="1" si="4"/>
        <v>11173.710553869432</v>
      </c>
      <c r="L17" s="68">
        <f t="shared" ca="1" si="7"/>
        <v>32451.008680067345</v>
      </c>
      <c r="M17" s="69">
        <f t="shared" ca="1" si="8"/>
        <v>31536.187653659785</v>
      </c>
      <c r="N17" s="70"/>
      <c r="O17" s="71">
        <f ca="1">IF($C17="",0,
K17*Decrements!D14+(O16-P16-Q16)*(1+G16))</f>
        <v>44922.759581139762</v>
      </c>
      <c r="P17" s="72">
        <f ca="1">M17*Assumptions!$B$19*Decrements!E14</f>
        <v>0</v>
      </c>
      <c r="Q17" s="72">
        <f ca="1">L18*(Decrements!F14+Decrements!G14)</f>
        <v>0</v>
      </c>
      <c r="S17" s="73">
        <f ca="1">IF($C18="","",L18-L17*(1+i))</f>
        <v>11173.710553869532</v>
      </c>
      <c r="T17" s="74">
        <f ca="1">IFERROR(S17-K17,"")</f>
        <v>1.0004441719502211E-10</v>
      </c>
      <c r="U17" s="107"/>
      <c r="V17" s="108">
        <f ca="1">IFERROR(J17/PUC_Projection!H17,"")</f>
        <v>1.0220594106336294</v>
      </c>
      <c r="W17" s="108">
        <f ca="1">IF($C17="","",($D$5-$D$9)/$H$14*(1+$D$10)^-(C17-$D$9+1))</f>
        <v>1.0220594106336289</v>
      </c>
      <c r="X17" s="109">
        <f t="shared" ca="1" si="5"/>
        <v>4.4408920985006262E-16</v>
      </c>
    </row>
    <row r="18" spans="2:24" ht="15" customHeight="1" x14ac:dyDescent="0.25">
      <c r="B18" s="61">
        <f t="shared" si="9"/>
        <v>4</v>
      </c>
      <c r="C18" s="75">
        <f t="shared" si="6"/>
        <v>34</v>
      </c>
      <c r="D18" s="76">
        <f t="shared" ca="1" si="10"/>
        <v>0.1</v>
      </c>
      <c r="E18" s="77">
        <f t="shared" ca="1" si="11"/>
        <v>115411.99304574101</v>
      </c>
      <c r="F18" s="66">
        <f t="shared" ca="1" si="12"/>
        <v>3.6484317092170926E-2</v>
      </c>
      <c r="G18" s="66">
        <f t="shared" si="12"/>
        <v>0.04</v>
      </c>
      <c r="I18" s="106">
        <f t="shared" ca="1" si="2"/>
        <v>15.547936439437587</v>
      </c>
      <c r="J18" s="67">
        <f t="shared" ca="1" si="3"/>
        <v>9.681585300620342E-2</v>
      </c>
      <c r="K18" s="69">
        <f t="shared" ca="1" si="4"/>
        <v>11581.375752812941</v>
      </c>
      <c r="L18" s="68">
        <f t="shared" ca="1" si="7"/>
        <v>44922.759581139573</v>
      </c>
      <c r="M18" s="69">
        <f t="shared" ca="1" si="8"/>
        <v>43730.180213074898</v>
      </c>
      <c r="N18" s="70"/>
      <c r="O18" s="71">
        <f ca="1">IF($C18="",0,
K18*Decrements!D15+(O17-P17-Q17)*(1+G17))</f>
        <v>58301.0457171983</v>
      </c>
      <c r="P18" s="72">
        <f ca="1">M18*Assumptions!$B$19*Decrements!E15</f>
        <v>0</v>
      </c>
      <c r="Q18" s="72">
        <f ca="1">L19*(Decrements!F15+Decrements!G15)</f>
        <v>0</v>
      </c>
      <c r="S18" s="73">
        <f ca="1">IF($C19="","",L19-L18*(1+i))</f>
        <v>11581.375752813037</v>
      </c>
      <c r="T18" s="74">
        <f ca="1">IFERROR(S18-K18,"")</f>
        <v>9.6406438387930393E-11</v>
      </c>
      <c r="U18" s="107"/>
      <c r="V18" s="108">
        <f ca="1">IFERROR(J18/PUC_Projection!H18,"")</f>
        <v>1.0186043752482923</v>
      </c>
      <c r="W18" s="108">
        <f ca="1">IF($C18="","",($D$5-$D$9)/$H$14*(1+$D$10)^-(C18-$D$9+1))</f>
        <v>1.0186043752482918</v>
      </c>
      <c r="X18" s="109">
        <f t="shared" ca="1" si="5"/>
        <v>4.4408920985006262E-16</v>
      </c>
    </row>
    <row r="19" spans="2:24" ht="15" customHeight="1" x14ac:dyDescent="0.25">
      <c r="B19" s="61">
        <f t="shared" si="9"/>
        <v>5</v>
      </c>
      <c r="C19" s="75">
        <f t="shared" si="6"/>
        <v>35</v>
      </c>
      <c r="D19" s="76">
        <f t="shared" ca="1" si="10"/>
        <v>0.1</v>
      </c>
      <c r="E19" s="77">
        <f t="shared" ca="1" si="11"/>
        <v>119622.72079626124</v>
      </c>
      <c r="F19" s="66">
        <f t="shared" ca="1" si="12"/>
        <v>3.6484317092170926E-2</v>
      </c>
      <c r="G19" s="66">
        <f t="shared" si="12"/>
        <v>0.04</v>
      </c>
      <c r="I19" s="106">
        <f t="shared" ca="1" si="2"/>
        <v>14.600673961357346</v>
      </c>
      <c r="J19" s="67">
        <f t="shared" ca="1" si="3"/>
        <v>9.681585300620342E-2</v>
      </c>
      <c r="K19" s="69">
        <f t="shared" ca="1" si="4"/>
        <v>12003.914338142147</v>
      </c>
      <c r="L19" s="68">
        <f t="shared" ca="1" si="7"/>
        <v>58301.045717198198</v>
      </c>
      <c r="M19" s="69">
        <f t="shared" ca="1" si="8"/>
        <v>56849.234276997362</v>
      </c>
      <c r="N19" s="70"/>
      <c r="O19" s="71">
        <f ca="1">IF($C19="",0,
K19*Decrements!D16+(O18-P18-Q18)*(1+G18))</f>
        <v>72637.001884028388</v>
      </c>
      <c r="P19" s="72">
        <f ca="1">M19*Assumptions!$B$19*Decrements!E16</f>
        <v>0</v>
      </c>
      <c r="Q19" s="72">
        <f ca="1">L20*(Decrements!F16+Decrements!G16)</f>
        <v>0</v>
      </c>
      <c r="S19" s="73">
        <f ca="1">IF($C20="","",L20-L19*(1+i))</f>
        <v>12003.914338142102</v>
      </c>
      <c r="T19" s="74">
        <f ca="1">IFERROR(S19-K19,"")</f>
        <v>-4.5474735088646412E-11</v>
      </c>
      <c r="U19" s="107"/>
      <c r="V19" s="108">
        <f ca="1">IFERROR(J19/PUC_Projection!H19,"")</f>
        <v>1.0151610194868497</v>
      </c>
      <c r="W19" s="108">
        <f ca="1">IF($C19="","",($D$5-$D$9)/$H$14*(1+$D$10)^-(C19-$D$9+1))</f>
        <v>1.015161019486849</v>
      </c>
      <c r="X19" s="109">
        <f t="shared" ca="1" si="5"/>
        <v>6.6613381477509392E-16</v>
      </c>
    </row>
    <row r="20" spans="2:24" ht="15" customHeight="1" x14ac:dyDescent="0.25">
      <c r="B20" s="61">
        <f t="shared" si="9"/>
        <v>6</v>
      </c>
      <c r="C20" s="75">
        <f t="shared" si="6"/>
        <v>36</v>
      </c>
      <c r="D20" s="76">
        <f t="shared" ca="1" si="10"/>
        <v>0.1</v>
      </c>
      <c r="E20" s="77">
        <f t="shared" ca="1" si="11"/>
        <v>123987.07407322027</v>
      </c>
      <c r="F20" s="66">
        <f t="shared" ca="1" si="12"/>
        <v>3.6484317092170926E-2</v>
      </c>
      <c r="G20" s="66">
        <f t="shared" si="12"/>
        <v>0.04</v>
      </c>
      <c r="I20" s="106">
        <f t="shared" ca="1" si="2"/>
        <v>13.650198434658341</v>
      </c>
      <c r="J20" s="67">
        <f t="shared" ca="1" si="3"/>
        <v>9.681585300620342E-2</v>
      </c>
      <c r="K20" s="69">
        <f t="shared" ca="1" si="4"/>
        <v>12441.868955202184</v>
      </c>
      <c r="L20" s="68">
        <f t="shared" ca="1" si="7"/>
        <v>72637.001884028228</v>
      </c>
      <c r="M20" s="69">
        <f t="shared" ca="1" si="8"/>
        <v>70947.844377692716</v>
      </c>
      <c r="N20" s="70"/>
      <c r="O20" s="71">
        <f ca="1">IF($C20="",0,
K20*Decrements!D17+(O19-P19-Q19)*(1+G19))</f>
        <v>87984.350914591705</v>
      </c>
      <c r="P20" s="72">
        <f ca="1">M20*Assumptions!$B$19*Decrements!E17</f>
        <v>0</v>
      </c>
      <c r="Q20" s="72">
        <f ca="1">L21*(Decrements!F17+Decrements!G17)</f>
        <v>0</v>
      </c>
      <c r="S20" s="73">
        <f ca="1">IF($C21="","",L21-L20*(1+i))</f>
        <v>12441.868955202124</v>
      </c>
      <c r="T20" s="74">
        <f ca="1">IFERROR(S20-K20,"")</f>
        <v>-6.0026650317013264E-11</v>
      </c>
      <c r="U20" s="107"/>
      <c r="V20" s="108">
        <f ca="1">IFERROR(J20/PUC_Projection!H20,"")</f>
        <v>1.0117293038667496</v>
      </c>
      <c r="W20" s="108">
        <f ca="1">IF($C20="","",($D$5-$D$9)/$H$14*(1+$D$10)^-(C20-$D$9+1))</f>
        <v>1.0117293038667485</v>
      </c>
      <c r="X20" s="109">
        <f t="shared" ca="1" si="5"/>
        <v>1.1102230246251565E-15</v>
      </c>
    </row>
    <row r="21" spans="2:24" ht="15" customHeight="1" x14ac:dyDescent="0.25">
      <c r="B21" s="61">
        <f t="shared" si="9"/>
        <v>7</v>
      </c>
      <c r="C21" s="75">
        <f t="shared" si="6"/>
        <v>37</v>
      </c>
      <c r="D21" s="76">
        <f t="shared" ca="1" si="10"/>
        <v>0.1</v>
      </c>
      <c r="E21" s="77">
        <f t="shared" ca="1" si="11"/>
        <v>128510.65779903812</v>
      </c>
      <c r="F21" s="66">
        <f t="shared" ca="1" si="12"/>
        <v>3.6484317092170926E-2</v>
      </c>
      <c r="G21" s="66">
        <f t="shared" si="12"/>
        <v>0.04</v>
      </c>
      <c r="I21" s="106">
        <f t="shared" ca="1" si="2"/>
        <v>12.696498960902522</v>
      </c>
      <c r="J21" s="67">
        <f t="shared" ca="1" si="3"/>
        <v>9.681585300620342E-2</v>
      </c>
      <c r="K21" s="69">
        <f t="shared" ca="1" si="4"/>
        <v>12895.802047383018</v>
      </c>
      <c r="L21" s="68">
        <f t="shared" ca="1" si="7"/>
        <v>87984.350914591487</v>
      </c>
      <c r="M21" s="69">
        <f t="shared" ca="1" si="8"/>
        <v>86083.384511600481</v>
      </c>
      <c r="N21" s="70"/>
      <c r="O21" s="71">
        <f ca="1">IF($C21="",0,
K21*Decrements!D18+(O20-P20-Q20)*(1+G20))</f>
        <v>104399.5269985584</v>
      </c>
      <c r="P21" s="72">
        <f ca="1">M21*Assumptions!$B$19*Decrements!E18</f>
        <v>0</v>
      </c>
      <c r="Q21" s="72">
        <f ca="1">L22*(Decrements!F18+Decrements!G18)</f>
        <v>0</v>
      </c>
      <c r="S21" s="73">
        <f ca="1">IF($C22="","",L22-L21*(1+i))</f>
        <v>12895.802047383229</v>
      </c>
      <c r="T21" s="74">
        <f ca="1">IFERROR(S21-K21,"")</f>
        <v>2.1100277081131935E-10</v>
      </c>
      <c r="U21" s="107"/>
      <c r="V21" s="108">
        <f ca="1">IFERROR(J21/PUC_Projection!H21,"")</f>
        <v>1.0083091890389091</v>
      </c>
      <c r="W21" s="108">
        <f ca="1">IF($C21="","",($D$5-$D$9)/$H$14*(1+$D$10)^-(C21-$D$9+1))</f>
        <v>1.008309189038908</v>
      </c>
      <c r="X21" s="109">
        <f t="shared" ca="1" si="5"/>
        <v>1.1102230246251565E-15</v>
      </c>
    </row>
    <row r="22" spans="2:24" ht="15" customHeight="1" x14ac:dyDescent="0.25">
      <c r="B22" s="61">
        <f t="shared" si="9"/>
        <v>8</v>
      </c>
      <c r="C22" s="75">
        <f t="shared" si="6"/>
        <v>38</v>
      </c>
      <c r="D22" s="76">
        <f t="shared" ca="1" si="10"/>
        <v>0.1</v>
      </c>
      <c r="E22" s="77">
        <f t="shared" ca="1" si="11"/>
        <v>133199.28138790169</v>
      </c>
      <c r="F22" s="66">
        <f t="shared" ca="1" si="12"/>
        <v>3.6484317092170926E-2</v>
      </c>
      <c r="G22" s="66">
        <f t="shared" si="12"/>
        <v>0.04</v>
      </c>
      <c r="I22" s="106">
        <f t="shared" ca="1" si="2"/>
        <v>11.739564604685079</v>
      </c>
      <c r="J22" s="67">
        <f t="shared" ca="1" si="3"/>
        <v>9.681585300620342E-2</v>
      </c>
      <c r="K22" s="69">
        <f t="shared" ca="1" si="4"/>
        <v>13366.296578437605</v>
      </c>
      <c r="L22" s="68">
        <f t="shared" ca="1" si="7"/>
        <v>104399.52699855837</v>
      </c>
      <c r="M22" s="69">
        <f t="shared" ca="1" si="8"/>
        <v>102316.25130521657</v>
      </c>
      <c r="N22" s="70"/>
      <c r="O22" s="71">
        <f ca="1">IF($C22="",0,
K22*Decrements!D19+(O21-P21-Q21)*(1+G21))</f>
        <v>121941.80465693834</v>
      </c>
      <c r="P22" s="72">
        <f ca="1">M22*Assumptions!$B$19*Decrements!E19</f>
        <v>0</v>
      </c>
      <c r="Q22" s="72">
        <f ca="1">L23*(Decrements!F19+Decrements!G19)</f>
        <v>0</v>
      </c>
      <c r="S22" s="73">
        <f ca="1">IF($C23="","",L23-L22*(1+i))</f>
        <v>13366.296578436974</v>
      </c>
      <c r="T22" s="74">
        <f ca="1">IFERROR(S22-K22,"")</f>
        <v>-6.311893230304122E-10</v>
      </c>
      <c r="U22" s="107"/>
      <c r="V22" s="108">
        <f ca="1">IFERROR(J22/PUC_Projection!H22,"")</f>
        <v>1.0049006357872636</v>
      </c>
      <c r="W22" s="108">
        <f ca="1">IF($C22="","",($D$5-$D$9)/$H$14*(1+$D$10)^-(C22-$D$9+1))</f>
        <v>1.0049006357872625</v>
      </c>
      <c r="X22" s="109">
        <f t="shared" ca="1" si="5"/>
        <v>1.1102230246251565E-15</v>
      </c>
    </row>
    <row r="23" spans="2:24" ht="15" customHeight="1" x14ac:dyDescent="0.25">
      <c r="B23" s="61">
        <f t="shared" si="9"/>
        <v>9</v>
      </c>
      <c r="C23" s="75">
        <f t="shared" si="6"/>
        <v>39</v>
      </c>
      <c r="D23" s="76">
        <f t="shared" ca="1" si="10"/>
        <v>0.1</v>
      </c>
      <c r="E23" s="77">
        <f t="shared" ca="1" si="11"/>
        <v>138058.9662065072</v>
      </c>
      <c r="F23" s="66">
        <f t="shared" ca="1" si="12"/>
        <v>3.6484317092170926E-2</v>
      </c>
      <c r="G23" s="66">
        <f t="shared" si="12"/>
        <v>0.04</v>
      </c>
      <c r="I23" s="106">
        <f t="shared" ca="1" si="2"/>
        <v>10.779384393509174</v>
      </c>
      <c r="J23" s="67">
        <f t="shared" ca="1" si="3"/>
        <v>9.681585300620342E-2</v>
      </c>
      <c r="K23" s="69">
        <f t="shared" ca="1" si="4"/>
        <v>13853.956781153323</v>
      </c>
      <c r="L23" s="68">
        <f t="shared" ca="1" si="7"/>
        <v>121941.80465693769</v>
      </c>
      <c r="M23" s="69">
        <f t="shared" ca="1" si="8"/>
        <v>119710.01402710339</v>
      </c>
      <c r="N23" s="70"/>
      <c r="O23" s="71">
        <f ca="1">IF($C23="",0,
K23*Decrements!D20+(O22-P22-Q22)*(1+G22))</f>
        <v>140673.43362436921</v>
      </c>
      <c r="P23" s="72">
        <f ca="1">M23*Assumptions!$B$19*Decrements!E20</f>
        <v>0</v>
      </c>
      <c r="Q23" s="72">
        <f ca="1">L24*(Decrements!F20+Decrements!G20)</f>
        <v>0</v>
      </c>
      <c r="S23" s="73">
        <f ca="1">IF($C24="","",L24-L23*(1+i))</f>
        <v>13853.956781154149</v>
      </c>
      <c r="T23" s="74">
        <f ca="1">IFERROR(S23-K23,"")</f>
        <v>8.2582118920981884E-10</v>
      </c>
      <c r="U23" s="107"/>
      <c r="V23" s="108">
        <f ca="1">IFERROR(J23/PUC_Projection!H23,"")</f>
        <v>1.0015036050283179</v>
      </c>
      <c r="W23" s="108">
        <f ca="1">IF($C23="","",($D$5-$D$9)/$H$14*(1+$D$10)^-(C23-$D$9+1))</f>
        <v>1.0015036050283164</v>
      </c>
      <c r="X23" s="109">
        <f t="shared" ca="1" si="5"/>
        <v>1.5543122344752192E-15</v>
      </c>
    </row>
    <row r="24" spans="2:24" ht="15" customHeight="1" x14ac:dyDescent="0.25">
      <c r="B24" s="61">
        <f t="shared" si="9"/>
        <v>10</v>
      </c>
      <c r="C24" s="75">
        <f t="shared" si="6"/>
        <v>40</v>
      </c>
      <c r="D24" s="76">
        <f t="shared" ca="1" si="10"/>
        <v>0.1</v>
      </c>
      <c r="E24" s="77">
        <f t="shared" ca="1" si="11"/>
        <v>143095.95330700272</v>
      </c>
      <c r="F24" s="66">
        <f t="shared" ca="1" si="12"/>
        <v>3.6484317092170926E-2</v>
      </c>
      <c r="G24" s="66">
        <f t="shared" si="12"/>
        <v>0.04</v>
      </c>
      <c r="I24" s="106">
        <f t="shared" ca="1" si="2"/>
        <v>9.8159473176597611</v>
      </c>
      <c r="J24" s="67">
        <f t="shared" ca="1" si="3"/>
        <v>9.681585300620342E-2</v>
      </c>
      <c r="K24" s="69">
        <f t="shared" ca="1" si="4"/>
        <v>14359.408933338153</v>
      </c>
      <c r="L24" s="68">
        <f t="shared" ca="1" si="7"/>
        <v>140673.43362436935</v>
      </c>
      <c r="M24" s="69">
        <f t="shared" ca="1" si="8"/>
        <v>138331.57176465279</v>
      </c>
      <c r="N24" s="70"/>
      <c r="O24" s="71">
        <f ca="1">IF($C24="",0,
K24*Decrements!D21+(O23-P23-Q23)*(1+G23))</f>
        <v>160659.77990268214</v>
      </c>
      <c r="P24" s="72">
        <f ca="1">M24*Assumptions!$B$19*Decrements!E21</f>
        <v>0</v>
      </c>
      <c r="Q24" s="72">
        <f ca="1">L25*(Decrements!F21+Decrements!G21)</f>
        <v>0</v>
      </c>
      <c r="S24" s="73">
        <f ca="1">IF($C25="","",L25-L24*(1+i))</f>
        <v>14359.408933337894</v>
      </c>
      <c r="T24" s="74">
        <f ca="1">IFERROR(S24-K24,"")</f>
        <v>-2.5829649530351162E-10</v>
      </c>
      <c r="U24" s="107"/>
      <c r="V24" s="108">
        <f ca="1">IFERROR(J24/PUC_Projection!H24,"")</f>
        <v>0.99811805781069551</v>
      </c>
      <c r="W24" s="108">
        <f ca="1">IF($C24="","",($D$5-$D$9)/$H$14*(1+$D$10)^-(C24-$D$9+1))</f>
        <v>0.99811805781069374</v>
      </c>
      <c r="X24" s="109">
        <f t="shared" ca="1" si="5"/>
        <v>1.7763568394002505E-15</v>
      </c>
    </row>
    <row r="25" spans="2:24" ht="15" customHeight="1" x14ac:dyDescent="0.25">
      <c r="B25" s="61">
        <f t="shared" si="9"/>
        <v>11</v>
      </c>
      <c r="C25" s="75">
        <f t="shared" si="6"/>
        <v>41</v>
      </c>
      <c r="D25" s="76">
        <f t="shared" ca="1" si="10"/>
        <v>0.1</v>
      </c>
      <c r="E25" s="77">
        <f t="shared" ca="1" si="11"/>
        <v>148316.7114420619</v>
      </c>
      <c r="F25" s="66">
        <f t="shared" ca="1" si="12"/>
        <v>3.6484317092170926E-2</v>
      </c>
      <c r="G25" s="66">
        <f t="shared" si="12"/>
        <v>0.04</v>
      </c>
      <c r="I25" s="106">
        <f t="shared" ca="1" si="2"/>
        <v>8.8492423300779706</v>
      </c>
      <c r="J25" s="67">
        <f t="shared" ca="1" si="3"/>
        <v>9.681585300620342E-2</v>
      </c>
      <c r="K25" s="69">
        <f t="shared" ca="1" si="4"/>
        <v>14883.302162118216</v>
      </c>
      <c r="L25" s="68">
        <f t="shared" ca="1" si="7"/>
        <v>160659.77990268203</v>
      </c>
      <c r="M25" s="69">
        <f t="shared" ca="1" si="8"/>
        <v>158251.3180987628</v>
      </c>
      <c r="N25" s="70"/>
      <c r="O25" s="71">
        <f ca="1">IF($C25="",0,
K25*Decrements!D22+(O24-P24-Q24)*(1+G24))</f>
        <v>181969.47326090766</v>
      </c>
      <c r="P25" s="72">
        <f ca="1">M25*Assumptions!$B$19*Decrements!E22</f>
        <v>0</v>
      </c>
      <c r="Q25" s="72">
        <f ca="1">L26*(Decrements!F22+Decrements!G22)</f>
        <v>0</v>
      </c>
      <c r="S25" s="73">
        <f ca="1">IF($C26="","",L26-L25*(1+i))</f>
        <v>14883.302162118489</v>
      </c>
      <c r="T25" s="74">
        <f ca="1">IFERROR(S25-K25,"")</f>
        <v>2.7284841053187847E-10</v>
      </c>
      <c r="U25" s="107"/>
      <c r="V25" s="108">
        <f ca="1">IFERROR(J25/PUC_Projection!H25,"")</f>
        <v>0.99474395531469484</v>
      </c>
      <c r="W25" s="108">
        <f ca="1">IF($C25="","",($D$5-$D$9)/$H$14*(1+$D$10)^-(C25-$D$9+1))</f>
        <v>0.99474395531469317</v>
      </c>
      <c r="X25" s="109">
        <f t="shared" ca="1" si="5"/>
        <v>1.6653345369377348E-15</v>
      </c>
    </row>
    <row r="26" spans="2:24" ht="15" customHeight="1" x14ac:dyDescent="0.25">
      <c r="B26" s="61">
        <f t="shared" si="9"/>
        <v>12</v>
      </c>
      <c r="C26" s="75">
        <f t="shared" si="6"/>
        <v>42</v>
      </c>
      <c r="D26" s="76">
        <f t="shared" ca="1" si="10"/>
        <v>0.1</v>
      </c>
      <c r="E26" s="77">
        <f t="shared" ca="1" si="11"/>
        <v>153727.94537238209</v>
      </c>
      <c r="F26" s="66">
        <f t="shared" ca="1" si="12"/>
        <v>3.6484317092170926E-2</v>
      </c>
      <c r="G26" s="66">
        <f t="shared" si="12"/>
        <v>0.04</v>
      </c>
      <c r="I26" s="106">
        <f t="shared" ca="1" si="2"/>
        <v>7.8792583462337724</v>
      </c>
      <c r="J26" s="67">
        <f t="shared" ca="1" si="3"/>
        <v>9.681585300620342E-2</v>
      </c>
      <c r="K26" s="69">
        <f t="shared" ca="1" si="4"/>
        <v>15426.309277579528</v>
      </c>
      <c r="L26" s="68">
        <f t="shared" ca="1" si="7"/>
        <v>181969.47326090781</v>
      </c>
      <c r="M26" s="69">
        <f t="shared" ca="1" si="8"/>
        <v>179543.31362477818</v>
      </c>
      <c r="N26" s="70"/>
      <c r="O26" s="71">
        <f ca="1">IF($C26="",0,
K26*Decrements!D23+(O25-P25-Q25)*(1+G25))</f>
        <v>204674.56146892352</v>
      </c>
      <c r="P26" s="72">
        <f ca="1">M26*Assumptions!$B$19*Decrements!E23</f>
        <v>0</v>
      </c>
      <c r="Q26" s="72">
        <f ca="1">L27*(Decrements!F23+Decrements!G23)</f>
        <v>0</v>
      </c>
      <c r="S26" s="73">
        <f ca="1">IF($C27="","",L27-L26*(1+i))</f>
        <v>15426.309277579334</v>
      </c>
      <c r="T26" s="74">
        <f ca="1">IFERROR(S26-K26,"")</f>
        <v>-1.9463186617940664E-10</v>
      </c>
      <c r="U26" s="107"/>
      <c r="V26" s="108">
        <f ca="1">IFERROR(J26/PUC_Projection!H26,"")</f>
        <v>0.99138125885184281</v>
      </c>
      <c r="W26" s="108">
        <f ca="1">IF($C26="","",($D$5-$D$9)/$H$14*(1+$D$10)^-(C26-$D$9+1))</f>
        <v>0.99138125885184092</v>
      </c>
      <c r="X26" s="109">
        <f t="shared" ca="1" si="5"/>
        <v>1.8873791418627661E-15</v>
      </c>
    </row>
    <row r="27" spans="2:24" ht="15" customHeight="1" x14ac:dyDescent="0.25">
      <c r="B27" s="61">
        <f t="shared" si="9"/>
        <v>13</v>
      </c>
      <c r="C27" s="75">
        <f t="shared" si="6"/>
        <v>43</v>
      </c>
      <c r="D27" s="76">
        <f t="shared" ca="1" si="10"/>
        <v>0.1</v>
      </c>
      <c r="E27" s="77">
        <f t="shared" ca="1" si="11"/>
        <v>159336.60447727601</v>
      </c>
      <c r="F27" s="66">
        <f t="shared" ca="1" si="12"/>
        <v>3.6484317092170926E-2</v>
      </c>
      <c r="G27" s="66">
        <f t="shared" si="12"/>
        <v>0.04</v>
      </c>
      <c r="I27" s="106">
        <f t="shared" ca="1" si="2"/>
        <v>6.9059842439993533</v>
      </c>
      <c r="J27" s="67">
        <f t="shared" ca="1" si="3"/>
        <v>9.681585300620342E-2</v>
      </c>
      <c r="K27" s="69">
        <f t="shared" ca="1" si="4"/>
        <v>15989.127636824638</v>
      </c>
      <c r="L27" s="68">
        <f t="shared" ca="1" si="7"/>
        <v>204674.56146892346</v>
      </c>
      <c r="M27" s="69">
        <f t="shared" ca="1" si="8"/>
        <v>202285.46668391672</v>
      </c>
      <c r="N27" s="70"/>
      <c r="O27" s="71">
        <f ca="1">IF($C27="",0,
K27*Decrements!D24+(O26-P26-Q26)*(1+G26))</f>
        <v>228850.67156450512</v>
      </c>
      <c r="P27" s="72">
        <f ca="1">M27*Assumptions!$B$19*Decrements!E24</f>
        <v>0</v>
      </c>
      <c r="Q27" s="72">
        <f ca="1">L28*(Decrements!F24+Decrements!G24)</f>
        <v>0</v>
      </c>
      <c r="S27" s="73">
        <f ca="1">IF($C28="","",L28-L27*(1+i))</f>
        <v>15989.127636825142</v>
      </c>
      <c r="T27" s="74">
        <f ca="1">IFERROR(S27-K27,"")</f>
        <v>5.0386006478220224E-10</v>
      </c>
      <c r="U27" s="107"/>
      <c r="V27" s="108">
        <f ca="1">IFERROR(J27/PUC_Projection!H27,"")</f>
        <v>0.98802992986445093</v>
      </c>
      <c r="W27" s="108">
        <f ca="1">IF($C27="","",($D$5-$D$9)/$H$14*(1+$D$10)^-(C27-$D$9+1))</f>
        <v>0.98802992986444904</v>
      </c>
      <c r="X27" s="109">
        <f t="shared" ca="1" si="5"/>
        <v>1.8873791418627661E-15</v>
      </c>
    </row>
    <row r="28" spans="2:24" ht="15" customHeight="1" x14ac:dyDescent="0.25">
      <c r="B28" s="61">
        <f t="shared" si="9"/>
        <v>14</v>
      </c>
      <c r="C28" s="75">
        <f t="shared" si="6"/>
        <v>44</v>
      </c>
      <c r="D28" s="76">
        <f t="shared" ca="1" si="10"/>
        <v>0.1</v>
      </c>
      <c r="E28" s="77">
        <f t="shared" ca="1" si="11"/>
        <v>165149.89167941478</v>
      </c>
      <c r="F28" s="66">
        <f t="shared" ca="1" si="12"/>
        <v>3.6484317092170926E-2</v>
      </c>
      <c r="G28" s="66">
        <f t="shared" si="12"/>
        <v>0.04</v>
      </c>
      <c r="I28" s="106">
        <f t="shared" ca="1" si="2"/>
        <v>5.9294088635212878</v>
      </c>
      <c r="J28" s="67">
        <f t="shared" ca="1" si="3"/>
        <v>9.681585300620342E-2</v>
      </c>
      <c r="K28" s="69">
        <f t="shared" ca="1" si="4"/>
        <v>16572.480039553742</v>
      </c>
      <c r="L28" s="68">
        <f t="shared" ca="1" si="7"/>
        <v>228850.67156450555</v>
      </c>
      <c r="M28" s="69">
        <f t="shared" ca="1" si="8"/>
        <v>226559.72268598675</v>
      </c>
      <c r="N28" s="70"/>
      <c r="O28" s="71">
        <f ca="1">IF($C28="",0,
K28*Decrements!D25+(O27-P27-Q27)*(1+G27))</f>
        <v>254577.17846663907</v>
      </c>
      <c r="P28" s="72">
        <f ca="1">M28*Assumptions!$B$19*Decrements!E25</f>
        <v>0</v>
      </c>
      <c r="Q28" s="72">
        <f ca="1">L29*(Decrements!F25+Decrements!G25)</f>
        <v>0</v>
      </c>
      <c r="S28" s="73">
        <f ca="1">IF($C29="","",L29-L28*(1+i))</f>
        <v>16572.480039553746</v>
      </c>
      <c r="T28" s="74">
        <f ca="1">IFERROR(S28-K28,"")</f>
        <v>3.637978807091713E-12</v>
      </c>
      <c r="U28" s="107"/>
      <c r="V28" s="108">
        <f ca="1">IFERROR(J28/PUC_Projection!H28,"")</f>
        <v>0.98468992992517401</v>
      </c>
      <c r="W28" s="108">
        <f ca="1">IF($C28="","",($D$5-$D$9)/$H$14*(1+$D$10)^-(C28-$D$9+1))</f>
        <v>0.9846899299251719</v>
      </c>
      <c r="X28" s="109">
        <f t="shared" ca="1" si="5"/>
        <v>2.1094237467877974E-15</v>
      </c>
    </row>
    <row r="29" spans="2:24" ht="15" customHeight="1" x14ac:dyDescent="0.25">
      <c r="B29" s="61">
        <f t="shared" si="9"/>
        <v>15</v>
      </c>
      <c r="C29" s="75">
        <f t="shared" si="6"/>
        <v>45</v>
      </c>
      <c r="D29" s="76">
        <f t="shared" ca="1" si="10"/>
        <v>0.1</v>
      </c>
      <c r="E29" s="77">
        <f t="shared" ca="1" si="11"/>
        <v>171175.27269518422</v>
      </c>
      <c r="F29" s="66">
        <f t="shared" ca="1" si="12"/>
        <v>3.6484317092170926E-2</v>
      </c>
      <c r="G29" s="66">
        <f t="shared" si="12"/>
        <v>0.04</v>
      </c>
      <c r="I29" s="106">
        <f t="shared" ca="1" si="2"/>
        <v>4.9495210070928293</v>
      </c>
      <c r="J29" s="67">
        <f t="shared" ca="1" si="3"/>
        <v>9.681585300620342E-2</v>
      </c>
      <c r="K29" s="69">
        <f t="shared" ca="1" si="4"/>
        <v>17177.115656320493</v>
      </c>
      <c r="L29" s="68">
        <f t="shared" ca="1" si="7"/>
        <v>254577.17846663954</v>
      </c>
      <c r="M29" s="69">
        <f t="shared" ca="1" si="8"/>
        <v>252452.26242152805</v>
      </c>
      <c r="N29" s="70"/>
      <c r="O29" s="71">
        <f ca="1">IF($C29="",0,
K29*Decrements!D26+(O28-P28-Q28)*(1+G28))</f>
        <v>281937.38126162509</v>
      </c>
      <c r="P29" s="72">
        <f ca="1">M29*Assumptions!$B$19*Decrements!E26</f>
        <v>0</v>
      </c>
      <c r="Q29" s="72">
        <f ca="1">L30*(Decrements!F26+Decrements!G26)</f>
        <v>0</v>
      </c>
      <c r="S29" s="73">
        <f ca="1">IF($C30="","",L30-L29*(1+i))</f>
        <v>17177.115656320471</v>
      </c>
      <c r="T29" s="74">
        <f ca="1">IFERROR(S29-K29,"")</f>
        <v>-2.1827872842550278E-11</v>
      </c>
      <c r="U29" s="107"/>
      <c r="V29" s="108">
        <f ca="1">IFERROR(J29/PUC_Projection!H29,"")</f>
        <v>0.98136122073656895</v>
      </c>
      <c r="W29" s="108">
        <f ca="1">IF($C29="","",($D$5-$D$9)/$H$14*(1+$D$10)^-(C29-$D$9+1))</f>
        <v>0.98136122073656662</v>
      </c>
      <c r="X29" s="109">
        <f t="shared" ca="1" si="5"/>
        <v>2.3314683517128287E-15</v>
      </c>
    </row>
    <row r="30" spans="2:24" ht="15" customHeight="1" x14ac:dyDescent="0.25">
      <c r="B30" s="61">
        <f t="shared" si="9"/>
        <v>16</v>
      </c>
      <c r="C30" s="75">
        <f t="shared" si="6"/>
        <v>46</v>
      </c>
      <c r="D30" s="76">
        <f t="shared" ca="1" si="10"/>
        <v>0.1</v>
      </c>
      <c r="E30" s="77">
        <f t="shared" ca="1" si="11"/>
        <v>177420.48562253415</v>
      </c>
      <c r="F30" s="66">
        <f t="shared" ca="1" si="12"/>
        <v>3.6484317092170926E-2</v>
      </c>
      <c r="G30" s="66">
        <f t="shared" si="12"/>
        <v>0.04</v>
      </c>
      <c r="I30" s="106">
        <f t="shared" ca="1" si="2"/>
        <v>3.966309439025304</v>
      </c>
      <c r="J30" s="67">
        <f t="shared" ca="1" si="3"/>
        <v>9.681585300620342E-2</v>
      </c>
      <c r="K30" s="69">
        <f t="shared" ca="1" si="4"/>
        <v>17803.810990654583</v>
      </c>
      <c r="L30" s="68">
        <f t="shared" ca="1" si="7"/>
        <v>281937.38126162562</v>
      </c>
      <c r="M30" s="69">
        <f t="shared" ca="1" si="8"/>
        <v>280053.70977961511</v>
      </c>
      <c r="N30" s="70"/>
      <c r="O30" s="71">
        <f ca="1">IF($C30="",0,
K30*Decrements!D27+(O29-P29-Q29)*(1+G29))</f>
        <v>311018.68750274467</v>
      </c>
      <c r="P30" s="72">
        <f ca="1">M30*Assumptions!$B$19*Decrements!E27</f>
        <v>0</v>
      </c>
      <c r="Q30" s="72">
        <f ca="1">L31*(Decrements!F27+Decrements!G27)</f>
        <v>0</v>
      </c>
      <c r="S30" s="73">
        <f ca="1">IF($C31="","",L31-L30*(1+i))</f>
        <v>17803.810990653816</v>
      </c>
      <c r="T30" s="74">
        <f ca="1">IFERROR(S30-K30,"")</f>
        <v>-7.6761352829635143E-10</v>
      </c>
      <c r="U30" s="107"/>
      <c r="V30" s="108">
        <f ca="1">IFERROR(J30/PUC_Projection!H30,"")</f>
        <v>0.97804376413065564</v>
      </c>
      <c r="W30" s="108">
        <f ca="1">IF($C30="","",($D$5-$D$9)/$H$14*(1+$D$10)^-(C30-$D$9+1))</f>
        <v>0.97804376413065319</v>
      </c>
      <c r="X30" s="109">
        <f t="shared" ca="1" si="5"/>
        <v>2.4424906541753444E-15</v>
      </c>
    </row>
    <row r="31" spans="2:24" ht="15" customHeight="1" x14ac:dyDescent="0.25">
      <c r="B31" s="61">
        <f t="shared" si="9"/>
        <v>17</v>
      </c>
      <c r="C31" s="75">
        <f t="shared" si="6"/>
        <v>47</v>
      </c>
      <c r="D31" s="76">
        <f t="shared" ca="1" si="10"/>
        <v>0.1</v>
      </c>
      <c r="E31" s="77">
        <f t="shared" ca="1" si="11"/>
        <v>183893.55087863363</v>
      </c>
      <c r="F31" s="66">
        <f t="shared" ca="1" si="12"/>
        <v>3.6484317092170926E-2</v>
      </c>
      <c r="G31" s="66">
        <f t="shared" si="12"/>
        <v>0.04</v>
      </c>
      <c r="I31" s="106">
        <f t="shared" ca="1" si="2"/>
        <v>2.9797628855194156</v>
      </c>
      <c r="J31" s="67">
        <f t="shared" ca="1" si="3"/>
        <v>9.681585300620342E-2</v>
      </c>
      <c r="K31" s="69">
        <f t="shared" ca="1" si="4"/>
        <v>18453.370876286703</v>
      </c>
      <c r="L31" s="68">
        <f t="shared" ca="1" si="7"/>
        <v>311018.68750274449</v>
      </c>
      <c r="M31" s="69">
        <f t="shared" ca="1" si="8"/>
        <v>309459.34930647473</v>
      </c>
      <c r="N31" s="70"/>
      <c r="O31" s="71">
        <f ca="1">IF($C31="",0,
K31*Decrements!D28+(O30-P30-Q30)*(1+G30))</f>
        <v>341912.80587914115</v>
      </c>
      <c r="P31" s="72">
        <f ca="1">M31*Assumptions!$B$19*Decrements!E28</f>
        <v>0</v>
      </c>
      <c r="Q31" s="72">
        <f ca="1">L32*(Decrements!F28+Decrements!G28)</f>
        <v>0</v>
      </c>
      <c r="S31" s="73">
        <f ca="1">IF($C32="","",L32-L31*(1+i))</f>
        <v>18453.370876287052</v>
      </c>
      <c r="T31" s="74">
        <f ca="1">IFERROR(S31-K31,"")</f>
        <v>3.4924596548080444E-10</v>
      </c>
      <c r="U31" s="107"/>
      <c r="V31" s="108">
        <f ca="1">IFERROR(J31/PUC_Projection!H31,"")</f>
        <v>0.97473752206847963</v>
      </c>
      <c r="W31" s="108">
        <f ca="1">IF($C31="","",($D$5-$D$9)/$H$14*(1+$D$10)^-(C31-$D$9+1))</f>
        <v>0.97473752206847719</v>
      </c>
      <c r="X31" s="109">
        <f t="shared" ca="1" si="5"/>
        <v>2.4424906541753444E-15</v>
      </c>
    </row>
    <row r="32" spans="2:24" ht="15" customHeight="1" x14ac:dyDescent="0.25">
      <c r="B32" s="61">
        <f t="shared" si="9"/>
        <v>18</v>
      </c>
      <c r="C32" s="75">
        <f t="shared" si="6"/>
        <v>48</v>
      </c>
      <c r="D32" s="76">
        <f t="shared" ca="1" si="10"/>
        <v>0.1</v>
      </c>
      <c r="E32" s="77">
        <f t="shared" ca="1" si="11"/>
        <v>190602.78150009498</v>
      </c>
      <c r="F32" s="66">
        <f t="shared" ref="F32:G47" ca="1" si="13">IF($C32="","",F31)</f>
        <v>3.6484317092170926E-2</v>
      </c>
      <c r="G32" s="66">
        <f t="shared" si="13"/>
        <v>0.04</v>
      </c>
      <c r="I32" s="106">
        <f t="shared" ca="1" si="2"/>
        <v>1.9898700345357883</v>
      </c>
      <c r="J32" s="67">
        <f t="shared" ca="1" si="3"/>
        <v>9.681585300620342E-2</v>
      </c>
      <c r="K32" s="69">
        <f t="shared" ca="1" si="4"/>
        <v>19126.629510756578</v>
      </c>
      <c r="L32" s="68">
        <f t="shared" ca="1" si="7"/>
        <v>341912.80587914132</v>
      </c>
      <c r="M32" s="69">
        <f t="shared" ca="1" si="8"/>
        <v>340769.35405983566</v>
      </c>
      <c r="N32" s="70"/>
      <c r="O32" s="71">
        <f ca="1">IF($C32="",0,
K32*Decrements!D29+(O31-P31-Q31)*(1+G31))</f>
        <v>374715.94762506336</v>
      </c>
      <c r="P32" s="72">
        <f ca="1">M32*Assumptions!$B$19*Decrements!E29</f>
        <v>0</v>
      </c>
      <c r="Q32" s="72">
        <f ca="1">L33*(Decrements!F29+Decrements!G29)</f>
        <v>0</v>
      </c>
      <c r="S32" s="73">
        <f ca="1">IF($C33="","",L33-L32*(1+i))</f>
        <v>19126.629510756989</v>
      </c>
      <c r="T32" s="74">
        <f ca="1">IFERROR(S32-K32,"")</f>
        <v>4.1109160520136356E-10</v>
      </c>
      <c r="U32" s="107"/>
      <c r="V32" s="108">
        <f ca="1">IFERROR(J32/PUC_Projection!H32,"")</f>
        <v>0.9714424566396761</v>
      </c>
      <c r="W32" s="108">
        <f ca="1">IF($C32="","",($D$5-$D$9)/$H$14*(1+$D$10)^-(C32-$D$9+1))</f>
        <v>0.97144245663967332</v>
      </c>
      <c r="X32" s="109">
        <f t="shared" ca="1" si="5"/>
        <v>2.7755575615628914E-15</v>
      </c>
    </row>
    <row r="33" spans="2:24" ht="15" customHeight="1" x14ac:dyDescent="0.25">
      <c r="B33" s="61">
        <f t="shared" si="9"/>
        <v>19</v>
      </c>
      <c r="C33" s="75">
        <f t="shared" si="6"/>
        <v>49</v>
      </c>
      <c r="D33" s="76">
        <f t="shared" ca="1" si="10"/>
        <v>0.1</v>
      </c>
      <c r="E33" s="77">
        <f t="shared" ca="1" si="11"/>
        <v>197556.79381899422</v>
      </c>
      <c r="F33" s="66">
        <f t="shared" ca="1" si="13"/>
        <v>3.6484317092170926E-2</v>
      </c>
      <c r="G33" s="66">
        <f t="shared" si="13"/>
        <v>0.04</v>
      </c>
      <c r="I33" s="106">
        <f t="shared" ca="1" si="2"/>
        <v>0.99661953566555117</v>
      </c>
      <c r="J33" s="67">
        <f t="shared" ca="1" si="3"/>
        <v>9.681585300620342E-2</v>
      </c>
      <c r="K33" s="69">
        <f t="shared" ca="1" si="4"/>
        <v>19824.4515267315</v>
      </c>
      <c r="L33" s="68">
        <f t="shared" ca="1" si="7"/>
        <v>374715.947625064</v>
      </c>
      <c r="M33" s="69">
        <f t="shared" ca="1" si="8"/>
        <v>374089.02423457516</v>
      </c>
      <c r="N33" s="70"/>
      <c r="O33" s="71">
        <f ca="1">IF($C33="",0,
K33*Decrements!D30+(O32-P32-Q32)*(1+G32))</f>
        <v>409529.03705679742</v>
      </c>
      <c r="P33" s="72">
        <f ca="1">M33*Assumptions!$B$19*Decrements!E30</f>
        <v>0</v>
      </c>
      <c r="Q33" s="72">
        <f ca="1">L34*(Decrements!F30+Decrements!G30)</f>
        <v>81905.807411359623</v>
      </c>
      <c r="S33" s="73">
        <f ca="1">IF($C34="","",L34-L33*(1+i))</f>
        <v>19824.451526731486</v>
      </c>
      <c r="T33" s="74">
        <f ca="1">IFERROR(S33-K33,"")</f>
        <v>-1.4551915228366852E-11</v>
      </c>
      <c r="U33" s="107"/>
      <c r="V33" s="108">
        <f ca="1">IFERROR(J33/PUC_Projection!H33,"")</f>
        <v>0.96815853006203412</v>
      </c>
      <c r="W33" s="108">
        <f ca="1">IF($C33="","",($D$5-$D$9)/$H$14*(1+$D$10)^-(C33-$D$9+1))</f>
        <v>0.96815853006203145</v>
      </c>
      <c r="X33" s="109">
        <f t="shared" ca="1" si="5"/>
        <v>2.6645352591003757E-15</v>
      </c>
    </row>
    <row r="34" spans="2:24" ht="15" customHeight="1" x14ac:dyDescent="0.25">
      <c r="B34" s="61">
        <f t="shared" si="9"/>
        <v>20</v>
      </c>
      <c r="C34" s="75">
        <f t="shared" si="6"/>
        <v>50</v>
      </c>
      <c r="D34" s="76">
        <f t="shared" ca="1" si="10"/>
        <v>0.1</v>
      </c>
      <c r="E34" s="77">
        <f t="shared" ca="1" si="11"/>
        <v>204764.51852839903</v>
      </c>
      <c r="F34" s="66">
        <f t="shared" ca="1" si="13"/>
        <v>3.6484317092170926E-2</v>
      </c>
      <c r="G34" s="66">
        <f t="shared" si="13"/>
        <v>0.04</v>
      </c>
      <c r="I34" s="106">
        <f t="shared" ca="1" si="2"/>
        <v>0</v>
      </c>
      <c r="J34" s="67">
        <f t="shared" ca="1" si="3"/>
        <v>9.681585300620342E-2</v>
      </c>
      <c r="K34" s="69">
        <f t="shared" ca="1" si="4"/>
        <v>20547.733102411141</v>
      </c>
      <c r="L34" s="68">
        <f t="shared" ca="1" si="7"/>
        <v>409529.03705679806</v>
      </c>
      <c r="M34" s="69">
        <f t="shared" ca="1" si="8"/>
        <v>409529.03705679806</v>
      </c>
      <c r="N34" s="70"/>
      <c r="O34" s="71">
        <f ca="1">IF($C34="",0,
K34*Decrements!D31+(O33-P33-Q33)*(1+G33))</f>
        <v>357166.34531318425</v>
      </c>
      <c r="P34" s="72">
        <f ca="1">M34*Assumptions!$B$19*Decrements!E31</f>
        <v>0</v>
      </c>
      <c r="Q34" s="72">
        <f ca="1">L35*(Decrements!F31+Decrements!G31)</f>
        <v>100006.57668769179</v>
      </c>
      <c r="S34" s="73">
        <f ca="1">IF($C35="","",L35-L34*(1+i))</f>
        <v>20547.733102411265</v>
      </c>
      <c r="T34" s="74">
        <f ca="1">IFERROR(S34-K34,"")</f>
        <v>1.2369127944111824E-10</v>
      </c>
      <c r="U34" s="107"/>
      <c r="V34" s="108">
        <f ca="1">IFERROR(J34/PUC_Projection!H34,"")</f>
        <v>0.96488570468106483</v>
      </c>
      <c r="W34" s="108">
        <f ca="1">IF($C34="","",($D$5-$D$9)/$H$14*(1+$D$10)^-(C34-$D$9+1))</f>
        <v>0.96488570468106205</v>
      </c>
      <c r="X34" s="109">
        <f t="shared" ca="1" si="5"/>
        <v>2.7755575615628914E-15</v>
      </c>
    </row>
    <row r="35" spans="2:24" ht="15" customHeight="1" x14ac:dyDescent="0.25">
      <c r="B35" s="61">
        <f t="shared" si="9"/>
        <v>21</v>
      </c>
      <c r="C35" s="75">
        <f t="shared" si="6"/>
        <v>51</v>
      </c>
      <c r="D35" s="76">
        <f t="shared" ca="1" si="10"/>
        <v>0.1</v>
      </c>
      <c r="E35" s="77">
        <f t="shared" ca="1" si="11"/>
        <v>212235.21215161486</v>
      </c>
      <c r="F35" s="66">
        <f t="shared" ca="1" si="13"/>
        <v>3.6484317092170926E-2</v>
      </c>
      <c r="G35" s="66">
        <f t="shared" si="13"/>
        <v>0.04</v>
      </c>
      <c r="I35" s="106">
        <f t="shared" ca="1" si="2"/>
        <v>-1</v>
      </c>
      <c r="J35" s="67">
        <f t="shared" ca="1" si="3"/>
        <v>9.681585300620342E-2</v>
      </c>
      <c r="K35" s="69">
        <f t="shared" ca="1" si="4"/>
        <v>21297.403112444805</v>
      </c>
      <c r="L35" s="68">
        <f t="shared" ca="1" si="7"/>
        <v>446457.93164148123</v>
      </c>
      <c r="M35" s="69">
        <f t="shared" ca="1" si="8"/>
        <v>447205.70846602356</v>
      </c>
      <c r="N35" s="70"/>
      <c r="O35" s="71">
        <f ca="1">IF($C35="",0,
K35*Decrements!D32+(O34-P34-Q34)*(1+G34))</f>
        <v>279713.46356328041</v>
      </c>
      <c r="P35" s="72">
        <f ca="1">M35*Assumptions!$B$19*Decrements!E32</f>
        <v>0</v>
      </c>
      <c r="Q35" s="72">
        <f ca="1">L36*(Decrements!F32+Decrements!G32)</f>
        <v>78319.769797718778</v>
      </c>
      <c r="S35" s="73">
        <f ca="1">IF($C36="","",L36-L35*(1+i))</f>
        <v>21297.403112445085</v>
      </c>
      <c r="T35" s="74">
        <f ca="1">IFERROR(S35-K35,"")</f>
        <v>2.801243681460619E-10</v>
      </c>
      <c r="U35" s="107"/>
      <c r="V35" s="108">
        <f ca="1">IFERROR(J35/PUC_Projection!H35,"")</f>
        <v>0.96162394296956888</v>
      </c>
      <c r="W35" s="108">
        <f ca="1">IF($C35="","",($D$5-$D$9)/$H$14*(1+$D$10)^-(C35-$D$9+1))</f>
        <v>0.9616239429695661</v>
      </c>
      <c r="X35" s="109">
        <f t="shared" ca="1" si="5"/>
        <v>2.7755575615628914E-15</v>
      </c>
    </row>
    <row r="36" spans="2:24" ht="15" customHeight="1" x14ac:dyDescent="0.25">
      <c r="B36" s="61">
        <f t="shared" si="9"/>
        <v>22</v>
      </c>
      <c r="C36" s="75">
        <f t="shared" si="6"/>
        <v>52</v>
      </c>
      <c r="D36" s="76">
        <f t="shared" ca="1" si="10"/>
        <v>0.1</v>
      </c>
      <c r="E36" s="77">
        <f t="shared" ca="1" si="11"/>
        <v>219978.46892987855</v>
      </c>
      <c r="F36" s="66">
        <f t="shared" ca="1" si="13"/>
        <v>3.6484317092170926E-2</v>
      </c>
      <c r="G36" s="66">
        <f t="shared" si="13"/>
        <v>0.04</v>
      </c>
      <c r="I36" s="106">
        <f t="shared" ca="1" si="2"/>
        <v>-2.0033919306350048</v>
      </c>
      <c r="J36" s="67">
        <f t="shared" ca="1" si="3"/>
        <v>9.681585300620342E-2</v>
      </c>
      <c r="K36" s="69">
        <f t="shared" ca="1" si="4"/>
        <v>22074.424320839033</v>
      </c>
      <c r="L36" s="68">
        <f t="shared" ca="1" si="7"/>
        <v>485613.6520195856</v>
      </c>
      <c r="M36" s="69">
        <f t="shared" ca="1" si="8"/>
        <v>487241.2671286962</v>
      </c>
      <c r="N36" s="70"/>
      <c r="O36" s="71">
        <f ca="1">IF($C36="",0,
K36*Decrements!D33+(O35-P35-Q35)*(1+G35))</f>
        <v>218604.14677052246</v>
      </c>
      <c r="P36" s="72">
        <f ca="1">M36*Assumptions!$B$19*Decrements!E33</f>
        <v>0</v>
      </c>
      <c r="Q36" s="72">
        <f ca="1">L37*(Decrements!F33+Decrements!G33)</f>
        <v>61209.161095746626</v>
      </c>
      <c r="S36" s="73">
        <f ca="1">IF($C37="","",L37-L36*(1+i))</f>
        <v>22074.42432083952</v>
      </c>
      <c r="T36" s="74">
        <f ca="1">IFERROR(S36-K36,"")</f>
        <v>4.8748916015028954E-10</v>
      </c>
      <c r="U36" s="107"/>
      <c r="V36" s="108">
        <f ca="1">IFERROR(J36/PUC_Projection!H36,"")</f>
        <v>0.95837320752720623</v>
      </c>
      <c r="W36" s="108">
        <f ca="1">IF($C36="","",($D$5-$D$9)/$H$14*(1+$D$10)^-(C36-$D$9+1))</f>
        <v>0.95837320752720301</v>
      </c>
      <c r="X36" s="109">
        <f t="shared" ca="1" si="5"/>
        <v>3.219646771412954E-15</v>
      </c>
    </row>
    <row r="37" spans="2:24" ht="15" customHeight="1" x14ac:dyDescent="0.25">
      <c r="B37" s="61">
        <f t="shared" si="9"/>
        <v>23</v>
      </c>
      <c r="C37" s="75">
        <f t="shared" si="6"/>
        <v>53</v>
      </c>
      <c r="D37" s="76">
        <f t="shared" ca="1" si="10"/>
        <v>0.1</v>
      </c>
      <c r="E37" s="77">
        <f t="shared" ca="1" si="11"/>
        <v>228004.2331437665</v>
      </c>
      <c r="F37" s="66">
        <f t="shared" ca="1" si="13"/>
        <v>3.6484317092170926E-2</v>
      </c>
      <c r="G37" s="66">
        <f t="shared" si="13"/>
        <v>0.04</v>
      </c>
      <c r="I37" s="106">
        <f t="shared" ca="1" si="2"/>
        <v>-3.0101872970984407</v>
      </c>
      <c r="J37" s="67">
        <f t="shared" ca="1" si="3"/>
        <v>9.681585300620342E-2</v>
      </c>
      <c r="K37" s="69">
        <f t="shared" ca="1" si="4"/>
        <v>22879.794617387655</v>
      </c>
      <c r="L37" s="68">
        <f t="shared" ca="1" si="7"/>
        <v>527112.62242120854</v>
      </c>
      <c r="M37" s="69">
        <f t="shared" ca="1" si="8"/>
        <v>529764.14135083684</v>
      </c>
      <c r="N37" s="70"/>
      <c r="O37" s="71">
        <f ca="1">IF($C37="",0,
K37*Decrements!D34+(O36-P36-Q36)*(1+G36))</f>
        <v>170522.65516684743</v>
      </c>
      <c r="P37" s="72">
        <f ca="1">M37*Assumptions!$B$19*Decrements!E34</f>
        <v>0</v>
      </c>
      <c r="Q37" s="72">
        <f ca="1">L38*(Decrements!F34+Decrements!G34)</f>
        <v>47746.343446717547</v>
      </c>
      <c r="S37" s="73">
        <f ca="1">IF($C38="","",L38-L37*(1+i))</f>
        <v>22879.794617386768</v>
      </c>
      <c r="T37" s="74">
        <f ca="1">IFERROR(S37-K37,"")</f>
        <v>-8.8766682893037796E-10</v>
      </c>
      <c r="U37" s="107"/>
      <c r="V37" s="108">
        <f ca="1">IFERROR(J37/PUC_Projection!H37,"")</f>
        <v>0.95513346108006703</v>
      </c>
      <c r="W37" s="108">
        <f ca="1">IF($C37="","",($D$5-$D$9)/$H$14*(1+$D$10)^-(C37-$D$9+1))</f>
        <v>0.95513346108006358</v>
      </c>
      <c r="X37" s="109">
        <f t="shared" ca="1" si="5"/>
        <v>3.4416913763379853E-15</v>
      </c>
    </row>
    <row r="38" spans="2:24" ht="15" customHeight="1" x14ac:dyDescent="0.25">
      <c r="B38" s="61">
        <f t="shared" si="9"/>
        <v>24</v>
      </c>
      <c r="C38" s="75">
        <f t="shared" si="6"/>
        <v>54</v>
      </c>
      <c r="D38" s="76">
        <f t="shared" ca="1" si="10"/>
        <v>0.1</v>
      </c>
      <c r="E38" s="77">
        <f t="shared" ca="1" si="11"/>
        <v>236322.81188414095</v>
      </c>
      <c r="F38" s="66">
        <f t="shared" ca="1" si="13"/>
        <v>3.6484317092170926E-2</v>
      </c>
      <c r="G38" s="66">
        <f t="shared" si="13"/>
        <v>0.04</v>
      </c>
      <c r="I38" s="106">
        <f t="shared" ca="1" si="2"/>
        <v>-4.0203976436084785</v>
      </c>
      <c r="J38" s="67">
        <f t="shared" ca="1" si="3"/>
        <v>9.681585300620342E-2</v>
      </c>
      <c r="K38" s="69">
        <f t="shared" ca="1" si="4"/>
        <v>23714.548299212169</v>
      </c>
      <c r="L38" s="68">
        <f t="shared" ca="1" si="7"/>
        <v>571076.92193544365</v>
      </c>
      <c r="M38" s="69">
        <f t="shared" ca="1" si="8"/>
        <v>574909.25948334287</v>
      </c>
      <c r="N38" s="70"/>
      <c r="O38" s="71">
        <f ca="1">IF($C38="",0,
K38*Decrements!D35+(O37-P37-Q37)*(1+G37))</f>
        <v>132785.77503771966</v>
      </c>
      <c r="P38" s="72">
        <f ca="1">M38*Assumptions!$B$19*Decrements!E35</f>
        <v>0</v>
      </c>
      <c r="Q38" s="72">
        <f ca="1">L39*(Decrements!F35+Decrements!G35)</f>
        <v>37180.017010561787</v>
      </c>
      <c r="S38" s="73">
        <f ca="1">IF($C39="","",L39-L38*(1+i))</f>
        <v>23714.548299212125</v>
      </c>
      <c r="T38" s="74">
        <f ca="1">IFERROR(S38-K38,"")</f>
        <v>-4.3655745685100555E-11</v>
      </c>
      <c r="U38" s="107"/>
      <c r="V38" s="108">
        <f ca="1">IFERROR(J38/PUC_Projection!H38,"")</f>
        <v>0.95190466648024508</v>
      </c>
      <c r="W38" s="108">
        <f ca="1">IF($C38="","",($D$5-$D$9)/$H$14*(1+$D$10)^-(C38-$D$9+1))</f>
        <v>0.95190466648024152</v>
      </c>
      <c r="X38" s="109">
        <f t="shared" ca="1" si="5"/>
        <v>3.5527136788005009E-15</v>
      </c>
    </row>
    <row r="39" spans="2:24" ht="15" customHeight="1" x14ac:dyDescent="0.25">
      <c r="B39" s="61">
        <f t="shared" si="9"/>
        <v>25</v>
      </c>
      <c r="C39" s="75">
        <f t="shared" si="6"/>
        <v>55</v>
      </c>
      <c r="D39" s="76">
        <f t="shared" ca="1" si="10"/>
        <v>0.1</v>
      </c>
      <c r="E39" s="77">
        <f t="shared" ca="1" si="11"/>
        <v>244944.88828903541</v>
      </c>
      <c r="F39" s="66">
        <f t="shared" ca="1" si="13"/>
        <v>3.6484317092170926E-2</v>
      </c>
      <c r="G39" s="66">
        <f t="shared" si="13"/>
        <v>0.04</v>
      </c>
      <c r="I39" s="106">
        <f t="shared" ca="1" si="2"/>
        <v>-5.0340345535406605</v>
      </c>
      <c r="J39" s="67">
        <f t="shared" ca="1" si="3"/>
        <v>9.681585300620342E-2</v>
      </c>
      <c r="K39" s="69">
        <f t="shared" ca="1" si="4"/>
        <v>24579.757399058228</v>
      </c>
      <c r="L39" s="68">
        <f t="shared" ca="1" si="7"/>
        <v>617634.54711207352</v>
      </c>
      <c r="M39" s="69">
        <f t="shared" ca="1" si="8"/>
        <v>622818.36444028805</v>
      </c>
      <c r="N39" s="70"/>
      <c r="O39" s="71">
        <f ca="1">IF($C39="",0,
K39*Decrements!D36+(O38-P38-Q38)*(1+G38))</f>
        <v>103234.77282678182</v>
      </c>
      <c r="P39" s="72">
        <f ca="1">M39*Assumptions!$B$19*Decrements!E36</f>
        <v>0</v>
      </c>
      <c r="Q39" s="72">
        <f ca="1">L40*(Decrements!F36+Decrements!G36)</f>
        <v>28905.736391499195</v>
      </c>
      <c r="S39" s="73">
        <f ca="1">IF($C40="","",L40-L39*(1+i))</f>
        <v>24579.757399058202</v>
      </c>
      <c r="T39" s="74">
        <f ca="1">IFERROR(S39-K39,"")</f>
        <v>-2.5465851649641991E-11</v>
      </c>
      <c r="U39" s="107"/>
      <c r="V39" s="108">
        <f ca="1">IFERROR(J39/PUC_Projection!H39,"")</f>
        <v>0.94868678670541096</v>
      </c>
      <c r="W39" s="108">
        <f ca="1">IF($C39="","",($D$5-$D$9)/$H$14*(1+$D$10)^-(C39-$D$9+1))</f>
        <v>0.94868678670540751</v>
      </c>
      <c r="X39" s="109">
        <f t="shared" ca="1" si="5"/>
        <v>3.4416913763379853E-15</v>
      </c>
    </row>
    <row r="40" spans="2:24" ht="15" customHeight="1" x14ac:dyDescent="0.25">
      <c r="B40" s="61">
        <f t="shared" si="9"/>
        <v>26</v>
      </c>
      <c r="C40" s="75">
        <f t="shared" si="6"/>
        <v>56</v>
      </c>
      <c r="D40" s="76">
        <f t="shared" ca="1" si="10"/>
        <v>0.1</v>
      </c>
      <c r="E40" s="77">
        <f t="shared" ca="1" si="11"/>
        <v>253881.53526347896</v>
      </c>
      <c r="F40" s="66">
        <f t="shared" ca="1" si="13"/>
        <v>3.6484317092170926E-2</v>
      </c>
      <c r="G40" s="66">
        <f t="shared" si="13"/>
        <v>0.04</v>
      </c>
      <c r="I40" s="106">
        <f t="shared" ca="1" si="2"/>
        <v>-6.0511096495603978</v>
      </c>
      <c r="J40" s="67">
        <f t="shared" ca="1" si="3"/>
        <v>9.681585300620342E-2</v>
      </c>
      <c r="K40" s="69">
        <f t="shared" ca="1" si="4"/>
        <v>25476.533062054103</v>
      </c>
      <c r="L40" s="68">
        <f t="shared" ca="1" si="7"/>
        <v>666919.68639561464</v>
      </c>
      <c r="M40" s="69">
        <f t="shared" ca="1" si="8"/>
        <v>673640.34297861578</v>
      </c>
      <c r="N40" s="70"/>
      <c r="O40" s="71">
        <f ca="1">IF($C40="",0,
K40*Decrements!D37+(O39-P39-Q39)*(1+G39))</f>
        <v>80141.589490876286</v>
      </c>
      <c r="P40" s="72">
        <f ca="1">M40*Assumptions!$B$19*Decrements!E37</f>
        <v>0</v>
      </c>
      <c r="Q40" s="72">
        <f ca="1">L41*(Decrements!F37+Decrements!G37)</f>
        <v>22439.645057445683</v>
      </c>
      <c r="S40" s="73">
        <f ca="1">IF($C41="","",L41-L40*(1+i))</f>
        <v>25476.533062054892</v>
      </c>
      <c r="T40" s="74">
        <f ca="1">IFERROR(S40-K40,"")</f>
        <v>7.8944140113890171E-10</v>
      </c>
      <c r="U40" s="107"/>
      <c r="V40" s="108">
        <f ca="1">IFERROR(J40/PUC_Projection!H40,"")</f>
        <v>0.94547978485838857</v>
      </c>
      <c r="W40" s="108">
        <f ca="1">IF($C40="","",($D$5-$D$9)/$H$14*(1+$D$10)^-(C40-$D$9+1))</f>
        <v>0.94547978485838458</v>
      </c>
      <c r="X40" s="109">
        <f t="shared" ca="1" si="5"/>
        <v>3.9968028886505635E-15</v>
      </c>
    </row>
    <row r="41" spans="2:24" ht="15" customHeight="1" x14ac:dyDescent="0.25">
      <c r="B41" s="61">
        <f t="shared" si="9"/>
        <v>27</v>
      </c>
      <c r="C41" s="75">
        <f t="shared" si="6"/>
        <v>57</v>
      </c>
      <c r="D41" s="76">
        <f t="shared" ca="1" si="10"/>
        <v>0.1</v>
      </c>
      <c r="E41" s="77">
        <f t="shared" ca="1" si="11"/>
        <v>263144.2296998789</v>
      </c>
      <c r="F41" s="66">
        <f t="shared" ca="1" si="13"/>
        <v>3.6484317092170926E-2</v>
      </c>
      <c r="G41" s="66">
        <f t="shared" si="13"/>
        <v>0.04</v>
      </c>
      <c r="I41" s="106">
        <f t="shared" ca="1" si="2"/>
        <v>-7.0716345937564471</v>
      </c>
      <c r="J41" s="67">
        <f t="shared" ca="1" si="3"/>
        <v>9.681585300620342E-2</v>
      </c>
      <c r="K41" s="69">
        <f t="shared" ca="1" si="4"/>
        <v>26406.026972699259</v>
      </c>
      <c r="L41" s="68">
        <f t="shared" ca="1" si="7"/>
        <v>719073.00691349409</v>
      </c>
      <c r="M41" s="69">
        <f t="shared" ca="1" si="8"/>
        <v>727531.57041690487</v>
      </c>
      <c r="N41" s="70"/>
      <c r="O41" s="71">
        <f ca="1">IF($C41="",0,
K41*Decrements!D38+(O40-P40-Q40)*(1+G40))</f>
        <v>62128.97131111932</v>
      </c>
      <c r="P41" s="72">
        <f ca="1">M41*Assumptions!$B$19*Decrements!E38</f>
        <v>0</v>
      </c>
      <c r="Q41" s="72">
        <f ca="1">L42*(Decrements!F38+Decrements!G38)</f>
        <v>17396.111967113753</v>
      </c>
      <c r="S41" s="73">
        <f ca="1">IF($C42="","",L42-L41*(1+i))</f>
        <v>26406.026972699561</v>
      </c>
      <c r="T41" s="74">
        <f ca="1">IFERROR(S41-K41,"")</f>
        <v>3.0195224098861217E-10</v>
      </c>
      <c r="U41" s="107"/>
      <c r="V41" s="108">
        <f ca="1">IFERROR(J41/PUC_Projection!H41,"")</f>
        <v>0.94228362416673017</v>
      </c>
      <c r="W41" s="108">
        <f ca="1">IF($C41="","",($D$5-$D$9)/$H$14*(1+$D$10)^-(C41-$D$9+1))</f>
        <v>0.9422836241667264</v>
      </c>
      <c r="X41" s="109">
        <f t="shared" ca="1" si="5"/>
        <v>3.7747582837255322E-15</v>
      </c>
    </row>
    <row r="42" spans="2:24" ht="15" customHeight="1" x14ac:dyDescent="0.25">
      <c r="B42" s="61">
        <f t="shared" si="9"/>
        <v>28</v>
      </c>
      <c r="C42" s="75">
        <f t="shared" si="6"/>
        <v>58</v>
      </c>
      <c r="D42" s="76">
        <f t="shared" ca="1" si="10"/>
        <v>0.1</v>
      </c>
      <c r="E42" s="77">
        <f t="shared" ca="1" si="11"/>
        <v>272744.86721722432</v>
      </c>
      <c r="F42" s="66">
        <f t="shared" ca="1" si="13"/>
        <v>3.6484317092170926E-2</v>
      </c>
      <c r="G42" s="66">
        <f t="shared" si="13"/>
        <v>0.04</v>
      </c>
      <c r="I42" s="106">
        <f t="shared" ca="1" si="2"/>
        <v>-8.0956210877744557</v>
      </c>
      <c r="J42" s="67">
        <f t="shared" ca="1" si="3"/>
        <v>9.681585300620342E-2</v>
      </c>
      <c r="K42" s="69">
        <f t="shared" ca="1" si="4"/>
        <v>27369.432833915638</v>
      </c>
      <c r="L42" s="68">
        <f t="shared" ca="1" si="7"/>
        <v>774241.9541627334</v>
      </c>
      <c r="M42" s="69">
        <f t="shared" ca="1" si="8"/>
        <v>784656.27150149154</v>
      </c>
      <c r="N42" s="70"/>
      <c r="O42" s="71">
        <f ca="1">IF($C42="",0,
K42*Decrements!D39+(O41-P41-Q41)*(1+G41))</f>
        <v>48103.479125852034</v>
      </c>
      <c r="P42" s="72">
        <f ca="1">M42*Assumptions!$B$19*Decrements!E39</f>
        <v>0</v>
      </c>
      <c r="Q42" s="72">
        <f ca="1">L43*(Decrements!F39+Decrements!G39)</f>
        <v>13468.974155238937</v>
      </c>
      <c r="S42" s="73">
        <f ca="1">IF($C43="","",L43-L42*(1+i))</f>
        <v>27369.432833916275</v>
      </c>
      <c r="T42" s="74">
        <f ca="1">IFERROR(S42-K42,"")</f>
        <v>6.3664629124104977E-10</v>
      </c>
      <c r="U42" s="107"/>
      <c r="V42" s="108">
        <f ca="1">IFERROR(J42/PUC_Projection!H42,"")</f>
        <v>0.93909826798229734</v>
      </c>
      <c r="W42" s="108">
        <f ca="1">IF($C42="","",($D$5-$D$9)/$H$14*(1+$D$10)^-(C42-$D$9+1))</f>
        <v>0.93909826798229346</v>
      </c>
      <c r="X42" s="109">
        <f t="shared" ca="1" si="5"/>
        <v>3.8857805861880479E-15</v>
      </c>
    </row>
    <row r="43" spans="2:24" ht="15" customHeight="1" x14ac:dyDescent="0.25">
      <c r="B43" s="61">
        <f t="shared" si="9"/>
        <v>29</v>
      </c>
      <c r="C43" s="75">
        <f t="shared" si="6"/>
        <v>59</v>
      </c>
      <c r="D43" s="76">
        <f t="shared" ca="1" si="10"/>
        <v>0.1</v>
      </c>
      <c r="E43" s="77">
        <f t="shared" ca="1" si="11"/>
        <v>282695.7774380396</v>
      </c>
      <c r="F43" s="66">
        <f t="shared" ca="1" si="13"/>
        <v>3.6484317092170926E-2</v>
      </c>
      <c r="G43" s="66">
        <f t="shared" si="13"/>
        <v>0.04</v>
      </c>
      <c r="I43" s="106">
        <f t="shared" ca="1" si="2"/>
        <v>-9.1230808729513555</v>
      </c>
      <c r="J43" s="67">
        <f t="shared" ca="1" si="3"/>
        <v>9.681585300620342E-2</v>
      </c>
      <c r="K43" s="69">
        <f t="shared" ca="1" si="4"/>
        <v>28367.987900061089</v>
      </c>
      <c r="L43" s="68">
        <f t="shared" ca="1" si="7"/>
        <v>832581.06516315904</v>
      </c>
      <c r="M43" s="69">
        <f t="shared" ca="1" si="8"/>
        <v>845186.8981601781</v>
      </c>
      <c r="N43" s="70"/>
      <c r="O43" s="71">
        <f ca="1">IF($C43="",0,
K43*Decrements!D40+(O42-P42-Q42)*(1+G42))</f>
        <v>37199.963913768006</v>
      </c>
      <c r="P43" s="72">
        <f ca="1">M43*Assumptions!$B$19*Decrements!E40</f>
        <v>0</v>
      </c>
      <c r="Q43" s="72">
        <f ca="1">L44*(Decrements!F40+Decrements!G40)</f>
        <v>10415.989895855413</v>
      </c>
      <c r="S43" s="73">
        <f ca="1">IF($C44="","",L44-L43*(1+i))</f>
        <v>28367.987900060252</v>
      </c>
      <c r="T43" s="74">
        <f ca="1">IFERROR(S43-K43,"")</f>
        <v>-8.3673512563109398E-10</v>
      </c>
      <c r="U43" s="107"/>
      <c r="V43" s="108">
        <f ca="1">IFERROR(J43/PUC_Projection!H43,"")</f>
        <v>0.93592367978083835</v>
      </c>
      <c r="W43" s="108">
        <f ca="1">IF($C43="","",($D$5-$D$9)/$H$14*(1+$D$10)^-(C43-$D$9+1))</f>
        <v>0.93592367978083457</v>
      </c>
      <c r="X43" s="109">
        <f t="shared" ca="1" si="5"/>
        <v>3.7747582837255322E-15</v>
      </c>
    </row>
    <row r="44" spans="2:24" ht="15" customHeight="1" x14ac:dyDescent="0.25">
      <c r="B44" s="61">
        <f t="shared" si="9"/>
        <v>30</v>
      </c>
      <c r="C44" s="75">
        <f t="shared" si="6"/>
        <v>60</v>
      </c>
      <c r="D44" s="76">
        <f t="shared" ca="1" si="10"/>
        <v>0.1</v>
      </c>
      <c r="E44" s="77">
        <f t="shared" ca="1" si="11"/>
        <v>293009.73982270679</v>
      </c>
      <c r="F44" s="66">
        <f t="shared" ca="1" si="13"/>
        <v>3.6484317092170926E-2</v>
      </c>
      <c r="G44" s="66">
        <f t="shared" si="13"/>
        <v>0.04</v>
      </c>
      <c r="I44" s="106">
        <f t="shared" ca="1" si="2"/>
        <v>-10.154025730449758</v>
      </c>
      <c r="J44" s="67">
        <f t="shared" ca="1" si="3"/>
        <v>9.681585300620342E-2</v>
      </c>
      <c r="K44" s="69">
        <f t="shared" ca="1" si="4"/>
        <v>29402.974565873785</v>
      </c>
      <c r="L44" s="68">
        <f t="shared" ca="1" si="7"/>
        <v>894252.29566974565</v>
      </c>
      <c r="M44" s="69">
        <f t="shared" ca="1" si="8"/>
        <v>909304.52491715702</v>
      </c>
      <c r="N44" s="70"/>
      <c r="O44" s="71">
        <f ca="1">IF($C44="",0,
K44*Decrements!D41+(O43-P43-Q43)*(1+G43))</f>
        <v>28735.988818860329</v>
      </c>
      <c r="P44" s="72">
        <f ca="1">M44*Assumptions!$B$19*Decrements!E41</f>
        <v>0</v>
      </c>
      <c r="Q44" s="72">
        <f ca="1">L45*(Decrements!F41+Decrements!G41)</f>
        <v>8046.0768692812962</v>
      </c>
      <c r="S44" s="73">
        <f ca="1">IF($C45="","",L45-L44*(1+i))</f>
        <v>29402.974565875833</v>
      </c>
      <c r="T44" s="74">
        <f ca="1">IFERROR(S44-K44,"")</f>
        <v>2.0481820683926344E-9</v>
      </c>
      <c r="U44" s="107"/>
      <c r="V44" s="108">
        <f ca="1">IFERROR(J44/PUC_Projection!H44,"")</f>
        <v>0.93275982316157136</v>
      </c>
      <c r="W44" s="108">
        <f ca="1">IF($C44="","",($D$5-$D$9)/$H$14*(1+$D$10)^-(C44-$D$9+1))</f>
        <v>0.93275982316156703</v>
      </c>
      <c r="X44" s="109">
        <f t="shared" ca="1" si="5"/>
        <v>4.3298697960381105E-15</v>
      </c>
    </row>
    <row r="45" spans="2:24" ht="15" customHeight="1" x14ac:dyDescent="0.25">
      <c r="B45" s="61">
        <f t="shared" si="9"/>
        <v>31</v>
      </c>
      <c r="C45" s="75">
        <f t="shared" si="6"/>
        <v>61</v>
      </c>
      <c r="D45" s="76">
        <f t="shared" ca="1" si="10"/>
        <v>0.1</v>
      </c>
      <c r="E45" s="77">
        <f t="shared" ca="1" si="11"/>
        <v>303700.00008149294</v>
      </c>
      <c r="F45" s="66">
        <f t="shared" ca="1" si="13"/>
        <v>3.6484317092170926E-2</v>
      </c>
      <c r="G45" s="66">
        <f t="shared" si="13"/>
        <v>0.04</v>
      </c>
      <c r="I45" s="106">
        <f t="shared" ca="1" si="2"/>
        <v>-11.188467481393397</v>
      </c>
      <c r="J45" s="67">
        <f t="shared" ca="1" si="3"/>
        <v>9.681585300620342E-2</v>
      </c>
      <c r="K45" s="69">
        <f t="shared" ca="1" si="4"/>
        <v>30475.722013388164</v>
      </c>
      <c r="L45" s="68">
        <f t="shared" ca="1" si="7"/>
        <v>959425.36206241138</v>
      </c>
      <c r="M45" s="69">
        <f t="shared" ca="1" si="8"/>
        <v>977199.26277763781</v>
      </c>
      <c r="N45" s="70"/>
      <c r="O45" s="71">
        <f ca="1">IF($C45="",0,
K45*Decrements!D42+(O44-P44-Q44)*(1+G44))</f>
        <v>22174.714323914013</v>
      </c>
      <c r="P45" s="72">
        <f ca="1">M45*Assumptions!$B$19*Decrements!E42</f>
        <v>0</v>
      </c>
      <c r="Q45" s="72">
        <f ca="1">L46*(Decrements!F42+Decrements!G42)</f>
        <v>6208.9200106963344</v>
      </c>
      <c r="S45" s="73">
        <f ca="1">IF($C46="","",L46-L45*(1+i))</f>
        <v>30475.722013386548</v>
      </c>
      <c r="T45" s="74">
        <f ca="1">IFERROR(S45-K45,"")</f>
        <v>-1.6152625903487206E-9</v>
      </c>
      <c r="U45" s="107"/>
      <c r="V45" s="108">
        <f ca="1">IFERROR(J45/PUC_Projection!H45,"")</f>
        <v>0.92960666184676466</v>
      </c>
      <c r="W45" s="108">
        <f ca="1">IF($C45="","",($D$5-$D$9)/$H$14*(1+$D$10)^-(C45-$D$9+1))</f>
        <v>0.92960666184676044</v>
      </c>
      <c r="X45" s="109">
        <f t="shared" ca="1" si="5"/>
        <v>4.2188474935755949E-15</v>
      </c>
    </row>
    <row r="46" spans="2:24" ht="15" customHeight="1" x14ac:dyDescent="0.25">
      <c r="B46" s="61">
        <f t="shared" si="9"/>
        <v>32</v>
      </c>
      <c r="C46" s="75">
        <f t="shared" si="6"/>
        <v>62</v>
      </c>
      <c r="D46" s="76">
        <f t="shared" ca="1" si="10"/>
        <v>0.1</v>
      </c>
      <c r="E46" s="77">
        <f t="shared" ca="1" si="11"/>
        <v>314780.28718535847</v>
      </c>
      <c r="F46" s="66">
        <f t="shared" ca="1" si="13"/>
        <v>3.6484317092170926E-2</v>
      </c>
      <c r="G46" s="66">
        <f t="shared" si="13"/>
        <v>0.04</v>
      </c>
      <c r="I46" s="106">
        <f t="shared" ref="I46:I77" ca="1" si="14">IFERROR((1-(1+$D$10)^-($D$5-$C46))/$D$10,0)</f>
        <v>-12.226417987002044</v>
      </c>
      <c r="J46" s="67">
        <f t="shared" ref="J46:J77" ca="1" si="15">IF($C46="","",
D46*($D$5-$D$9)*((1+F46)/(1+G46))^($D$5-$D$9)/$H$14)</f>
        <v>9.681585300620342E-2</v>
      </c>
      <c r="K46" s="69">
        <f t="shared" ref="K46:K77" ca="1" si="16">IF($C47="",0,
J46*E46*(1+F46))</f>
        <v>31587.607918937472</v>
      </c>
      <c r="L46" s="68">
        <f t="shared" ca="1" si="7"/>
        <v>1028278.0985582945</v>
      </c>
      <c r="M46" s="69">
        <f t="shared" ca="1" si="8"/>
        <v>1049070.6924270901</v>
      </c>
      <c r="N46" s="70"/>
      <c r="O46" s="71">
        <f ca="1">IF($C46="",0,
K46*Decrements!D43+(O45-P45-Q45)*(1+G45))</f>
        <v>17094.87828110818</v>
      </c>
      <c r="P46" s="72">
        <f ca="1">M46*Assumptions!$B$19*Decrements!E43</f>
        <v>0</v>
      </c>
      <c r="Q46" s="72">
        <f ca="1">L47*(Decrements!F43+Decrements!G43)</f>
        <v>4786.5659187107203</v>
      </c>
      <c r="S46" s="73">
        <f ca="1">IF($C47="","",L47-L46*(1+i))</f>
        <v>31587.607918937923</v>
      </c>
      <c r="T46" s="74">
        <f ca="1">IFERROR(S46-K46,"")</f>
        <v>4.5110937207937241E-10</v>
      </c>
      <c r="U46" s="107"/>
      <c r="V46" s="108">
        <f ca="1">IFERROR(J46/PUC_Projection!H46,"")</f>
        <v>0.92646415968132356</v>
      </c>
      <c r="W46" s="108">
        <f ca="1">IF($C46="","",($D$5-$D$9)/$H$14*(1+$D$10)^-(C46-$D$9+1))</f>
        <v>0.92646415968131923</v>
      </c>
      <c r="X46" s="109">
        <f t="shared" ref="X46:X77" ca="1" si="17">IFERROR(V46-W46,"")</f>
        <v>4.3298697960381105E-15</v>
      </c>
    </row>
    <row r="47" spans="2:24" ht="15" customHeight="1" x14ac:dyDescent="0.25">
      <c r="B47" s="61">
        <f t="shared" si="9"/>
        <v>33</v>
      </c>
      <c r="C47" s="75">
        <f t="shared" si="6"/>
        <v>63</v>
      </c>
      <c r="D47" s="76">
        <f t="shared" ca="1" si="10"/>
        <v>0.1</v>
      </c>
      <c r="E47" s="77">
        <f t="shared" ca="1" si="11"/>
        <v>326264.8309973937</v>
      </c>
      <c r="F47" s="66">
        <f t="shared" ca="1" si="13"/>
        <v>3.6484317092170926E-2</v>
      </c>
      <c r="G47" s="66">
        <f t="shared" si="13"/>
        <v>0.04</v>
      </c>
      <c r="I47" s="106">
        <f t="shared" ca="1" si="14"/>
        <v>-13.267889148728333</v>
      </c>
      <c r="J47" s="67">
        <f t="shared" ca="1" si="15"/>
        <v>9.681585300620342E-2</v>
      </c>
      <c r="K47" s="69">
        <f t="shared" ca="1" si="16"/>
        <v>32740.060222435153</v>
      </c>
      <c r="L47" s="68">
        <f t="shared" ca="1" si="7"/>
        <v>1100996.8304195642</v>
      </c>
      <c r="M47" s="69">
        <f t="shared" ca="1" si="8"/>
        <v>1125128.3176280539</v>
      </c>
      <c r="N47" s="70"/>
      <c r="O47" s="71">
        <f ca="1">IF($C47="",0,
K47*Decrements!D44+(O46-P46-Q46)*(1+G46))</f>
        <v>13166.653983212025</v>
      </c>
      <c r="P47" s="72">
        <f ca="1">M47*Assumptions!$B$19*Decrements!E44</f>
        <v>0</v>
      </c>
      <c r="Q47" s="72">
        <f ca="1">L48*(Decrements!F44+Decrements!G44)</f>
        <v>3686.6631152998116</v>
      </c>
      <c r="S47" s="73">
        <f ca="1">IF($C48="","",L48-L47*(1+i))</f>
        <v>32740.060222434578</v>
      </c>
      <c r="T47" s="74">
        <f ca="1">IFERROR(S47-K47,"")</f>
        <v>-5.7480065152049065E-10</v>
      </c>
      <c r="U47" s="107"/>
      <c r="V47" s="108">
        <f ca="1">IFERROR(J47/PUC_Projection!H47,"")</f>
        <v>0.92333228063237383</v>
      </c>
      <c r="W47" s="108">
        <f ca="1">IF($C47="","",($D$5-$D$9)/$H$14*(1+$D$10)^-(C47-$D$9+1))</f>
        <v>0.92333228063236927</v>
      </c>
      <c r="X47" s="109">
        <f t="shared" ca="1" si="17"/>
        <v>4.5519144009631418E-15</v>
      </c>
    </row>
    <row r="48" spans="2:24" ht="15" customHeight="1" x14ac:dyDescent="0.25">
      <c r="B48" s="61">
        <f t="shared" si="9"/>
        <v>34</v>
      </c>
      <c r="C48" s="75">
        <f t="shared" si="6"/>
        <v>64</v>
      </c>
      <c r="D48" s="76">
        <f t="shared" ca="1" si="10"/>
        <v>0.1</v>
      </c>
      <c r="E48" s="77">
        <f t="shared" ca="1" si="11"/>
        <v>338168.38054752618</v>
      </c>
      <c r="F48" s="66">
        <f t="shared" ref="F48:G63" ca="1" si="18">IF($C48="","",F47)</f>
        <v>3.6484317092170926E-2</v>
      </c>
      <c r="G48" s="66">
        <f t="shared" si="18"/>
        <v>0.04</v>
      </c>
      <c r="I48" s="106">
        <f t="shared" ca="1" si="14"/>
        <v>-14.312892908393515</v>
      </c>
      <c r="J48" s="67">
        <f t="shared" ca="1" si="15"/>
        <v>9.681585300620342E-2</v>
      </c>
      <c r="K48" s="69">
        <f t="shared" ca="1" si="16"/>
        <v>33934.558961207251</v>
      </c>
      <c r="L48" s="68">
        <f t="shared" ca="1" si="7"/>
        <v>1177776.7638587814</v>
      </c>
      <c r="M48" s="69">
        <f t="shared" ca="1" si="8"/>
        <v>1205592.0397372118</v>
      </c>
      <c r="N48" s="70"/>
      <c r="O48" s="71">
        <f ca="1">IF($C48="",0,
K48*Decrements!D45+(O47-P47-Q47)*(1+G47))</f>
        <v>10132.331660554873</v>
      </c>
      <c r="P48" s="72">
        <f ca="1">M48*Assumptions!$B$19*Decrements!E45</f>
        <v>0</v>
      </c>
      <c r="Q48" s="72">
        <f ca="1">L49*(Decrements!F45+Decrements!G45)</f>
        <v>2837.0528649558282</v>
      </c>
      <c r="S48" s="73">
        <f ca="1">IF($C49="","",L49-L48*(1+i))</f>
        <v>33934.558961208211</v>
      </c>
      <c r="T48" s="74">
        <f ca="1">IFERROR(S48-K48,"")</f>
        <v>9.6042640507221222E-10</v>
      </c>
      <c r="U48" s="107"/>
      <c r="V48" s="108">
        <f ca="1">IFERROR(J48/PUC_Projection!H48,"")</f>
        <v>0.92021098878884877</v>
      </c>
      <c r="W48" s="108">
        <f ca="1">IF($C48="","",($D$5-$D$9)/$H$14*(1+$D$10)^-(C48-$D$9+1))</f>
        <v>0.920210988788844</v>
      </c>
      <c r="X48" s="109">
        <f t="shared" ca="1" si="17"/>
        <v>4.7739590058881731E-15</v>
      </c>
    </row>
    <row r="49" spans="2:24" ht="15" customHeight="1" x14ac:dyDescent="0.25">
      <c r="B49" s="61">
        <f t="shared" si="9"/>
        <v>35</v>
      </c>
      <c r="C49" s="75">
        <f t="shared" si="6"/>
        <v>65</v>
      </c>
      <c r="D49" s="76">
        <f t="shared" ca="1" si="10"/>
        <v>0.1</v>
      </c>
      <c r="E49" s="77">
        <f t="shared" ca="1" si="11"/>
        <v>350506.22297396802</v>
      </c>
      <c r="F49" s="66">
        <f t="shared" ca="1" si="18"/>
        <v>3.6484317092170926E-2</v>
      </c>
      <c r="G49" s="66">
        <f t="shared" si="18"/>
        <v>0.04</v>
      </c>
      <c r="I49" s="106">
        <f t="shared" ca="1" si="14"/>
        <v>-15.361441248324818</v>
      </c>
      <c r="J49" s="67">
        <f t="shared" ca="1" si="15"/>
        <v>9.681585300620342E-2</v>
      </c>
      <c r="K49" s="69">
        <f t="shared" ca="1" si="16"/>
        <v>35172.638170730905</v>
      </c>
      <c r="L49" s="68">
        <f t="shared" ca="1" si="7"/>
        <v>1258822.3933743408</v>
      </c>
      <c r="M49" s="69">
        <f t="shared" ca="1" si="8"/>
        <v>1290692.6543068972</v>
      </c>
      <c r="N49" s="70"/>
      <c r="O49" s="71">
        <f ca="1">IF($C49="",0,
K49*Decrements!D46+(O48-P48-Q48)*(1+G48))</f>
        <v>7790.926646533876</v>
      </c>
      <c r="P49" s="72">
        <f ca="1">M49*Assumptions!$B$19*Decrements!E46</f>
        <v>0</v>
      </c>
      <c r="Q49" s="72">
        <f ca="1">L50*(Decrements!F46+Decrements!G46)</f>
        <v>2181.4594610299682</v>
      </c>
      <c r="S49" s="73">
        <f ca="1">IF($C50="","",L50-L49*(1+i))</f>
        <v>35172.638170731021</v>
      </c>
      <c r="T49" s="74">
        <f ca="1">IFERROR(S49-K49,"")</f>
        <v>1.1641532182693481E-10</v>
      </c>
      <c r="U49" s="107"/>
      <c r="V49" s="108">
        <f ca="1">IFERROR(J49/PUC_Projection!H49,"")</f>
        <v>0.91710024836107817</v>
      </c>
      <c r="W49" s="108">
        <f ca="1">IF($C49="","",($D$5-$D$9)/$H$14*(1+$D$10)^-(C49-$D$9+1))</f>
        <v>0.91710024836107351</v>
      </c>
      <c r="X49" s="109">
        <f t="shared" ca="1" si="17"/>
        <v>4.6629367034256575E-15</v>
      </c>
    </row>
    <row r="50" spans="2:24" ht="15" customHeight="1" x14ac:dyDescent="0.25">
      <c r="B50" s="61">
        <f t="shared" si="9"/>
        <v>36</v>
      </c>
      <c r="C50" s="75">
        <f t="shared" si="6"/>
        <v>66</v>
      </c>
      <c r="D50" s="76">
        <f t="shared" ca="1" si="10"/>
        <v>0.1</v>
      </c>
      <c r="E50" s="77">
        <f t="shared" ca="1" si="11"/>
        <v>363294.20315572945</v>
      </c>
      <c r="F50" s="66">
        <f t="shared" ca="1" si="18"/>
        <v>3.6484317092170926E-2</v>
      </c>
      <c r="G50" s="66">
        <f t="shared" si="18"/>
        <v>0.04</v>
      </c>
      <c r="I50" s="106">
        <f t="shared" ca="1" si="14"/>
        <v>-16.413546191492571</v>
      </c>
      <c r="J50" s="67">
        <f t="shared" ca="1" si="15"/>
        <v>9.681585300620342E-2</v>
      </c>
      <c r="K50" s="69">
        <f t="shared" ca="1" si="16"/>
        <v>36455.887854720044</v>
      </c>
      <c r="L50" s="68">
        <f t="shared" ca="1" si="7"/>
        <v>1344347.9272800456</v>
      </c>
      <c r="M50" s="69">
        <f t="shared" ca="1" si="8"/>
        <v>1380672.3707785781</v>
      </c>
      <c r="N50" s="70"/>
      <c r="O50" s="71">
        <f ca="1">IF($C50="",0,
K50*Decrements!D47+(O49-P49-Q49)*(1+G49))</f>
        <v>5985.9628230749659</v>
      </c>
      <c r="P50" s="72">
        <f ca="1">M50*Assumptions!$B$19*Decrements!E47</f>
        <v>0</v>
      </c>
      <c r="Q50" s="72">
        <f ca="1">L51*(Decrements!F47+Decrements!G47)</f>
        <v>1676.0695904614927</v>
      </c>
      <c r="S50" s="73">
        <f ca="1">IF($C51="","",L51-L50*(1+i))</f>
        <v>36455.887854720233</v>
      </c>
      <c r="T50" s="74">
        <f ca="1">IFERROR(S50-K50,"")</f>
        <v>1.8917489796876907E-10</v>
      </c>
      <c r="U50" s="107"/>
      <c r="V50" s="108">
        <f ca="1">IFERROR(J50/PUC_Projection!H50,"")</f>
        <v>0.91400002368037736</v>
      </c>
      <c r="W50" s="108">
        <f ca="1">IF($C50="","",($D$5-$D$9)/$H$14*(1+$D$10)^-(C50-$D$9+1))</f>
        <v>0.91400002368037259</v>
      </c>
      <c r="X50" s="109">
        <f t="shared" ca="1" si="17"/>
        <v>4.7739590058881731E-15</v>
      </c>
    </row>
    <row r="51" spans="2:24" ht="15" customHeight="1" x14ac:dyDescent="0.25">
      <c r="B51" s="61">
        <f t="shared" si="9"/>
        <v>37</v>
      </c>
      <c r="C51" s="75">
        <f t="shared" si="6"/>
        <v>67</v>
      </c>
      <c r="D51" s="76">
        <f t="shared" ca="1" si="10"/>
        <v>0.1</v>
      </c>
      <c r="E51" s="77">
        <f t="shared" ca="1" si="11"/>
        <v>376548.74406141066</v>
      </c>
      <c r="F51" s="66">
        <f t="shared" ca="1" si="18"/>
        <v>3.6484317092170926E-2</v>
      </c>
      <c r="G51" s="66">
        <f t="shared" si="18"/>
        <v>0.04</v>
      </c>
      <c r="I51" s="106">
        <f t="shared" ca="1" si="14"/>
        <v>-17.46921980164829</v>
      </c>
      <c r="J51" s="67">
        <f t="shared" ca="1" si="15"/>
        <v>9.681585300620342E-2</v>
      </c>
      <c r="K51" s="69">
        <f t="shared" ca="1" si="16"/>
        <v>37785.956027088272</v>
      </c>
      <c r="L51" s="68">
        <f t="shared" ca="1" si="7"/>
        <v>1434577.7322259676</v>
      </c>
      <c r="M51" s="69">
        <f t="shared" ca="1" si="8"/>
        <v>1475785.3563211022</v>
      </c>
      <c r="N51" s="70"/>
      <c r="O51" s="71">
        <f ca="1">IF($C51="",0,
K51*Decrements!D48+(O50-P50-Q50)*(1+G50))</f>
        <v>4595.8090818186274</v>
      </c>
      <c r="P51" s="72">
        <f ca="1">M51*Assumptions!$B$19*Decrements!E48</f>
        <v>0</v>
      </c>
      <c r="Q51" s="72">
        <f ca="1">L52*(Decrements!F48+Decrements!G48)</f>
        <v>1286.8265429097382</v>
      </c>
      <c r="S51" s="73">
        <f ca="1">IF($C52="","",L52-L51*(1+i))</f>
        <v>37785.956027088454</v>
      </c>
      <c r="T51" s="74">
        <f ca="1">IFERROR(S51-K51,"")</f>
        <v>1.8189894035458565E-10</v>
      </c>
      <c r="U51" s="107"/>
      <c r="V51" s="108">
        <f ca="1">IFERROR(J51/PUC_Projection!H51,"")</f>
        <v>0.91091027919863843</v>
      </c>
      <c r="W51" s="108">
        <f ca="1">IF($C51="","",($D$5-$D$9)/$H$14*(1+$D$10)^-(C51-$D$9+1))</f>
        <v>0.91091027919863354</v>
      </c>
      <c r="X51" s="109">
        <f t="shared" ca="1" si="17"/>
        <v>4.8849813083506888E-15</v>
      </c>
    </row>
    <row r="52" spans="2:24" ht="15" customHeight="1" x14ac:dyDescent="0.25">
      <c r="B52" s="61">
        <f t="shared" si="9"/>
        <v>38</v>
      </c>
      <c r="C52" s="75">
        <f t="shared" si="6"/>
        <v>68</v>
      </c>
      <c r="D52" s="76">
        <f t="shared" ca="1" si="10"/>
        <v>0.1</v>
      </c>
      <c r="E52" s="77">
        <f t="shared" ca="1" si="11"/>
        <v>390286.8678404059</v>
      </c>
      <c r="F52" s="66">
        <f t="shared" ca="1" si="18"/>
        <v>3.6484317092170926E-2</v>
      </c>
      <c r="G52" s="66">
        <f t="shared" si="18"/>
        <v>0.04</v>
      </c>
      <c r="I52" s="106">
        <f t="shared" ca="1" si="14"/>
        <v>-18.528474183462833</v>
      </c>
      <c r="J52" s="67">
        <f t="shared" ca="1" si="15"/>
        <v>9.681585300620342E-2</v>
      </c>
      <c r="K52" s="69">
        <f t="shared" ca="1" si="16"/>
        <v>39164.550828411397</v>
      </c>
      <c r="L52" s="68">
        <f t="shared" ca="1" si="7"/>
        <v>1529746.7975420947</v>
      </c>
      <c r="M52" s="69">
        <f t="shared" ca="1" si="8"/>
        <v>1576298.304913783</v>
      </c>
      <c r="N52" s="70"/>
      <c r="O52" s="71">
        <f ca="1">IF($C52="",0,
K52*Decrements!D49+(O51-P51-Q51)*(1+G51))</f>
        <v>3526.0583537102611</v>
      </c>
      <c r="P52" s="72">
        <f ca="1">M52*Assumptions!$B$19*Decrements!E49</f>
        <v>0</v>
      </c>
      <c r="Q52" s="72">
        <f ca="1">L53*(Decrements!F49+Decrements!G49)</f>
        <v>987.29633903941783</v>
      </c>
      <c r="S52" s="73">
        <f ca="1">IF($C53="","",L53-L52*(1+i))</f>
        <v>39164.550828413805</v>
      </c>
      <c r="T52" s="74">
        <f ca="1">IFERROR(S52-K52,"")</f>
        <v>2.408341970294714E-9</v>
      </c>
      <c r="U52" s="107"/>
      <c r="V52" s="108">
        <f ca="1">IFERROR(J52/PUC_Projection!H52,"")</f>
        <v>0.90783097948792257</v>
      </c>
      <c r="W52" s="108">
        <f ca="1">IF($C52="","",($D$5-$D$9)/$H$14*(1+$D$10)^-(C52-$D$9+1))</f>
        <v>0.90783097948791747</v>
      </c>
      <c r="X52" s="109">
        <f t="shared" ca="1" si="17"/>
        <v>5.1070259132757201E-15</v>
      </c>
    </row>
    <row r="53" spans="2:24" ht="15" customHeight="1" x14ac:dyDescent="0.25">
      <c r="B53" s="61">
        <f t="shared" si="9"/>
        <v>39</v>
      </c>
      <c r="C53" s="75">
        <f t="shared" si="6"/>
        <v>69</v>
      </c>
      <c r="D53" s="76">
        <f t="shared" ca="1" si="10"/>
        <v>0.1</v>
      </c>
      <c r="E53" s="77">
        <f t="shared" ca="1" si="11"/>
        <v>404526.2176836055</v>
      </c>
      <c r="F53" s="66">
        <f t="shared" ca="1" si="18"/>
        <v>3.6484317092170926E-2</v>
      </c>
      <c r="G53" s="66">
        <f t="shared" si="18"/>
        <v>0.04</v>
      </c>
      <c r="I53" s="106">
        <f t="shared" ca="1" si="14"/>
        <v>-19.59132148266535</v>
      </c>
      <c r="J53" s="67">
        <f t="shared" ca="1" si="15"/>
        <v>9.681585300620342E-2</v>
      </c>
      <c r="K53" s="69">
        <f t="shared" ca="1" si="16"/>
        <v>40593.442719607607</v>
      </c>
      <c r="L53" s="68">
        <f t="shared" ca="1" si="7"/>
        <v>1630101.2202721923</v>
      </c>
      <c r="M53" s="69">
        <f t="shared" ca="1" si="8"/>
        <v>1682491.0328237643</v>
      </c>
      <c r="N53" s="70"/>
      <c r="O53" s="71">
        <f ca="1">IF($C53="",0,
K53*Decrements!D50+(O52-P52-Q52)*(1+G52))</f>
        <v>2703.5337781692538</v>
      </c>
      <c r="P53" s="72">
        <f ca="1">M53*Assumptions!$B$19*Decrements!E50</f>
        <v>0</v>
      </c>
      <c r="Q53" s="72">
        <f ca="1">L54*(Decrements!F50+Decrements!G50)</f>
        <v>756.98945788795675</v>
      </c>
      <c r="S53" s="73">
        <f ca="1">IF($C54="","",L54-L53*(1+i))</f>
        <v>40593.442719605053</v>
      </c>
      <c r="T53" s="74">
        <f ca="1">IFERROR(S53-K53,"")</f>
        <v>-2.5538611225783825E-9</v>
      </c>
      <c r="U53" s="107"/>
      <c r="V53" s="108">
        <f ca="1">IFERROR(J53/PUC_Projection!H53,"")</f>
        <v>0.90476208924005397</v>
      </c>
      <c r="W53" s="108">
        <f ca="1">IF($C53="","",($D$5-$D$9)/$H$14*(1+$D$10)^-(C53-$D$9+1))</f>
        <v>0.90476208924004875</v>
      </c>
      <c r="X53" s="109">
        <f t="shared" ca="1" si="17"/>
        <v>5.2180482157382357E-15</v>
      </c>
    </row>
    <row r="54" spans="2:24" ht="15" customHeight="1" x14ac:dyDescent="0.25">
      <c r="B54" s="61">
        <f t="shared" si="9"/>
        <v>40</v>
      </c>
      <c r="C54" s="75">
        <f t="shared" si="6"/>
        <v>70</v>
      </c>
      <c r="D54" s="76">
        <f t="shared" ca="1" si="10"/>
        <v>0.1</v>
      </c>
      <c r="E54" s="77">
        <f t="shared" ca="1" si="11"/>
        <v>419285.08048167074</v>
      </c>
      <c r="F54" s="66">
        <f t="shared" ca="1" si="18"/>
        <v>3.6484317092170926E-2</v>
      </c>
      <c r="G54" s="66">
        <f t="shared" si="18"/>
        <v>0.04</v>
      </c>
      <c r="I54" s="106">
        <f t="shared" ca="1" si="14"/>
        <v>-20.657773886182234</v>
      </c>
      <c r="J54" s="67">
        <f t="shared" ca="1" si="15"/>
        <v>9.681585300620342E-2</v>
      </c>
      <c r="K54" s="69">
        <f t="shared" ca="1" si="16"/>
        <v>42074.466755652647</v>
      </c>
      <c r="L54" s="68">
        <f t="shared" ca="1" si="7"/>
        <v>1735898.7118026852</v>
      </c>
      <c r="M54" s="69">
        <f t="shared" ca="1" si="8"/>
        <v>1794657.1016786818</v>
      </c>
      <c r="N54" s="70"/>
      <c r="O54" s="71">
        <f ca="1">IF($C54="",0,
K54*Decrements!D51+(O53-P53-Q53)*(1+G53))</f>
        <v>2071.5861582284429</v>
      </c>
      <c r="P54" s="72">
        <f ca="1">M54*Assumptions!$B$19*Decrements!E51</f>
        <v>0</v>
      </c>
      <c r="Q54" s="72">
        <f ca="1">L55*(Decrements!F51+Decrements!G51)</f>
        <v>580.04412430455216</v>
      </c>
      <c r="S54" s="73">
        <f ca="1">IF($C55="","",L55-L54*(1+i))</f>
        <v>42074.466755652567</v>
      </c>
      <c r="T54" s="74">
        <f ca="1">IFERROR(S54-K54,"")</f>
        <v>-8.0035533756017685E-11</v>
      </c>
      <c r="U54" s="107"/>
      <c r="V54" s="108">
        <f ca="1">IFERROR(J54/PUC_Projection!H54,"")</f>
        <v>0.90170357326621464</v>
      </c>
      <c r="W54" s="108">
        <f ca="1">IF($C54="","",($D$5-$D$9)/$H$14*(1+$D$10)^-(C54-$D$9+1))</f>
        <v>0.90170357326620909</v>
      </c>
      <c r="X54" s="109">
        <f t="shared" ca="1" si="17"/>
        <v>5.5511151231257827E-15</v>
      </c>
    </row>
    <row r="55" spans="2:24" ht="15" customHeight="1" x14ac:dyDescent="0.25">
      <c r="B55" s="61">
        <f t="shared" si="9"/>
        <v>41</v>
      </c>
      <c r="C55" s="75">
        <f t="shared" si="6"/>
        <v>71</v>
      </c>
      <c r="D55" s="76">
        <f t="shared" ca="1" si="10"/>
        <v>0.1</v>
      </c>
      <c r="E55" s="77">
        <f t="shared" ca="1" si="11"/>
        <v>434582.41030998045</v>
      </c>
      <c r="F55" s="66">
        <f t="shared" ca="1" si="18"/>
        <v>3.6484317092170926E-2</v>
      </c>
      <c r="G55" s="66">
        <f t="shared" si="18"/>
        <v>0.04</v>
      </c>
      <c r="I55" s="106">
        <f t="shared" ca="1" si="14"/>
        <v>-21.727843622277422</v>
      </c>
      <c r="J55" s="67">
        <f t="shared" ca="1" si="15"/>
        <v>9.681585300620342E-2</v>
      </c>
      <c r="K55" s="69">
        <f t="shared" ca="1" si="16"/>
        <v>43609.524942249882</v>
      </c>
      <c r="L55" s="68">
        <f t="shared" ca="1" si="7"/>
        <v>1847409.1270304453</v>
      </c>
      <c r="M55" s="69">
        <f t="shared" ca="1" si="8"/>
        <v>1913104.4703894751</v>
      </c>
      <c r="N55" s="70"/>
      <c r="O55" s="71">
        <f ca="1">IF($C55="",0,
K55*Decrements!D52+(O54-P54-Q54)*(1+G54))</f>
        <v>1586.4127215476201</v>
      </c>
      <c r="P55" s="72">
        <f ca="1">M55*Assumptions!$B$19*Decrements!E52</f>
        <v>0</v>
      </c>
      <c r="Q55" s="72">
        <f ca="1">L56*(Decrements!F52+Decrements!G52)</f>
        <v>444.19556203394524</v>
      </c>
      <c r="S55" s="73">
        <f ca="1">IF($C56="","",L56-L55*(1+i))</f>
        <v>43609.524942249293</v>
      </c>
      <c r="T55" s="74">
        <f ca="1">IFERROR(S55-K55,"")</f>
        <v>-5.893525667488575E-10</v>
      </c>
      <c r="U55" s="107"/>
      <c r="V55" s="108">
        <f ca="1">IFERROR(J55/PUC_Projection!H55,"")</f>
        <v>0.89865539649654114</v>
      </c>
      <c r="W55" s="108">
        <f ca="1">IF($C55="","",($D$5-$D$9)/$H$14*(1+$D$10)^-(C55-$D$9+1))</f>
        <v>0.89865539649653559</v>
      </c>
      <c r="X55" s="109">
        <f t="shared" ca="1" si="17"/>
        <v>5.5511151231257827E-15</v>
      </c>
    </row>
    <row r="56" spans="2:24" ht="15" customHeight="1" x14ac:dyDescent="0.25">
      <c r="B56" s="61">
        <f t="shared" si="9"/>
        <v>42</v>
      </c>
      <c r="C56" s="75">
        <f t="shared" si="6"/>
        <v>72</v>
      </c>
      <c r="D56" s="76">
        <f t="shared" ca="1" si="10"/>
        <v>0.1</v>
      </c>
      <c r="E56" s="77">
        <f t="shared" ca="1" si="11"/>
        <v>450437.85277040972</v>
      </c>
      <c r="F56" s="66">
        <f t="shared" ca="1" si="18"/>
        <v>3.6484317092170926E-2</v>
      </c>
      <c r="G56" s="66">
        <f t="shared" si="18"/>
        <v>0.04</v>
      </c>
      <c r="I56" s="106">
        <f t="shared" ca="1" si="14"/>
        <v>-22.801542960692021</v>
      </c>
      <c r="J56" s="67">
        <f t="shared" ca="1" si="15"/>
        <v>9.681585300620342E-2</v>
      </c>
      <c r="K56" s="69">
        <f t="shared" ca="1" si="16"/>
        <v>45200.588678481872</v>
      </c>
      <c r="L56" s="68">
        <f t="shared" ca="1" si="7"/>
        <v>1964915.0170539124</v>
      </c>
      <c r="M56" s="69">
        <f t="shared" ca="1" si="8"/>
        <v>2038156.1772344455</v>
      </c>
      <c r="N56" s="70"/>
      <c r="O56" s="71">
        <f ca="1">IF($C56="",0,
K56*Decrements!D53+(O55-P55-Q55)*(1+G55))</f>
        <v>1214.1812255216778</v>
      </c>
      <c r="P56" s="72">
        <f ca="1">M56*Assumptions!$B$19*Decrements!E53</f>
        <v>0</v>
      </c>
      <c r="Q56" s="72">
        <f ca="1">L57*(Decrements!F53+Decrements!G53)</f>
        <v>339.97074314670618</v>
      </c>
      <c r="S56" s="73">
        <f ca="1">IF($C57="","",L57-L56*(1+i))</f>
        <v>45200.588678484317</v>
      </c>
      <c r="T56" s="74">
        <f ca="1">IFERROR(S56-K56,"")</f>
        <v>2.4447217583656311E-9</v>
      </c>
      <c r="U56" s="107"/>
      <c r="V56" s="108">
        <f ca="1">IFERROR(J56/PUC_Projection!H56,"")</f>
        <v>0.8956175239797225</v>
      </c>
      <c r="W56" s="108">
        <f ca="1">IF($C56="","",($D$5-$D$9)/$H$14*(1+$D$10)^-(C56-$D$9+1))</f>
        <v>0.89561752397971683</v>
      </c>
      <c r="X56" s="109">
        <f t="shared" ca="1" si="17"/>
        <v>5.6621374255882984E-15</v>
      </c>
    </row>
    <row r="57" spans="2:24" ht="15" customHeight="1" x14ac:dyDescent="0.25">
      <c r="B57" s="61">
        <f t="shared" si="9"/>
        <v>43</v>
      </c>
      <c r="C57" s="75">
        <f t="shared" si="6"/>
        <v>73</v>
      </c>
      <c r="D57" s="76">
        <f t="shared" ca="1" si="10"/>
        <v>0.1</v>
      </c>
      <c r="E57" s="77">
        <f t="shared" ca="1" si="11"/>
        <v>466871.77022120194</v>
      </c>
      <c r="F57" s="66">
        <f t="shared" ca="1" si="18"/>
        <v>3.6484317092170926E-2</v>
      </c>
      <c r="G57" s="66">
        <f t="shared" si="18"/>
        <v>0.04</v>
      </c>
      <c r="I57" s="106">
        <f t="shared" ca="1" si="14"/>
        <v>-23.878884212785437</v>
      </c>
      <c r="J57" s="67">
        <f t="shared" ca="1" si="15"/>
        <v>9.681585300620342E-2</v>
      </c>
      <c r="K57" s="69">
        <f t="shared" ca="1" si="16"/>
        <v>46849.701288580385</v>
      </c>
      <c r="L57" s="68">
        <f t="shared" ca="1" si="7"/>
        <v>2088712.2064145533</v>
      </c>
      <c r="M57" s="69">
        <f t="shared" ca="1" si="8"/>
        <v>2170151.0534743904</v>
      </c>
      <c r="N57" s="70"/>
      <c r="O57" s="71">
        <f ca="1">IF($C57="",0,
K57*Decrements!D54+(O56-P56-Q56)*(1+G56))</f>
        <v>928.78739528481128</v>
      </c>
      <c r="P57" s="72">
        <f ca="1">M57*Assumptions!$B$19*Decrements!E54</f>
        <v>0</v>
      </c>
      <c r="Q57" s="72">
        <f ca="1">L58*(Decrements!F54+Decrements!G54)</f>
        <v>260.0604706804092</v>
      </c>
      <c r="S57" s="73">
        <f ca="1">IF($C58="","",L58-L57*(1+i))</f>
        <v>46849.701288581826</v>
      </c>
      <c r="T57" s="74">
        <f ca="1">IFERROR(S57-K57,"")</f>
        <v>1.4406396076083183E-9</v>
      </c>
      <c r="U57" s="107"/>
      <c r="V57" s="108">
        <f ca="1">IFERROR(J57/PUC_Projection!H57,"")</f>
        <v>0.8925899208825997</v>
      </c>
      <c r="W57" s="108">
        <f ca="1">IF($C57="","",($D$5-$D$9)/$H$14*(1+$D$10)^-(C57-$D$9+1))</f>
        <v>0.89258992088259403</v>
      </c>
      <c r="X57" s="109">
        <f t="shared" ca="1" si="17"/>
        <v>5.6621374255882984E-15</v>
      </c>
    </row>
    <row r="58" spans="2:24" ht="15" customHeight="1" x14ac:dyDescent="0.25">
      <c r="B58" s="61">
        <f t="shared" si="9"/>
        <v>44</v>
      </c>
      <c r="C58" s="75">
        <f t="shared" si="6"/>
        <v>74</v>
      </c>
      <c r="D58" s="76">
        <f t="shared" ca="1" si="10"/>
        <v>0.1</v>
      </c>
      <c r="E58" s="77">
        <f t="shared" ca="1" si="11"/>
        <v>483905.26792733546</v>
      </c>
      <c r="F58" s="66">
        <f t="shared" ca="1" si="18"/>
        <v>3.6484317092170926E-2</v>
      </c>
      <c r="G58" s="66">
        <f t="shared" si="18"/>
        <v>0.04</v>
      </c>
      <c r="I58" s="106">
        <f t="shared" ca="1" si="14"/>
        <v>-24.959879731676136</v>
      </c>
      <c r="J58" s="67">
        <f t="shared" ca="1" si="15"/>
        <v>9.681585300620342E-2</v>
      </c>
      <c r="K58" s="69">
        <f t="shared" ca="1" si="16"/>
        <v>48558.980646066448</v>
      </c>
      <c r="L58" s="68">
        <f t="shared" ca="1" si="7"/>
        <v>2219110.3959597172</v>
      </c>
      <c r="M58" s="69">
        <f t="shared" ca="1" si="8"/>
        <v>2309444.4699299564</v>
      </c>
      <c r="N58" s="70"/>
      <c r="O58" s="71">
        <f ca="1">IF($C58="",0,
K58*Decrements!D55+(O57-P57-Q57)*(1+G57))</f>
        <v>710.10920679035894</v>
      </c>
      <c r="P58" s="72">
        <f ca="1">M58*Assumptions!$B$19*Decrements!E55</f>
        <v>0</v>
      </c>
      <c r="Q58" s="72">
        <f ca="1">L59*(Decrements!F55+Decrements!G55)</f>
        <v>198.83057790198907</v>
      </c>
      <c r="S58" s="73">
        <f ca="1">IF($C59="","",L59-L58*(1+i))</f>
        <v>48558.980646067299</v>
      </c>
      <c r="T58" s="74">
        <f ca="1">IFERROR(S58-K58,"")</f>
        <v>8.5128704085946083E-10</v>
      </c>
      <c r="U58" s="107"/>
      <c r="V58" s="108">
        <f ca="1">IFERROR(J58/PUC_Projection!H58,"")</f>
        <v>0.88957255248976563</v>
      </c>
      <c r="W58" s="108">
        <f ca="1">IF($C58="","",($D$5-$D$9)/$H$14*(1+$D$10)^-(C58-$D$9+1))</f>
        <v>0.88957255248975986</v>
      </c>
      <c r="X58" s="109">
        <f t="shared" ca="1" si="17"/>
        <v>5.773159728050814E-15</v>
      </c>
    </row>
    <row r="59" spans="2:24" ht="15" customHeight="1" x14ac:dyDescent="0.25">
      <c r="B59" s="61">
        <f t="shared" si="9"/>
        <v>45</v>
      </c>
      <c r="C59" s="75">
        <f t="shared" si="6"/>
        <v>75</v>
      </c>
      <c r="D59" s="76">
        <f t="shared" ca="1" si="10"/>
        <v>0.1</v>
      </c>
      <c r="E59" s="77">
        <f t="shared" ca="1" si="11"/>
        <v>501560.22116496827</v>
      </c>
      <c r="F59" s="66">
        <f t="shared" ca="1" si="18"/>
        <v>3.6484317092170926E-2</v>
      </c>
      <c r="G59" s="66">
        <f t="shared" si="18"/>
        <v>0.04</v>
      </c>
      <c r="I59" s="106">
        <f t="shared" ca="1" si="14"/>
        <v>-26.044541912383622</v>
      </c>
      <c r="J59" s="67">
        <f t="shared" ca="1" si="15"/>
        <v>9.681585300620342E-2</v>
      </c>
      <c r="K59" s="69">
        <f t="shared" ca="1" si="16"/>
        <v>50330.62189363013</v>
      </c>
      <c r="L59" s="68">
        <f t="shared" ca="1" si="7"/>
        <v>2356433.7924441732</v>
      </c>
      <c r="M59" s="69">
        <f t="shared" ca="1" si="8"/>
        <v>2456409.1180164078</v>
      </c>
      <c r="N59" s="70"/>
      <c r="O59" s="71">
        <f ca="1">IF($C59="",0,
K59*Decrements!D56+(O58-P58-Q58)*(1+G58))</f>
        <v>542.6500771882196</v>
      </c>
      <c r="P59" s="72">
        <f ca="1">M59*Assumptions!$B$19*Decrements!E56</f>
        <v>0</v>
      </c>
      <c r="Q59" s="72">
        <f ca="1">L60*(Decrements!F56+Decrements!G56)</f>
        <v>151.9420216134175</v>
      </c>
      <c r="S59" s="73">
        <f ca="1">IF($C60="","",L60-L59*(1+i))</f>
        <v>50330.6218936285</v>
      </c>
      <c r="T59" s="74">
        <f ca="1">IFERROR(S59-K59,"")</f>
        <v>-1.6298145055770874E-9</v>
      </c>
      <c r="U59" s="107"/>
      <c r="V59" s="108">
        <f ca="1">IFERROR(J59/PUC_Projection!H59,"")</f>
        <v>0.88656538420316744</v>
      </c>
      <c r="W59" s="108">
        <f ca="1">IF($C59="","",($D$5-$D$9)/$H$14*(1+$D$10)^-(C59-$D$9+1))</f>
        <v>0.88656538420316156</v>
      </c>
      <c r="X59" s="109">
        <f t="shared" ca="1" si="17"/>
        <v>5.8841820305133297E-15</v>
      </c>
    </row>
    <row r="60" spans="2:24" ht="15" customHeight="1" x14ac:dyDescent="0.25">
      <c r="B60" s="61">
        <f t="shared" si="9"/>
        <v>46</v>
      </c>
      <c r="C60" s="75">
        <f t="shared" si="6"/>
        <v>76</v>
      </c>
      <c r="D60" s="76">
        <f t="shared" ca="1" si="10"/>
        <v>0.1</v>
      </c>
      <c r="E60" s="77">
        <f t="shared" ca="1" si="11"/>
        <v>519859.30331477034</v>
      </c>
      <c r="F60" s="66">
        <f t="shared" ca="1" si="18"/>
        <v>3.6484317092170926E-2</v>
      </c>
      <c r="G60" s="66">
        <f t="shared" si="18"/>
        <v>0.04</v>
      </c>
      <c r="I60" s="106">
        <f t="shared" ca="1" si="14"/>
        <v>-27.132883191970429</v>
      </c>
      <c r="J60" s="67">
        <f t="shared" ca="1" si="15"/>
        <v>9.681585300620342E-2</v>
      </c>
      <c r="K60" s="69">
        <f t="shared" ca="1" si="16"/>
        <v>52166.900262243485</v>
      </c>
      <c r="L60" s="68">
        <f t="shared" ca="1" si="7"/>
        <v>2501021.7660355689</v>
      </c>
      <c r="M60" s="69">
        <f t="shared" ca="1" si="8"/>
        <v>2611435.8267978881</v>
      </c>
      <c r="N60" s="70"/>
      <c r="O60" s="71">
        <f ca="1">IF($C60="",0,
K60*Decrements!D57+(O59-P59-Q59)*(1+G59))</f>
        <v>414.48585831961594</v>
      </c>
      <c r="P60" s="72">
        <f ca="1">M60*Assumptions!$B$19*Decrements!E57</f>
        <v>0</v>
      </c>
      <c r="Q60" s="72">
        <f ca="1">L61*(Decrements!F57+Decrements!G57)</f>
        <v>116.05604033023729</v>
      </c>
      <c r="S60" s="73">
        <f ca="1">IF($C61="","",L61-L60*(1+i))</f>
        <v>52166.900262247305</v>
      </c>
      <c r="T60" s="74">
        <f ca="1">IFERROR(S60-K60,"")</f>
        <v>3.8198777474462986E-9</v>
      </c>
      <c r="U60" s="107"/>
      <c r="V60" s="108">
        <f ca="1">IFERROR(J60/PUC_Projection!H60,"")</f>
        <v>0.88356838154170991</v>
      </c>
      <c r="W60" s="108">
        <f ca="1">IF($C60="","",($D$5-$D$9)/$H$14*(1+$D$10)^-(C60-$D$9+1))</f>
        <v>0.8835683815417037</v>
      </c>
      <c r="X60" s="109">
        <f t="shared" ca="1" si="17"/>
        <v>6.2172489379008766E-15</v>
      </c>
    </row>
    <row r="61" spans="2:24" ht="15" customHeight="1" x14ac:dyDescent="0.25">
      <c r="B61" s="61">
        <f t="shared" si="9"/>
        <v>47</v>
      </c>
      <c r="C61" s="75">
        <f t="shared" si="6"/>
        <v>77</v>
      </c>
      <c r="D61" s="76">
        <f t="shared" ca="1" si="10"/>
        <v>0.1</v>
      </c>
      <c r="E61" s="77">
        <f t="shared" ca="1" si="11"/>
        <v>538826.01498022152</v>
      </c>
      <c r="F61" s="66">
        <f t="shared" ca="1" si="18"/>
        <v>3.6484317092170926E-2</v>
      </c>
      <c r="G61" s="66">
        <f t="shared" si="18"/>
        <v>0.04</v>
      </c>
      <c r="I61" s="106">
        <f t="shared" ca="1" si="14"/>
        <v>-28.224916049684893</v>
      </c>
      <c r="J61" s="67">
        <f t="shared" ca="1" si="15"/>
        <v>9.681585300620342E-2</v>
      </c>
      <c r="K61" s="69">
        <f t="shared" ca="1" si="16"/>
        <v>54070.173993126831</v>
      </c>
      <c r="L61" s="68">
        <f t="shared" ca="1" si="7"/>
        <v>2653229.5369392391</v>
      </c>
      <c r="M61" s="69">
        <f t="shared" ca="1" si="8"/>
        <v>2774934.4176930594</v>
      </c>
      <c r="N61" s="70"/>
      <c r="O61" s="71">
        <f ca="1">IF($C61="",0,
K61*Decrements!D58+(O60-P60-Q60)*(1+G60))</f>
        <v>316.44871301134157</v>
      </c>
      <c r="P61" s="72">
        <f ca="1">M61*Assumptions!$B$19*Decrements!E58</f>
        <v>0</v>
      </c>
      <c r="Q61" s="72">
        <f ca="1">L62*(Decrements!F58+Decrements!G58)</f>
        <v>88.605639643950212</v>
      </c>
      <c r="S61" s="73">
        <f ca="1">IF($C62="","",L62-L61*(1+i))</f>
        <v>54070.173993125092</v>
      </c>
      <c r="T61" s="74">
        <f ca="1">IFERROR(S61-K61,"")</f>
        <v>-1.7389538697898388E-9</v>
      </c>
      <c r="U61" s="107"/>
      <c r="V61" s="108">
        <f ca="1">IFERROR(J61/PUC_Projection!H61,"")</f>
        <v>0.88058151014085939</v>
      </c>
      <c r="W61" s="108">
        <f ca="1">IF($C61="","",($D$5-$D$9)/$H$14*(1+$D$10)^-(C61-$D$9+1))</f>
        <v>0.8805815101408534</v>
      </c>
      <c r="X61" s="109">
        <f t="shared" ca="1" si="17"/>
        <v>5.9952043329758453E-15</v>
      </c>
    </row>
    <row r="62" spans="2:24" ht="15" customHeight="1" x14ac:dyDescent="0.25">
      <c r="B62" s="61">
        <f t="shared" si="9"/>
        <v>48</v>
      </c>
      <c r="C62" s="75">
        <f t="shared" si="6"/>
        <v>78</v>
      </c>
      <c r="D62" s="76">
        <f t="shared" ca="1" si="10"/>
        <v>0.1</v>
      </c>
      <c r="E62" s="77">
        <f t="shared" ca="1" si="11"/>
        <v>558484.71416827082</v>
      </c>
      <c r="F62" s="66">
        <f t="shared" ca="1" si="18"/>
        <v>3.6484317092170926E-2</v>
      </c>
      <c r="G62" s="66">
        <f t="shared" si="18"/>
        <v>0.04</v>
      </c>
      <c r="I62" s="106">
        <f t="shared" ca="1" si="14"/>
        <v>-29.320653007103729</v>
      </c>
      <c r="J62" s="67">
        <f t="shared" ca="1" si="15"/>
        <v>9.681585300620342E-2</v>
      </c>
      <c r="K62" s="69">
        <f t="shared" ca="1" si="16"/>
        <v>56042.887366320931</v>
      </c>
      <c r="L62" s="68">
        <f t="shared" ca="1" si="7"/>
        <v>2813428.8924099337</v>
      </c>
      <c r="M62" s="69">
        <f t="shared" ca="1" si="8"/>
        <v>2947334.5985369701</v>
      </c>
      <c r="N62" s="70"/>
      <c r="O62" s="71">
        <f ca="1">IF($C62="",0,
K62*Decrements!D59+(O61-P61-Q61)*(1+G61))</f>
        <v>241.49538042359379</v>
      </c>
      <c r="P62" s="72">
        <f ca="1">M62*Assumptions!$B$19*Decrements!E59</f>
        <v>0</v>
      </c>
      <c r="Q62" s="72">
        <f ca="1">L63*(Decrements!F59+Decrements!G59)</f>
        <v>67.618706519411816</v>
      </c>
      <c r="S62" s="73">
        <f ca="1">IF($C63="","",L63-L62*(1+i))</f>
        <v>56042.887366320938</v>
      </c>
      <c r="T62" s="74">
        <f ca="1">IFERROR(S62-K62,"")</f>
        <v>7.2759576141834259E-12</v>
      </c>
      <c r="U62" s="107"/>
      <c r="V62" s="108">
        <f ca="1">IFERROR(J62/PUC_Projection!H62,"")</f>
        <v>0.87760473575225117</v>
      </c>
      <c r="W62" s="108">
        <f ca="1">IF($C62="","",($D$5-$D$9)/$H$14*(1+$D$10)^-(C62-$D$9+1))</f>
        <v>0.87760473575224496</v>
      </c>
      <c r="X62" s="109">
        <f t="shared" ca="1" si="17"/>
        <v>6.2172489379008766E-15</v>
      </c>
    </row>
    <row r="63" spans="2:24" ht="15" customHeight="1" x14ac:dyDescent="0.25">
      <c r="B63" s="61">
        <f t="shared" si="9"/>
        <v>49</v>
      </c>
      <c r="C63" s="75">
        <f t="shared" si="6"/>
        <v>79</v>
      </c>
      <c r="D63" s="76">
        <f t="shared" ca="1" si="10"/>
        <v>0.1</v>
      </c>
      <c r="E63" s="77">
        <f t="shared" ca="1" si="11"/>
        <v>578860.64757111645</v>
      </c>
      <c r="F63" s="66">
        <f t="shared" ca="1" si="18"/>
        <v>3.6484317092170926E-2</v>
      </c>
      <c r="G63" s="66">
        <f t="shared" si="18"/>
        <v>0.04</v>
      </c>
      <c r="I63" s="106">
        <f t="shared" ca="1" si="14"/>
        <v>-30.420106628276379</v>
      </c>
      <c r="J63" s="67">
        <f t="shared" ca="1" si="15"/>
        <v>9.681585300620342E-2</v>
      </c>
      <c r="K63" s="69">
        <f t="shared" ca="1" si="16"/>
        <v>58087.573839754601</v>
      </c>
      <c r="L63" s="68">
        <f t="shared" ca="1" si="7"/>
        <v>2982008.9354726523</v>
      </c>
      <c r="M63" s="69">
        <f t="shared" ca="1" si="8"/>
        <v>3129086.8987800833</v>
      </c>
      <c r="N63" s="70"/>
      <c r="O63" s="71">
        <f ca="1">IF($C63="",0,
K63*Decrements!D60+(O62-P62-Q62)*(1+G62))</f>
        <v>184.21874417024591</v>
      </c>
      <c r="P63" s="72">
        <f ca="1">M63*Assumptions!$B$19*Decrements!E60</f>
        <v>0</v>
      </c>
      <c r="Q63" s="72">
        <f ca="1">L64*(Decrements!F60+Decrements!G60)</f>
        <v>51.581248368506586</v>
      </c>
      <c r="S63" s="73">
        <f ca="1">IF($C64="","",L64-L63*(1+i))</f>
        <v>58087.573839752469</v>
      </c>
      <c r="T63" s="74">
        <f ca="1">IFERROR(S63-K63,"")</f>
        <v>-2.1318555809557438E-9</v>
      </c>
      <c r="U63" s="107"/>
      <c r="V63" s="108">
        <f ca="1">IFERROR(J63/PUC_Projection!H63,"")</f>
        <v>0.87463802424329562</v>
      </c>
      <c r="W63" s="108">
        <f ca="1">IF($C63="","",($D$5-$D$9)/$H$14*(1+$D$10)^-(C63-$D$9+1))</f>
        <v>0.87463802424328907</v>
      </c>
      <c r="X63" s="109">
        <f t="shared" ca="1" si="17"/>
        <v>6.5503158452884236E-15</v>
      </c>
    </row>
    <row r="64" spans="2:24" ht="15" customHeight="1" x14ac:dyDescent="0.25">
      <c r="B64" s="61">
        <f t="shared" si="9"/>
        <v>50</v>
      </c>
      <c r="C64" s="75">
        <f t="shared" si="6"/>
        <v>80</v>
      </c>
      <c r="D64" s="76">
        <f t="shared" ca="1" si="10"/>
        <v>0.1</v>
      </c>
      <c r="E64" s="77">
        <f t="shared" ca="1" si="11"/>
        <v>599979.98298928048</v>
      </c>
      <c r="F64" s="66">
        <f t="shared" ref="F64:G79" ca="1" si="19">IF($C64="","",F63)</f>
        <v>3.6484317092170926E-2</v>
      </c>
      <c r="G64" s="66">
        <f t="shared" si="19"/>
        <v>0.04</v>
      </c>
      <c r="I64" s="106">
        <f t="shared" ca="1" si="14"/>
        <v>-31.523289519868374</v>
      </c>
      <c r="J64" s="67">
        <f t="shared" ca="1" si="15"/>
        <v>9.681585300620342E-2</v>
      </c>
      <c r="K64" s="69">
        <f t="shared" ca="1" si="16"/>
        <v>60206.859302839111</v>
      </c>
      <c r="L64" s="68">
        <f t="shared" ca="1" si="7"/>
        <v>3159376.8667313112</v>
      </c>
      <c r="M64" s="69">
        <f t="shared" ca="1" si="8"/>
        <v>3320663.6476849853</v>
      </c>
      <c r="N64" s="70"/>
      <c r="O64" s="71">
        <f ca="1">IF($C64="",0,
K64*Decrements!D61+(O63-P63-Q63)*(1+G63))</f>
        <v>140.47061021891486</v>
      </c>
      <c r="P64" s="72">
        <f ca="1">M64*Assumptions!$B$19*Decrements!E61</f>
        <v>0</v>
      </c>
      <c r="Q64" s="72">
        <f ca="1">L65*(Decrements!F61+Decrements!G61)</f>
        <v>39.331770862167438</v>
      </c>
      <c r="S64" s="73">
        <f ca="1">IF($C65="","",L65-L64*(1+i))</f>
        <v>60206.859302842524</v>
      </c>
      <c r="T64" s="74">
        <f ca="1">IFERROR(S64-K64,"")</f>
        <v>3.4124241210520267E-9</v>
      </c>
      <c r="U64" s="107"/>
      <c r="V64" s="108">
        <f ca="1">IFERROR(J64/PUC_Projection!H64,"")</f>
        <v>0.87168134159678623</v>
      </c>
      <c r="W64" s="108">
        <f ca="1">IF($C64="","",($D$5-$D$9)/$H$14*(1+$D$10)^-(C64-$D$9+1))</f>
        <v>0.87168134159677957</v>
      </c>
      <c r="X64" s="109">
        <f t="shared" ca="1" si="17"/>
        <v>6.6613381477509392E-15</v>
      </c>
    </row>
    <row r="65" spans="2:24" ht="15" customHeight="1" x14ac:dyDescent="0.25">
      <c r="B65" s="61">
        <f t="shared" si="9"/>
        <v>51</v>
      </c>
      <c r="C65" s="75">
        <f t="shared" si="6"/>
        <v>81</v>
      </c>
      <c r="D65" s="76">
        <f t="shared" ca="1" si="10"/>
        <v>0.1</v>
      </c>
      <c r="E65" s="77">
        <f t="shared" ca="1" si="11"/>
        <v>621869.84293761675</v>
      </c>
      <c r="F65" s="66">
        <f t="shared" ca="1" si="19"/>
        <v>3.6484317092170926E-2</v>
      </c>
      <c r="G65" s="66">
        <f t="shared" si="19"/>
        <v>0.04</v>
      </c>
      <c r="I65" s="106">
        <f t="shared" ca="1" si="14"/>
        <v>-32.630214331306462</v>
      </c>
      <c r="J65" s="67">
        <f t="shared" ca="1" si="15"/>
        <v>9.681585300620342E-2</v>
      </c>
      <c r="K65" s="69">
        <f t="shared" ca="1" si="16"/>
        <v>62403.465448767616</v>
      </c>
      <c r="L65" s="68">
        <f t="shared" ca="1" si="7"/>
        <v>3345958.8007034063</v>
      </c>
      <c r="M65" s="69">
        <f t="shared" ca="1" si="8"/>
        <v>3522559.9974642331</v>
      </c>
      <c r="N65" s="70"/>
      <c r="O65" s="71">
        <f ca="1">IF($C65="",0,
K65*Decrements!D62+(O64-P64-Q64)*(1+G64))</f>
        <v>107.07067260254065</v>
      </c>
      <c r="P65" s="72">
        <f ca="1">M65*Assumptions!$B$19*Decrements!E62</f>
        <v>0</v>
      </c>
      <c r="Q65" s="72">
        <f ca="1">L66*(Decrements!F62+Decrements!G62)</f>
        <v>29.979788329617502</v>
      </c>
      <c r="S65" s="73">
        <f ca="1">IF($C66="","",L66-L65*(1+i))</f>
        <v>62403.465448766481</v>
      </c>
      <c r="T65" s="74">
        <f ca="1">IFERROR(S65-K65,"")</f>
        <v>-1.1350493878126144E-9</v>
      </c>
      <c r="U65" s="107"/>
      <c r="V65" s="108">
        <f ca="1">IFERROR(J65/PUC_Projection!H65,"")</f>
        <v>0.86873465391051197</v>
      </c>
      <c r="W65" s="108">
        <f ca="1">IF($C65="","",($D$5-$D$9)/$H$14*(1+$D$10)^-(C65-$D$9+1))</f>
        <v>0.86873465391050542</v>
      </c>
      <c r="X65" s="109">
        <f t="shared" ca="1" si="17"/>
        <v>6.5503158452884236E-15</v>
      </c>
    </row>
    <row r="66" spans="2:24" ht="15" customHeight="1" x14ac:dyDescent="0.25">
      <c r="B66" s="61">
        <f t="shared" si="9"/>
        <v>52</v>
      </c>
      <c r="C66" s="75">
        <f t="shared" si="6"/>
        <v>82</v>
      </c>
      <c r="D66" s="76">
        <f t="shared" ca="1" si="10"/>
        <v>0.1</v>
      </c>
      <c r="E66" s="77">
        <f t="shared" ca="1" si="11"/>
        <v>644558.33947741124</v>
      </c>
      <c r="F66" s="66">
        <f t="shared" ca="1" si="19"/>
        <v>3.6484317092170926E-2</v>
      </c>
      <c r="G66" s="66">
        <f t="shared" si="19"/>
        <v>0.04</v>
      </c>
      <c r="I66" s="106">
        <f t="shared" ca="1" si="14"/>
        <v>-33.740893754923015</v>
      </c>
      <c r="J66" s="67">
        <f t="shared" ca="1" si="15"/>
        <v>9.681585300620342E-2</v>
      </c>
      <c r="K66" s="69">
        <f t="shared" ca="1" si="16"/>
        <v>64680.213269850778</v>
      </c>
      <c r="L66" s="68">
        <f t="shared" ca="1" si="7"/>
        <v>3542200.618180309</v>
      </c>
      <c r="M66" s="69">
        <f t="shared" ca="1" si="8"/>
        <v>3735294.9933895231</v>
      </c>
      <c r="N66" s="70"/>
      <c r="O66" s="71">
        <f ca="1">IF($C66="",0,
K66*Decrements!D63+(O65-P65-Q65)*(1+G65))</f>
        <v>81.582191137812345</v>
      </c>
      <c r="P66" s="72">
        <f ca="1">M66*Assumptions!$B$19*Decrements!E63</f>
        <v>0</v>
      </c>
      <c r="Q66" s="72">
        <f ca="1">L67*(Decrements!F63+Decrements!G63)</f>
        <v>22.843013519529837</v>
      </c>
      <c r="S66" s="73">
        <f ca="1">IF($C67="","",L67-L66*(1+i))</f>
        <v>64680.213269853033</v>
      </c>
      <c r="T66" s="74">
        <f ca="1">IFERROR(S66-K66,"")</f>
        <v>2.255546860396862E-9</v>
      </c>
      <c r="U66" s="107"/>
      <c r="V66" s="108">
        <f ca="1">IFERROR(J66/PUC_Projection!H66,"")</f>
        <v>0.86579792739686567</v>
      </c>
      <c r="W66" s="108">
        <f ca="1">IF($C66="","",($D$5-$D$9)/$H$14*(1+$D$10)^-(C66-$D$9+1))</f>
        <v>0.86579792739685923</v>
      </c>
      <c r="X66" s="109">
        <f t="shared" ca="1" si="17"/>
        <v>6.4392935428259079E-15</v>
      </c>
    </row>
    <row r="67" spans="2:24" ht="15" customHeight="1" x14ac:dyDescent="0.25">
      <c r="B67" s="61">
        <f t="shared" si="9"/>
        <v>53</v>
      </c>
      <c r="C67" s="75">
        <f t="shared" si="6"/>
        <v>83</v>
      </c>
      <c r="D67" s="76">
        <f t="shared" ca="1" si="10"/>
        <v>0.1</v>
      </c>
      <c r="E67" s="77">
        <f t="shared" ca="1" si="11"/>
        <v>668074.61031930824</v>
      </c>
      <c r="F67" s="66">
        <f t="shared" ca="1" si="19"/>
        <v>3.6484317092170926E-2</v>
      </c>
      <c r="G67" s="66">
        <f t="shared" si="19"/>
        <v>0.04</v>
      </c>
      <c r="I67" s="106">
        <f t="shared" ca="1" si="14"/>
        <v>-34.855340526102225</v>
      </c>
      <c r="J67" s="67">
        <f t="shared" ca="1" si="15"/>
        <v>9.681585300620342E-2</v>
      </c>
      <c r="K67" s="69">
        <f t="shared" ca="1" si="16"/>
        <v>67040.026680377254</v>
      </c>
      <c r="L67" s="68">
        <f t="shared" ca="1" si="7"/>
        <v>3748568.8561773743</v>
      </c>
      <c r="M67" s="69">
        <f t="shared" ca="1" si="8"/>
        <v>3959412.6929928954</v>
      </c>
      <c r="N67" s="70"/>
      <c r="O67" s="71">
        <f ca="1">IF($C67="",0,
K67*Decrements!D64+(O66-P66-Q66)*(1+G66))</f>
        <v>62.139245910540183</v>
      </c>
      <c r="P67" s="72">
        <f ca="1">M67*Assumptions!$B$19*Decrements!E64</f>
        <v>0</v>
      </c>
      <c r="Q67" s="72">
        <f ca="1">L68*(Decrements!F64+Decrements!G64)</f>
        <v>17.398988855931314</v>
      </c>
      <c r="S67" s="73">
        <f ca="1">IF($C68="","",L68-L67*(1+i))</f>
        <v>67040.026680374984</v>
      </c>
      <c r="T67" s="74">
        <f ca="1">IFERROR(S67-K67,"")</f>
        <v>-2.2700987756252289E-9</v>
      </c>
      <c r="U67" s="107"/>
      <c r="V67" s="108">
        <f ca="1">IFERROR(J67/PUC_Projection!H67,"")</f>
        <v>0.86287112838245905</v>
      </c>
      <c r="W67" s="108">
        <f ca="1">IF($C67="","",($D$5-$D$9)/$H$14*(1+$D$10)^-(C67-$D$9+1))</f>
        <v>0.86287112838245239</v>
      </c>
      <c r="X67" s="109">
        <f t="shared" ca="1" si="17"/>
        <v>6.6613381477509392E-15</v>
      </c>
    </row>
    <row r="68" spans="2:24" ht="15" customHeight="1" x14ac:dyDescent="0.25">
      <c r="B68" s="61">
        <f t="shared" si="9"/>
        <v>54</v>
      </c>
      <c r="C68" s="75">
        <f t="shared" si="6"/>
        <v>84</v>
      </c>
      <c r="D68" s="76">
        <f t="shared" ca="1" si="10"/>
        <v>0.1</v>
      </c>
      <c r="E68" s="77">
        <f t="shared" ca="1" si="11"/>
        <v>692448.85624342645</v>
      </c>
      <c r="F68" s="66">
        <f t="shared" ca="1" si="19"/>
        <v>3.6484317092170926E-2</v>
      </c>
      <c r="G68" s="66">
        <f t="shared" si="19"/>
        <v>0.04</v>
      </c>
      <c r="I68" s="106">
        <f t="shared" ca="1" si="14"/>
        <v>-35.973567423425607</v>
      </c>
      <c r="J68" s="67">
        <f t="shared" ca="1" si="15"/>
        <v>9.681585300620342E-2</v>
      </c>
      <c r="K68" s="69">
        <f t="shared" ca="1" si="16"/>
        <v>69485.936271651735</v>
      </c>
      <c r="L68" s="68">
        <f t="shared" ca="1" si="7"/>
        <v>3965551.6371048442</v>
      </c>
      <c r="M68" s="69">
        <f t="shared" ca="1" si="8"/>
        <v>4195483.3365751132</v>
      </c>
      <c r="N68" s="70"/>
      <c r="O68" s="71">
        <f ca="1">IF($C68="",0,
K68*Decrements!D65+(O67-P67-Q67)*(1+G67))</f>
        <v>47.31382350108283</v>
      </c>
      <c r="P68" s="72">
        <f ca="1">M68*Assumptions!$B$19*Decrements!E65</f>
        <v>0</v>
      </c>
      <c r="Q68" s="72">
        <f ca="1">L69*(Decrements!F65+Decrements!G65)</f>
        <v>13.247870581322472</v>
      </c>
      <c r="S68" s="73">
        <f ca="1">IF($C69="","",L69-L68*(1+i))</f>
        <v>69485.936271655839</v>
      </c>
      <c r="T68" s="74">
        <f ca="1">IFERROR(S68-K68,"")</f>
        <v>4.1036400943994522E-9</v>
      </c>
      <c r="U68" s="107"/>
      <c r="V68" s="108">
        <f ca="1">IFERROR(J68/PUC_Projection!H68,"")</f>
        <v>0.85995422330773474</v>
      </c>
      <c r="W68" s="108">
        <f ca="1">IF($C68="","",($D$5-$D$9)/$H$14*(1+$D$10)^-(C68-$D$9+1))</f>
        <v>0.85995422330772786</v>
      </c>
      <c r="X68" s="109">
        <f t="shared" ca="1" si="17"/>
        <v>6.8833827526759706E-15</v>
      </c>
    </row>
    <row r="69" spans="2:24" ht="15" customHeight="1" x14ac:dyDescent="0.25">
      <c r="B69" s="61">
        <f t="shared" si="9"/>
        <v>55</v>
      </c>
      <c r="C69" s="75">
        <f t="shared" si="6"/>
        <v>85</v>
      </c>
      <c r="D69" s="76">
        <f t="shared" ca="1" si="10"/>
        <v>0.1</v>
      </c>
      <c r="E69" s="77">
        <f t="shared" ca="1" si="11"/>
        <v>717712.37988472264</v>
      </c>
      <c r="F69" s="66">
        <f t="shared" ca="1" si="19"/>
        <v>3.6484317092170926E-2</v>
      </c>
      <c r="G69" s="66">
        <f t="shared" si="19"/>
        <v>0.04</v>
      </c>
      <c r="I69" s="106">
        <f t="shared" ca="1" si="14"/>
        <v>-37.095587268818974</v>
      </c>
      <c r="J69" s="67">
        <f t="shared" ca="1" si="15"/>
        <v>9.681585300620342E-2</v>
      </c>
      <c r="K69" s="69">
        <f t="shared" ca="1" si="16"/>
        <v>72021.083204033057</v>
      </c>
      <c r="L69" s="68">
        <f t="shared" ca="1" si="7"/>
        <v>4193659.6388606941</v>
      </c>
      <c r="M69" s="69">
        <f t="shared" ca="1" si="8"/>
        <v>4444104.5713351183</v>
      </c>
      <c r="N69" s="70"/>
      <c r="O69" s="71">
        <f ca="1">IF($C69="",0,
K69*Decrements!D66+(O68-P68-Q68)*(1+G68))</f>
        <v>36.013632990643984</v>
      </c>
      <c r="P69" s="72">
        <f ca="1">M69*Assumptions!$B$19*Decrements!E66</f>
        <v>0</v>
      </c>
      <c r="Q69" s="72">
        <f ca="1">L70*(Decrements!F66+Decrements!G66)</f>
        <v>10.083817238440357</v>
      </c>
      <c r="S69" s="73">
        <f ca="1">IF($C70="","",L70-L69*(1+i))</f>
        <v>72021.083204027265</v>
      </c>
      <c r="T69" s="74">
        <f ca="1">IFERROR(S69-K69,"")</f>
        <v>-5.791662260890007E-9</v>
      </c>
      <c r="U69" s="107"/>
      <c r="V69" s="108">
        <f ca="1">IFERROR(J69/PUC_Projection!H69,"")</f>
        <v>0.85704717872658231</v>
      </c>
      <c r="W69" s="108">
        <f ca="1">IF($C69="","",($D$5-$D$9)/$H$14*(1+$D$10)^-(C69-$D$9+1))</f>
        <v>0.85704717872657532</v>
      </c>
      <c r="X69" s="109">
        <f t="shared" ca="1" si="17"/>
        <v>6.9944050551384862E-15</v>
      </c>
    </row>
    <row r="70" spans="2:24" ht="15" customHeight="1" x14ac:dyDescent="0.25">
      <c r="B70" s="61">
        <f t="shared" si="9"/>
        <v>56</v>
      </c>
      <c r="C70" s="75">
        <f t="shared" si="6"/>
        <v>86</v>
      </c>
      <c r="D70" s="76">
        <f t="shared" ca="1" si="10"/>
        <v>0.1</v>
      </c>
      <c r="E70" s="77">
        <f t="shared" ca="1" si="11"/>
        <v>743897.62593341351</v>
      </c>
      <c r="F70" s="66">
        <f t="shared" ca="1" si="19"/>
        <v>3.6484317092170926E-2</v>
      </c>
      <c r="G70" s="66">
        <f t="shared" si="19"/>
        <v>0.04</v>
      </c>
      <c r="I70" s="106">
        <f t="shared" ca="1" si="14"/>
        <v>-38.221412927698864</v>
      </c>
      <c r="J70" s="67">
        <f t="shared" ca="1" si="15"/>
        <v>9.681585300620342E-2</v>
      </c>
      <c r="K70" s="69">
        <f t="shared" ca="1" si="16"/>
        <v>74648.723240970619</v>
      </c>
      <c r="L70" s="68">
        <f t="shared" ca="1" si="7"/>
        <v>4433427.1076191496</v>
      </c>
      <c r="M70" s="69">
        <f t="shared" ca="1" si="8"/>
        <v>4705902.7315374063</v>
      </c>
      <c r="N70" s="70"/>
      <c r="O70" s="71">
        <f ca="1">IF($C70="",0,
K70*Decrements!D67+(O69-P69-Q69)*(1+G69))</f>
        <v>27.403606885677949</v>
      </c>
      <c r="P70" s="72">
        <f ca="1">M70*Assumptions!$B$19*Decrements!E67</f>
        <v>0</v>
      </c>
      <c r="Q70" s="72">
        <f ca="1">L71*(Decrements!F67+Decrements!G67)</f>
        <v>7.6730099290922675</v>
      </c>
      <c r="S70" s="73">
        <f ca="1">IF($C71="","",L71-L70*(1+i))</f>
        <v>74648.723240971565</v>
      </c>
      <c r="T70" s="74">
        <f ca="1">IFERROR(S70-K70,"")</f>
        <v>9.4587448984384537E-10</v>
      </c>
      <c r="U70" s="107"/>
      <c r="V70" s="108">
        <f ca="1">IFERROR(J70/PUC_Projection!H70,"")</f>
        <v>0.85414996130595533</v>
      </c>
      <c r="W70" s="108">
        <f ca="1">IF($C70="","",($D$5-$D$9)/$H$14*(1+$D$10)^-(C70-$D$9+1))</f>
        <v>0.854149961305948</v>
      </c>
      <c r="X70" s="109">
        <f t="shared" ca="1" si="17"/>
        <v>7.3274719625260332E-15</v>
      </c>
    </row>
    <row r="71" spans="2:24" ht="15" customHeight="1" x14ac:dyDescent="0.25">
      <c r="B71" s="61">
        <f t="shared" si="9"/>
        <v>57</v>
      </c>
      <c r="C71" s="75">
        <f t="shared" si="6"/>
        <v>87</v>
      </c>
      <c r="D71" s="76">
        <f t="shared" ca="1" si="10"/>
        <v>0.1</v>
      </c>
      <c r="E71" s="77">
        <f t="shared" ca="1" si="11"/>
        <v>771038.22280208138</v>
      </c>
      <c r="F71" s="66">
        <f t="shared" ca="1" si="19"/>
        <v>3.6484317092170926E-2</v>
      </c>
      <c r="G71" s="66">
        <f t="shared" si="19"/>
        <v>0.04</v>
      </c>
      <c r="I71" s="106">
        <f t="shared" ca="1" si="14"/>
        <v>-39.35105730912084</v>
      </c>
      <c r="J71" s="67">
        <f t="shared" ca="1" si="15"/>
        <v>9.681585300620342E-2</v>
      </c>
      <c r="K71" s="69">
        <f t="shared" ca="1" si="16"/>
        <v>77372.230930219914</v>
      </c>
      <c r="L71" s="68">
        <f t="shared" ca="1" si="7"/>
        <v>4685412.915164887</v>
      </c>
      <c r="M71" s="69">
        <f t="shared" ca="1" si="8"/>
        <v>4981534.1772417398</v>
      </c>
      <c r="N71" s="70"/>
      <c r="O71" s="71">
        <f ca="1">IF($C71="",0,
K71*Decrements!D68+(O70-P70-Q70)*(1+G70))</f>
        <v>20.845640636019603</v>
      </c>
      <c r="P71" s="72">
        <f ca="1">M71*Assumptions!$B$19*Decrements!E68</f>
        <v>0</v>
      </c>
      <c r="Q71" s="72">
        <f ca="1">L72*(Decrements!F68+Decrements!G68)</f>
        <v>5.8367793792320288</v>
      </c>
      <c r="S71" s="73">
        <f ca="1">IF($C72="","",L72-L71*(1+i))</f>
        <v>77372.230930221267</v>
      </c>
      <c r="T71" s="74">
        <f ca="1">IFERROR(S71-K71,"")</f>
        <v>1.3533281162381172E-9</v>
      </c>
      <c r="U71" s="107"/>
      <c r="V71" s="108">
        <f ca="1">IFERROR(J71/PUC_Projection!H71,"")</f>
        <v>0.85126253782548766</v>
      </c>
      <c r="W71" s="108">
        <f ca="1">IF($C71="","",($D$5-$D$9)/$H$14*(1+$D$10)^-(C71-$D$9+1))</f>
        <v>0.85126253782548056</v>
      </c>
      <c r="X71" s="109">
        <f t="shared" ca="1" si="17"/>
        <v>7.1054273576010019E-15</v>
      </c>
    </row>
    <row r="72" spans="2:24" ht="15" customHeight="1" x14ac:dyDescent="0.25">
      <c r="B72" s="61">
        <f t="shared" si="9"/>
        <v>58</v>
      </c>
      <c r="C72" s="75">
        <f t="shared" si="6"/>
        <v>88</v>
      </c>
      <c r="D72" s="76">
        <f t="shared" ca="1" si="10"/>
        <v>0.1</v>
      </c>
      <c r="E72" s="77">
        <f t="shared" ca="1" si="11"/>
        <v>799169.02581297641</v>
      </c>
      <c r="F72" s="66">
        <f t="shared" ca="1" si="19"/>
        <v>3.6484317092170926E-2</v>
      </c>
      <c r="G72" s="66">
        <f t="shared" si="19"/>
        <v>0.04</v>
      </c>
      <c r="I72" s="106">
        <f t="shared" ca="1" si="14"/>
        <v>-40.484533365926808</v>
      </c>
      <c r="J72" s="67">
        <f t="shared" ca="1" si="15"/>
        <v>9.681585300620342E-2</v>
      </c>
      <c r="K72" s="69">
        <f t="shared" ca="1" si="16"/>
        <v>80195.103937606735</v>
      </c>
      <c r="L72" s="68">
        <f t="shared" ca="1" si="7"/>
        <v>4950201.6627017036</v>
      </c>
      <c r="M72" s="69">
        <f t="shared" ca="1" si="8"/>
        <v>5271686.6942319619</v>
      </c>
      <c r="N72" s="70"/>
      <c r="O72" s="71">
        <f ca="1">IF($C72="",0,
K72*Decrements!D69+(O71-P71-Q71)*(1+G71))</f>
        <v>15.852364829219216</v>
      </c>
      <c r="P72" s="72">
        <f ca="1">M72*Assumptions!$B$19*Decrements!E69</f>
        <v>0</v>
      </c>
      <c r="Q72" s="72">
        <f ca="1">L73*(Decrements!F69+Decrements!G69)</f>
        <v>4.4386621533737838</v>
      </c>
      <c r="S72" s="73">
        <f ca="1">IF($C73="","",L73-L72*(1+i))</f>
        <v>80195.103937609121</v>
      </c>
      <c r="T72" s="74">
        <f ca="1">IFERROR(S72-K72,"")</f>
        <v>2.3865140974521637E-9</v>
      </c>
      <c r="U72" s="107"/>
      <c r="V72" s="108">
        <f ca="1">IFERROR(J72/PUC_Projection!H72,"")</f>
        <v>0.84838487517711436</v>
      </c>
      <c r="W72" s="108">
        <f ca="1">IF($C72="","",($D$5-$D$9)/$H$14*(1+$D$10)^-(C72-$D$9+1))</f>
        <v>0.84838487517710692</v>
      </c>
      <c r="X72" s="109">
        <f t="shared" ca="1" si="17"/>
        <v>7.4384942649885488E-15</v>
      </c>
    </row>
    <row r="73" spans="2:24" ht="15" customHeight="1" x14ac:dyDescent="0.25">
      <c r="B73" s="61">
        <f t="shared" si="9"/>
        <v>59</v>
      </c>
      <c r="C73" s="75">
        <f t="shared" si="6"/>
        <v>89</v>
      </c>
      <c r="D73" s="76">
        <f t="shared" ca="1" si="10"/>
        <v>0.1</v>
      </c>
      <c r="E73" s="77">
        <f t="shared" ca="1" si="11"/>
        <v>828326.16196097841</v>
      </c>
      <c r="F73" s="66">
        <f t="shared" ca="1" si="19"/>
        <v>3.6484317092170926E-2</v>
      </c>
      <c r="G73" s="66">
        <f t="shared" si="19"/>
        <v>0.04</v>
      </c>
      <c r="I73" s="106">
        <f t="shared" ca="1" si="14"/>
        <v>-41.621854094893912</v>
      </c>
      <c r="J73" s="67">
        <f t="shared" ca="1" si="15"/>
        <v>9.681585300620342E-2</v>
      </c>
      <c r="K73" s="69">
        <f t="shared" ca="1" si="16"/>
        <v>83120.967538905985</v>
      </c>
      <c r="L73" s="68">
        <f t="shared" ca="1" si="7"/>
        <v>5228404.8331473814</v>
      </c>
      <c r="M73" s="69">
        <f t="shared" ca="1" si="8"/>
        <v>5577080.9578978131</v>
      </c>
      <c r="N73" s="70"/>
      <c r="O73" s="71">
        <f ca="1">IF($C73="",0,
K73*Decrements!D70+(O72-P72-Q72)*(1+G72))</f>
        <v>12.051705364199522</v>
      </c>
      <c r="P73" s="72">
        <f ca="1">M73*Assumptions!$B$19*Decrements!E70</f>
        <v>0</v>
      </c>
      <c r="Q73" s="72">
        <f ca="1">L74*(Decrements!F70+Decrements!G70)</f>
        <v>3.3744775032159673</v>
      </c>
      <c r="S73" s="73">
        <f ca="1">IF($C74="","",L74-L73*(1+i))</f>
        <v>83120.967538907193</v>
      </c>
      <c r="T73" s="74">
        <f ca="1">IFERROR(S73-K73,"")</f>
        <v>1.2078089639544487E-9</v>
      </c>
      <c r="U73" s="107"/>
      <c r="V73" s="108">
        <f ca="1">IFERROR(J73/PUC_Projection!H73,"")</f>
        <v>0.84551694036469049</v>
      </c>
      <c r="W73" s="108">
        <f ca="1">IF($C73="","",($D$5-$D$9)/$H$14*(1+$D$10)^-(C73-$D$9+1))</f>
        <v>0.84551694036468306</v>
      </c>
      <c r="X73" s="109">
        <f t="shared" ca="1" si="17"/>
        <v>7.4384942649885488E-15</v>
      </c>
    </row>
    <row r="74" spans="2:24" ht="15" customHeight="1" x14ac:dyDescent="0.25">
      <c r="B74" s="61">
        <f t="shared" si="9"/>
        <v>60</v>
      </c>
      <c r="C74" s="75">
        <f t="shared" si="6"/>
        <v>90</v>
      </c>
      <c r="D74" s="76">
        <f t="shared" ca="1" si="10"/>
        <v>0.1</v>
      </c>
      <c r="E74" s="77">
        <f t="shared" ca="1" si="11"/>
        <v>858547.07630970364</v>
      </c>
      <c r="F74" s="66">
        <f t="shared" ca="1" si="19"/>
        <v>3.6484317092170926E-2</v>
      </c>
      <c r="G74" s="66">
        <f t="shared" si="19"/>
        <v>0.04</v>
      </c>
      <c r="I74" s="106">
        <f t="shared" ca="1" si="14"/>
        <v>-42.763032536883379</v>
      </c>
      <c r="J74" s="67">
        <f t="shared" ca="1" si="15"/>
        <v>9.681585300620342E-2</v>
      </c>
      <c r="K74" s="69">
        <f t="shared" ca="1" si="16"/>
        <v>86153.579275603479</v>
      </c>
      <c r="L74" s="68">
        <f t="shared" ca="1" si="7"/>
        <v>5520661.9940121844</v>
      </c>
      <c r="M74" s="69">
        <f t="shared" ca="1" si="8"/>
        <v>5898472.0639461596</v>
      </c>
      <c r="N74" s="70"/>
      <c r="O74" s="71">
        <f ca="1">IF($C74="",0,
K74*Decrements!D71+(O73-P73-Q73)*(1+G73))</f>
        <v>9.1597308514410489</v>
      </c>
      <c r="P74" s="72">
        <f ca="1">M74*Assumptions!$B$19*Decrements!E71</f>
        <v>0</v>
      </c>
      <c r="Q74" s="72">
        <f ca="1">L75*(Decrements!F71+Decrements!G71)</f>
        <v>2.5647246396932006</v>
      </c>
      <c r="S74" s="73">
        <f ca="1">IF($C75="","",L75-L74*(1+i))</f>
        <v>86153.579275605269</v>
      </c>
      <c r="T74" s="74">
        <f ca="1">IFERROR(S74-K74,"")</f>
        <v>1.7898855730891228E-9</v>
      </c>
      <c r="U74" s="107"/>
      <c r="V74" s="108">
        <f ca="1">IFERROR(J74/PUC_Projection!H74,"")</f>
        <v>0.84265870050361347</v>
      </c>
      <c r="W74" s="108">
        <f ca="1">IF($C74="","",($D$5-$D$9)/$H$14*(1+$D$10)^-(C74-$D$9+1))</f>
        <v>0.84265870050360603</v>
      </c>
      <c r="X74" s="109">
        <f t="shared" ca="1" si="17"/>
        <v>7.4384942649885488E-15</v>
      </c>
    </row>
    <row r="75" spans="2:24" ht="15" customHeight="1" x14ac:dyDescent="0.25">
      <c r="B75" s="61">
        <f t="shared" si="9"/>
        <v>61</v>
      </c>
      <c r="C75" s="75">
        <f t="shared" si="6"/>
        <v>91</v>
      </c>
      <c r="D75" s="76">
        <f t="shared" ca="1" si="10"/>
        <v>0.1</v>
      </c>
      <c r="E75" s="77">
        <f t="shared" ca="1" si="11"/>
        <v>889870.58008034318</v>
      </c>
      <c r="F75" s="66">
        <f t="shared" ca="1" si="19"/>
        <v>3.6484317092170926E-2</v>
      </c>
      <c r="G75" s="66">
        <f t="shared" si="19"/>
        <v>0.04</v>
      </c>
      <c r="I75" s="106">
        <f t="shared" ca="1" si="14"/>
        <v>-43.908081776990237</v>
      </c>
      <c r="J75" s="67">
        <f t="shared" ca="1" si="15"/>
        <v>9.681585300620342E-2</v>
      </c>
      <c r="K75" s="69">
        <f t="shared" ca="1" si="16"/>
        <v>89296.833780520086</v>
      </c>
      <c r="L75" s="68">
        <f t="shared" ca="1" si="7"/>
        <v>5827642.0530482773</v>
      </c>
      <c r="M75" s="69">
        <f t="shared" ca="1" si="8"/>
        <v>6236651.1289457418</v>
      </c>
      <c r="N75" s="70"/>
      <c r="O75" s="71">
        <f ca="1">IF($C75="",0,
K75*Decrements!D72+(O74-P74-Q74)*(1+G74))</f>
        <v>6.9598615985605861</v>
      </c>
      <c r="P75" s="72">
        <f ca="1">M75*Assumptions!$B$19*Decrements!E72</f>
        <v>0</v>
      </c>
      <c r="Q75" s="72">
        <f ca="1">L76*(Decrements!F72+Decrements!G72)</f>
        <v>1.9487612489382597</v>
      </c>
      <c r="S75" s="73">
        <f ca="1">IF($C76="","",L76-L75*(1+i))</f>
        <v>89296.833780522458</v>
      </c>
      <c r="T75" s="74">
        <f ca="1">IFERROR(S75-K75,"")</f>
        <v>2.3719621822237968E-9</v>
      </c>
      <c r="U75" s="107"/>
      <c r="V75" s="108">
        <f ca="1">IFERROR(J75/PUC_Projection!H75,"")</f>
        <v>0.83981012282044609</v>
      </c>
      <c r="W75" s="108">
        <f ca="1">IF($C75="","",($D$5-$D$9)/$H$14*(1+$D$10)^-(C75-$D$9+1))</f>
        <v>0.83981012282043865</v>
      </c>
      <c r="X75" s="109">
        <f t="shared" ca="1" si="17"/>
        <v>7.4384942649885488E-15</v>
      </c>
    </row>
    <row r="76" spans="2:24" ht="15" customHeight="1" x14ac:dyDescent="0.25">
      <c r="B76" s="61">
        <f t="shared" si="9"/>
        <v>62</v>
      </c>
      <c r="C76" s="75">
        <f t="shared" si="6"/>
        <v>92</v>
      </c>
      <c r="D76" s="76">
        <f t="shared" ca="1" si="10"/>
        <v>0.1</v>
      </c>
      <c r="E76" s="77">
        <f t="shared" ca="1" si="11"/>
        <v>922336.90049498854</v>
      </c>
      <c r="F76" s="66">
        <f t="shared" ca="1" si="19"/>
        <v>3.6484317092170926E-2</v>
      </c>
      <c r="G76" s="66">
        <f t="shared" si="19"/>
        <v>0.04</v>
      </c>
      <c r="I76" s="106">
        <f t="shared" ca="1" si="14"/>
        <v>-45.057014944693165</v>
      </c>
      <c r="J76" s="67">
        <f t="shared" ca="1" si="15"/>
        <v>9.681585300620342E-2</v>
      </c>
      <c r="K76" s="69">
        <f t="shared" ca="1" si="16"/>
        <v>92554.767779495465</v>
      </c>
      <c r="L76" s="68">
        <f t="shared" ca="1" si="7"/>
        <v>6150044.5689507313</v>
      </c>
      <c r="M76" s="69">
        <f t="shared" ca="1" si="8"/>
        <v>6592446.9638429731</v>
      </c>
      <c r="N76" s="70"/>
      <c r="O76" s="71">
        <f ca="1">IF($C76="",0,
K76*Decrements!D73+(O75-P75-Q75)*(1+G75))</f>
        <v>5.2869586511660405</v>
      </c>
      <c r="P76" s="72">
        <f ca="1">M76*Assumptions!$B$19*Decrements!E73</f>
        <v>0</v>
      </c>
      <c r="Q76" s="72">
        <f ca="1">L77*(Decrements!F73+Decrements!G73)</f>
        <v>1.4803484237214397</v>
      </c>
      <c r="S76" s="73">
        <f ca="1">IF($C77="","",L77-L76*(1+i))</f>
        <v>92554.767779500224</v>
      </c>
      <c r="T76" s="74">
        <f ca="1">IFERROR(S76-K76,"")</f>
        <v>4.7584762796759605E-9</v>
      </c>
      <c r="U76" s="107"/>
      <c r="V76" s="108">
        <f ca="1">IFERROR(J76/PUC_Projection!H76,"")</f>
        <v>0.83697117465254078</v>
      </c>
      <c r="W76" s="108">
        <f ca="1">IF($C76="","",($D$5-$D$9)/$H$14*(1+$D$10)^-(C76-$D$9+1))</f>
        <v>0.83697117465253301</v>
      </c>
      <c r="X76" s="109">
        <f t="shared" ca="1" si="17"/>
        <v>7.7715611723760958E-15</v>
      </c>
    </row>
    <row r="77" spans="2:24" ht="15" customHeight="1" x14ac:dyDescent="0.25">
      <c r="B77" s="61">
        <f t="shared" si="9"/>
        <v>63</v>
      </c>
      <c r="C77" s="75">
        <f t="shared" si="6"/>
        <v>93</v>
      </c>
      <c r="D77" s="76">
        <f t="shared" ca="1" si="10"/>
        <v>0.1</v>
      </c>
      <c r="E77" s="77">
        <f t="shared" ca="1" si="11"/>
        <v>955987.73243845778</v>
      </c>
      <c r="F77" s="66">
        <f t="shared" ca="1" si="19"/>
        <v>3.6484317092170926E-2</v>
      </c>
      <c r="G77" s="66">
        <f t="shared" si="19"/>
        <v>0.04</v>
      </c>
      <c r="I77" s="106">
        <f t="shared" ca="1" si="14"/>
        <v>-46.209845214005227</v>
      </c>
      <c r="J77" s="67">
        <f t="shared" ca="1" si="15"/>
        <v>9.681585300620342E-2</v>
      </c>
      <c r="K77" s="69">
        <f t="shared" ca="1" si="16"/>
        <v>95931.565275554807</v>
      </c>
      <c r="L77" s="68">
        <f t="shared" ca="1" si="7"/>
        <v>6488601.1194882607</v>
      </c>
      <c r="M77" s="69">
        <f t="shared" ca="1" si="8"/>
        <v>6966727.8237256715</v>
      </c>
      <c r="N77" s="70"/>
      <c r="O77" s="71">
        <f ca="1">IF($C77="",0,
K77*Decrements!D74+(O76-P76-Q76)*(1+G76))</f>
        <v>4.0151539595067511</v>
      </c>
      <c r="P77" s="72">
        <f ca="1">M77*Assumptions!$B$19*Decrements!E74</f>
        <v>0</v>
      </c>
      <c r="Q77" s="72">
        <f ca="1">L78*(Decrements!F74+Decrements!G74)</f>
        <v>1.124243110112636</v>
      </c>
      <c r="S77" s="73">
        <f ca="1">IF($C78="","",L78-L77*(1+i))</f>
        <v>95931.565275551751</v>
      </c>
      <c r="T77" s="74">
        <f ca="1">IFERROR(S77-K77,"")</f>
        <v>-3.0559021979570389E-9</v>
      </c>
      <c r="U77" s="107"/>
      <c r="V77" s="108">
        <f ca="1">IFERROR(J77/PUC_Projection!H77,"")</f>
        <v>0.8341418234476643</v>
      </c>
      <c r="W77" s="108">
        <f ca="1">IF($C77="","",($D$5-$D$9)/$H$14*(1+$D$10)^-(C77-$D$9+1))</f>
        <v>0.83414182344765642</v>
      </c>
      <c r="X77" s="109">
        <f t="shared" ca="1" si="17"/>
        <v>7.8825834748386114E-15</v>
      </c>
    </row>
    <row r="78" spans="2:24" ht="15" customHeight="1" x14ac:dyDescent="0.25">
      <c r="B78" s="61">
        <f t="shared" si="9"/>
        <v>64</v>
      </c>
      <c r="C78" s="75">
        <f t="shared" si="6"/>
        <v>94</v>
      </c>
      <c r="D78" s="76">
        <f t="shared" ca="1" si="10"/>
        <v>0.1</v>
      </c>
      <c r="E78" s="77">
        <f t="shared" ca="1" si="11"/>
        <v>990866.29200496792</v>
      </c>
      <c r="F78" s="66">
        <f t="shared" ca="1" si="19"/>
        <v>3.6484317092170926E-2</v>
      </c>
      <c r="G78" s="66">
        <f t="shared" si="19"/>
        <v>0.04</v>
      </c>
      <c r="I78" s="106">
        <f t="shared" ref="I78:I84" ca="1" si="20">IFERROR((1-(1+$D$10)^-($D$5-$C78))/$D$10,0)</f>
        <v>-47.366585803624609</v>
      </c>
      <c r="J78" s="67">
        <f t="shared" ref="J78:J84" ca="1" si="21">IF($C78="","",
D78*($D$5-$D$9)*((1+F78)/(1+G78))^($D$5-$D$9)/$H$14)</f>
        <v>9.681585300620342E-2</v>
      </c>
      <c r="K78" s="69">
        <f t="shared" ref="K78:K84" ca="1" si="22">IF($C79="",0,
J78*E78*(1+F78))</f>
        <v>99431.562922216443</v>
      </c>
      <c r="L78" s="68">
        <f t="shared" ca="1" si="7"/>
        <v>6844076.7295433432</v>
      </c>
      <c r="M78" s="69">
        <f t="shared" ca="1" si="8"/>
        <v>7360403.2372568361</v>
      </c>
      <c r="N78" s="70"/>
      <c r="O78" s="71">
        <f ca="1">IF($C78="",0,
K78*Decrements!D75+(O77-P77-Q77)*(1+G77))</f>
        <v>3.048546781022853</v>
      </c>
      <c r="P78" s="72">
        <f ca="1">M78*Assumptions!$B$19*Decrements!E75</f>
        <v>0</v>
      </c>
      <c r="Q78" s="72">
        <f ca="1">L79*(Decrements!F75+Decrements!G75)</f>
        <v>0.85359310019517387</v>
      </c>
      <c r="S78" s="73">
        <f ca="1">IF($C79="","",L79-L78*(1+i))</f>
        <v>99431.562922212295</v>
      </c>
      <c r="T78" s="74">
        <f ca="1">IFERROR(S78-K78,"")</f>
        <v>-4.1472958400845528E-9</v>
      </c>
      <c r="U78" s="107"/>
      <c r="V78" s="108">
        <f ca="1">IFERROR(J78/PUC_Projection!H78,"")</f>
        <v>0.83132203676362548</v>
      </c>
      <c r="W78" s="108">
        <f ca="1">IF($C78="","",($D$5-$D$9)/$H$14*(1+$D$10)^-(C78-$D$9+1))</f>
        <v>0.8313220367636176</v>
      </c>
      <c r="X78" s="109">
        <f t="shared" ref="X78:X84" ca="1" si="23">IFERROR(V78-W78,"")</f>
        <v>7.8825834748386114E-15</v>
      </c>
    </row>
    <row r="79" spans="2:24" ht="15" customHeight="1" x14ac:dyDescent="0.25">
      <c r="B79" s="61">
        <f t="shared" si="9"/>
        <v>65</v>
      </c>
      <c r="C79" s="75">
        <f t="shared" ref="C79:C84" si="24">IF(C78="","",IF($D$2="A",C78+1,IF(C78+1&gt;$D$5,"",C78+1)))</f>
        <v>95</v>
      </c>
      <c r="D79" s="76">
        <f t="shared" ca="1" si="10"/>
        <v>0.1</v>
      </c>
      <c r="E79" s="77">
        <f t="shared" ca="1" si="11"/>
        <v>1027017.3719984208</v>
      </c>
      <c r="F79" s="66">
        <f t="shared" ca="1" si="19"/>
        <v>3.6484317092170926E-2</v>
      </c>
      <c r="G79" s="66">
        <f t="shared" si="19"/>
        <v>0.04</v>
      </c>
      <c r="I79" s="106">
        <f t="shared" ca="1" si="20"/>
        <v>-48.527249977086655</v>
      </c>
      <c r="J79" s="67">
        <f t="shared" ca="1" si="21"/>
        <v>9.681585300620342E-2</v>
      </c>
      <c r="K79" s="69">
        <f t="shared" ca="1" si="22"/>
        <v>103059.25559284074</v>
      </c>
      <c r="L79" s="68">
        <f t="shared" ref="L79:L84" ca="1" si="25">IF($C79="",0,
D79*($D$5-$D$4)*E79*((1+F79)/(1+G79))^($D$5-C79)-J79*E79*I79)</f>
        <v>7217271.3616472892</v>
      </c>
      <c r="M79" s="69">
        <f t="shared" ref="M79:M84" ca="1" si="26">IF($C79="",0,
D79*B79*E79*((1+F79)/(1+G79))^($D$5-C79))</f>
        <v>7774425.9193525324</v>
      </c>
      <c r="N79" s="70"/>
      <c r="O79" s="71">
        <f ca="1">IF($C79="",0,
K79*Decrements!D76+(O78-P78-Q78)*(1+G78))</f>
        <v>2.3140947389237874</v>
      </c>
      <c r="P79" s="72">
        <f ca="1">M79*Assumptions!$B$19*Decrements!E76</f>
        <v>0</v>
      </c>
      <c r="Q79" s="72">
        <f ca="1">L80*(Decrements!F76+Decrements!G76)</f>
        <v>0.647946528467787</v>
      </c>
      <c r="S79" s="73">
        <f ca="1">IF($C80="","",L80-L79*(1+i))</f>
        <v>103059.25559284631</v>
      </c>
      <c r="T79" s="74">
        <f ca="1">IFERROR(S79-K79,"")</f>
        <v>5.5733835324645042E-9</v>
      </c>
      <c r="U79" s="107"/>
      <c r="V79" s="108">
        <f ca="1">IFERROR(J79/PUC_Projection!H79,"")</f>
        <v>0.8285117822679029</v>
      </c>
      <c r="W79" s="108">
        <f ca="1">IF($C79="","",($D$5-$D$9)/$H$14*(1+$D$10)^-(C79-$D$9+1))</f>
        <v>0.8285117822678949</v>
      </c>
      <c r="X79" s="109">
        <f t="shared" ca="1" si="23"/>
        <v>7.9936057773011271E-15</v>
      </c>
    </row>
    <row r="80" spans="2:24" ht="15" customHeight="1" x14ac:dyDescent="0.25">
      <c r="B80" s="61">
        <f t="shared" ref="B80:B84" si="27">IF($C80="","",B79+1)</f>
        <v>66</v>
      </c>
      <c r="C80" s="75">
        <f t="shared" si="24"/>
        <v>96</v>
      </c>
      <c r="D80" s="76">
        <f t="shared" ref="D80:D84" ca="1" si="28">IF($C80="","",D79)</f>
        <v>0.1</v>
      </c>
      <c r="E80" s="77">
        <f t="shared" ref="E80:E84" ca="1" si="29">IF($C80="","",E79*(1+F79))</f>
        <v>1064487.3994575792</v>
      </c>
      <c r="F80" s="66">
        <f t="shared" ref="F80:G84" ca="1" si="30">IF($C80="","",F79)</f>
        <v>3.6484317092170926E-2</v>
      </c>
      <c r="G80" s="66">
        <f t="shared" si="30"/>
        <v>0.04</v>
      </c>
      <c r="I80" s="106">
        <f t="shared" ca="1" si="20"/>
        <v>-49.69185104291568</v>
      </c>
      <c r="J80" s="67">
        <f t="shared" ca="1" si="21"/>
        <v>9.681585300620342E-2</v>
      </c>
      <c r="K80" s="69">
        <f t="shared" ca="1" si="22"/>
        <v>106819.30215317303</v>
      </c>
      <c r="L80" s="68">
        <f t="shared" ca="1" si="25"/>
        <v>7609021.4717060272</v>
      </c>
      <c r="M80" s="69">
        <f t="shared" ca="1" si="26"/>
        <v>8209793.7708362741</v>
      </c>
      <c r="N80" s="70"/>
      <c r="O80" s="71">
        <f ca="1">IF($C80="",0,
K80*Decrements!D77+(O79-P79-Q79)*(1+G79))</f>
        <v>1.7561843724785335</v>
      </c>
      <c r="P80" s="72">
        <f ca="1">M80*Assumptions!$B$19*Decrements!E77</f>
        <v>0</v>
      </c>
      <c r="Q80" s="72">
        <f ca="1">L81*(Decrements!F77+Decrements!G77)</f>
        <v>0.49173162592588088</v>
      </c>
      <c r="S80" s="73">
        <f ca="1">IF($C81="","",L81-L80*(1+i))</f>
        <v>106819.30215317197</v>
      </c>
      <c r="T80" s="74">
        <f ca="1">IFERROR(S80-K80,"")</f>
        <v>-1.0622898116707802E-9</v>
      </c>
      <c r="U80" s="107"/>
      <c r="V80" s="108">
        <f ca="1">IFERROR(J80/PUC_Projection!H80,"")</f>
        <v>0.82571102773727389</v>
      </c>
      <c r="W80" s="108">
        <f ca="1">IF($C80="","",($D$5-$D$9)/$H$14*(1+$D$10)^-(C80-$D$9+1))</f>
        <v>0.82571102773726557</v>
      </c>
      <c r="X80" s="109">
        <f t="shared" ca="1" si="23"/>
        <v>8.3266726846886741E-15</v>
      </c>
    </row>
    <row r="81" spans="2:24" ht="15" customHeight="1" x14ac:dyDescent="0.25">
      <c r="B81" s="61">
        <f t="shared" si="27"/>
        <v>67</v>
      </c>
      <c r="C81" s="75">
        <f t="shared" si="24"/>
        <v>97</v>
      </c>
      <c r="D81" s="76">
        <f t="shared" ca="1" si="28"/>
        <v>0.1</v>
      </c>
      <c r="E81" s="77">
        <f t="shared" ca="1" si="29"/>
        <v>1103324.4952800099</v>
      </c>
      <c r="F81" s="66">
        <f t="shared" ca="1" si="30"/>
        <v>3.6484317092170926E-2</v>
      </c>
      <c r="G81" s="66">
        <f t="shared" si="30"/>
        <v>0.04</v>
      </c>
      <c r="I81" s="106">
        <f t="shared" ca="1" si="20"/>
        <v>-50.860402354777385</v>
      </c>
      <c r="J81" s="67">
        <f t="shared" ca="1" si="21"/>
        <v>9.681585300620342E-2</v>
      </c>
      <c r="K81" s="69">
        <f t="shared" ca="1" si="22"/>
        <v>110716.5314444938</v>
      </c>
      <c r="L81" s="68">
        <f t="shared" ca="1" si="25"/>
        <v>8020201.6327274404</v>
      </c>
      <c r="M81" s="69">
        <f t="shared" ca="1" si="26"/>
        <v>8667551.9689677507</v>
      </c>
      <c r="N81" s="70"/>
      <c r="O81" s="71">
        <f ca="1">IF($C81="",0,
K81*Decrements!D78+(O80-P80-Q80)*(1+G80))</f>
        <v>1.3324862558336188</v>
      </c>
      <c r="P81" s="72">
        <f ca="1">M81*Assumptions!$B$19*Decrements!E78</f>
        <v>0</v>
      </c>
      <c r="Q81" s="72">
        <f ca="1">L82*(Decrements!F78+Decrements!G78)</f>
        <v>0.37309615333058044</v>
      </c>
      <c r="S81" s="73">
        <f ca="1">IF($C82="","",L82-L81*(1+i))</f>
        <v>110716.53144449554</v>
      </c>
      <c r="T81" s="74">
        <f ca="1">IFERROR(S81-K81,"")</f>
        <v>1.7462298274040222E-9</v>
      </c>
      <c r="U81" s="107"/>
      <c r="V81" s="108">
        <f ca="1">IFERROR(J81/PUC_Projection!H81,"")</f>
        <v>0.82291974105744503</v>
      </c>
      <c r="W81" s="108">
        <f ca="1">IF($C81="","",($D$5-$D$9)/$H$14*(1+$D$10)^-(C81-$D$9+1))</f>
        <v>0.82291974105743693</v>
      </c>
      <c r="X81" s="109">
        <f t="shared" ca="1" si="23"/>
        <v>8.1046280797636427E-15</v>
      </c>
    </row>
    <row r="82" spans="2:24" ht="15" customHeight="1" x14ac:dyDescent="0.25">
      <c r="B82" s="61">
        <f t="shared" si="27"/>
        <v>68</v>
      </c>
      <c r="C82" s="75">
        <f t="shared" si="24"/>
        <v>98</v>
      </c>
      <c r="D82" s="76">
        <f t="shared" ca="1" si="28"/>
        <v>0.1</v>
      </c>
      <c r="E82" s="77">
        <f t="shared" ca="1" si="29"/>
        <v>1143578.5360213653</v>
      </c>
      <c r="F82" s="66">
        <f t="shared" ca="1" si="30"/>
        <v>3.6484317092170926E-2</v>
      </c>
      <c r="G82" s="66">
        <f t="shared" si="30"/>
        <v>0.04</v>
      </c>
      <c r="I82" s="106">
        <f t="shared" ca="1" si="20"/>
        <v>-52.032917311632346</v>
      </c>
      <c r="J82" s="67">
        <f t="shared" ca="1" si="21"/>
        <v>9.681585300620342E-2</v>
      </c>
      <c r="K82" s="69">
        <f t="shared" ca="1" si="22"/>
        <v>114755.94848506004</v>
      </c>
      <c r="L82" s="68">
        <f t="shared" ca="1" si="25"/>
        <v>8451726.229481034</v>
      </c>
      <c r="M82" s="69">
        <f t="shared" ca="1" si="26"/>
        <v>9148795.1529164091</v>
      </c>
      <c r="N82" s="70"/>
      <c r="O82" s="71">
        <f ca="1">IF($C82="",0,
K82*Decrements!D79+(O81-P81-Q81)*(1+G81))</f>
        <v>1.0107921249804441</v>
      </c>
      <c r="P82" s="72">
        <f ca="1">M82*Assumptions!$B$19*Decrements!E79</f>
        <v>0</v>
      </c>
      <c r="Q82" s="72">
        <f ca="1">L83*(Decrements!F79+Decrements!G79)</f>
        <v>0.28302179675957828</v>
      </c>
      <c r="S82" s="73">
        <f ca="1">IF($C83="","",L83-L82*(1+i))</f>
        <v>114755.94848506339</v>
      </c>
      <c r="T82" s="74">
        <f ca="1">IFERROR(S82-K82,"")</f>
        <v>3.3469405025243759E-9</v>
      </c>
      <c r="U82" s="107"/>
      <c r="V82" s="108">
        <f ca="1">IFERROR(J82/PUC_Projection!H82,"")</f>
        <v>0.82013789022268457</v>
      </c>
      <c r="W82" s="108">
        <f ca="1">IF($C82="","",($D$5-$D$9)/$H$14*(1+$D$10)^-(C82-$D$9+1))</f>
        <v>0.82013789022267647</v>
      </c>
      <c r="X82" s="109">
        <f t="shared" ca="1" si="23"/>
        <v>8.1046280797636427E-15</v>
      </c>
    </row>
    <row r="83" spans="2:24" ht="15" customHeight="1" x14ac:dyDescent="0.25">
      <c r="B83" s="61">
        <f t="shared" si="27"/>
        <v>69</v>
      </c>
      <c r="C83" s="75">
        <f t="shared" si="24"/>
        <v>99</v>
      </c>
      <c r="D83" s="76">
        <f t="shared" ca="1" si="28"/>
        <v>0.1</v>
      </c>
      <c r="E83" s="77">
        <f t="shared" ca="1" si="29"/>
        <v>1185301.2179493695</v>
      </c>
      <c r="F83" s="66">
        <f t="shared" ca="1" si="30"/>
        <v>3.6484317092170926E-2</v>
      </c>
      <c r="G83" s="66">
        <f t="shared" si="30"/>
        <v>0.04</v>
      </c>
      <c r="I83" s="106">
        <f t="shared" ca="1" si="20"/>
        <v>-53.209409357889477</v>
      </c>
      <c r="J83" s="67">
        <f t="shared" ca="1" si="21"/>
        <v>9.681585300620342E-2</v>
      </c>
      <c r="K83" s="69">
        <f t="shared" ca="1" si="22"/>
        <v>118942.74089780181</v>
      </c>
      <c r="L83" s="68">
        <f t="shared" ca="1" si="25"/>
        <v>8904551.2271453384</v>
      </c>
      <c r="M83" s="69">
        <f t="shared" ca="1" si="26"/>
        <v>9654669.7084306106</v>
      </c>
      <c r="N83" s="70"/>
      <c r="O83" s="71">
        <f ca="1">IF($C83="",0,
K83*Decrements!D80+(O82-P82-Q82)*(1+G82))</f>
        <v>0.76660234976597463</v>
      </c>
      <c r="P83" s="72">
        <f ca="1">M83*Assumptions!$B$19*Decrements!E80</f>
        <v>0</v>
      </c>
      <c r="Q83" s="72">
        <f ca="1">L84*(Decrements!F80+Decrements!G80)</f>
        <v>0.21464865977012895</v>
      </c>
      <c r="S83" s="73">
        <f ca="1">IF($C84="","",L84-L83*(1+i))</f>
        <v>118942.74089780077</v>
      </c>
      <c r="T83" s="74">
        <f ca="1">IFERROR(S83-K83,"")</f>
        <v>-1.0331859812140465E-9</v>
      </c>
      <c r="U83" s="107"/>
      <c r="V83" s="108">
        <f ca="1">IFERROR(J83/PUC_Projection!H83,"")</f>
        <v>0.81736544333545491</v>
      </c>
      <c r="W83" s="108">
        <f ca="1">IF($C83="","",($D$5-$D$9)/$H$14*(1+$D$10)^-(C83-$D$9+1))</f>
        <v>0.8173654433354467</v>
      </c>
      <c r="X83" s="109">
        <f t="shared" ca="1" si="23"/>
        <v>8.2156503822261584E-15</v>
      </c>
    </row>
    <row r="84" spans="2:24" ht="15" customHeight="1" x14ac:dyDescent="0.25">
      <c r="B84" s="61">
        <f t="shared" si="27"/>
        <v>70</v>
      </c>
      <c r="C84" s="75">
        <f t="shared" si="24"/>
        <v>100</v>
      </c>
      <c r="D84" s="76">
        <f t="shared" ca="1" si="28"/>
        <v>0.1</v>
      </c>
      <c r="E84" s="77">
        <f t="shared" ca="1" si="29"/>
        <v>1228546.1234347706</v>
      </c>
      <c r="F84" s="66">
        <f t="shared" ca="1" si="30"/>
        <v>3.6484317092170926E-2</v>
      </c>
      <c r="G84" s="66">
        <f t="shared" si="30"/>
        <v>0.04</v>
      </c>
      <c r="I84" s="106">
        <f t="shared" ca="1" si="20"/>
        <v>-54.389891983560105</v>
      </c>
      <c r="J84" s="67">
        <f t="shared" ca="1" si="21"/>
        <v>9.681585300620342E-2</v>
      </c>
      <c r="K84" s="69">
        <f t="shared" si="22"/>
        <v>0</v>
      </c>
      <c r="L84" s="68">
        <f t="shared" ca="1" si="25"/>
        <v>9379676.0171289537</v>
      </c>
      <c r="M84" s="69">
        <f t="shared" ca="1" si="26"/>
        <v>10186376.156141281</v>
      </c>
      <c r="N84" s="70"/>
      <c r="O84" s="71">
        <f ca="1">IF($C84="",0,
K84*Decrements!D81+(O83-P83-Q83)*(1+G83))</f>
        <v>0.57403183759567955</v>
      </c>
      <c r="P84" s="72">
        <f ca="1">M84*Assumptions!$B$19*Decrements!E81</f>
        <v>0</v>
      </c>
      <c r="Q84" s="72">
        <f ca="1">L85*(Decrements!F81+Decrements!G81)</f>
        <v>0</v>
      </c>
      <c r="S84" s="73" t="str">
        <f>IF($C85="","",J85-L84*(1+i))</f>
        <v/>
      </c>
      <c r="T84" s="74" t="str">
        <f>IFERROR(S84-K84,"")</f>
        <v/>
      </c>
      <c r="U84" s="107"/>
      <c r="V84" s="108">
        <f ca="1">IFERROR(J84/PUC_Projection!H84,"")</f>
        <v>0.81460236860604673</v>
      </c>
      <c r="W84" s="108">
        <f ca="1">IF($C84="","",($D$5-$D$9)/$H$14*(1+$D$10)^-(C84-$D$9+1))</f>
        <v>0.8146023686060383</v>
      </c>
      <c r="X84" s="109">
        <f t="shared" ca="1" si="23"/>
        <v>8.4376949871511897E-15</v>
      </c>
    </row>
  </sheetData>
  <conditionalFormatting sqref="T13">
    <cfRule type="cellIs" dxfId="7" priority="7" operator="equal">
      <formula>"Pass"</formula>
    </cfRule>
    <cfRule type="cellIs" dxfId="6" priority="8" operator="equal">
      <formula>"Check!"</formula>
    </cfRule>
  </conditionalFormatting>
  <conditionalFormatting sqref="X13">
    <cfRule type="cellIs" dxfId="5" priority="5" operator="equal">
      <formula>"Pass"</formula>
    </cfRule>
    <cfRule type="cellIs" dxfId="4" priority="6" operator="equal">
      <formula>"Check!"</formula>
    </cfRule>
  </conditionalFormatting>
  <conditionalFormatting sqref="H7">
    <cfRule type="cellIs" dxfId="3" priority="3" operator="equal">
      <formula>"Pass"</formula>
    </cfRule>
    <cfRule type="cellIs" dxfId="2" priority="4" operator="equal">
      <formula>"Check!"</formula>
    </cfRule>
  </conditionalFormatting>
  <conditionalFormatting sqref="I7:Q7">
    <cfRule type="cellIs" dxfId="1" priority="1" operator="equal">
      <formula>"Pass"</formula>
    </cfRule>
    <cfRule type="cellIs" dxfId="0" priority="2" operator="equal">
      <formula>"Check!"</formula>
    </cfRule>
  </conditionalFormatting>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0" tint="-0.499984740745262"/>
  </sheetPr>
  <dimension ref="A1"/>
  <sheetViews>
    <sheetView showGridLines="0" workbookViewId="0"/>
  </sheetViews>
  <sheetFormatPr defaultRowHeight="15" x14ac:dyDescent="0.2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0" tint="-0.249977111117893"/>
  </sheetPr>
  <dimension ref="A1:H13"/>
  <sheetViews>
    <sheetView workbookViewId="0">
      <selection activeCell="D2" sqref="D2"/>
    </sheetView>
  </sheetViews>
  <sheetFormatPr defaultRowHeight="15" x14ac:dyDescent="0.25"/>
  <cols>
    <col min="3" max="3" width="11" customWidth="1"/>
    <col min="6" max="6" width="9.140625" customWidth="1"/>
  </cols>
  <sheetData>
    <row r="1" spans="1:8" ht="41.25" thickBot="1" x14ac:dyDescent="0.35">
      <c r="A1" s="8" t="s">
        <v>19</v>
      </c>
      <c r="B1" s="1" t="s">
        <v>5</v>
      </c>
      <c r="C1" s="1" t="s">
        <v>6</v>
      </c>
      <c r="D1" s="1" t="s">
        <v>7</v>
      </c>
      <c r="E1" s="1" t="s">
        <v>8</v>
      </c>
      <c r="F1" s="11" t="s">
        <v>10</v>
      </c>
      <c r="G1" s="12" t="s">
        <v>9</v>
      </c>
      <c r="H1" s="17"/>
    </row>
    <row r="2" spans="1:8" ht="15.75" thickBot="1" x14ac:dyDescent="0.3">
      <c r="A2" s="2" t="str">
        <f>B2&amp;E2</f>
        <v>30B</v>
      </c>
      <c r="B2" s="2">
        <v>30</v>
      </c>
      <c r="C2" s="3">
        <v>210</v>
      </c>
      <c r="D2" s="4">
        <v>78000</v>
      </c>
      <c r="E2" s="9" t="s">
        <v>9</v>
      </c>
      <c r="F2" s="81"/>
      <c r="G2" s="82"/>
      <c r="H2" s="13"/>
    </row>
    <row r="3" spans="1:8" ht="15.75" thickBot="1" x14ac:dyDescent="0.3">
      <c r="A3" s="5" t="str">
        <f t="shared" ref="A3:A13" si="0">B3&amp;E3</f>
        <v>30A</v>
      </c>
      <c r="B3" s="5">
        <v>30</v>
      </c>
      <c r="C3" s="6">
        <v>20</v>
      </c>
      <c r="D3" s="7">
        <v>100000</v>
      </c>
      <c r="E3" s="10" t="s">
        <v>10</v>
      </c>
      <c r="F3" s="83"/>
      <c r="G3" s="84"/>
      <c r="H3" s="13"/>
    </row>
    <row r="4" spans="1:8" ht="15.75" thickBot="1" x14ac:dyDescent="0.3">
      <c r="A4" s="5" t="str">
        <f t="shared" si="0"/>
        <v>40B</v>
      </c>
      <c r="B4" s="5">
        <v>40</v>
      </c>
      <c r="C4" s="6">
        <v>220</v>
      </c>
      <c r="D4" s="7">
        <v>87000</v>
      </c>
      <c r="E4" s="10" t="s">
        <v>9</v>
      </c>
      <c r="F4" s="81"/>
      <c r="G4" s="82">
        <f>($D4/$D2)^(1/($B4-$B2))</f>
        <v>1.0109797692413225</v>
      </c>
      <c r="H4" s="13"/>
    </row>
    <row r="5" spans="1:8" ht="15.75" thickBot="1" x14ac:dyDescent="0.3">
      <c r="A5" s="5" t="str">
        <f t="shared" si="0"/>
        <v>40A</v>
      </c>
      <c r="B5" s="5">
        <v>40</v>
      </c>
      <c r="C5" s="6">
        <v>15</v>
      </c>
      <c r="D5" s="7">
        <v>150000</v>
      </c>
      <c r="E5" s="10" t="s">
        <v>10</v>
      </c>
      <c r="F5" s="83">
        <f>($D5/$D3)^(1/($B5-$B3))</f>
        <v>1.0413797439924106</v>
      </c>
      <c r="G5" s="84"/>
      <c r="H5" s="13"/>
    </row>
    <row r="6" spans="1:8" ht="15.75" thickBot="1" x14ac:dyDescent="0.3">
      <c r="A6" s="5" t="str">
        <f t="shared" si="0"/>
        <v>45B</v>
      </c>
      <c r="B6" s="5">
        <v>45</v>
      </c>
      <c r="C6" s="6">
        <v>240</v>
      </c>
      <c r="D6" s="7">
        <v>95000</v>
      </c>
      <c r="E6" s="10" t="s">
        <v>9</v>
      </c>
      <c r="F6" s="81"/>
      <c r="G6" s="82">
        <f>($D6/$D4)^(1/($B6-$B4))</f>
        <v>1.0177494363582376</v>
      </c>
      <c r="H6" s="13"/>
    </row>
    <row r="7" spans="1:8" ht="15.75" thickBot="1" x14ac:dyDescent="0.3">
      <c r="A7" s="5" t="str">
        <f t="shared" si="0"/>
        <v>45A</v>
      </c>
      <c r="B7" s="5">
        <v>45</v>
      </c>
      <c r="C7" s="6">
        <v>30</v>
      </c>
      <c r="D7" s="7">
        <v>175000</v>
      </c>
      <c r="E7" s="10" t="s">
        <v>10</v>
      </c>
      <c r="F7" s="83">
        <f>($D7/$D5)^(1/($B7-$B5))</f>
        <v>1.0313103064775451</v>
      </c>
      <c r="G7" s="84"/>
      <c r="H7" s="13"/>
    </row>
    <row r="8" spans="1:8" ht="15.75" thickBot="1" x14ac:dyDescent="0.3">
      <c r="A8" s="5" t="str">
        <f t="shared" si="0"/>
        <v>50B</v>
      </c>
      <c r="B8" s="5">
        <v>50</v>
      </c>
      <c r="C8" s="6">
        <v>180</v>
      </c>
      <c r="D8" s="7">
        <v>103000</v>
      </c>
      <c r="E8" s="10" t="s">
        <v>9</v>
      </c>
      <c r="F8" s="81"/>
      <c r="G8" s="82">
        <f>($D8/$D6)^(1/($B8-$B6))</f>
        <v>1.0163018681280294</v>
      </c>
      <c r="H8" s="13"/>
    </row>
    <row r="9" spans="1:8" ht="15.75" thickBot="1" x14ac:dyDescent="0.3">
      <c r="A9" s="5" t="str">
        <f t="shared" si="0"/>
        <v>50A</v>
      </c>
      <c r="B9" s="5">
        <v>50</v>
      </c>
      <c r="C9" s="6">
        <v>25</v>
      </c>
      <c r="D9" s="7">
        <v>185000</v>
      </c>
      <c r="E9" s="10" t="s">
        <v>10</v>
      </c>
      <c r="F9" s="83">
        <f>($D9/$D7)^(1/($B9-$B7))</f>
        <v>1.0111759598354646</v>
      </c>
      <c r="G9" s="84"/>
      <c r="H9" s="13"/>
    </row>
    <row r="10" spans="1:8" ht="15.75" thickBot="1" x14ac:dyDescent="0.3">
      <c r="A10" s="5" t="str">
        <f t="shared" si="0"/>
        <v>55B</v>
      </c>
      <c r="B10" s="5">
        <v>55</v>
      </c>
      <c r="C10" s="6">
        <v>50</v>
      </c>
      <c r="D10" s="7">
        <v>103000</v>
      </c>
      <c r="E10" s="10" t="s">
        <v>9</v>
      </c>
      <c r="F10" s="81"/>
      <c r="G10" s="82">
        <f>($D10/$D8)^(1/($B10-$B8))</f>
        <v>1</v>
      </c>
      <c r="H10" s="13"/>
    </row>
    <row r="11" spans="1:8" ht="15.75" thickBot="1" x14ac:dyDescent="0.3">
      <c r="A11" s="5" t="str">
        <f t="shared" si="0"/>
        <v>55A</v>
      </c>
      <c r="B11" s="5">
        <v>55</v>
      </c>
      <c r="C11" s="6">
        <v>10</v>
      </c>
      <c r="D11" s="7">
        <v>250000</v>
      </c>
      <c r="E11" s="10" t="s">
        <v>10</v>
      </c>
      <c r="F11" s="85">
        <f>($D11/$D9)^(1/($B11-$B9))</f>
        <v>1.062071258063263</v>
      </c>
      <c r="G11" s="86"/>
      <c r="H11" s="87"/>
    </row>
    <row r="12" spans="1:8" ht="16.5" x14ac:dyDescent="0.3">
      <c r="A12" s="17" t="str">
        <f t="shared" si="0"/>
        <v/>
      </c>
      <c r="B12" s="17"/>
      <c r="C12" s="17"/>
      <c r="D12" s="17"/>
      <c r="E12" s="17"/>
      <c r="F12" s="88">
        <f>AVERAGE(F2:F11)-1</f>
        <v>3.6484317092170926E-2</v>
      </c>
      <c r="G12" s="89">
        <f>AVERAGE(G2:G9)-1</f>
        <v>1.501035790919647E-2</v>
      </c>
      <c r="H12" s="90" t="s">
        <v>18</v>
      </c>
    </row>
    <row r="13" spans="1:8" ht="16.5" x14ac:dyDescent="0.3">
      <c r="A13" s="17" t="str">
        <f t="shared" si="0"/>
        <v/>
      </c>
      <c r="B13" s="17"/>
      <c r="C13" s="17"/>
      <c r="D13" s="17"/>
      <c r="E13" s="17"/>
      <c r="F13" s="91"/>
      <c r="G13" s="92">
        <v>0</v>
      </c>
      <c r="H13" s="93" t="s">
        <v>17</v>
      </c>
    </row>
  </sheetData>
  <autoFilter ref="B2:B11"/>
  <mergeCells count="1">
    <mergeCell ref="F12:F13"/>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10</vt:i4>
      </vt:variant>
    </vt:vector>
  </HeadingPairs>
  <TitlesOfParts>
    <vt:vector size="19" baseType="lpstr">
      <vt:lpstr>Note</vt:lpstr>
      <vt:lpstr>Assumptions</vt:lpstr>
      <vt:lpstr>Calculation --&gt;</vt:lpstr>
      <vt:lpstr>Decrements</vt:lpstr>
      <vt:lpstr>PUC_Projection</vt:lpstr>
      <vt:lpstr>EAN_Projection</vt:lpstr>
      <vt:lpstr>Flowchart</vt:lpstr>
      <vt:lpstr>Input --&gt;</vt:lpstr>
      <vt:lpstr>opening demographics</vt:lpstr>
      <vt:lpstr>accrual_rate_A</vt:lpstr>
      <vt:lpstr>accrual_rate_B</vt:lpstr>
      <vt:lpstr>e_A</vt:lpstr>
      <vt:lpstr>e_B</vt:lpstr>
      <vt:lpstr>i</vt:lpstr>
      <vt:lpstr>mort_rate_A</vt:lpstr>
      <vt:lpstr>NRA_A</vt:lpstr>
      <vt:lpstr>NRA_B</vt:lpstr>
      <vt:lpstr>retire_rate_A</vt:lpstr>
      <vt:lpstr>withdraw_rate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Zhu, Jinfeng</dc:creator>
  <cp:lastModifiedBy>Zhu, Vincent</cp:lastModifiedBy>
  <dcterms:created xsi:type="dcterms:W3CDTF">2006-09-16T00:00:00Z</dcterms:created>
  <dcterms:modified xsi:type="dcterms:W3CDTF">2020-02-18T15:36:44Z</dcterms:modified>
</cp:coreProperties>
</file>