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zhu\Desktop\LIRV\Assignment\"/>
    </mc:Choice>
  </mc:AlternateContent>
  <bookViews>
    <workbookView xWindow="240" yWindow="105" windowWidth="14805" windowHeight="8010" tabRatio="703" activeTab="4"/>
  </bookViews>
  <sheets>
    <sheet name="Note" sheetId="9" r:id="rId1"/>
    <sheet name="Assumptions" sheetId="1" r:id="rId2"/>
    <sheet name="Calculation --&gt;" sheetId="6" r:id="rId3"/>
    <sheet name="Decrements" sheetId="8" r:id="rId4"/>
    <sheet name="PUC_Projection" sheetId="2" r:id="rId5"/>
    <sheet name="EAN_Projection" sheetId="10" r:id="rId6"/>
    <sheet name="EAN_Projection_archive" sheetId="5" r:id="rId7"/>
    <sheet name="Input --&gt;" sheetId="7" r:id="rId8"/>
    <sheet name="opening demographics" sheetId="3" r:id="rId9"/>
    <sheet name="Figure 9.1" sheetId="4" r:id="rId10"/>
  </sheets>
  <definedNames>
    <definedName name="_xlnm._FilterDatabase" localSheetId="8" hidden="1">'opening demographics'!$B$2:$B$11</definedName>
    <definedName name="accrual_rate_A">Assumptions!$C$6</definedName>
    <definedName name="accrual_rate_B">Assumptions!$C$7</definedName>
    <definedName name="e_A">Assumptions!$C$19</definedName>
    <definedName name="e_B">Assumptions!$C$20</definedName>
    <definedName name="i">Assumptions!$B$23</definedName>
    <definedName name="mort_rate_A">Assumptions!$B$27</definedName>
    <definedName name="NRA_A">Assumptions!$C$9</definedName>
    <definedName name="NRA_B">Assumptions!$C$10</definedName>
    <definedName name="retire_rate_A">Assumptions!$B$25</definedName>
    <definedName name="withdraw_rate">Assumptions!$B$17</definedName>
  </definedNames>
  <calcPr calcId="152511"/>
</workbook>
</file>

<file path=xl/calcChain.xml><?xml version="1.0" encoding="utf-8"?>
<calcChain xmlns="http://schemas.openxmlformats.org/spreadsheetml/2006/main">
  <c r="B3" i="2" l="1"/>
  <c r="Q8" i="10"/>
  <c r="P8" i="10"/>
  <c r="O8" i="10"/>
  <c r="N8" i="10"/>
  <c r="M8" i="10"/>
  <c r="L8" i="10"/>
  <c r="K8" i="10"/>
  <c r="J8" i="10"/>
  <c r="I8" i="10"/>
  <c r="H8" i="10"/>
  <c r="J10" i="2"/>
  <c r="I10" i="2"/>
  <c r="D3" i="10" l="1"/>
  <c r="G4" i="10" s="1"/>
  <c r="K84" i="10"/>
  <c r="I84" i="2"/>
  <c r="P84" i="10"/>
  <c r="G14" i="10"/>
  <c r="G3" i="10" l="1"/>
  <c r="D4" i="10"/>
  <c r="C14" i="10" s="1"/>
  <c r="D2" i="10"/>
  <c r="D7" i="10"/>
  <c r="E14" i="10" s="1"/>
  <c r="G3" i="2"/>
  <c r="J9" i="2"/>
  <c r="I9" i="2"/>
  <c r="N84" i="2"/>
  <c r="D6" i="10"/>
  <c r="D5" i="10"/>
  <c r="D8" i="10"/>
  <c r="F14" i="10" l="1"/>
  <c r="D10" i="10" s="1"/>
  <c r="C15" i="10"/>
  <c r="D14" i="10"/>
  <c r="I11" i="2"/>
  <c r="J11" i="2"/>
  <c r="D3" i="8"/>
  <c r="D4" i="5"/>
  <c r="C11" i="5" s="1"/>
  <c r="D7" i="2"/>
  <c r="E14" i="2" s="1"/>
  <c r="D4" i="8"/>
  <c r="C11" i="8" s="1"/>
  <c r="D7" i="8"/>
  <c r="D2" i="8"/>
  <c r="G11" i="5"/>
  <c r="C20" i="1"/>
  <c r="C19" i="1"/>
  <c r="A3" i="3"/>
  <c r="A4" i="3"/>
  <c r="A5" i="3"/>
  <c r="A6" i="3"/>
  <c r="A7" i="3"/>
  <c r="A8" i="3"/>
  <c r="A9" i="3"/>
  <c r="A10" i="3"/>
  <c r="A11" i="3"/>
  <c r="A12" i="3"/>
  <c r="A13" i="3"/>
  <c r="A2" i="3"/>
  <c r="G12" i="3"/>
  <c r="F12" i="3"/>
  <c r="G4" i="3"/>
  <c r="G6" i="3"/>
  <c r="G8" i="3"/>
  <c r="G10" i="3"/>
  <c r="F11" i="3"/>
  <c r="F9" i="3"/>
  <c r="F7" i="3"/>
  <c r="F5" i="3"/>
  <c r="D8" i="8"/>
  <c r="D6" i="8"/>
  <c r="G15" i="10" l="1"/>
  <c r="I14" i="10"/>
  <c r="H14" i="10"/>
  <c r="T15" i="10" s="1"/>
  <c r="F15" i="10"/>
  <c r="C16" i="10"/>
  <c r="I15" i="10"/>
  <c r="B15" i="10"/>
  <c r="E15" i="10"/>
  <c r="D15" i="10"/>
  <c r="D2" i="5"/>
  <c r="D3" i="2"/>
  <c r="G4" i="2" s="1"/>
  <c r="D3" i="5"/>
  <c r="D7" i="5"/>
  <c r="E11" i="5" s="1"/>
  <c r="D2" i="2"/>
  <c r="D4" i="2"/>
  <c r="C14" i="2" s="1"/>
  <c r="M2" i="4"/>
  <c r="J34" i="4" s="1"/>
  <c r="M3" i="4"/>
  <c r="I7" i="4"/>
  <c r="I3" i="4"/>
  <c r="I4" i="4"/>
  <c r="I5" i="4"/>
  <c r="I6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2" i="4"/>
  <c r="J35" i="4"/>
  <c r="J36" i="4"/>
  <c r="J37" i="4"/>
  <c r="J38" i="4"/>
  <c r="J33" i="4"/>
  <c r="AF2" i="4"/>
  <c r="Z32" i="4"/>
  <c r="Y32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17" i="4"/>
  <c r="AE3" i="4"/>
  <c r="AF3" i="4" s="1"/>
  <c r="AE4" i="4"/>
  <c r="AE5" i="4"/>
  <c r="AE6" i="4"/>
  <c r="AE7" i="4"/>
  <c r="AE8" i="4"/>
  <c r="AE9" i="4"/>
  <c r="AE10" i="4"/>
  <c r="AE11" i="4"/>
  <c r="AE12" i="4"/>
  <c r="AE13" i="4"/>
  <c r="AE14" i="4"/>
  <c r="AE15" i="4"/>
  <c r="AE16" i="4"/>
  <c r="AE2" i="4"/>
  <c r="V2" i="4"/>
  <c r="P32" i="4"/>
  <c r="U32" i="4" s="1"/>
  <c r="O32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17" i="4"/>
  <c r="U3" i="4"/>
  <c r="V6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2" i="4"/>
  <c r="H2" i="4"/>
  <c r="Z3" i="4"/>
  <c r="Y3" i="4"/>
  <c r="Y4" i="4" s="1"/>
  <c r="Y5" i="4" s="1"/>
  <c r="Y6" i="4" s="1"/>
  <c r="Y7" i="4" s="1"/>
  <c r="Y8" i="4" s="1"/>
  <c r="Y9" i="4" s="1"/>
  <c r="Y10" i="4" s="1"/>
  <c r="Y11" i="4" s="1"/>
  <c r="Y12" i="4" s="1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P3" i="4"/>
  <c r="O3" i="4"/>
  <c r="O4" i="4" s="1"/>
  <c r="O5" i="4" s="1"/>
  <c r="O6" i="4" s="1"/>
  <c r="O7" i="4" s="1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C3" i="4"/>
  <c r="H3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G14" i="2"/>
  <c r="D6" i="5"/>
  <c r="D5" i="5"/>
  <c r="D5" i="2"/>
  <c r="D8" i="5"/>
  <c r="D6" i="2"/>
  <c r="D5" i="8"/>
  <c r="D8" i="2"/>
  <c r="G6" i="10" l="1"/>
  <c r="T16" i="10"/>
  <c r="T14" i="10"/>
  <c r="J14" i="10"/>
  <c r="G16" i="10"/>
  <c r="I16" i="10"/>
  <c r="F16" i="10"/>
  <c r="C17" i="10"/>
  <c r="B16" i="10"/>
  <c r="E16" i="10"/>
  <c r="J15" i="10"/>
  <c r="D16" i="10"/>
  <c r="C12" i="5"/>
  <c r="C13" i="5" s="1"/>
  <c r="D11" i="5"/>
  <c r="F11" i="5"/>
  <c r="C15" i="2"/>
  <c r="F14" i="2"/>
  <c r="D14" i="2"/>
  <c r="G11" i="8"/>
  <c r="C12" i="8"/>
  <c r="AF30" i="4"/>
  <c r="AF26" i="4"/>
  <c r="AF22" i="4"/>
  <c r="AF18" i="4"/>
  <c r="AF14" i="4"/>
  <c r="AF10" i="4"/>
  <c r="AF6" i="4"/>
  <c r="AF29" i="4"/>
  <c r="AF25" i="4"/>
  <c r="AF21" i="4"/>
  <c r="AF17" i="4"/>
  <c r="AF13" i="4"/>
  <c r="AF9" i="4"/>
  <c r="AF5" i="4"/>
  <c r="AF32" i="4"/>
  <c r="AG2" i="4" s="1"/>
  <c r="AF28" i="4"/>
  <c r="AF24" i="4"/>
  <c r="AF20" i="4"/>
  <c r="AF16" i="4"/>
  <c r="AF12" i="4"/>
  <c r="AF8" i="4"/>
  <c r="AF4" i="4"/>
  <c r="AF31" i="4"/>
  <c r="AF27" i="4"/>
  <c r="AF23" i="4"/>
  <c r="AF19" i="4"/>
  <c r="AF15" i="4"/>
  <c r="AF11" i="4"/>
  <c r="AF7" i="4"/>
  <c r="V29" i="4"/>
  <c r="V25" i="4"/>
  <c r="V21" i="4"/>
  <c r="V17" i="4"/>
  <c r="V13" i="4"/>
  <c r="V9" i="4"/>
  <c r="V5" i="4"/>
  <c r="V32" i="4"/>
  <c r="W2" i="4" s="1"/>
  <c r="V28" i="4"/>
  <c r="V24" i="4"/>
  <c r="V20" i="4"/>
  <c r="V16" i="4"/>
  <c r="V12" i="4"/>
  <c r="V8" i="4"/>
  <c r="V4" i="4"/>
  <c r="V31" i="4"/>
  <c r="V27" i="4"/>
  <c r="V23" i="4"/>
  <c r="V19" i="4"/>
  <c r="V15" i="4"/>
  <c r="V11" i="4"/>
  <c r="V7" i="4"/>
  <c r="V3" i="4"/>
  <c r="V30" i="4"/>
  <c r="V26" i="4"/>
  <c r="V22" i="4"/>
  <c r="V18" i="4"/>
  <c r="V14" i="4"/>
  <c r="V10" i="4"/>
  <c r="J3" i="4"/>
  <c r="J2" i="4"/>
  <c r="K2" i="4"/>
  <c r="L2" i="4" s="1"/>
  <c r="C4" i="4"/>
  <c r="H4" i="4" s="1"/>
  <c r="J4" i="4" s="1"/>
  <c r="Z4" i="4"/>
  <c r="P4" i="4"/>
  <c r="K14" i="10" l="1"/>
  <c r="G5" i="10" s="1"/>
  <c r="T17" i="10"/>
  <c r="L14" i="10"/>
  <c r="I17" i="10"/>
  <c r="M14" i="10"/>
  <c r="N14" i="10" s="1"/>
  <c r="C18" i="10"/>
  <c r="L15" i="10"/>
  <c r="E17" i="10"/>
  <c r="B17" i="10"/>
  <c r="G17" i="10"/>
  <c r="F17" i="10"/>
  <c r="K15" i="10"/>
  <c r="J16" i="10"/>
  <c r="D17" i="10"/>
  <c r="H14" i="2"/>
  <c r="S14" i="10" s="1"/>
  <c r="U14" i="10" s="1"/>
  <c r="J14" i="2"/>
  <c r="B12" i="5"/>
  <c r="B13" i="5" s="1"/>
  <c r="B15" i="2"/>
  <c r="G12" i="5"/>
  <c r="G13" i="5" s="1"/>
  <c r="E12" i="5"/>
  <c r="E15" i="2"/>
  <c r="E11" i="8"/>
  <c r="F11" i="8"/>
  <c r="F12" i="5"/>
  <c r="F13" i="5" s="1"/>
  <c r="C16" i="2"/>
  <c r="H11" i="5"/>
  <c r="G15" i="2"/>
  <c r="D12" i="5"/>
  <c r="D13" i="5" s="1"/>
  <c r="L11" i="5"/>
  <c r="K11" i="5" s="1"/>
  <c r="M11" i="5" s="1"/>
  <c r="N11" i="5" s="1"/>
  <c r="D15" i="2"/>
  <c r="F15" i="2"/>
  <c r="B12" i="8"/>
  <c r="C13" i="8"/>
  <c r="C14" i="5"/>
  <c r="G6" i="2" l="1"/>
  <c r="T18" i="10"/>
  <c r="P14" i="10"/>
  <c r="Q14" i="10" s="1"/>
  <c r="G18" i="10"/>
  <c r="I18" i="10"/>
  <c r="M15" i="10"/>
  <c r="N15" i="10" s="1"/>
  <c r="C19" i="10"/>
  <c r="B18" i="10"/>
  <c r="F18" i="10"/>
  <c r="K16" i="10"/>
  <c r="E18" i="10"/>
  <c r="I14" i="2"/>
  <c r="G5" i="2" s="1"/>
  <c r="L16" i="10"/>
  <c r="P15" i="10" s="1"/>
  <c r="Q15" i="10" s="1"/>
  <c r="J17" i="10"/>
  <c r="D18" i="10"/>
  <c r="H15" i="2"/>
  <c r="S15" i="10" s="1"/>
  <c r="U15" i="10" s="1"/>
  <c r="J15" i="2"/>
  <c r="N14" i="2" s="1"/>
  <c r="B16" i="2"/>
  <c r="E16" i="2"/>
  <c r="K12" i="5"/>
  <c r="M12" i="5" s="1"/>
  <c r="N12" i="5" s="1"/>
  <c r="C17" i="2"/>
  <c r="H11" i="8"/>
  <c r="D12" i="8" s="1"/>
  <c r="G12" i="8" s="1"/>
  <c r="F12" i="8" s="1"/>
  <c r="E13" i="5"/>
  <c r="L13" i="5" s="1"/>
  <c r="H12" i="5"/>
  <c r="F16" i="2"/>
  <c r="L12" i="5"/>
  <c r="P12" i="5" s="1"/>
  <c r="D16" i="2"/>
  <c r="C14" i="8"/>
  <c r="B13" i="8"/>
  <c r="C15" i="5"/>
  <c r="D14" i="5"/>
  <c r="G14" i="5"/>
  <c r="B14" i="5"/>
  <c r="F14" i="5"/>
  <c r="H13" i="5"/>
  <c r="G16" i="2"/>
  <c r="K3" i="4"/>
  <c r="L3" i="4" s="1"/>
  <c r="C5" i="4"/>
  <c r="H5" i="4" s="1"/>
  <c r="Z5" i="4"/>
  <c r="P5" i="4"/>
  <c r="T19" i="10" l="1"/>
  <c r="M16" i="10"/>
  <c r="N16" i="10" s="1"/>
  <c r="C20" i="10"/>
  <c r="G19" i="10"/>
  <c r="I19" i="10"/>
  <c r="F19" i="10"/>
  <c r="B19" i="10"/>
  <c r="K14" i="2"/>
  <c r="L14" i="2" s="1"/>
  <c r="E19" i="10"/>
  <c r="K17" i="10"/>
  <c r="I15" i="2"/>
  <c r="L17" i="10"/>
  <c r="P16" i="10" s="1"/>
  <c r="Q16" i="10" s="1"/>
  <c r="J18" i="10"/>
  <c r="D19" i="10"/>
  <c r="H16" i="2"/>
  <c r="S16" i="10" s="1"/>
  <c r="U16" i="10" s="1"/>
  <c r="J16" i="2"/>
  <c r="N15" i="2" s="1"/>
  <c r="Q12" i="5"/>
  <c r="B17" i="2"/>
  <c r="G17" i="2"/>
  <c r="D17" i="2"/>
  <c r="E17" i="2"/>
  <c r="C18" i="2"/>
  <c r="O14" i="2"/>
  <c r="K13" i="5"/>
  <c r="M13" i="5" s="1"/>
  <c r="N13" i="5" s="1"/>
  <c r="E14" i="5"/>
  <c r="K14" i="5" s="1"/>
  <c r="E12" i="8"/>
  <c r="H12" i="8" s="1"/>
  <c r="D13" i="8" s="1"/>
  <c r="P13" i="5"/>
  <c r="F17" i="2"/>
  <c r="C15" i="8"/>
  <c r="B14" i="8"/>
  <c r="H14" i="5"/>
  <c r="G15" i="5"/>
  <c r="F15" i="5"/>
  <c r="B15" i="5"/>
  <c r="D15" i="5"/>
  <c r="C16" i="5"/>
  <c r="J5" i="4"/>
  <c r="K4" i="4"/>
  <c r="L4" i="4" s="1"/>
  <c r="C6" i="4"/>
  <c r="H6" i="4" s="1"/>
  <c r="Z6" i="4"/>
  <c r="P6" i="4"/>
  <c r="T20" i="10" l="1"/>
  <c r="F20" i="10"/>
  <c r="C21" i="10"/>
  <c r="I20" i="10"/>
  <c r="B20" i="10"/>
  <c r="M17" i="10"/>
  <c r="N17" i="10" s="1"/>
  <c r="G20" i="10"/>
  <c r="D20" i="10"/>
  <c r="E20" i="10"/>
  <c r="K15" i="2"/>
  <c r="L15" i="2" s="1"/>
  <c r="O15" i="2"/>
  <c r="K18" i="10"/>
  <c r="I16" i="2"/>
  <c r="L18" i="10"/>
  <c r="P17" i="10" s="1"/>
  <c r="Q17" i="10" s="1"/>
  <c r="J19" i="10"/>
  <c r="H17" i="2"/>
  <c r="S17" i="10" s="1"/>
  <c r="U17" i="10" s="1"/>
  <c r="J17" i="2"/>
  <c r="N16" i="2" s="1"/>
  <c r="G18" i="2"/>
  <c r="B18" i="2"/>
  <c r="D18" i="2"/>
  <c r="E18" i="2"/>
  <c r="C19" i="2"/>
  <c r="Q13" i="5"/>
  <c r="L14" i="5"/>
  <c r="P14" i="5" s="1"/>
  <c r="Q14" i="5" s="1"/>
  <c r="E15" i="5"/>
  <c r="L15" i="5" s="1"/>
  <c r="M14" i="5"/>
  <c r="N14" i="5" s="1"/>
  <c r="G13" i="8"/>
  <c r="F13" i="8" s="1"/>
  <c r="F18" i="2"/>
  <c r="B15" i="8"/>
  <c r="C16" i="8"/>
  <c r="F16" i="5"/>
  <c r="B16" i="5"/>
  <c r="C17" i="5"/>
  <c r="D16" i="5"/>
  <c r="G16" i="5"/>
  <c r="H15" i="5"/>
  <c r="J6" i="4"/>
  <c r="K5" i="4"/>
  <c r="L5" i="4" s="1"/>
  <c r="C7" i="4"/>
  <c r="H7" i="4" s="1"/>
  <c r="Z7" i="4"/>
  <c r="P7" i="4"/>
  <c r="T21" i="10" l="1"/>
  <c r="F21" i="10"/>
  <c r="I21" i="10"/>
  <c r="E21" i="10"/>
  <c r="G21" i="10"/>
  <c r="M18" i="10"/>
  <c r="N18" i="10" s="1"/>
  <c r="C22" i="10"/>
  <c r="B21" i="10"/>
  <c r="J20" i="10"/>
  <c r="D21" i="10"/>
  <c r="K16" i="2"/>
  <c r="L16" i="2" s="1"/>
  <c r="O16" i="2"/>
  <c r="K19" i="10"/>
  <c r="I17" i="2"/>
  <c r="L19" i="10"/>
  <c r="P18" i="10" s="1"/>
  <c r="Q18" i="10" s="1"/>
  <c r="H18" i="2"/>
  <c r="S18" i="10" s="1"/>
  <c r="U18" i="10" s="1"/>
  <c r="J18" i="2"/>
  <c r="N17" i="2" s="1"/>
  <c r="G19" i="2"/>
  <c r="B19" i="2"/>
  <c r="D19" i="2"/>
  <c r="C20" i="2"/>
  <c r="E19" i="2"/>
  <c r="K15" i="5"/>
  <c r="M15" i="5" s="1"/>
  <c r="N15" i="5" s="1"/>
  <c r="P15" i="5"/>
  <c r="E16" i="5"/>
  <c r="K16" i="5" s="1"/>
  <c r="E13" i="8"/>
  <c r="H13" i="8" s="1"/>
  <c r="D14" i="8" s="1"/>
  <c r="F19" i="2"/>
  <c r="B16" i="8"/>
  <c r="C17" i="8"/>
  <c r="H16" i="5"/>
  <c r="C18" i="5"/>
  <c r="D17" i="5"/>
  <c r="G17" i="5"/>
  <c r="B17" i="5"/>
  <c r="F17" i="5"/>
  <c r="J7" i="4"/>
  <c r="K6" i="4"/>
  <c r="L6" i="4" s="1"/>
  <c r="C8" i="4"/>
  <c r="H8" i="4" s="1"/>
  <c r="J8" i="4" s="1"/>
  <c r="Z8" i="4"/>
  <c r="P8" i="4"/>
  <c r="T22" i="10" l="1"/>
  <c r="K20" i="10"/>
  <c r="J21" i="10"/>
  <c r="D22" i="10"/>
  <c r="M19" i="10"/>
  <c r="I22" i="10"/>
  <c r="F22" i="10"/>
  <c r="C23" i="10"/>
  <c r="G22" i="10"/>
  <c r="E22" i="10"/>
  <c r="B22" i="10"/>
  <c r="L20" i="10"/>
  <c r="P19" i="10" s="1"/>
  <c r="Q19" i="10" s="1"/>
  <c r="K17" i="2"/>
  <c r="L17" i="2" s="1"/>
  <c r="O17" i="2"/>
  <c r="I18" i="2"/>
  <c r="H19" i="2"/>
  <c r="S19" i="10" s="1"/>
  <c r="U19" i="10" s="1"/>
  <c r="F20" i="2"/>
  <c r="G20" i="2"/>
  <c r="J19" i="2"/>
  <c r="N18" i="2" s="1"/>
  <c r="D20" i="2"/>
  <c r="B20" i="2"/>
  <c r="C21" i="2"/>
  <c r="E20" i="2"/>
  <c r="Q15" i="5"/>
  <c r="E17" i="5"/>
  <c r="K17" i="5" s="1"/>
  <c r="L16" i="5"/>
  <c r="P16" i="5" s="1"/>
  <c r="Q16" i="5" s="1"/>
  <c r="M16" i="5"/>
  <c r="N16" i="5" s="1"/>
  <c r="G14" i="8"/>
  <c r="F14" i="8" s="1"/>
  <c r="C18" i="8"/>
  <c r="B17" i="8"/>
  <c r="H17" i="5"/>
  <c r="C19" i="5"/>
  <c r="D18" i="5"/>
  <c r="G18" i="5"/>
  <c r="F18" i="5"/>
  <c r="B18" i="5"/>
  <c r="K7" i="4"/>
  <c r="L7" i="4" s="1"/>
  <c r="C9" i="4"/>
  <c r="H9" i="4" s="1"/>
  <c r="Z9" i="4"/>
  <c r="P9" i="4"/>
  <c r="T23" i="10" l="1"/>
  <c r="M20" i="10"/>
  <c r="N20" i="10" s="1"/>
  <c r="K21" i="10"/>
  <c r="L21" i="10"/>
  <c r="P20" i="10" s="1"/>
  <c r="Q20" i="10" s="1"/>
  <c r="N19" i="10"/>
  <c r="J22" i="10"/>
  <c r="D23" i="10"/>
  <c r="F23" i="10"/>
  <c r="C24" i="10"/>
  <c r="B23" i="10"/>
  <c r="G23" i="10"/>
  <c r="I23" i="10"/>
  <c r="E23" i="10"/>
  <c r="K18" i="2"/>
  <c r="L18" i="2" s="1"/>
  <c r="I19" i="2"/>
  <c r="H20" i="2"/>
  <c r="S20" i="10" s="1"/>
  <c r="U20" i="10" s="1"/>
  <c r="J20" i="2"/>
  <c r="N19" i="2" s="1"/>
  <c r="F21" i="2"/>
  <c r="D21" i="2"/>
  <c r="B21" i="2"/>
  <c r="G21" i="2"/>
  <c r="E21" i="2"/>
  <c r="C22" i="2"/>
  <c r="O18" i="2"/>
  <c r="E18" i="5"/>
  <c r="K18" i="5" s="1"/>
  <c r="L17" i="5"/>
  <c r="P17" i="5" s="1"/>
  <c r="Q17" i="5" s="1"/>
  <c r="M17" i="5"/>
  <c r="N17" i="5" s="1"/>
  <c r="E14" i="8"/>
  <c r="H14" i="8" s="1"/>
  <c r="D15" i="8" s="1"/>
  <c r="C19" i="8"/>
  <c r="B18" i="8"/>
  <c r="H18" i="5"/>
  <c r="G19" i="5"/>
  <c r="F19" i="5"/>
  <c r="B19" i="5"/>
  <c r="D19" i="5"/>
  <c r="C20" i="5"/>
  <c r="J9" i="4"/>
  <c r="K8" i="4"/>
  <c r="L8" i="4" s="1"/>
  <c r="C10" i="4"/>
  <c r="H10" i="4" s="1"/>
  <c r="J10" i="4" s="1"/>
  <c r="Z10" i="4"/>
  <c r="P10" i="4"/>
  <c r="T24" i="10" l="1"/>
  <c r="M21" i="10"/>
  <c r="N21" i="10" s="1"/>
  <c r="K22" i="10"/>
  <c r="F24" i="10"/>
  <c r="I24" i="10"/>
  <c r="L22" i="10"/>
  <c r="P21" i="10" s="1"/>
  <c r="Q21" i="10" s="1"/>
  <c r="J23" i="10"/>
  <c r="D24" i="10"/>
  <c r="E24" i="10"/>
  <c r="C25" i="10"/>
  <c r="B24" i="10"/>
  <c r="G24" i="10"/>
  <c r="K19" i="2"/>
  <c r="L19" i="2" s="1"/>
  <c r="I20" i="2"/>
  <c r="H21" i="2"/>
  <c r="S21" i="10" s="1"/>
  <c r="U21" i="10" s="1"/>
  <c r="F22" i="2"/>
  <c r="J21" i="2"/>
  <c r="N20" i="2" s="1"/>
  <c r="E22" i="2"/>
  <c r="B22" i="2"/>
  <c r="D22" i="2"/>
  <c r="G22" i="2"/>
  <c r="C23" i="2"/>
  <c r="L18" i="5"/>
  <c r="P18" i="5" s="1"/>
  <c r="Q18" i="5" s="1"/>
  <c r="E19" i="5"/>
  <c r="K19" i="5" s="1"/>
  <c r="M18" i="5"/>
  <c r="N18" i="5" s="1"/>
  <c r="O19" i="2"/>
  <c r="G15" i="8"/>
  <c r="E15" i="8" s="1"/>
  <c r="B19" i="8"/>
  <c r="C20" i="8"/>
  <c r="H19" i="5"/>
  <c r="F20" i="5"/>
  <c r="B20" i="5"/>
  <c r="D20" i="5"/>
  <c r="C21" i="5"/>
  <c r="G20" i="5"/>
  <c r="K9" i="4"/>
  <c r="L9" i="4" s="1"/>
  <c r="C11" i="4"/>
  <c r="H11" i="4" s="1"/>
  <c r="Z11" i="4"/>
  <c r="P11" i="4"/>
  <c r="T25" i="10" l="1"/>
  <c r="M22" i="10"/>
  <c r="N22" i="10" s="1"/>
  <c r="K23" i="10"/>
  <c r="J24" i="10"/>
  <c r="L23" i="10"/>
  <c r="P22" i="10" s="1"/>
  <c r="Q22" i="10" s="1"/>
  <c r="F25" i="10"/>
  <c r="I25" i="10"/>
  <c r="C26" i="10"/>
  <c r="D25" i="10"/>
  <c r="E25" i="10"/>
  <c r="G25" i="10"/>
  <c r="B25" i="10"/>
  <c r="K20" i="2"/>
  <c r="L20" i="2" s="1"/>
  <c r="I21" i="2"/>
  <c r="H22" i="2"/>
  <c r="S22" i="10" s="1"/>
  <c r="U22" i="10" s="1"/>
  <c r="J22" i="2"/>
  <c r="N21" i="2" s="1"/>
  <c r="F23" i="2"/>
  <c r="D23" i="2"/>
  <c r="B23" i="2"/>
  <c r="G23" i="2"/>
  <c r="E23" i="2"/>
  <c r="C24" i="2"/>
  <c r="M19" i="5"/>
  <c r="N19" i="5" s="1"/>
  <c r="L19" i="5"/>
  <c r="P19" i="5" s="1"/>
  <c r="Q19" i="5" s="1"/>
  <c r="E20" i="5"/>
  <c r="L20" i="5" s="1"/>
  <c r="F15" i="8"/>
  <c r="H15" i="8" s="1"/>
  <c r="D16" i="8" s="1"/>
  <c r="B20" i="8"/>
  <c r="C21" i="8"/>
  <c r="H20" i="5"/>
  <c r="C22" i="5"/>
  <c r="D21" i="5"/>
  <c r="G21" i="5"/>
  <c r="F21" i="5"/>
  <c r="B21" i="5"/>
  <c r="J11" i="4"/>
  <c r="K10" i="4"/>
  <c r="L10" i="4" s="1"/>
  <c r="C12" i="4"/>
  <c r="H12" i="4" s="1"/>
  <c r="J12" i="4" s="1"/>
  <c r="Z12" i="4"/>
  <c r="P12" i="4"/>
  <c r="T26" i="10" l="1"/>
  <c r="M23" i="10"/>
  <c r="N23" i="10" s="1"/>
  <c r="L24" i="10"/>
  <c r="P23" i="10" s="1"/>
  <c r="Q23" i="10" s="1"/>
  <c r="C27" i="10"/>
  <c r="K24" i="10"/>
  <c r="F26" i="10"/>
  <c r="G26" i="10"/>
  <c r="I26" i="10"/>
  <c r="J25" i="10"/>
  <c r="B26" i="10"/>
  <c r="E26" i="10"/>
  <c r="D26" i="10"/>
  <c r="K21" i="2"/>
  <c r="L21" i="2" s="1"/>
  <c r="I22" i="2"/>
  <c r="H23" i="2"/>
  <c r="S23" i="10" s="1"/>
  <c r="U23" i="10" s="1"/>
  <c r="J23" i="2"/>
  <c r="N22" i="2" s="1"/>
  <c r="E24" i="2"/>
  <c r="G24" i="2"/>
  <c r="B24" i="2"/>
  <c r="D24" i="2"/>
  <c r="C25" i="2"/>
  <c r="F24" i="2"/>
  <c r="P20" i="5"/>
  <c r="K20" i="5"/>
  <c r="M20" i="5" s="1"/>
  <c r="N20" i="5" s="1"/>
  <c r="E21" i="5"/>
  <c r="E22" i="5" s="1"/>
  <c r="O20" i="2"/>
  <c r="O21" i="2"/>
  <c r="G16" i="8"/>
  <c r="E16" i="8" s="1"/>
  <c r="C22" i="8"/>
  <c r="B21" i="8"/>
  <c r="H21" i="5"/>
  <c r="C23" i="5"/>
  <c r="D22" i="5"/>
  <c r="G22" i="5"/>
  <c r="B22" i="5"/>
  <c r="F22" i="5"/>
  <c r="K11" i="4"/>
  <c r="L11" i="4" s="1"/>
  <c r="C13" i="4"/>
  <c r="H13" i="4" s="1"/>
  <c r="J13" i="4" s="1"/>
  <c r="Z13" i="4"/>
  <c r="P13" i="4"/>
  <c r="T27" i="10" l="1"/>
  <c r="M24" i="10"/>
  <c r="N24" i="10" s="1"/>
  <c r="L25" i="10"/>
  <c r="P24" i="10" s="1"/>
  <c r="Q24" i="10" s="1"/>
  <c r="I27" i="10"/>
  <c r="C28" i="10"/>
  <c r="G27" i="10"/>
  <c r="B27" i="10"/>
  <c r="F27" i="10"/>
  <c r="K25" i="10"/>
  <c r="J26" i="10"/>
  <c r="E27" i="10"/>
  <c r="D27" i="10"/>
  <c r="K22" i="2"/>
  <c r="L22" i="2" s="1"/>
  <c r="I23" i="2"/>
  <c r="H24" i="2"/>
  <c r="S24" i="10" s="1"/>
  <c r="U24" i="10" s="1"/>
  <c r="J24" i="2"/>
  <c r="N23" i="2" s="1"/>
  <c r="B25" i="2"/>
  <c r="E25" i="2"/>
  <c r="D25" i="2"/>
  <c r="G25" i="2"/>
  <c r="F25" i="2"/>
  <c r="C26" i="2"/>
  <c r="K21" i="5"/>
  <c r="M21" i="5" s="1"/>
  <c r="N21" i="5" s="1"/>
  <c r="L21" i="5"/>
  <c r="P21" i="5" s="1"/>
  <c r="Q20" i="5"/>
  <c r="O22" i="2"/>
  <c r="F16" i="8"/>
  <c r="H16" i="8" s="1"/>
  <c r="D17" i="8" s="1"/>
  <c r="K22" i="5"/>
  <c r="C23" i="8"/>
  <c r="B22" i="8"/>
  <c r="L22" i="5"/>
  <c r="G23" i="5"/>
  <c r="F23" i="5"/>
  <c r="B23" i="5"/>
  <c r="E23" i="5"/>
  <c r="C24" i="5"/>
  <c r="D23" i="5"/>
  <c r="H22" i="5"/>
  <c r="K12" i="4"/>
  <c r="L12" i="4" s="1"/>
  <c r="C14" i="4"/>
  <c r="H14" i="4" s="1"/>
  <c r="J14" i="4" s="1"/>
  <c r="Z14" i="4"/>
  <c r="P14" i="4"/>
  <c r="T28" i="10" l="1"/>
  <c r="M25" i="10"/>
  <c r="N25" i="10" s="1"/>
  <c r="K26" i="10"/>
  <c r="C29" i="10"/>
  <c r="B28" i="10"/>
  <c r="I28" i="10"/>
  <c r="G28" i="10"/>
  <c r="F28" i="10"/>
  <c r="J27" i="10"/>
  <c r="E28" i="10"/>
  <c r="L26" i="10"/>
  <c r="P25" i="10" s="1"/>
  <c r="Q25" i="10" s="1"/>
  <c r="D28" i="10"/>
  <c r="K23" i="2"/>
  <c r="L23" i="2" s="1"/>
  <c r="I24" i="2"/>
  <c r="H25" i="2"/>
  <c r="S25" i="10" s="1"/>
  <c r="U25" i="10" s="1"/>
  <c r="Q21" i="5"/>
  <c r="J25" i="2"/>
  <c r="N24" i="2" s="1"/>
  <c r="B26" i="2"/>
  <c r="G26" i="2"/>
  <c r="D26" i="2"/>
  <c r="F26" i="2"/>
  <c r="M22" i="5"/>
  <c r="N22" i="5" s="1"/>
  <c r="E26" i="2"/>
  <c r="C27" i="2"/>
  <c r="P22" i="5"/>
  <c r="Q22" i="5" s="1"/>
  <c r="G17" i="8"/>
  <c r="E17" i="8" s="1"/>
  <c r="B23" i="8"/>
  <c r="C24" i="8"/>
  <c r="K23" i="5"/>
  <c r="L23" i="5"/>
  <c r="P23" i="5" s="1"/>
  <c r="H23" i="5"/>
  <c r="F24" i="5"/>
  <c r="B24" i="5"/>
  <c r="E24" i="5"/>
  <c r="C25" i="5"/>
  <c r="G24" i="5"/>
  <c r="D24" i="5"/>
  <c r="K13" i="4"/>
  <c r="L13" i="4" s="1"/>
  <c r="C15" i="4"/>
  <c r="H15" i="4" s="1"/>
  <c r="J15" i="4" s="1"/>
  <c r="Z15" i="4"/>
  <c r="P15" i="4"/>
  <c r="T29" i="10" l="1"/>
  <c r="M26" i="10"/>
  <c r="N26" i="10" s="1"/>
  <c r="F29" i="10"/>
  <c r="K27" i="10"/>
  <c r="I29" i="10"/>
  <c r="L27" i="10"/>
  <c r="P26" i="10" s="1"/>
  <c r="Q26" i="10" s="1"/>
  <c r="G29" i="10"/>
  <c r="C30" i="10"/>
  <c r="D29" i="10"/>
  <c r="B29" i="10"/>
  <c r="E29" i="10"/>
  <c r="J28" i="10"/>
  <c r="K24" i="2"/>
  <c r="L24" i="2" s="1"/>
  <c r="I25" i="2"/>
  <c r="H26" i="2"/>
  <c r="S26" i="10" s="1"/>
  <c r="U26" i="10" s="1"/>
  <c r="B27" i="2"/>
  <c r="F27" i="2"/>
  <c r="J26" i="2"/>
  <c r="N25" i="2" s="1"/>
  <c r="E27" i="2"/>
  <c r="M23" i="5"/>
  <c r="N23" i="5" s="1"/>
  <c r="D27" i="2"/>
  <c r="G27" i="2"/>
  <c r="C28" i="2"/>
  <c r="O24" i="2"/>
  <c r="O23" i="2"/>
  <c r="F17" i="8"/>
  <c r="H17" i="8" s="1"/>
  <c r="D18" i="8" s="1"/>
  <c r="B24" i="8"/>
  <c r="C25" i="8"/>
  <c r="Q23" i="5"/>
  <c r="K24" i="5"/>
  <c r="E25" i="5"/>
  <c r="C26" i="5"/>
  <c r="D25" i="5"/>
  <c r="G25" i="5"/>
  <c r="F25" i="5"/>
  <c r="B25" i="5"/>
  <c r="H24" i="5"/>
  <c r="L24" i="5"/>
  <c r="P24" i="5" s="1"/>
  <c r="K14" i="4"/>
  <c r="L14" i="4" s="1"/>
  <c r="C16" i="4"/>
  <c r="H16" i="4" s="1"/>
  <c r="J16" i="4" s="1"/>
  <c r="Z16" i="4"/>
  <c r="P16" i="4"/>
  <c r="T30" i="10" l="1"/>
  <c r="M27" i="10"/>
  <c r="N27" i="10" s="1"/>
  <c r="L28" i="10"/>
  <c r="P27" i="10" s="1"/>
  <c r="Q27" i="10" s="1"/>
  <c r="J29" i="10"/>
  <c r="C31" i="10"/>
  <c r="B30" i="10"/>
  <c r="G30" i="10"/>
  <c r="D30" i="10"/>
  <c r="F30" i="10"/>
  <c r="E30" i="10"/>
  <c r="I30" i="10"/>
  <c r="K28" i="10"/>
  <c r="K25" i="2"/>
  <c r="L25" i="2" s="1"/>
  <c r="I26" i="2"/>
  <c r="H27" i="2"/>
  <c r="S27" i="10" s="1"/>
  <c r="U27" i="10" s="1"/>
  <c r="J27" i="2"/>
  <c r="N26" i="2" s="1"/>
  <c r="M24" i="5"/>
  <c r="N24" i="5" s="1"/>
  <c r="G28" i="2"/>
  <c r="B28" i="2"/>
  <c r="C29" i="2"/>
  <c r="D28" i="2"/>
  <c r="E28" i="2"/>
  <c r="F28" i="2"/>
  <c r="Q24" i="5"/>
  <c r="G18" i="8"/>
  <c r="F18" i="8" s="1"/>
  <c r="B25" i="8"/>
  <c r="C26" i="8"/>
  <c r="K25" i="5"/>
  <c r="L25" i="5"/>
  <c r="P25" i="5" s="1"/>
  <c r="C27" i="5"/>
  <c r="D26" i="5"/>
  <c r="G26" i="5"/>
  <c r="F26" i="5"/>
  <c r="E26" i="5"/>
  <c r="B26" i="5"/>
  <c r="H25" i="5"/>
  <c r="K15" i="4"/>
  <c r="L15" i="4" s="1"/>
  <c r="C17" i="4"/>
  <c r="H17" i="4" s="1"/>
  <c r="J17" i="4" s="1"/>
  <c r="Z17" i="4"/>
  <c r="P17" i="4"/>
  <c r="T31" i="10" l="1"/>
  <c r="M28" i="10"/>
  <c r="N28" i="10" s="1"/>
  <c r="D31" i="10"/>
  <c r="K29" i="10"/>
  <c r="I31" i="10"/>
  <c r="C32" i="10"/>
  <c r="L29" i="10"/>
  <c r="P28" i="10" s="1"/>
  <c r="Q28" i="10" s="1"/>
  <c r="G31" i="10"/>
  <c r="B31" i="10"/>
  <c r="E31" i="10"/>
  <c r="J30" i="10"/>
  <c r="F31" i="10"/>
  <c r="K26" i="2"/>
  <c r="I27" i="2"/>
  <c r="H28" i="2"/>
  <c r="S28" i="10" s="1"/>
  <c r="U28" i="10" s="1"/>
  <c r="G29" i="2"/>
  <c r="J28" i="2"/>
  <c r="N27" i="2" s="1"/>
  <c r="D29" i="2"/>
  <c r="M25" i="5"/>
  <c r="N25" i="5" s="1"/>
  <c r="F29" i="2"/>
  <c r="B29" i="2"/>
  <c r="E29" i="2"/>
  <c r="C30" i="2"/>
  <c r="O25" i="2"/>
  <c r="E18" i="8"/>
  <c r="H18" i="8" s="1"/>
  <c r="D19" i="8" s="1"/>
  <c r="B26" i="8"/>
  <c r="C27" i="8"/>
  <c r="Q25" i="5"/>
  <c r="K26" i="5"/>
  <c r="H26" i="5"/>
  <c r="L26" i="5"/>
  <c r="P26" i="5" s="1"/>
  <c r="G27" i="5"/>
  <c r="F27" i="5"/>
  <c r="B27" i="5"/>
  <c r="E27" i="5"/>
  <c r="C28" i="5"/>
  <c r="D27" i="5"/>
  <c r="K16" i="4"/>
  <c r="L16" i="4" s="1"/>
  <c r="C18" i="4"/>
  <c r="H18" i="4" s="1"/>
  <c r="J18" i="4" s="1"/>
  <c r="Z18" i="4"/>
  <c r="P18" i="4"/>
  <c r="T32" i="10" l="1"/>
  <c r="M29" i="10"/>
  <c r="N29" i="10" s="1"/>
  <c r="G32" i="10"/>
  <c r="D32" i="10"/>
  <c r="C33" i="10"/>
  <c r="L30" i="10"/>
  <c r="P29" i="10" s="1"/>
  <c r="Q29" i="10" s="1"/>
  <c r="B32" i="10"/>
  <c r="I32" i="10"/>
  <c r="E32" i="10"/>
  <c r="F32" i="10"/>
  <c r="J31" i="10"/>
  <c r="K30" i="10"/>
  <c r="K27" i="2"/>
  <c r="I28" i="2"/>
  <c r="H29" i="2"/>
  <c r="S29" i="10" s="1"/>
  <c r="U29" i="10" s="1"/>
  <c r="J29" i="2"/>
  <c r="N28" i="2" s="1"/>
  <c r="M26" i="5"/>
  <c r="N26" i="5" s="1"/>
  <c r="D30" i="2"/>
  <c r="B30" i="2"/>
  <c r="G30" i="2"/>
  <c r="E30" i="2"/>
  <c r="F30" i="2"/>
  <c r="C31" i="2"/>
  <c r="O26" i="2"/>
  <c r="O27" i="2"/>
  <c r="L26" i="2"/>
  <c r="G19" i="8"/>
  <c r="E19" i="8" s="1"/>
  <c r="B27" i="8"/>
  <c r="C28" i="8"/>
  <c r="K27" i="5"/>
  <c r="Q26" i="5"/>
  <c r="H27" i="5"/>
  <c r="F28" i="5"/>
  <c r="B28" i="5"/>
  <c r="E28" i="5"/>
  <c r="D28" i="5"/>
  <c r="C29" i="5"/>
  <c r="G28" i="5"/>
  <c r="L27" i="5"/>
  <c r="P27" i="5" s="1"/>
  <c r="K17" i="4"/>
  <c r="L17" i="4" s="1"/>
  <c r="C19" i="4"/>
  <c r="H19" i="4" s="1"/>
  <c r="J19" i="4" s="1"/>
  <c r="Z19" i="4"/>
  <c r="P19" i="4"/>
  <c r="T33" i="10" l="1"/>
  <c r="M30" i="10"/>
  <c r="N30" i="10" s="1"/>
  <c r="G33" i="10"/>
  <c r="D33" i="10"/>
  <c r="B33" i="10"/>
  <c r="L31" i="10"/>
  <c r="P30" i="10" s="1"/>
  <c r="Q30" i="10" s="1"/>
  <c r="C34" i="10"/>
  <c r="I33" i="10"/>
  <c r="E33" i="10"/>
  <c r="F33" i="10"/>
  <c r="J32" i="10"/>
  <c r="L32" i="10" s="1"/>
  <c r="K31" i="10"/>
  <c r="K28" i="2"/>
  <c r="O28" i="2"/>
  <c r="I29" i="2"/>
  <c r="H30" i="2"/>
  <c r="S30" i="10" s="1"/>
  <c r="U30" i="10" s="1"/>
  <c r="M27" i="5"/>
  <c r="N27" i="5" s="1"/>
  <c r="J30" i="2"/>
  <c r="F31" i="2"/>
  <c r="B31" i="2"/>
  <c r="D31" i="2"/>
  <c r="G31" i="2"/>
  <c r="E31" i="2"/>
  <c r="C32" i="2"/>
  <c r="L27" i="2"/>
  <c r="F19" i="8"/>
  <c r="H19" i="8" s="1"/>
  <c r="D20" i="8" s="1"/>
  <c r="C29" i="8"/>
  <c r="B28" i="8"/>
  <c r="Q27" i="5"/>
  <c r="K28" i="5"/>
  <c r="H28" i="5"/>
  <c r="E29" i="5"/>
  <c r="C30" i="5"/>
  <c r="D29" i="5"/>
  <c r="G29" i="5"/>
  <c r="B29" i="5"/>
  <c r="F29" i="5"/>
  <c r="L28" i="5"/>
  <c r="P28" i="5" s="1"/>
  <c r="K18" i="4"/>
  <c r="L18" i="4" s="1"/>
  <c r="C20" i="4"/>
  <c r="H20" i="4" s="1"/>
  <c r="J20" i="4" s="1"/>
  <c r="Z20" i="4"/>
  <c r="P20" i="4"/>
  <c r="Q28" i="5" l="1"/>
  <c r="T34" i="10"/>
  <c r="M31" i="10"/>
  <c r="N31" i="10" s="1"/>
  <c r="G34" i="10"/>
  <c r="I34" i="10"/>
  <c r="J33" i="10"/>
  <c r="L33" i="10" s="1"/>
  <c r="P32" i="10" s="1"/>
  <c r="C35" i="10"/>
  <c r="P31" i="10"/>
  <c r="Q31" i="10" s="1"/>
  <c r="D34" i="10"/>
  <c r="K32" i="10"/>
  <c r="B34" i="10"/>
  <c r="F34" i="10"/>
  <c r="E34" i="10"/>
  <c r="K29" i="2"/>
  <c r="I30" i="2"/>
  <c r="H31" i="2"/>
  <c r="S31" i="10" s="1"/>
  <c r="U31" i="10" s="1"/>
  <c r="M28" i="5"/>
  <c r="N28" i="5" s="1"/>
  <c r="N29" i="2"/>
  <c r="O29" i="2" s="1"/>
  <c r="F32" i="2"/>
  <c r="J31" i="2"/>
  <c r="E32" i="2"/>
  <c r="G32" i="2"/>
  <c r="B32" i="2"/>
  <c r="D32" i="2"/>
  <c r="L28" i="2"/>
  <c r="C33" i="2"/>
  <c r="G20" i="8"/>
  <c r="E20" i="8" s="1"/>
  <c r="B29" i="8"/>
  <c r="C30" i="8"/>
  <c r="K29" i="5"/>
  <c r="L29" i="5"/>
  <c r="P29" i="5" s="1"/>
  <c r="C31" i="5"/>
  <c r="D30" i="5"/>
  <c r="G30" i="5"/>
  <c r="B30" i="5"/>
  <c r="F30" i="5"/>
  <c r="E30" i="5"/>
  <c r="H29" i="5"/>
  <c r="K19" i="4"/>
  <c r="L19" i="4" s="1"/>
  <c r="C21" i="4"/>
  <c r="H21" i="4" s="1"/>
  <c r="J21" i="4" s="1"/>
  <c r="Z21" i="4"/>
  <c r="P21" i="4"/>
  <c r="M32" i="10" l="1"/>
  <c r="N32" i="10" s="1"/>
  <c r="T35" i="10"/>
  <c r="B35" i="10"/>
  <c r="K33" i="10"/>
  <c r="D35" i="10"/>
  <c r="C36" i="10"/>
  <c r="I35" i="10"/>
  <c r="G35" i="10"/>
  <c r="J34" i="10"/>
  <c r="K34" i="10" s="1"/>
  <c r="F35" i="10"/>
  <c r="Q32" i="10"/>
  <c r="E35" i="10"/>
  <c r="K30" i="2"/>
  <c r="I31" i="2"/>
  <c r="H32" i="2"/>
  <c r="S32" i="10" s="1"/>
  <c r="U32" i="10" s="1"/>
  <c r="M29" i="5"/>
  <c r="N29" i="5" s="1"/>
  <c r="N30" i="2"/>
  <c r="O30" i="2" s="1"/>
  <c r="F33" i="2"/>
  <c r="J32" i="2"/>
  <c r="G33" i="2"/>
  <c r="B33" i="2"/>
  <c r="D33" i="2"/>
  <c r="L29" i="2"/>
  <c r="E33" i="2"/>
  <c r="C34" i="2"/>
  <c r="F20" i="8"/>
  <c r="H20" i="8" s="1"/>
  <c r="D21" i="8" s="1"/>
  <c r="B30" i="8"/>
  <c r="C31" i="8"/>
  <c r="Q29" i="5"/>
  <c r="K30" i="5"/>
  <c r="H30" i="5"/>
  <c r="L30" i="5"/>
  <c r="P30" i="5" s="1"/>
  <c r="G31" i="5"/>
  <c r="F31" i="5"/>
  <c r="B31" i="5"/>
  <c r="E31" i="5"/>
  <c r="C32" i="5"/>
  <c r="D31" i="5"/>
  <c r="K20" i="4"/>
  <c r="L20" i="4" s="1"/>
  <c r="C22" i="4"/>
  <c r="H22" i="4" s="1"/>
  <c r="J22" i="4" s="1"/>
  <c r="Z22" i="4"/>
  <c r="P22" i="4"/>
  <c r="M33" i="10" l="1"/>
  <c r="N33" i="10" s="1"/>
  <c r="T36" i="10"/>
  <c r="L34" i="10"/>
  <c r="P33" i="10" s="1"/>
  <c r="Q33" i="10" s="1"/>
  <c r="B36" i="10"/>
  <c r="D36" i="10"/>
  <c r="F36" i="10"/>
  <c r="C37" i="10"/>
  <c r="G36" i="10"/>
  <c r="E36" i="10"/>
  <c r="I36" i="10"/>
  <c r="J35" i="10"/>
  <c r="L35" i="10" s="1"/>
  <c r="P34" i="10" s="1"/>
  <c r="Q34" i="10" s="1"/>
  <c r="K31" i="2"/>
  <c r="H33" i="2"/>
  <c r="S33" i="10" s="1"/>
  <c r="U33" i="10" s="1"/>
  <c r="I32" i="2"/>
  <c r="M30" i="5"/>
  <c r="N30" i="5" s="1"/>
  <c r="B34" i="2"/>
  <c r="N31" i="2"/>
  <c r="O31" i="2" s="1"/>
  <c r="J33" i="2"/>
  <c r="N32" i="2" s="1"/>
  <c r="F34" i="2"/>
  <c r="G34" i="2"/>
  <c r="L30" i="2"/>
  <c r="D34" i="2"/>
  <c r="E34" i="2"/>
  <c r="C35" i="2"/>
  <c r="G21" i="8"/>
  <c r="E21" i="8" s="1"/>
  <c r="Q30" i="5"/>
  <c r="K31" i="5"/>
  <c r="B31" i="8"/>
  <c r="C32" i="8"/>
  <c r="H31" i="5"/>
  <c r="F32" i="5"/>
  <c r="B32" i="5"/>
  <c r="E32" i="5"/>
  <c r="C33" i="5"/>
  <c r="G32" i="5"/>
  <c r="D32" i="5"/>
  <c r="L31" i="5"/>
  <c r="P31" i="5" s="1"/>
  <c r="K21" i="4"/>
  <c r="L21" i="4" s="1"/>
  <c r="C23" i="4"/>
  <c r="H23" i="4" s="1"/>
  <c r="J23" i="4" s="1"/>
  <c r="Z23" i="4"/>
  <c r="P23" i="4"/>
  <c r="M34" i="10" l="1"/>
  <c r="N34" i="10" s="1"/>
  <c r="T37" i="10"/>
  <c r="E37" i="10"/>
  <c r="J36" i="10"/>
  <c r="K36" i="10" s="1"/>
  <c r="I37" i="10"/>
  <c r="D37" i="10"/>
  <c r="K35" i="10"/>
  <c r="C38" i="10"/>
  <c r="B37" i="10"/>
  <c r="G37" i="10"/>
  <c r="F37" i="10"/>
  <c r="K32" i="2"/>
  <c r="L32" i="2" s="1"/>
  <c r="H34" i="2"/>
  <c r="S34" i="10" s="1"/>
  <c r="U34" i="10" s="1"/>
  <c r="I33" i="2"/>
  <c r="O32" i="2"/>
  <c r="M31" i="5"/>
  <c r="N31" i="5" s="1"/>
  <c r="J34" i="2"/>
  <c r="D35" i="2"/>
  <c r="L31" i="2"/>
  <c r="F35" i="2"/>
  <c r="E35" i="2"/>
  <c r="C36" i="2"/>
  <c r="G35" i="2"/>
  <c r="B35" i="2"/>
  <c r="F21" i="8"/>
  <c r="H21" i="8" s="1"/>
  <c r="D22" i="8" s="1"/>
  <c r="Q31" i="5"/>
  <c r="C33" i="8"/>
  <c r="B32" i="8"/>
  <c r="K32" i="5"/>
  <c r="H32" i="5"/>
  <c r="E33" i="5"/>
  <c r="C34" i="5"/>
  <c r="D33" i="5"/>
  <c r="F33" i="5"/>
  <c r="B33" i="5"/>
  <c r="G33" i="5"/>
  <c r="L32" i="5"/>
  <c r="P32" i="5" s="1"/>
  <c r="K22" i="4"/>
  <c r="L22" i="4" s="1"/>
  <c r="C24" i="4"/>
  <c r="H24" i="4" s="1"/>
  <c r="J24" i="4" s="1"/>
  <c r="Z24" i="4"/>
  <c r="P24" i="4"/>
  <c r="M35" i="10" l="1"/>
  <c r="N35" i="10" s="1"/>
  <c r="T38" i="10"/>
  <c r="L36" i="10"/>
  <c r="P35" i="10" s="1"/>
  <c r="Q35" i="10" s="1"/>
  <c r="J37" i="10"/>
  <c r="K37" i="10" s="1"/>
  <c r="C39" i="10"/>
  <c r="F38" i="10"/>
  <c r="E38" i="10"/>
  <c r="B38" i="10"/>
  <c r="G38" i="10"/>
  <c r="D38" i="10"/>
  <c r="I38" i="10"/>
  <c r="K33" i="2"/>
  <c r="L33" i="2" s="1"/>
  <c r="I34" i="2"/>
  <c r="Q32" i="5"/>
  <c r="H35" i="2"/>
  <c r="S35" i="10" s="1"/>
  <c r="U35" i="10" s="1"/>
  <c r="M32" i="5"/>
  <c r="N32" i="5" s="1"/>
  <c r="N33" i="2"/>
  <c r="O33" i="2" s="1"/>
  <c r="J35" i="2"/>
  <c r="E36" i="2"/>
  <c r="F36" i="2"/>
  <c r="B36" i="2"/>
  <c r="D36" i="2"/>
  <c r="G36" i="2"/>
  <c r="C37" i="2"/>
  <c r="G22" i="8"/>
  <c r="E22" i="8" s="1"/>
  <c r="C34" i="8"/>
  <c r="B33" i="8"/>
  <c r="L33" i="5"/>
  <c r="P33" i="5" s="1"/>
  <c r="K33" i="5"/>
  <c r="C35" i="5"/>
  <c r="D34" i="5"/>
  <c r="G34" i="5"/>
  <c r="F34" i="5"/>
  <c r="B34" i="5"/>
  <c r="E34" i="5"/>
  <c r="H33" i="5"/>
  <c r="K23" i="4"/>
  <c r="L23" i="4" s="1"/>
  <c r="C25" i="4"/>
  <c r="H25" i="4" s="1"/>
  <c r="J25" i="4" s="1"/>
  <c r="Z25" i="4"/>
  <c r="P25" i="4"/>
  <c r="M36" i="10" l="1"/>
  <c r="N36" i="10" s="1"/>
  <c r="T39" i="10"/>
  <c r="C40" i="10"/>
  <c r="F39" i="10"/>
  <c r="B39" i="10"/>
  <c r="D39" i="10"/>
  <c r="J38" i="10"/>
  <c r="K38" i="10" s="1"/>
  <c r="L37" i="10"/>
  <c r="P36" i="10" s="1"/>
  <c r="Q36" i="10" s="1"/>
  <c r="G39" i="10"/>
  <c r="I39" i="10"/>
  <c r="E39" i="10"/>
  <c r="K34" i="2"/>
  <c r="L34" i="2" s="1"/>
  <c r="H36" i="2"/>
  <c r="S36" i="10" s="1"/>
  <c r="U36" i="10" s="1"/>
  <c r="I35" i="2"/>
  <c r="M33" i="5"/>
  <c r="N33" i="5" s="1"/>
  <c r="N34" i="2"/>
  <c r="O34" i="2" s="1"/>
  <c r="J36" i="2"/>
  <c r="N35" i="2" s="1"/>
  <c r="B37" i="2"/>
  <c r="F37" i="2"/>
  <c r="G37" i="2"/>
  <c r="E37" i="2"/>
  <c r="D37" i="2"/>
  <c r="C38" i="2"/>
  <c r="F22" i="8"/>
  <c r="H22" i="8" s="1"/>
  <c r="D23" i="8" s="1"/>
  <c r="C35" i="8"/>
  <c r="B34" i="8"/>
  <c r="L34" i="5"/>
  <c r="P34" i="5" s="1"/>
  <c r="Q33" i="5"/>
  <c r="K34" i="5"/>
  <c r="H34" i="5"/>
  <c r="E35" i="5"/>
  <c r="G35" i="5"/>
  <c r="B35" i="5"/>
  <c r="C36" i="5"/>
  <c r="F35" i="5"/>
  <c r="D35" i="5"/>
  <c r="K24" i="4"/>
  <c r="L24" i="4" s="1"/>
  <c r="C26" i="4"/>
  <c r="H26" i="4" s="1"/>
  <c r="J26" i="4" s="1"/>
  <c r="Z26" i="4"/>
  <c r="P26" i="4"/>
  <c r="M37" i="10" l="1"/>
  <c r="N37" i="10" s="1"/>
  <c r="T40" i="10"/>
  <c r="I40" i="10"/>
  <c r="D40" i="10"/>
  <c r="C41" i="10"/>
  <c r="G40" i="10"/>
  <c r="B40" i="10"/>
  <c r="F40" i="10"/>
  <c r="E40" i="10"/>
  <c r="J39" i="10"/>
  <c r="L39" i="10" s="1"/>
  <c r="L38" i="10"/>
  <c r="P37" i="10" s="1"/>
  <c r="Q37" i="10" s="1"/>
  <c r="K35" i="2"/>
  <c r="L35" i="2" s="1"/>
  <c r="I36" i="2"/>
  <c r="H37" i="2"/>
  <c r="S37" i="10" s="1"/>
  <c r="U37" i="10" s="1"/>
  <c r="O35" i="2"/>
  <c r="M34" i="5"/>
  <c r="N34" i="5" s="1"/>
  <c r="F38" i="2"/>
  <c r="G38" i="2"/>
  <c r="D38" i="2"/>
  <c r="J37" i="2"/>
  <c r="B38" i="2"/>
  <c r="E38" i="2"/>
  <c r="C39" i="2"/>
  <c r="G23" i="8"/>
  <c r="E23" i="8" s="1"/>
  <c r="B35" i="8"/>
  <c r="C36" i="8"/>
  <c r="K35" i="5"/>
  <c r="Q34" i="5"/>
  <c r="H35" i="5"/>
  <c r="L35" i="5"/>
  <c r="P35" i="5" s="1"/>
  <c r="C37" i="5"/>
  <c r="D36" i="5"/>
  <c r="G36" i="5"/>
  <c r="F36" i="5"/>
  <c r="E36" i="5"/>
  <c r="B36" i="5"/>
  <c r="K25" i="4"/>
  <c r="L25" i="4" s="1"/>
  <c r="C27" i="4"/>
  <c r="H27" i="4" s="1"/>
  <c r="J27" i="4" s="1"/>
  <c r="Z27" i="4"/>
  <c r="P27" i="4"/>
  <c r="M38" i="10" l="1"/>
  <c r="N38" i="10" s="1"/>
  <c r="T41" i="10"/>
  <c r="C42" i="10"/>
  <c r="D41" i="10"/>
  <c r="G41" i="10"/>
  <c r="I41" i="10"/>
  <c r="B41" i="10"/>
  <c r="J40" i="10"/>
  <c r="K40" i="10" s="1"/>
  <c r="F41" i="10"/>
  <c r="E41" i="10"/>
  <c r="P38" i="10"/>
  <c r="Q38" i="10" s="1"/>
  <c r="K39" i="10"/>
  <c r="K36" i="2"/>
  <c r="L36" i="2" s="1"/>
  <c r="H38" i="2"/>
  <c r="S38" i="10" s="1"/>
  <c r="U38" i="10" s="1"/>
  <c r="I37" i="2"/>
  <c r="M35" i="5"/>
  <c r="N35" i="5" s="1"/>
  <c r="N36" i="2"/>
  <c r="O36" i="2" s="1"/>
  <c r="J38" i="2"/>
  <c r="G39" i="2"/>
  <c r="F39" i="2"/>
  <c r="D39" i="2"/>
  <c r="E39" i="2"/>
  <c r="C40" i="2"/>
  <c r="B39" i="2"/>
  <c r="F23" i="8"/>
  <c r="H23" i="8" s="1"/>
  <c r="D24" i="8" s="1"/>
  <c r="B36" i="8"/>
  <c r="C37" i="8"/>
  <c r="Q35" i="5"/>
  <c r="K36" i="5"/>
  <c r="H36" i="5"/>
  <c r="G37" i="5"/>
  <c r="F37" i="5"/>
  <c r="B37" i="5"/>
  <c r="C38" i="5"/>
  <c r="E37" i="5"/>
  <c r="D37" i="5"/>
  <c r="L36" i="5"/>
  <c r="P36" i="5" s="1"/>
  <c r="K26" i="4"/>
  <c r="L26" i="4" s="1"/>
  <c r="C28" i="4"/>
  <c r="H28" i="4" s="1"/>
  <c r="J28" i="4" s="1"/>
  <c r="Z28" i="4"/>
  <c r="P28" i="4"/>
  <c r="M39" i="10" l="1"/>
  <c r="M40" i="10" s="1"/>
  <c r="T42" i="10"/>
  <c r="I42" i="10"/>
  <c r="C43" i="10"/>
  <c r="G42" i="10"/>
  <c r="D42" i="10"/>
  <c r="B42" i="10"/>
  <c r="J41" i="10"/>
  <c r="K41" i="10" s="1"/>
  <c r="F42" i="10"/>
  <c r="E42" i="10"/>
  <c r="L40" i="10"/>
  <c r="P39" i="10" s="1"/>
  <c r="Q39" i="10" s="1"/>
  <c r="K37" i="2"/>
  <c r="L37" i="2" s="1"/>
  <c r="I38" i="2"/>
  <c r="H39" i="2"/>
  <c r="S39" i="10" s="1"/>
  <c r="U39" i="10" s="1"/>
  <c r="N39" i="10"/>
  <c r="M36" i="5"/>
  <c r="N36" i="5" s="1"/>
  <c r="N37" i="2"/>
  <c r="O37" i="2" s="1"/>
  <c r="J39" i="2"/>
  <c r="N38" i="2" s="1"/>
  <c r="E40" i="2"/>
  <c r="G40" i="2"/>
  <c r="D40" i="2"/>
  <c r="B40" i="2"/>
  <c r="F40" i="2"/>
  <c r="C41" i="2"/>
  <c r="G24" i="8"/>
  <c r="E24" i="8" s="1"/>
  <c r="C38" i="8"/>
  <c r="B37" i="8"/>
  <c r="Q36" i="5"/>
  <c r="K37" i="5"/>
  <c r="L37" i="5"/>
  <c r="P37" i="5" s="1"/>
  <c r="F38" i="5"/>
  <c r="B38" i="5"/>
  <c r="E38" i="5"/>
  <c r="D38" i="5"/>
  <c r="C39" i="5"/>
  <c r="G38" i="5"/>
  <c r="H37" i="5"/>
  <c r="K27" i="4"/>
  <c r="L27" i="4" s="1"/>
  <c r="C29" i="4"/>
  <c r="H29" i="4" s="1"/>
  <c r="J29" i="4" s="1"/>
  <c r="Z29" i="4"/>
  <c r="P29" i="4"/>
  <c r="T43" i="10" l="1"/>
  <c r="I43" i="10"/>
  <c r="L41" i="10"/>
  <c r="P40" i="10" s="1"/>
  <c r="Q40" i="10" s="1"/>
  <c r="C44" i="10"/>
  <c r="F43" i="10"/>
  <c r="J42" i="10"/>
  <c r="L42" i="10" s="1"/>
  <c r="G43" i="10"/>
  <c r="D43" i="10"/>
  <c r="B43" i="10"/>
  <c r="E43" i="10"/>
  <c r="K38" i="2"/>
  <c r="L38" i="2" s="1"/>
  <c r="O38" i="2"/>
  <c r="I39" i="2"/>
  <c r="H40" i="2"/>
  <c r="S40" i="10" s="1"/>
  <c r="U40" i="10" s="1"/>
  <c r="N40" i="10"/>
  <c r="M41" i="10"/>
  <c r="M37" i="5"/>
  <c r="N37" i="5" s="1"/>
  <c r="K38" i="5"/>
  <c r="J40" i="2"/>
  <c r="D41" i="2"/>
  <c r="G41" i="2"/>
  <c r="F41" i="2"/>
  <c r="B41" i="2"/>
  <c r="E41" i="2"/>
  <c r="C42" i="2"/>
  <c r="F24" i="8"/>
  <c r="H24" i="8" s="1"/>
  <c r="D25" i="8" s="1"/>
  <c r="C39" i="8"/>
  <c r="B38" i="8"/>
  <c r="Q37" i="5"/>
  <c r="H38" i="5"/>
  <c r="E39" i="5"/>
  <c r="C40" i="5"/>
  <c r="D39" i="5"/>
  <c r="G39" i="5"/>
  <c r="F39" i="5"/>
  <c r="B39" i="5"/>
  <c r="L38" i="5"/>
  <c r="P38" i="5" s="1"/>
  <c r="K28" i="4"/>
  <c r="L28" i="4" s="1"/>
  <c r="C30" i="4"/>
  <c r="H30" i="4" s="1"/>
  <c r="J30" i="4" s="1"/>
  <c r="Z30" i="4"/>
  <c r="P30" i="4"/>
  <c r="T44" i="10" l="1"/>
  <c r="K42" i="10"/>
  <c r="M42" i="10" s="1"/>
  <c r="I44" i="10"/>
  <c r="P41" i="10"/>
  <c r="Q41" i="10" s="1"/>
  <c r="D44" i="10"/>
  <c r="F44" i="10"/>
  <c r="E44" i="10"/>
  <c r="B44" i="10"/>
  <c r="C45" i="10"/>
  <c r="G44" i="10"/>
  <c r="J43" i="10"/>
  <c r="K43" i="10" s="1"/>
  <c r="K39" i="2"/>
  <c r="L39" i="2" s="1"/>
  <c r="I40" i="2"/>
  <c r="H41" i="2"/>
  <c r="S41" i="10" s="1"/>
  <c r="U41" i="10" s="1"/>
  <c r="N41" i="10"/>
  <c r="M38" i="5"/>
  <c r="N38" i="5" s="1"/>
  <c r="Q38" i="5"/>
  <c r="N39" i="2"/>
  <c r="O39" i="2" s="1"/>
  <c r="G42" i="2"/>
  <c r="J41" i="2"/>
  <c r="N40" i="2" s="1"/>
  <c r="F42" i="2"/>
  <c r="D42" i="2"/>
  <c r="B42" i="2"/>
  <c r="E42" i="2"/>
  <c r="C43" i="2"/>
  <c r="G25" i="8"/>
  <c r="F25" i="8" s="1"/>
  <c r="B39" i="8"/>
  <c r="C40" i="8"/>
  <c r="L39" i="5"/>
  <c r="P39" i="5" s="1"/>
  <c r="C41" i="5"/>
  <c r="D40" i="5"/>
  <c r="G40" i="5"/>
  <c r="B40" i="5"/>
  <c r="F40" i="5"/>
  <c r="E40" i="5"/>
  <c r="K39" i="5"/>
  <c r="H39" i="5"/>
  <c r="K29" i="4"/>
  <c r="L29" i="4" s="1"/>
  <c r="C31" i="4"/>
  <c r="Z31" i="4"/>
  <c r="P31" i="4"/>
  <c r="D45" i="10" l="1"/>
  <c r="T45" i="10"/>
  <c r="L43" i="10"/>
  <c r="P42" i="10" s="1"/>
  <c r="Q42" i="10" s="1"/>
  <c r="K44" i="10"/>
  <c r="L45" i="10"/>
  <c r="E45" i="10"/>
  <c r="F45" i="10"/>
  <c r="I45" i="10"/>
  <c r="B45" i="10"/>
  <c r="C46" i="10"/>
  <c r="G45" i="10"/>
  <c r="J45" i="10"/>
  <c r="J44" i="10"/>
  <c r="L44" i="10" s="1"/>
  <c r="K40" i="2"/>
  <c r="L40" i="2" s="1"/>
  <c r="I41" i="2"/>
  <c r="H42" i="2"/>
  <c r="S42" i="10" s="1"/>
  <c r="U42" i="10" s="1"/>
  <c r="P44" i="10"/>
  <c r="N42" i="10"/>
  <c r="M43" i="10"/>
  <c r="M39" i="5"/>
  <c r="N39" i="5" s="1"/>
  <c r="G43" i="2"/>
  <c r="J42" i="2"/>
  <c r="D43" i="2"/>
  <c r="B43" i="2"/>
  <c r="C44" i="2"/>
  <c r="F43" i="2"/>
  <c r="E43" i="2"/>
  <c r="O40" i="2"/>
  <c r="E25" i="8"/>
  <c r="H25" i="8" s="1"/>
  <c r="D26" i="8" s="1"/>
  <c r="B40" i="8"/>
  <c r="C41" i="8"/>
  <c r="K40" i="5"/>
  <c r="H40" i="5"/>
  <c r="L40" i="5"/>
  <c r="P40" i="5" s="1"/>
  <c r="G41" i="5"/>
  <c r="F41" i="5"/>
  <c r="B41" i="5"/>
  <c r="E41" i="5"/>
  <c r="D41" i="5"/>
  <c r="C42" i="5"/>
  <c r="Q39" i="5"/>
  <c r="H31" i="4"/>
  <c r="C32" i="4"/>
  <c r="H32" i="4" s="1"/>
  <c r="J32" i="4" s="1"/>
  <c r="M5" i="4" s="1"/>
  <c r="K30" i="4"/>
  <c r="L30" i="4" s="1"/>
  <c r="W5" i="4"/>
  <c r="AG5" i="4"/>
  <c r="E46" i="10" l="1"/>
  <c r="T46" i="10"/>
  <c r="P43" i="10"/>
  <c r="Q43" i="10" s="1"/>
  <c r="Q44" i="10"/>
  <c r="I46" i="10"/>
  <c r="L46" i="10"/>
  <c r="B46" i="10"/>
  <c r="K45" i="10"/>
  <c r="D46" i="10"/>
  <c r="F46" i="10"/>
  <c r="C47" i="10"/>
  <c r="G46" i="10"/>
  <c r="J46" i="10"/>
  <c r="K41" i="2"/>
  <c r="L41" i="2" s="1"/>
  <c r="I42" i="2"/>
  <c r="H43" i="2"/>
  <c r="S43" i="10" s="1"/>
  <c r="U43" i="10" s="1"/>
  <c r="P45" i="10"/>
  <c r="N43" i="10"/>
  <c r="M44" i="10"/>
  <c r="M40" i="5"/>
  <c r="N40" i="5" s="1"/>
  <c r="N41" i="2"/>
  <c r="O41" i="2" s="1"/>
  <c r="J43" i="2"/>
  <c r="N42" i="2" s="1"/>
  <c r="B44" i="2"/>
  <c r="G44" i="2"/>
  <c r="D44" i="2"/>
  <c r="E44" i="2"/>
  <c r="F44" i="2"/>
  <c r="C45" i="2"/>
  <c r="G26" i="8"/>
  <c r="E26" i="8" s="1"/>
  <c r="C42" i="8"/>
  <c r="B41" i="8"/>
  <c r="K41" i="5"/>
  <c r="Q40" i="5"/>
  <c r="L41" i="5"/>
  <c r="P41" i="5" s="1"/>
  <c r="F42" i="5"/>
  <c r="B42" i="5"/>
  <c r="E42" i="5"/>
  <c r="C43" i="5"/>
  <c r="G42" i="5"/>
  <c r="D42" i="5"/>
  <c r="H41" i="5"/>
  <c r="J31" i="4"/>
  <c r="K31" i="4"/>
  <c r="L31" i="4" s="1"/>
  <c r="T47" i="10" l="1"/>
  <c r="Q45" i="10"/>
  <c r="C48" i="10"/>
  <c r="L47" i="10"/>
  <c r="E47" i="10"/>
  <c r="G47" i="10"/>
  <c r="B47" i="10"/>
  <c r="I47" i="10"/>
  <c r="J47" i="10"/>
  <c r="D47" i="10"/>
  <c r="F47" i="10"/>
  <c r="K46" i="10"/>
  <c r="K42" i="2"/>
  <c r="L42" i="2" s="1"/>
  <c r="I43" i="2"/>
  <c r="H44" i="2"/>
  <c r="S44" i="10" s="1"/>
  <c r="U44" i="10" s="1"/>
  <c r="O42" i="2"/>
  <c r="I44" i="2"/>
  <c r="P46" i="10"/>
  <c r="N44" i="10"/>
  <c r="M45" i="10"/>
  <c r="M41" i="5"/>
  <c r="N41" i="5" s="1"/>
  <c r="K42" i="5"/>
  <c r="J44" i="2"/>
  <c r="E45" i="2"/>
  <c r="B45" i="2"/>
  <c r="D45" i="2"/>
  <c r="G45" i="2"/>
  <c r="F45" i="2"/>
  <c r="C46" i="2"/>
  <c r="F26" i="8"/>
  <c r="H26" i="8" s="1"/>
  <c r="D27" i="8" s="1"/>
  <c r="L42" i="5"/>
  <c r="P42" i="5" s="1"/>
  <c r="B42" i="8"/>
  <c r="C43" i="8"/>
  <c r="Q41" i="5"/>
  <c r="H42" i="5"/>
  <c r="E43" i="5"/>
  <c r="C44" i="5"/>
  <c r="D43" i="5"/>
  <c r="B43" i="5"/>
  <c r="G43" i="5"/>
  <c r="F43" i="5"/>
  <c r="K32" i="4"/>
  <c r="L32" i="4" s="1"/>
  <c r="G48" i="10" l="1"/>
  <c r="T48" i="10"/>
  <c r="I48" i="10"/>
  <c r="Q46" i="10"/>
  <c r="E48" i="10"/>
  <c r="L48" i="10"/>
  <c r="F48" i="10"/>
  <c r="D48" i="10"/>
  <c r="J48" i="10"/>
  <c r="B48" i="10"/>
  <c r="C49" i="10"/>
  <c r="K47" i="10"/>
  <c r="K43" i="2"/>
  <c r="L43" i="2" s="1"/>
  <c r="H45" i="2"/>
  <c r="S45" i="10" s="1"/>
  <c r="U45" i="10" s="1"/>
  <c r="P47" i="10"/>
  <c r="N45" i="10"/>
  <c r="M46" i="10"/>
  <c r="M42" i="5"/>
  <c r="N42" i="5" s="1"/>
  <c r="Q42" i="5"/>
  <c r="J45" i="2"/>
  <c r="N44" i="2" s="1"/>
  <c r="O44" i="2" s="1"/>
  <c r="N43" i="2"/>
  <c r="O43" i="2" s="1"/>
  <c r="F46" i="2"/>
  <c r="B46" i="2"/>
  <c r="D46" i="2"/>
  <c r="G46" i="2"/>
  <c r="C47" i="2"/>
  <c r="E46" i="2"/>
  <c r="G27" i="8"/>
  <c r="F27" i="8" s="1"/>
  <c r="K43" i="5"/>
  <c r="L43" i="5"/>
  <c r="P43" i="5" s="1"/>
  <c r="B43" i="8"/>
  <c r="C44" i="8"/>
  <c r="H43" i="5"/>
  <c r="C45" i="5"/>
  <c r="D44" i="5"/>
  <c r="G44" i="5"/>
  <c r="F44" i="5"/>
  <c r="E44" i="5"/>
  <c r="B44" i="5"/>
  <c r="Q47" i="10" l="1"/>
  <c r="T49" i="10"/>
  <c r="E49" i="10"/>
  <c r="D49" i="10"/>
  <c r="L49" i="10"/>
  <c r="J49" i="10"/>
  <c r="F49" i="10"/>
  <c r="I49" i="10"/>
  <c r="B49" i="10"/>
  <c r="C50" i="10"/>
  <c r="D50" i="10" s="1"/>
  <c r="G49" i="10"/>
  <c r="K48" i="10"/>
  <c r="K44" i="2"/>
  <c r="L44" i="2" s="1"/>
  <c r="I45" i="2"/>
  <c r="K45" i="2" s="1"/>
  <c r="L45" i="2" s="1"/>
  <c r="H46" i="2"/>
  <c r="S46" i="10" s="1"/>
  <c r="U46" i="10" s="1"/>
  <c r="I46" i="2"/>
  <c r="P48" i="10"/>
  <c r="N46" i="10"/>
  <c r="M47" i="10"/>
  <c r="M43" i="5"/>
  <c r="N43" i="5" s="1"/>
  <c r="G47" i="2"/>
  <c r="K46" i="2"/>
  <c r="J46" i="2"/>
  <c r="N45" i="2" s="1"/>
  <c r="D47" i="2"/>
  <c r="C48" i="2"/>
  <c r="F47" i="2"/>
  <c r="E47" i="2"/>
  <c r="B47" i="2"/>
  <c r="E27" i="8"/>
  <c r="H27" i="8" s="1"/>
  <c r="D28" i="8" s="1"/>
  <c r="G28" i="8" s="1"/>
  <c r="Q43" i="5"/>
  <c r="K44" i="5"/>
  <c r="L44" i="5"/>
  <c r="P44" i="5" s="1"/>
  <c r="B44" i="8"/>
  <c r="C45" i="8"/>
  <c r="H44" i="5"/>
  <c r="G45" i="5"/>
  <c r="F45" i="5"/>
  <c r="B45" i="5"/>
  <c r="C46" i="5"/>
  <c r="E45" i="5"/>
  <c r="D45" i="5"/>
  <c r="T50" i="10" l="1"/>
  <c r="Q48" i="10"/>
  <c r="F50" i="10"/>
  <c r="J50" i="10"/>
  <c r="C51" i="10"/>
  <c r="B51" i="10" s="1"/>
  <c r="G50" i="10"/>
  <c r="I50" i="10"/>
  <c r="E50" i="10"/>
  <c r="K49" i="10"/>
  <c r="B50" i="10"/>
  <c r="L50" i="10"/>
  <c r="O45" i="2"/>
  <c r="H47" i="2"/>
  <c r="S47" i="10" s="1"/>
  <c r="U47" i="10" s="1"/>
  <c r="P49" i="10"/>
  <c r="N47" i="10"/>
  <c r="M48" i="10"/>
  <c r="M44" i="5"/>
  <c r="N44" i="5" s="1"/>
  <c r="J47" i="2"/>
  <c r="N46" i="2" s="1"/>
  <c r="O46" i="2" s="1"/>
  <c r="B48" i="2"/>
  <c r="F48" i="2"/>
  <c r="D48" i="2"/>
  <c r="E48" i="2"/>
  <c r="C49" i="2"/>
  <c r="G48" i="2"/>
  <c r="L46" i="2"/>
  <c r="E28" i="8"/>
  <c r="F28" i="8"/>
  <c r="Q44" i="5"/>
  <c r="K45" i="5"/>
  <c r="L45" i="5"/>
  <c r="P45" i="5" s="1"/>
  <c r="C46" i="8"/>
  <c r="B45" i="8"/>
  <c r="F46" i="5"/>
  <c r="B46" i="5"/>
  <c r="E46" i="5"/>
  <c r="D46" i="5"/>
  <c r="C47" i="5"/>
  <c r="G46" i="5"/>
  <c r="H45" i="5"/>
  <c r="C52" i="10" l="1"/>
  <c r="L52" i="10" s="1"/>
  <c r="T51" i="10"/>
  <c r="L51" i="10"/>
  <c r="G51" i="10"/>
  <c r="Q49" i="10"/>
  <c r="E51" i="10"/>
  <c r="I51" i="10"/>
  <c r="D51" i="10"/>
  <c r="F51" i="10"/>
  <c r="K50" i="10"/>
  <c r="J51" i="10"/>
  <c r="I47" i="2"/>
  <c r="K47" i="2" s="1"/>
  <c r="L47" i="2" s="1"/>
  <c r="H48" i="2"/>
  <c r="S48" i="10" s="1"/>
  <c r="U48" i="10" s="1"/>
  <c r="I48" i="2"/>
  <c r="K48" i="2" s="1"/>
  <c r="P50" i="10"/>
  <c r="N48" i="10"/>
  <c r="M49" i="10"/>
  <c r="M45" i="5"/>
  <c r="N45" i="5" s="1"/>
  <c r="K46" i="5"/>
  <c r="D49" i="2"/>
  <c r="H49" i="2" s="1"/>
  <c r="S49" i="10" s="1"/>
  <c r="U49" i="10" s="1"/>
  <c r="J48" i="2"/>
  <c r="N47" i="2" s="1"/>
  <c r="B49" i="2"/>
  <c r="F49" i="2"/>
  <c r="G49" i="2"/>
  <c r="E49" i="2"/>
  <c r="C50" i="2"/>
  <c r="H28" i="8"/>
  <c r="D29" i="8" s="1"/>
  <c r="G29" i="8" s="1"/>
  <c r="F29" i="8" s="1"/>
  <c r="Q45" i="5"/>
  <c r="L46" i="5"/>
  <c r="P46" i="5" s="1"/>
  <c r="B46" i="8"/>
  <c r="C47" i="8"/>
  <c r="H46" i="5"/>
  <c r="E47" i="5"/>
  <c r="C48" i="5"/>
  <c r="D47" i="5"/>
  <c r="G47" i="5"/>
  <c r="F47" i="5"/>
  <c r="B47" i="5"/>
  <c r="G52" i="10" l="1"/>
  <c r="D52" i="10"/>
  <c r="J52" i="10"/>
  <c r="I52" i="10"/>
  <c r="E52" i="10"/>
  <c r="B52" i="10"/>
  <c r="F52" i="10"/>
  <c r="C53" i="10"/>
  <c r="L53" i="10" s="1"/>
  <c r="K51" i="10"/>
  <c r="T52" i="10"/>
  <c r="Q50" i="10"/>
  <c r="O47" i="2"/>
  <c r="I49" i="2"/>
  <c r="K49" i="2" s="1"/>
  <c r="P51" i="10"/>
  <c r="N49" i="10"/>
  <c r="M50" i="10"/>
  <c r="M46" i="5"/>
  <c r="N46" i="5" s="1"/>
  <c r="Q46" i="5"/>
  <c r="D50" i="2"/>
  <c r="J49" i="2"/>
  <c r="N48" i="2" s="1"/>
  <c r="O48" i="2" s="1"/>
  <c r="F50" i="2"/>
  <c r="B50" i="2"/>
  <c r="G50" i="2"/>
  <c r="C51" i="2"/>
  <c r="E50" i="2"/>
  <c r="L48" i="2"/>
  <c r="E29" i="8"/>
  <c r="H29" i="8" s="1"/>
  <c r="D30" i="8" s="1"/>
  <c r="K47" i="5"/>
  <c r="L47" i="5"/>
  <c r="P47" i="5" s="1"/>
  <c r="B47" i="8"/>
  <c r="C48" i="8"/>
  <c r="C49" i="5"/>
  <c r="D48" i="5"/>
  <c r="G48" i="5"/>
  <c r="B48" i="5"/>
  <c r="F48" i="5"/>
  <c r="E48" i="5"/>
  <c r="H47" i="5"/>
  <c r="F53" i="10" l="1"/>
  <c r="I53" i="10"/>
  <c r="G53" i="10"/>
  <c r="K52" i="10"/>
  <c r="E53" i="10"/>
  <c r="D53" i="10"/>
  <c r="J53" i="10"/>
  <c r="T53" i="10"/>
  <c r="B53" i="10"/>
  <c r="C54" i="10"/>
  <c r="T54" i="10" s="1"/>
  <c r="Q51" i="10"/>
  <c r="H50" i="2"/>
  <c r="S50" i="10" s="1"/>
  <c r="U50" i="10" s="1"/>
  <c r="I50" i="2"/>
  <c r="M47" i="5"/>
  <c r="N47" i="5" s="1"/>
  <c r="P52" i="10"/>
  <c r="N50" i="10"/>
  <c r="M51" i="10"/>
  <c r="K50" i="2"/>
  <c r="F51" i="2"/>
  <c r="B51" i="2"/>
  <c r="J50" i="2"/>
  <c r="N49" i="2" s="1"/>
  <c r="D51" i="2"/>
  <c r="G51" i="2"/>
  <c r="C52" i="2"/>
  <c r="E51" i="2"/>
  <c r="G30" i="8"/>
  <c r="F30" i="8" s="1"/>
  <c r="Q47" i="5"/>
  <c r="K48" i="5"/>
  <c r="L48" i="5"/>
  <c r="P48" i="5" s="1"/>
  <c r="B48" i="8"/>
  <c r="C49" i="8"/>
  <c r="H48" i="5"/>
  <c r="C50" i="5"/>
  <c r="G49" i="5"/>
  <c r="F49" i="5"/>
  <c r="B49" i="5"/>
  <c r="E49" i="5"/>
  <c r="D49" i="5"/>
  <c r="F54" i="10" l="1"/>
  <c r="C55" i="10"/>
  <c r="J55" i="10" s="1"/>
  <c r="Q52" i="10"/>
  <c r="B54" i="10"/>
  <c r="K53" i="10"/>
  <c r="D54" i="10"/>
  <c r="G54" i="10"/>
  <c r="J54" i="10"/>
  <c r="L54" i="10"/>
  <c r="E54" i="10"/>
  <c r="I54" i="10"/>
  <c r="H51" i="2"/>
  <c r="S51" i="10" s="1"/>
  <c r="U51" i="10" s="1"/>
  <c r="I51" i="2"/>
  <c r="M48" i="5"/>
  <c r="N48" i="5" s="1"/>
  <c r="P53" i="10"/>
  <c r="N51" i="10"/>
  <c r="M52" i="10"/>
  <c r="J51" i="2"/>
  <c r="N50" i="2" s="1"/>
  <c r="O50" i="2" s="1"/>
  <c r="K51" i="2"/>
  <c r="D52" i="2"/>
  <c r="B52" i="2"/>
  <c r="G52" i="2"/>
  <c r="F52" i="2"/>
  <c r="E52" i="2"/>
  <c r="C53" i="2"/>
  <c r="O49" i="2"/>
  <c r="E30" i="8"/>
  <c r="H30" i="8" s="1"/>
  <c r="D31" i="8" s="1"/>
  <c r="Q48" i="5"/>
  <c r="K49" i="5"/>
  <c r="L49" i="5"/>
  <c r="P49" i="5" s="1"/>
  <c r="C50" i="8"/>
  <c r="B49" i="8"/>
  <c r="C51" i="5"/>
  <c r="D50" i="5"/>
  <c r="G50" i="5"/>
  <c r="B50" i="5"/>
  <c r="F50" i="5"/>
  <c r="E50" i="5"/>
  <c r="H49" i="5"/>
  <c r="E55" i="10" l="1"/>
  <c r="C56" i="10"/>
  <c r="I56" i="10" s="1"/>
  <c r="T55" i="10"/>
  <c r="D55" i="10"/>
  <c r="Q53" i="10"/>
  <c r="G55" i="10"/>
  <c r="B55" i="10"/>
  <c r="I55" i="10"/>
  <c r="L55" i="10"/>
  <c r="F55" i="10"/>
  <c r="K54" i="10"/>
  <c r="H52" i="2"/>
  <c r="S52" i="10" s="1"/>
  <c r="U52" i="10" s="1"/>
  <c r="M49" i="5"/>
  <c r="N49" i="5" s="1"/>
  <c r="P54" i="10"/>
  <c r="N52" i="10"/>
  <c r="M53" i="10"/>
  <c r="B53" i="2"/>
  <c r="J52" i="2"/>
  <c r="N51" i="2" s="1"/>
  <c r="O51" i="2" s="1"/>
  <c r="D53" i="2"/>
  <c r="F53" i="2"/>
  <c r="G53" i="2"/>
  <c r="E53" i="2"/>
  <c r="C54" i="2"/>
  <c r="L49" i="2"/>
  <c r="Q49" i="5"/>
  <c r="G31" i="8"/>
  <c r="F31" i="8" s="1"/>
  <c r="K50" i="5"/>
  <c r="L50" i="5"/>
  <c r="P50" i="5" s="1"/>
  <c r="C51" i="8"/>
  <c r="B50" i="8"/>
  <c r="H50" i="5"/>
  <c r="G51" i="5"/>
  <c r="F51" i="5"/>
  <c r="B51" i="5"/>
  <c r="E51" i="5"/>
  <c r="D51" i="5"/>
  <c r="C52" i="5"/>
  <c r="D56" i="10" l="1"/>
  <c r="L56" i="10"/>
  <c r="Q54" i="10"/>
  <c r="F56" i="10"/>
  <c r="C57" i="10"/>
  <c r="T57" i="10" s="1"/>
  <c r="K55" i="10"/>
  <c r="J56" i="10"/>
  <c r="B56" i="10"/>
  <c r="E56" i="10"/>
  <c r="T56" i="10"/>
  <c r="G56" i="10"/>
  <c r="I52" i="2"/>
  <c r="K52" i="2" s="1"/>
  <c r="H53" i="2"/>
  <c r="S53" i="10" s="1"/>
  <c r="U53" i="10" s="1"/>
  <c r="M50" i="5"/>
  <c r="N50" i="5" s="1"/>
  <c r="P55" i="10"/>
  <c r="N53" i="10"/>
  <c r="M54" i="10"/>
  <c r="J53" i="2"/>
  <c r="N52" i="2" s="1"/>
  <c r="G54" i="2"/>
  <c r="D54" i="2"/>
  <c r="F54" i="2"/>
  <c r="B54" i="2"/>
  <c r="C55" i="2"/>
  <c r="E54" i="2"/>
  <c r="L50" i="2"/>
  <c r="E31" i="8"/>
  <c r="H31" i="8" s="1"/>
  <c r="D32" i="8" s="1"/>
  <c r="Q50" i="5"/>
  <c r="K51" i="5"/>
  <c r="L51" i="5"/>
  <c r="P51" i="5" s="1"/>
  <c r="B51" i="8"/>
  <c r="C52" i="8"/>
  <c r="F52" i="5"/>
  <c r="B52" i="5"/>
  <c r="E52" i="5"/>
  <c r="C53" i="5"/>
  <c r="G52" i="5"/>
  <c r="D52" i="5"/>
  <c r="H51" i="5"/>
  <c r="J57" i="10" l="1"/>
  <c r="E57" i="10"/>
  <c r="C58" i="10"/>
  <c r="K57" i="10" s="1"/>
  <c r="L57" i="10"/>
  <c r="B57" i="10"/>
  <c r="D57" i="10"/>
  <c r="G57" i="10"/>
  <c r="K56" i="10"/>
  <c r="F57" i="10"/>
  <c r="Q55" i="10"/>
  <c r="I57" i="10"/>
  <c r="O52" i="2"/>
  <c r="I53" i="2"/>
  <c r="K53" i="2" s="1"/>
  <c r="H54" i="2"/>
  <c r="S54" i="10" s="1"/>
  <c r="U54" i="10" s="1"/>
  <c r="K52" i="5"/>
  <c r="M51" i="5"/>
  <c r="N51" i="5" s="1"/>
  <c r="P56" i="10"/>
  <c r="N54" i="10"/>
  <c r="M55" i="10"/>
  <c r="J54" i="2"/>
  <c r="N53" i="2" s="1"/>
  <c r="F55" i="2"/>
  <c r="D55" i="2"/>
  <c r="B55" i="2"/>
  <c r="G55" i="2"/>
  <c r="C56" i="2"/>
  <c r="E55" i="2"/>
  <c r="L51" i="2"/>
  <c r="G32" i="8"/>
  <c r="F32" i="8" s="1"/>
  <c r="Q51" i="5"/>
  <c r="L52" i="5"/>
  <c r="P52" i="5" s="1"/>
  <c r="C53" i="8"/>
  <c r="B52" i="8"/>
  <c r="E53" i="5"/>
  <c r="C54" i="5"/>
  <c r="D53" i="5"/>
  <c r="B53" i="5"/>
  <c r="G53" i="5"/>
  <c r="F53" i="5"/>
  <c r="H52" i="5"/>
  <c r="E58" i="10" l="1"/>
  <c r="B58" i="10"/>
  <c r="J58" i="10"/>
  <c r="G58" i="10"/>
  <c r="F58" i="10"/>
  <c r="L58" i="10"/>
  <c r="T58" i="10"/>
  <c r="D58" i="10"/>
  <c r="C59" i="10"/>
  <c r="T59" i="10" s="1"/>
  <c r="I58" i="10"/>
  <c r="Q56" i="10"/>
  <c r="O53" i="2"/>
  <c r="I54" i="2"/>
  <c r="K54" i="2" s="1"/>
  <c r="Q52" i="5"/>
  <c r="H55" i="2"/>
  <c r="S55" i="10" s="1"/>
  <c r="U55" i="10" s="1"/>
  <c r="M52" i="5"/>
  <c r="N52" i="5" s="1"/>
  <c r="P57" i="10"/>
  <c r="Q57" i="10" s="1"/>
  <c r="N55" i="10"/>
  <c r="M56" i="10"/>
  <c r="J55" i="2"/>
  <c r="N54" i="2" s="1"/>
  <c r="G56" i="2"/>
  <c r="C57" i="2"/>
  <c r="F56" i="2"/>
  <c r="E56" i="2"/>
  <c r="D56" i="2"/>
  <c r="B56" i="2"/>
  <c r="L52" i="2"/>
  <c r="E32" i="8"/>
  <c r="H32" i="8" s="1"/>
  <c r="D33" i="8" s="1"/>
  <c r="L53" i="5"/>
  <c r="P53" i="5" s="1"/>
  <c r="K53" i="5"/>
  <c r="C54" i="8"/>
  <c r="B53" i="8"/>
  <c r="C55" i="5"/>
  <c r="D54" i="5"/>
  <c r="G54" i="5"/>
  <c r="F54" i="5"/>
  <c r="E54" i="5"/>
  <c r="B54" i="5"/>
  <c r="H53" i="5"/>
  <c r="G59" i="10" l="1"/>
  <c r="E59" i="10"/>
  <c r="B59" i="10"/>
  <c r="C60" i="10"/>
  <c r="T60" i="10" s="1"/>
  <c r="I59" i="10"/>
  <c r="J59" i="10"/>
  <c r="D59" i="10"/>
  <c r="F59" i="10"/>
  <c r="K58" i="10"/>
  <c r="L59" i="10"/>
  <c r="O54" i="2"/>
  <c r="I55" i="2"/>
  <c r="K55" i="2" s="1"/>
  <c r="H56" i="2"/>
  <c r="S56" i="10" s="1"/>
  <c r="U56" i="10" s="1"/>
  <c r="M53" i="5"/>
  <c r="N53" i="5" s="1"/>
  <c r="P58" i="10"/>
  <c r="N56" i="10"/>
  <c r="M57" i="10"/>
  <c r="J56" i="2"/>
  <c r="N55" i="2" s="1"/>
  <c r="F57" i="2"/>
  <c r="D57" i="2"/>
  <c r="G57" i="2"/>
  <c r="B57" i="2"/>
  <c r="E57" i="2"/>
  <c r="C58" i="2"/>
  <c r="L53" i="2"/>
  <c r="G33" i="8"/>
  <c r="F33" i="8" s="1"/>
  <c r="L54" i="5"/>
  <c r="P54" i="5" s="1"/>
  <c r="Q53" i="5"/>
  <c r="K54" i="5"/>
  <c r="C55" i="8"/>
  <c r="B54" i="8"/>
  <c r="H54" i="5"/>
  <c r="C56" i="5"/>
  <c r="G55" i="5"/>
  <c r="F55" i="5"/>
  <c r="B55" i="5"/>
  <c r="E55" i="5"/>
  <c r="D55" i="5"/>
  <c r="F60" i="10" l="1"/>
  <c r="J60" i="10"/>
  <c r="E60" i="10"/>
  <c r="G60" i="10"/>
  <c r="C61" i="10"/>
  <c r="T61" i="10" s="1"/>
  <c r="B60" i="10"/>
  <c r="I60" i="10"/>
  <c r="D60" i="10"/>
  <c r="K59" i="10"/>
  <c r="L60" i="10"/>
  <c r="Q58" i="10"/>
  <c r="O55" i="2"/>
  <c r="I56" i="2"/>
  <c r="K56" i="2" s="1"/>
  <c r="H57" i="2"/>
  <c r="S57" i="10" s="1"/>
  <c r="U57" i="10" s="1"/>
  <c r="M54" i="5"/>
  <c r="N54" i="5" s="1"/>
  <c r="P59" i="10"/>
  <c r="F61" i="10"/>
  <c r="N57" i="10"/>
  <c r="M58" i="10"/>
  <c r="J57" i="2"/>
  <c r="N56" i="2" s="1"/>
  <c r="D58" i="2"/>
  <c r="B58" i="2"/>
  <c r="G58" i="2"/>
  <c r="C59" i="2"/>
  <c r="F58" i="2"/>
  <c r="E58" i="2"/>
  <c r="L54" i="2"/>
  <c r="E33" i="8"/>
  <c r="H33" i="8" s="1"/>
  <c r="D34" i="8" s="1"/>
  <c r="Q54" i="5"/>
  <c r="K55" i="5"/>
  <c r="L55" i="5"/>
  <c r="P55" i="5" s="1"/>
  <c r="B55" i="8"/>
  <c r="C56" i="8"/>
  <c r="H55" i="5"/>
  <c r="E56" i="5"/>
  <c r="G56" i="5"/>
  <c r="B56" i="5"/>
  <c r="C57" i="5"/>
  <c r="F56" i="5"/>
  <c r="D56" i="5"/>
  <c r="B61" i="10" l="1"/>
  <c r="G61" i="10"/>
  <c r="K60" i="10"/>
  <c r="C62" i="10"/>
  <c r="J62" i="10" s="1"/>
  <c r="Q59" i="10"/>
  <c r="J61" i="10"/>
  <c r="D61" i="10"/>
  <c r="E61" i="10"/>
  <c r="I61" i="10"/>
  <c r="L61" i="10"/>
  <c r="I57" i="2"/>
  <c r="K57" i="2" s="1"/>
  <c r="H58" i="2"/>
  <c r="S58" i="10" s="1"/>
  <c r="U58" i="10" s="1"/>
  <c r="M55" i="5"/>
  <c r="N55" i="5" s="1"/>
  <c r="P60" i="10"/>
  <c r="N58" i="10"/>
  <c r="M59" i="10"/>
  <c r="E59" i="2"/>
  <c r="J58" i="2"/>
  <c r="N57" i="2" s="1"/>
  <c r="G59" i="2"/>
  <c r="F59" i="2"/>
  <c r="D59" i="2"/>
  <c r="B59" i="2"/>
  <c r="C60" i="2"/>
  <c r="O56" i="2"/>
  <c r="L55" i="2"/>
  <c r="G34" i="8"/>
  <c r="E34" i="8" s="1"/>
  <c r="Q55" i="5"/>
  <c r="K56" i="5"/>
  <c r="L56" i="5"/>
  <c r="P56" i="5" s="1"/>
  <c r="B56" i="8"/>
  <c r="C57" i="8"/>
  <c r="H56" i="5"/>
  <c r="C58" i="5"/>
  <c r="D57" i="5"/>
  <c r="F57" i="5"/>
  <c r="E57" i="5"/>
  <c r="B57" i="5"/>
  <c r="G57" i="5"/>
  <c r="Q60" i="10" l="1"/>
  <c r="C63" i="10"/>
  <c r="T63" i="10" s="1"/>
  <c r="L62" i="10"/>
  <c r="F62" i="10"/>
  <c r="E62" i="10"/>
  <c r="B62" i="10"/>
  <c r="I62" i="10"/>
  <c r="T62" i="10"/>
  <c r="G62" i="10"/>
  <c r="D62" i="10"/>
  <c r="K61" i="10"/>
  <c r="O57" i="2"/>
  <c r="I58" i="2"/>
  <c r="K58" i="2" s="1"/>
  <c r="J63" i="10"/>
  <c r="H59" i="2"/>
  <c r="S59" i="10" s="1"/>
  <c r="U59" i="10" s="1"/>
  <c r="M56" i="5"/>
  <c r="N56" i="5" s="1"/>
  <c r="P61" i="10"/>
  <c r="N59" i="10"/>
  <c r="M60" i="10"/>
  <c r="J59" i="2"/>
  <c r="N58" i="2" s="1"/>
  <c r="F60" i="2"/>
  <c r="G60" i="2"/>
  <c r="B60" i="2"/>
  <c r="E60" i="2"/>
  <c r="C61" i="2"/>
  <c r="D60" i="2"/>
  <c r="L56" i="2"/>
  <c r="F34" i="8"/>
  <c r="H34" i="8" s="1"/>
  <c r="D35" i="8" s="1"/>
  <c r="Q56" i="5"/>
  <c r="L57" i="5"/>
  <c r="P57" i="5" s="1"/>
  <c r="K57" i="5"/>
  <c r="B57" i="8"/>
  <c r="C58" i="8"/>
  <c r="H57" i="5"/>
  <c r="G58" i="5"/>
  <c r="D58" i="5"/>
  <c r="B58" i="5"/>
  <c r="F58" i="5"/>
  <c r="E58" i="5"/>
  <c r="C59" i="5"/>
  <c r="G63" i="10" l="1"/>
  <c r="B63" i="10"/>
  <c r="F63" i="10"/>
  <c r="C64" i="10"/>
  <c r="J64" i="10" s="1"/>
  <c r="I63" i="10"/>
  <c r="E63" i="10"/>
  <c r="K62" i="10"/>
  <c r="D63" i="10"/>
  <c r="L63" i="10"/>
  <c r="Q61" i="10"/>
  <c r="I59" i="2"/>
  <c r="K59" i="2" s="1"/>
  <c r="H60" i="2"/>
  <c r="S60" i="10" s="1"/>
  <c r="U60" i="10" s="1"/>
  <c r="M57" i="5"/>
  <c r="N57" i="5" s="1"/>
  <c r="P62" i="10"/>
  <c r="N60" i="10"/>
  <c r="M61" i="10"/>
  <c r="G61" i="2"/>
  <c r="J60" i="2"/>
  <c r="N59" i="2" s="1"/>
  <c r="F61" i="2"/>
  <c r="E61" i="2"/>
  <c r="D61" i="2"/>
  <c r="C62" i="2"/>
  <c r="B61" i="2"/>
  <c r="O58" i="2"/>
  <c r="L57" i="2"/>
  <c r="G35" i="8"/>
  <c r="F35" i="8" s="1"/>
  <c r="Q57" i="5"/>
  <c r="L58" i="5"/>
  <c r="P58" i="5" s="1"/>
  <c r="K58" i="5"/>
  <c r="C59" i="8"/>
  <c r="B58" i="8"/>
  <c r="H58" i="5"/>
  <c r="F59" i="5"/>
  <c r="B59" i="5"/>
  <c r="G59" i="5"/>
  <c r="C60" i="5"/>
  <c r="E59" i="5"/>
  <c r="D59" i="5"/>
  <c r="D64" i="10" l="1"/>
  <c r="Q62" i="10"/>
  <c r="C65" i="10"/>
  <c r="I65" i="10" s="1"/>
  <c r="T64" i="10"/>
  <c r="F64" i="10"/>
  <c r="I64" i="10"/>
  <c r="G64" i="10"/>
  <c r="L64" i="10"/>
  <c r="E64" i="10"/>
  <c r="B64" i="10"/>
  <c r="K63" i="10"/>
  <c r="O59" i="2"/>
  <c r="I60" i="2"/>
  <c r="K60" i="2" s="1"/>
  <c r="H61" i="2"/>
  <c r="S61" i="10" s="1"/>
  <c r="U61" i="10" s="1"/>
  <c r="M58" i="5"/>
  <c r="N58" i="5" s="1"/>
  <c r="P63" i="10"/>
  <c r="N61" i="10"/>
  <c r="M62" i="10"/>
  <c r="J61" i="2"/>
  <c r="N60" i="2" s="1"/>
  <c r="C63" i="2"/>
  <c r="E62" i="2"/>
  <c r="D62" i="2"/>
  <c r="B62" i="2"/>
  <c r="F62" i="2"/>
  <c r="G62" i="2"/>
  <c r="L58" i="2"/>
  <c r="E35" i="8"/>
  <c r="H35" i="8" s="1"/>
  <c r="D36" i="8" s="1"/>
  <c r="Q58" i="5"/>
  <c r="K59" i="5"/>
  <c r="L59" i="5"/>
  <c r="P59" i="5" s="1"/>
  <c r="C60" i="8"/>
  <c r="B59" i="8"/>
  <c r="H59" i="5"/>
  <c r="E60" i="5"/>
  <c r="D60" i="5"/>
  <c r="G60" i="5"/>
  <c r="C61" i="5"/>
  <c r="F60" i="5"/>
  <c r="B60" i="5"/>
  <c r="J65" i="10" l="1"/>
  <c r="K64" i="10"/>
  <c r="L65" i="10"/>
  <c r="T65" i="10"/>
  <c r="B65" i="10"/>
  <c r="D65" i="10"/>
  <c r="C66" i="10"/>
  <c r="J66" i="10" s="1"/>
  <c r="F65" i="10"/>
  <c r="E65" i="10"/>
  <c r="G65" i="10"/>
  <c r="Q63" i="10"/>
  <c r="I61" i="2"/>
  <c r="K61" i="2" s="1"/>
  <c r="M59" i="5"/>
  <c r="N59" i="5" s="1"/>
  <c r="H62" i="2"/>
  <c r="S62" i="10" s="1"/>
  <c r="U62" i="10" s="1"/>
  <c r="P64" i="10"/>
  <c r="N62" i="10"/>
  <c r="M63" i="10"/>
  <c r="G63" i="2"/>
  <c r="E63" i="2"/>
  <c r="F63" i="2"/>
  <c r="J62" i="2"/>
  <c r="N61" i="2" s="1"/>
  <c r="B63" i="2"/>
  <c r="C64" i="2"/>
  <c r="D63" i="2"/>
  <c r="H63" i="2" s="1"/>
  <c r="S63" i="10" s="1"/>
  <c r="U63" i="10" s="1"/>
  <c r="O60" i="2"/>
  <c r="L59" i="2"/>
  <c r="G36" i="8"/>
  <c r="E36" i="8" s="1"/>
  <c r="Q59" i="5"/>
  <c r="K60" i="5"/>
  <c r="L60" i="5"/>
  <c r="P60" i="5" s="1"/>
  <c r="B60" i="8"/>
  <c r="C61" i="8"/>
  <c r="C62" i="5"/>
  <c r="D61" i="5"/>
  <c r="G61" i="5"/>
  <c r="B61" i="5"/>
  <c r="F61" i="5"/>
  <c r="E61" i="5"/>
  <c r="H60" i="5"/>
  <c r="T66" i="10" l="1"/>
  <c r="Q64" i="10"/>
  <c r="F66" i="10"/>
  <c r="D66" i="10"/>
  <c r="E66" i="10"/>
  <c r="C67" i="10"/>
  <c r="K66" i="10" s="1"/>
  <c r="I66" i="10"/>
  <c r="B66" i="10"/>
  <c r="G66" i="10"/>
  <c r="K65" i="10"/>
  <c r="L66" i="10"/>
  <c r="O61" i="2"/>
  <c r="I62" i="2"/>
  <c r="K62" i="2" s="1"/>
  <c r="J67" i="10"/>
  <c r="M60" i="5"/>
  <c r="N60" i="5" s="1"/>
  <c r="I63" i="2"/>
  <c r="K63" i="2" s="1"/>
  <c r="P65" i="10"/>
  <c r="N63" i="10"/>
  <c r="M64" i="10"/>
  <c r="J63" i="2"/>
  <c r="N62" i="2" s="1"/>
  <c r="C65" i="2"/>
  <c r="D64" i="2"/>
  <c r="E64" i="2"/>
  <c r="G64" i="2"/>
  <c r="B64" i="2"/>
  <c r="F64" i="2"/>
  <c r="L60" i="2"/>
  <c r="F36" i="8"/>
  <c r="H36" i="8" s="1"/>
  <c r="D37" i="8" s="1"/>
  <c r="Q60" i="5"/>
  <c r="L61" i="5"/>
  <c r="P61" i="5" s="1"/>
  <c r="K61" i="5"/>
  <c r="B61" i="8"/>
  <c r="C62" i="8"/>
  <c r="H61" i="5"/>
  <c r="G62" i="5"/>
  <c r="C63" i="5"/>
  <c r="E62" i="5"/>
  <c r="D62" i="5"/>
  <c r="B62" i="5"/>
  <c r="F62" i="5"/>
  <c r="B67" i="10" l="1"/>
  <c r="G67" i="10"/>
  <c r="C68" i="10"/>
  <c r="L68" i="10" s="1"/>
  <c r="I67" i="10"/>
  <c r="E67" i="10"/>
  <c r="D67" i="10"/>
  <c r="F67" i="10"/>
  <c r="Q65" i="10"/>
  <c r="L67" i="10"/>
  <c r="T67" i="10"/>
  <c r="T68" i="10"/>
  <c r="O62" i="2"/>
  <c r="M61" i="5"/>
  <c r="N61" i="5" s="1"/>
  <c r="H64" i="2"/>
  <c r="S64" i="10" s="1"/>
  <c r="U64" i="10" s="1"/>
  <c r="P66" i="10"/>
  <c r="Q66" i="10" s="1"/>
  <c r="N64" i="10"/>
  <c r="M65" i="10"/>
  <c r="B65" i="2"/>
  <c r="J64" i="2"/>
  <c r="N63" i="2" s="1"/>
  <c r="O63" i="2" s="1"/>
  <c r="F65" i="2"/>
  <c r="E65" i="2"/>
  <c r="C66" i="2"/>
  <c r="D65" i="2"/>
  <c r="G65" i="2"/>
  <c r="L61" i="2"/>
  <c r="G37" i="8"/>
  <c r="F37" i="8" s="1"/>
  <c r="K62" i="5"/>
  <c r="L62" i="5"/>
  <c r="P62" i="5" s="1"/>
  <c r="Q61" i="5"/>
  <c r="C63" i="8"/>
  <c r="B62" i="8"/>
  <c r="H62" i="5"/>
  <c r="F63" i="5"/>
  <c r="B63" i="5"/>
  <c r="G63" i="5"/>
  <c r="E63" i="5"/>
  <c r="D63" i="5"/>
  <c r="C64" i="5"/>
  <c r="B68" i="10" l="1"/>
  <c r="D68" i="10"/>
  <c r="E68" i="10"/>
  <c r="I68" i="10"/>
  <c r="G68" i="10"/>
  <c r="F68" i="10"/>
  <c r="C69" i="10"/>
  <c r="L69" i="10" s="1"/>
  <c r="J68" i="10"/>
  <c r="K67" i="10"/>
  <c r="I64" i="2"/>
  <c r="K64" i="2" s="1"/>
  <c r="J69" i="10"/>
  <c r="M62" i="5"/>
  <c r="N62" i="5" s="1"/>
  <c r="H65" i="2"/>
  <c r="S65" i="10" s="1"/>
  <c r="U65" i="10" s="1"/>
  <c r="P67" i="10"/>
  <c r="D69" i="10"/>
  <c r="G69" i="10"/>
  <c r="N65" i="10"/>
  <c r="M66" i="10"/>
  <c r="J65" i="2"/>
  <c r="N64" i="2" s="1"/>
  <c r="E66" i="2"/>
  <c r="G66" i="2"/>
  <c r="B66" i="2"/>
  <c r="C67" i="2"/>
  <c r="D66" i="2"/>
  <c r="H66" i="2" s="1"/>
  <c r="S66" i="10" s="1"/>
  <c r="U66" i="10" s="1"/>
  <c r="F66" i="2"/>
  <c r="L62" i="2"/>
  <c r="E37" i="8"/>
  <c r="H37" i="8" s="1"/>
  <c r="D38" i="8" s="1"/>
  <c r="Q62" i="5"/>
  <c r="L63" i="5"/>
  <c r="P63" i="5" s="1"/>
  <c r="K63" i="5"/>
  <c r="C64" i="8"/>
  <c r="B63" i="8"/>
  <c r="H63" i="5"/>
  <c r="E64" i="5"/>
  <c r="C65" i="5"/>
  <c r="F64" i="5"/>
  <c r="D64" i="5"/>
  <c r="G64" i="5"/>
  <c r="B64" i="5"/>
  <c r="Q67" i="10" l="1"/>
  <c r="B69" i="10"/>
  <c r="C70" i="10"/>
  <c r="I70" i="10" s="1"/>
  <c r="I69" i="10"/>
  <c r="F69" i="10"/>
  <c r="E69" i="10"/>
  <c r="K68" i="10"/>
  <c r="T69" i="10"/>
  <c r="M63" i="5"/>
  <c r="N63" i="5" s="1"/>
  <c r="O64" i="2"/>
  <c r="I65" i="2"/>
  <c r="K65" i="2" s="1"/>
  <c r="I66" i="2"/>
  <c r="K66" i="2" s="1"/>
  <c r="P68" i="10"/>
  <c r="N66" i="10"/>
  <c r="M67" i="10"/>
  <c r="J66" i="2"/>
  <c r="N65" i="2" s="1"/>
  <c r="E67" i="2"/>
  <c r="F67" i="2"/>
  <c r="B67" i="2"/>
  <c r="C68" i="2"/>
  <c r="D67" i="2"/>
  <c r="G67" i="2"/>
  <c r="L63" i="2"/>
  <c r="G38" i="8"/>
  <c r="F38" i="8" s="1"/>
  <c r="Q63" i="5"/>
  <c r="L64" i="5"/>
  <c r="P64" i="5" s="1"/>
  <c r="K64" i="5"/>
  <c r="B64" i="8"/>
  <c r="C65" i="8"/>
  <c r="H64" i="5"/>
  <c r="C66" i="5"/>
  <c r="D65" i="5"/>
  <c r="G65" i="5"/>
  <c r="B65" i="5"/>
  <c r="F65" i="5"/>
  <c r="E65" i="5"/>
  <c r="B70" i="10" l="1"/>
  <c r="Q68" i="10"/>
  <c r="F70" i="10"/>
  <c r="K69" i="10"/>
  <c r="C71" i="10"/>
  <c r="T71" i="10" s="1"/>
  <c r="L70" i="10"/>
  <c r="G70" i="10"/>
  <c r="J70" i="10"/>
  <c r="T70" i="10"/>
  <c r="E70" i="10"/>
  <c r="D70" i="10"/>
  <c r="O65" i="2"/>
  <c r="M64" i="5"/>
  <c r="N64" i="5" s="1"/>
  <c r="H67" i="2"/>
  <c r="S67" i="10" s="1"/>
  <c r="U67" i="10" s="1"/>
  <c r="I67" i="2"/>
  <c r="K67" i="2" s="1"/>
  <c r="P69" i="10"/>
  <c r="Q69" i="10" s="1"/>
  <c r="N67" i="10"/>
  <c r="M68" i="10"/>
  <c r="F71" i="10"/>
  <c r="E71" i="10"/>
  <c r="J67" i="2"/>
  <c r="N66" i="2" s="1"/>
  <c r="O66" i="2" s="1"/>
  <c r="B68" i="2"/>
  <c r="G68" i="2"/>
  <c r="F68" i="2"/>
  <c r="C69" i="2"/>
  <c r="D68" i="2"/>
  <c r="E68" i="2"/>
  <c r="L64" i="2"/>
  <c r="E38" i="8"/>
  <c r="H38" i="8" s="1"/>
  <c r="D39" i="8" s="1"/>
  <c r="K65" i="5"/>
  <c r="Q64" i="5"/>
  <c r="L65" i="5"/>
  <c r="P65" i="5" s="1"/>
  <c r="B65" i="8"/>
  <c r="C66" i="8"/>
  <c r="H65" i="5"/>
  <c r="G66" i="5"/>
  <c r="F66" i="5"/>
  <c r="C67" i="5"/>
  <c r="E66" i="5"/>
  <c r="D66" i="5"/>
  <c r="B66" i="5"/>
  <c r="B71" i="10" l="1"/>
  <c r="D71" i="10"/>
  <c r="J71" i="10"/>
  <c r="I71" i="10"/>
  <c r="K70" i="10"/>
  <c r="C72" i="10"/>
  <c r="J72" i="10" s="1"/>
  <c r="G71" i="10"/>
  <c r="L71" i="10"/>
  <c r="M65" i="5"/>
  <c r="N65" i="5" s="1"/>
  <c r="H68" i="2"/>
  <c r="S68" i="10" s="1"/>
  <c r="U68" i="10" s="1"/>
  <c r="I68" i="2"/>
  <c r="K68" i="2" s="1"/>
  <c r="P70" i="10"/>
  <c r="N68" i="10"/>
  <c r="M69" i="10"/>
  <c r="J68" i="2"/>
  <c r="N67" i="2" s="1"/>
  <c r="O67" i="2" s="1"/>
  <c r="E69" i="2"/>
  <c r="C70" i="2"/>
  <c r="D69" i="2"/>
  <c r="G69" i="2"/>
  <c r="F69" i="2"/>
  <c r="B69" i="2"/>
  <c r="L65" i="2"/>
  <c r="G39" i="8"/>
  <c r="E39" i="8" s="1"/>
  <c r="Q65" i="5"/>
  <c r="K66" i="5"/>
  <c r="L66" i="5"/>
  <c r="P66" i="5" s="1"/>
  <c r="C67" i="8"/>
  <c r="B66" i="8"/>
  <c r="H66" i="5"/>
  <c r="F67" i="5"/>
  <c r="B67" i="5"/>
  <c r="D67" i="5"/>
  <c r="C68" i="5"/>
  <c r="G67" i="5"/>
  <c r="E67" i="5"/>
  <c r="F72" i="10" l="1"/>
  <c r="L72" i="10"/>
  <c r="D72" i="10"/>
  <c r="E72" i="10"/>
  <c r="C73" i="10"/>
  <c r="L73" i="10" s="1"/>
  <c r="I72" i="10"/>
  <c r="G72" i="10"/>
  <c r="B72" i="10"/>
  <c r="K71" i="10"/>
  <c r="Q70" i="10"/>
  <c r="T72" i="10"/>
  <c r="M66" i="5"/>
  <c r="N66" i="5" s="1"/>
  <c r="J73" i="10"/>
  <c r="H69" i="2"/>
  <c r="S69" i="10" s="1"/>
  <c r="U69" i="10" s="1"/>
  <c r="K72" i="10"/>
  <c r="P71" i="10"/>
  <c r="C74" i="10"/>
  <c r="D73" i="10"/>
  <c r="B73" i="10"/>
  <c r="N69" i="10"/>
  <c r="M70" i="10"/>
  <c r="J69" i="2"/>
  <c r="N68" i="2" s="1"/>
  <c r="O68" i="2" s="1"/>
  <c r="F70" i="2"/>
  <c r="G70" i="2"/>
  <c r="C71" i="2"/>
  <c r="D70" i="2"/>
  <c r="B70" i="2"/>
  <c r="E70" i="2"/>
  <c r="L66" i="2"/>
  <c r="F39" i="8"/>
  <c r="H39" i="8" s="1"/>
  <c r="D40" i="8" s="1"/>
  <c r="Q66" i="5"/>
  <c r="L67" i="5"/>
  <c r="P67" i="5" s="1"/>
  <c r="K67" i="5"/>
  <c r="C68" i="8"/>
  <c r="B67" i="8"/>
  <c r="E68" i="5"/>
  <c r="G68" i="5"/>
  <c r="B68" i="5"/>
  <c r="C69" i="5"/>
  <c r="F68" i="5"/>
  <c r="D68" i="5"/>
  <c r="H67" i="5"/>
  <c r="F73" i="10" l="1"/>
  <c r="E73" i="10"/>
  <c r="I73" i="10"/>
  <c r="T73" i="10"/>
  <c r="G73" i="10"/>
  <c r="Q71" i="10"/>
  <c r="T74" i="10"/>
  <c r="M67" i="5"/>
  <c r="N67" i="5" s="1"/>
  <c r="I69" i="2"/>
  <c r="K69" i="2" s="1"/>
  <c r="J74" i="10"/>
  <c r="L74" i="10"/>
  <c r="K73" i="10"/>
  <c r="I74" i="10"/>
  <c r="H70" i="2"/>
  <c r="S70" i="10" s="1"/>
  <c r="U70" i="10" s="1"/>
  <c r="P72" i="10"/>
  <c r="Q72" i="10" s="1"/>
  <c r="C75" i="10"/>
  <c r="D74" i="10"/>
  <c r="G74" i="10"/>
  <c r="F74" i="10"/>
  <c r="B74" i="10"/>
  <c r="E74" i="10"/>
  <c r="N70" i="10"/>
  <c r="M71" i="10"/>
  <c r="E71" i="2"/>
  <c r="J70" i="2"/>
  <c r="N69" i="2" s="1"/>
  <c r="B71" i="2"/>
  <c r="C72" i="2"/>
  <c r="D71" i="2"/>
  <c r="F71" i="2"/>
  <c r="G71" i="2"/>
  <c r="L67" i="2"/>
  <c r="G40" i="8"/>
  <c r="F40" i="8" s="1"/>
  <c r="Q67" i="5"/>
  <c r="K68" i="5"/>
  <c r="L68" i="5"/>
  <c r="P68" i="5" s="1"/>
  <c r="B68" i="8"/>
  <c r="C69" i="8"/>
  <c r="H68" i="5"/>
  <c r="C70" i="5"/>
  <c r="D69" i="5"/>
  <c r="E69" i="5"/>
  <c r="G69" i="5"/>
  <c r="F69" i="5"/>
  <c r="B69" i="5"/>
  <c r="T75" i="10" l="1"/>
  <c r="M68" i="5"/>
  <c r="N68" i="5" s="1"/>
  <c r="O69" i="2"/>
  <c r="I70" i="2"/>
  <c r="K70" i="2" s="1"/>
  <c r="J75" i="10"/>
  <c r="L75" i="10"/>
  <c r="K74" i="10"/>
  <c r="I75" i="10"/>
  <c r="H71" i="2"/>
  <c r="S71" i="10" s="1"/>
  <c r="U71" i="10" s="1"/>
  <c r="P73" i="10"/>
  <c r="Q73" i="10" s="1"/>
  <c r="N71" i="10"/>
  <c r="M72" i="10"/>
  <c r="G75" i="10"/>
  <c r="F75" i="10"/>
  <c r="B75" i="10"/>
  <c r="E75" i="10"/>
  <c r="C76" i="10"/>
  <c r="D75" i="10"/>
  <c r="J71" i="2"/>
  <c r="N70" i="2" s="1"/>
  <c r="E72" i="2"/>
  <c r="G72" i="2"/>
  <c r="C73" i="2"/>
  <c r="D72" i="2"/>
  <c r="F72" i="2"/>
  <c r="B72" i="2"/>
  <c r="L68" i="2"/>
  <c r="E40" i="8"/>
  <c r="H40" i="8" s="1"/>
  <c r="D41" i="8" s="1"/>
  <c r="Q68" i="5"/>
  <c r="K69" i="5"/>
  <c r="L69" i="5"/>
  <c r="P69" i="5" s="1"/>
  <c r="B69" i="8"/>
  <c r="C70" i="8"/>
  <c r="H69" i="5"/>
  <c r="G70" i="5"/>
  <c r="B70" i="5"/>
  <c r="F70" i="5"/>
  <c r="C71" i="5"/>
  <c r="E70" i="5"/>
  <c r="D70" i="5"/>
  <c r="T76" i="10" l="1"/>
  <c r="M69" i="5"/>
  <c r="N69" i="5" s="1"/>
  <c r="O70" i="2"/>
  <c r="I71" i="2"/>
  <c r="K71" i="2" s="1"/>
  <c r="J76" i="10"/>
  <c r="L76" i="10"/>
  <c r="K75" i="10"/>
  <c r="I76" i="10"/>
  <c r="H72" i="2"/>
  <c r="S72" i="10" s="1"/>
  <c r="U72" i="10" s="1"/>
  <c r="P74" i="10"/>
  <c r="Q74" i="10" s="1"/>
  <c r="F76" i="10"/>
  <c r="B76" i="10"/>
  <c r="E76" i="10"/>
  <c r="C77" i="10"/>
  <c r="D76" i="10"/>
  <c r="G76" i="10"/>
  <c r="N72" i="10"/>
  <c r="M73" i="10"/>
  <c r="J72" i="2"/>
  <c r="N71" i="2" s="1"/>
  <c r="G73" i="2"/>
  <c r="B73" i="2"/>
  <c r="C74" i="2"/>
  <c r="D73" i="2"/>
  <c r="F73" i="2"/>
  <c r="E73" i="2"/>
  <c r="L69" i="2"/>
  <c r="G41" i="8"/>
  <c r="E41" i="8" s="1"/>
  <c r="Q69" i="5"/>
  <c r="L70" i="5"/>
  <c r="P70" i="5" s="1"/>
  <c r="K70" i="5"/>
  <c r="M70" i="5" s="1"/>
  <c r="N70" i="5" s="1"/>
  <c r="C71" i="8"/>
  <c r="B70" i="8"/>
  <c r="H70" i="5"/>
  <c r="F71" i="5"/>
  <c r="B71" i="5"/>
  <c r="C72" i="5"/>
  <c r="E71" i="5"/>
  <c r="D71" i="5"/>
  <c r="G71" i="5"/>
  <c r="T77" i="10" l="1"/>
  <c r="O71" i="2"/>
  <c r="I72" i="2"/>
  <c r="K72" i="2" s="1"/>
  <c r="J77" i="10"/>
  <c r="L77" i="10"/>
  <c r="I77" i="10"/>
  <c r="H73" i="2"/>
  <c r="S73" i="10" s="1"/>
  <c r="U73" i="10" s="1"/>
  <c r="K76" i="10"/>
  <c r="P75" i="10"/>
  <c r="Q75" i="10" s="1"/>
  <c r="E77" i="10"/>
  <c r="C78" i="10"/>
  <c r="D77" i="10"/>
  <c r="G77" i="10"/>
  <c r="F77" i="10"/>
  <c r="B77" i="10"/>
  <c r="N73" i="10"/>
  <c r="M74" i="10"/>
  <c r="J73" i="2"/>
  <c r="N72" i="2" s="1"/>
  <c r="E74" i="2"/>
  <c r="F74" i="2"/>
  <c r="C75" i="2"/>
  <c r="D74" i="2"/>
  <c r="B74" i="2"/>
  <c r="G74" i="2"/>
  <c r="L70" i="2"/>
  <c r="F41" i="8"/>
  <c r="H41" i="8" s="1"/>
  <c r="D42" i="8" s="1"/>
  <c r="Q70" i="5"/>
  <c r="L71" i="5"/>
  <c r="P71" i="5" s="1"/>
  <c r="K71" i="5"/>
  <c r="M71" i="5" s="1"/>
  <c r="N71" i="5" s="1"/>
  <c r="C72" i="8"/>
  <c r="B71" i="8"/>
  <c r="H71" i="5"/>
  <c r="E72" i="5"/>
  <c r="G72" i="5"/>
  <c r="B72" i="5"/>
  <c r="C73" i="5"/>
  <c r="F72" i="5"/>
  <c r="D72" i="5"/>
  <c r="T78" i="10" l="1"/>
  <c r="O72" i="2"/>
  <c r="I73" i="2"/>
  <c r="K73" i="2" s="1"/>
  <c r="J78" i="10"/>
  <c r="L78" i="10"/>
  <c r="K77" i="10"/>
  <c r="I78" i="10"/>
  <c r="H74" i="2"/>
  <c r="S74" i="10" s="1"/>
  <c r="U74" i="10" s="1"/>
  <c r="P76" i="10"/>
  <c r="Q76" i="10" s="1"/>
  <c r="C79" i="10"/>
  <c r="D78" i="10"/>
  <c r="G78" i="10"/>
  <c r="F78" i="10"/>
  <c r="B78" i="10"/>
  <c r="E78" i="10"/>
  <c r="N74" i="10"/>
  <c r="M75" i="10"/>
  <c r="J74" i="2"/>
  <c r="N73" i="2" s="1"/>
  <c r="G75" i="2"/>
  <c r="F75" i="2"/>
  <c r="B75" i="2"/>
  <c r="C76" i="2"/>
  <c r="D75" i="2"/>
  <c r="E75" i="2"/>
  <c r="L71" i="2"/>
  <c r="G42" i="8"/>
  <c r="E42" i="8" s="1"/>
  <c r="Q71" i="5"/>
  <c r="K72" i="5"/>
  <c r="M72" i="5" s="1"/>
  <c r="N72" i="5" s="1"/>
  <c r="L72" i="5"/>
  <c r="P72" i="5" s="1"/>
  <c r="B72" i="8"/>
  <c r="C73" i="8"/>
  <c r="C74" i="5"/>
  <c r="D73" i="5"/>
  <c r="F73" i="5"/>
  <c r="E73" i="5"/>
  <c r="G73" i="5"/>
  <c r="B73" i="5"/>
  <c r="H72" i="5"/>
  <c r="T79" i="10" l="1"/>
  <c r="O73" i="2"/>
  <c r="I74" i="2"/>
  <c r="K74" i="2" s="1"/>
  <c r="J79" i="10"/>
  <c r="L79" i="10"/>
  <c r="K78" i="10"/>
  <c r="I79" i="10"/>
  <c r="H75" i="2"/>
  <c r="S75" i="10" s="1"/>
  <c r="U75" i="10" s="1"/>
  <c r="I75" i="2"/>
  <c r="P77" i="10"/>
  <c r="Q77" i="10" s="1"/>
  <c r="N75" i="10"/>
  <c r="M76" i="10"/>
  <c r="G79" i="10"/>
  <c r="F79" i="10"/>
  <c r="B79" i="10"/>
  <c r="E79" i="10"/>
  <c r="C80" i="10"/>
  <c r="D79" i="10"/>
  <c r="J75" i="2"/>
  <c r="N74" i="2" s="1"/>
  <c r="K75" i="2"/>
  <c r="B76" i="2"/>
  <c r="G76" i="2"/>
  <c r="E76" i="2"/>
  <c r="C77" i="2"/>
  <c r="D76" i="2"/>
  <c r="H76" i="2" s="1"/>
  <c r="S76" i="10" s="1"/>
  <c r="U76" i="10" s="1"/>
  <c r="F76" i="2"/>
  <c r="L72" i="2"/>
  <c r="F42" i="8"/>
  <c r="H42" i="8" s="1"/>
  <c r="D43" i="8" s="1"/>
  <c r="Q72" i="5"/>
  <c r="L73" i="5"/>
  <c r="P73" i="5" s="1"/>
  <c r="K73" i="5"/>
  <c r="M73" i="5" s="1"/>
  <c r="N73" i="5" s="1"/>
  <c r="B73" i="8"/>
  <c r="C74" i="8"/>
  <c r="H73" i="5"/>
  <c r="G74" i="5"/>
  <c r="D74" i="5"/>
  <c r="B74" i="5"/>
  <c r="F74" i="5"/>
  <c r="C75" i="5"/>
  <c r="E74" i="5"/>
  <c r="T80" i="10" l="1"/>
  <c r="O74" i="2"/>
  <c r="J80" i="10"/>
  <c r="L80" i="10"/>
  <c r="I80" i="10"/>
  <c r="K79" i="10"/>
  <c r="I76" i="2"/>
  <c r="K76" i="2" s="1"/>
  <c r="P78" i="10"/>
  <c r="Q78" i="10" s="1"/>
  <c r="F80" i="10"/>
  <c r="B80" i="10"/>
  <c r="E80" i="10"/>
  <c r="C81" i="10"/>
  <c r="D80" i="10"/>
  <c r="G80" i="10"/>
  <c r="N76" i="10"/>
  <c r="M77" i="10"/>
  <c r="J76" i="2"/>
  <c r="N75" i="2" s="1"/>
  <c r="O75" i="2" s="1"/>
  <c r="E77" i="2"/>
  <c r="F77" i="2"/>
  <c r="G77" i="2"/>
  <c r="C78" i="2"/>
  <c r="D77" i="2"/>
  <c r="B77" i="2"/>
  <c r="L73" i="2"/>
  <c r="G43" i="8"/>
  <c r="F43" i="8" s="1"/>
  <c r="Q73" i="5"/>
  <c r="L74" i="5"/>
  <c r="P74" i="5" s="1"/>
  <c r="K74" i="5"/>
  <c r="M74" i="5" s="1"/>
  <c r="N74" i="5" s="1"/>
  <c r="C75" i="8"/>
  <c r="B74" i="8"/>
  <c r="F75" i="5"/>
  <c r="B75" i="5"/>
  <c r="G75" i="5"/>
  <c r="C76" i="5"/>
  <c r="E75" i="5"/>
  <c r="D75" i="5"/>
  <c r="H74" i="5"/>
  <c r="T81" i="10" l="1"/>
  <c r="J81" i="10"/>
  <c r="L81" i="10"/>
  <c r="I81" i="10"/>
  <c r="H77" i="2"/>
  <c r="S77" i="10" s="1"/>
  <c r="U77" i="10" s="1"/>
  <c r="K80" i="10"/>
  <c r="P79" i="10"/>
  <c r="Q79" i="10" s="1"/>
  <c r="E81" i="10"/>
  <c r="C82" i="10"/>
  <c r="D81" i="10"/>
  <c r="G81" i="10"/>
  <c r="F81" i="10"/>
  <c r="B81" i="10"/>
  <c r="N77" i="10"/>
  <c r="M78" i="10"/>
  <c r="J77" i="2"/>
  <c r="N76" i="2" s="1"/>
  <c r="O76" i="2" s="1"/>
  <c r="G78" i="2"/>
  <c r="B78" i="2"/>
  <c r="C79" i="2"/>
  <c r="D78" i="2"/>
  <c r="F78" i="2"/>
  <c r="E78" i="2"/>
  <c r="L74" i="2"/>
  <c r="E43" i="8"/>
  <c r="H43" i="8" s="1"/>
  <c r="D44" i="8" s="1"/>
  <c r="Q74" i="5"/>
  <c r="K75" i="5"/>
  <c r="M75" i="5" s="1"/>
  <c r="N75" i="5" s="1"/>
  <c r="L75" i="5"/>
  <c r="P75" i="5" s="1"/>
  <c r="C76" i="8"/>
  <c r="B75" i="8"/>
  <c r="H75" i="5"/>
  <c r="E76" i="5"/>
  <c r="D76" i="5"/>
  <c r="B76" i="5"/>
  <c r="G76" i="5"/>
  <c r="F76" i="5"/>
  <c r="C77" i="5"/>
  <c r="T82" i="10" l="1"/>
  <c r="I77" i="2"/>
  <c r="K77" i="2" s="1"/>
  <c r="J82" i="10"/>
  <c r="L82" i="10"/>
  <c r="K81" i="10"/>
  <c r="I82" i="10"/>
  <c r="H78" i="2"/>
  <c r="S78" i="10" s="1"/>
  <c r="U78" i="10" s="1"/>
  <c r="P80" i="10"/>
  <c r="Q80" i="10" s="1"/>
  <c r="C83" i="10"/>
  <c r="D82" i="10"/>
  <c r="G82" i="10"/>
  <c r="F82" i="10"/>
  <c r="B82" i="10"/>
  <c r="E82" i="10"/>
  <c r="N78" i="10"/>
  <c r="M79" i="10"/>
  <c r="J78" i="2"/>
  <c r="N77" i="2" s="1"/>
  <c r="B79" i="2"/>
  <c r="E79" i="2"/>
  <c r="F79" i="2"/>
  <c r="D79" i="2"/>
  <c r="C80" i="2"/>
  <c r="G79" i="2"/>
  <c r="L75" i="2"/>
  <c r="G44" i="8"/>
  <c r="E44" i="8" s="1"/>
  <c r="Q75" i="5"/>
  <c r="K76" i="5"/>
  <c r="M76" i="5" s="1"/>
  <c r="N76" i="5" s="1"/>
  <c r="L76" i="5"/>
  <c r="P76" i="5" s="1"/>
  <c r="B76" i="8"/>
  <c r="C77" i="8"/>
  <c r="C78" i="5"/>
  <c r="D77" i="5"/>
  <c r="G77" i="5"/>
  <c r="B77" i="5"/>
  <c r="F77" i="5"/>
  <c r="E77" i="5"/>
  <c r="H76" i="5"/>
  <c r="T83" i="10" l="1"/>
  <c r="O77" i="2"/>
  <c r="I78" i="2"/>
  <c r="K78" i="2" s="1"/>
  <c r="J83" i="10"/>
  <c r="L83" i="10"/>
  <c r="K82" i="10"/>
  <c r="I83" i="10"/>
  <c r="H79" i="2"/>
  <c r="S79" i="10" s="1"/>
  <c r="U79" i="10" s="1"/>
  <c r="P81" i="10"/>
  <c r="Q81" i="10" s="1"/>
  <c r="N79" i="10"/>
  <c r="M80" i="10"/>
  <c r="G83" i="10"/>
  <c r="F83" i="10"/>
  <c r="B83" i="10"/>
  <c r="E83" i="10"/>
  <c r="C84" i="10"/>
  <c r="D83" i="10"/>
  <c r="J79" i="2"/>
  <c r="N78" i="2" s="1"/>
  <c r="B80" i="2"/>
  <c r="F80" i="2"/>
  <c r="C81" i="2"/>
  <c r="D80" i="2"/>
  <c r="G80" i="2"/>
  <c r="E80" i="2"/>
  <c r="L76" i="2"/>
  <c r="F44" i="8"/>
  <c r="H44" i="8" s="1"/>
  <c r="D45" i="8" s="1"/>
  <c r="Q76" i="5"/>
  <c r="L77" i="5"/>
  <c r="P77" i="5" s="1"/>
  <c r="K77" i="5"/>
  <c r="M77" i="5" s="1"/>
  <c r="N77" i="5" s="1"/>
  <c r="B77" i="8"/>
  <c r="C78" i="8"/>
  <c r="H77" i="5"/>
  <c r="G78" i="5"/>
  <c r="C79" i="5"/>
  <c r="E78" i="5"/>
  <c r="D78" i="5"/>
  <c r="F78" i="5"/>
  <c r="B78" i="5"/>
  <c r="T84" i="10" l="1"/>
  <c r="O78" i="2"/>
  <c r="I79" i="2"/>
  <c r="K79" i="2" s="1"/>
  <c r="J84" i="10"/>
  <c r="L84" i="10"/>
  <c r="I84" i="10"/>
  <c r="H80" i="2"/>
  <c r="S80" i="10" s="1"/>
  <c r="U80" i="10" s="1"/>
  <c r="K83" i="10"/>
  <c r="P82" i="10"/>
  <c r="Q82" i="10" s="1"/>
  <c r="F84" i="10"/>
  <c r="B84" i="10"/>
  <c r="E84" i="10"/>
  <c r="D84" i="10"/>
  <c r="G84" i="10"/>
  <c r="N80" i="10"/>
  <c r="M81" i="10"/>
  <c r="J80" i="2"/>
  <c r="N79" i="2" s="1"/>
  <c r="E81" i="2"/>
  <c r="C82" i="2"/>
  <c r="D81" i="2"/>
  <c r="G81" i="2"/>
  <c r="F81" i="2"/>
  <c r="B81" i="2"/>
  <c r="L77" i="2"/>
  <c r="K78" i="5"/>
  <c r="M78" i="5" s="1"/>
  <c r="N78" i="5" s="1"/>
  <c r="G45" i="8"/>
  <c r="F45" i="8" s="1"/>
  <c r="Q77" i="5"/>
  <c r="L78" i="5"/>
  <c r="P78" i="5" s="1"/>
  <c r="C79" i="8"/>
  <c r="B78" i="8"/>
  <c r="H78" i="5"/>
  <c r="F79" i="5"/>
  <c r="B79" i="5"/>
  <c r="G79" i="5"/>
  <c r="C80" i="5"/>
  <c r="E79" i="5"/>
  <c r="D79" i="5"/>
  <c r="O79" i="2" l="1"/>
  <c r="I80" i="2"/>
  <c r="K80" i="2" s="1"/>
  <c r="H81" i="2"/>
  <c r="S81" i="10" s="1"/>
  <c r="U81" i="10" s="1"/>
  <c r="P83" i="10"/>
  <c r="Q83" i="10" s="1"/>
  <c r="N81" i="10"/>
  <c r="M82" i="10"/>
  <c r="F82" i="2"/>
  <c r="J81" i="2"/>
  <c r="N80" i="2" s="1"/>
  <c r="B82" i="2"/>
  <c r="C83" i="2"/>
  <c r="D82" i="2"/>
  <c r="H82" i="2" s="1"/>
  <c r="S82" i="10" s="1"/>
  <c r="U82" i="10" s="1"/>
  <c r="G82" i="2"/>
  <c r="E82" i="2"/>
  <c r="L78" i="2"/>
  <c r="Q78" i="5"/>
  <c r="E45" i="8"/>
  <c r="H45" i="8" s="1"/>
  <c r="D46" i="8" s="1"/>
  <c r="K79" i="5"/>
  <c r="M79" i="5" s="1"/>
  <c r="N79" i="5" s="1"/>
  <c r="L79" i="5"/>
  <c r="P79" i="5" s="1"/>
  <c r="C80" i="8"/>
  <c r="B79" i="8"/>
  <c r="H79" i="5"/>
  <c r="E80" i="5"/>
  <c r="C81" i="5"/>
  <c r="F80" i="5"/>
  <c r="D80" i="5"/>
  <c r="B80" i="5"/>
  <c r="G80" i="5"/>
  <c r="O80" i="2" l="1"/>
  <c r="I81" i="2"/>
  <c r="K81" i="2" s="1"/>
  <c r="Q84" i="10"/>
  <c r="Q13" i="10" s="1"/>
  <c r="G7" i="10" s="1"/>
  <c r="I82" i="2"/>
  <c r="N82" i="10"/>
  <c r="M83" i="10"/>
  <c r="B83" i="2"/>
  <c r="K82" i="2"/>
  <c r="J82" i="2"/>
  <c r="N81" i="2" s="1"/>
  <c r="G83" i="2"/>
  <c r="C84" i="2"/>
  <c r="D83" i="2"/>
  <c r="E83" i="2"/>
  <c r="F83" i="2"/>
  <c r="L79" i="2"/>
  <c r="Q79" i="5"/>
  <c r="G46" i="8"/>
  <c r="E46" i="8" s="1"/>
  <c r="L80" i="5"/>
  <c r="P80" i="5" s="1"/>
  <c r="K80" i="5"/>
  <c r="M80" i="5" s="1"/>
  <c r="N80" i="5" s="1"/>
  <c r="B80" i="8"/>
  <c r="C81" i="8"/>
  <c r="D81" i="5"/>
  <c r="G81" i="5"/>
  <c r="B81" i="5"/>
  <c r="F81" i="5"/>
  <c r="E81" i="5"/>
  <c r="H80" i="5"/>
  <c r="O81" i="2" l="1"/>
  <c r="H83" i="2"/>
  <c r="S83" i="10" s="1"/>
  <c r="U83" i="10" s="1"/>
  <c r="N83" i="10"/>
  <c r="M84" i="10"/>
  <c r="N84" i="10" s="1"/>
  <c r="J83" i="2"/>
  <c r="N82" i="2" s="1"/>
  <c r="O82" i="2" s="1"/>
  <c r="F84" i="2"/>
  <c r="B84" i="2"/>
  <c r="E84" i="2"/>
  <c r="G84" i="2"/>
  <c r="D84" i="2"/>
  <c r="H84" i="2" s="1"/>
  <c r="S84" i="10" s="1"/>
  <c r="U84" i="10" s="1"/>
  <c r="L80" i="2"/>
  <c r="F46" i="8"/>
  <c r="H46" i="8" s="1"/>
  <c r="D47" i="8" s="1"/>
  <c r="Q80" i="5"/>
  <c r="L81" i="5"/>
  <c r="P81" i="5" s="1"/>
  <c r="K81" i="5"/>
  <c r="M81" i="5" s="1"/>
  <c r="N81" i="5" s="1"/>
  <c r="B81" i="8"/>
  <c r="H81" i="5"/>
  <c r="U13" i="10" l="1"/>
  <c r="I83" i="2"/>
  <c r="K83" i="2" s="1"/>
  <c r="K84" i="2"/>
  <c r="J84" i="2"/>
  <c r="N83" i="2" s="1"/>
  <c r="L81" i="2"/>
  <c r="G47" i="8"/>
  <c r="F47" i="8" s="1"/>
  <c r="Q81" i="5"/>
  <c r="O83" i="2" l="1"/>
  <c r="O84" i="2"/>
  <c r="L82" i="2"/>
  <c r="E47" i="8"/>
  <c r="H47" i="8" s="1"/>
  <c r="D48" i="8" s="1"/>
  <c r="O13" i="2" l="1"/>
  <c r="G7" i="2" s="1"/>
  <c r="L83" i="2"/>
  <c r="L84" i="2"/>
  <c r="G48" i="8"/>
  <c r="F48" i="8" s="1"/>
  <c r="E48" i="8" l="1"/>
  <c r="H48" i="8" s="1"/>
  <c r="D49" i="8" s="1"/>
  <c r="G49" i="8" l="1"/>
  <c r="F49" i="8" s="1"/>
  <c r="E49" i="8" l="1"/>
  <c r="H49" i="8" s="1"/>
  <c r="D50" i="8" s="1"/>
  <c r="G50" i="8" l="1"/>
  <c r="E50" i="8" s="1"/>
  <c r="F50" i="8" l="1"/>
  <c r="H50" i="8" s="1"/>
  <c r="D51" i="8" s="1"/>
  <c r="G51" i="8" l="1"/>
  <c r="E51" i="8" s="1"/>
  <c r="F51" i="8" l="1"/>
  <c r="H51" i="8" s="1"/>
  <c r="D52" i="8" s="1"/>
  <c r="G52" i="8" l="1"/>
  <c r="F52" i="8" s="1"/>
  <c r="E52" i="8" l="1"/>
  <c r="H52" i="8" s="1"/>
  <c r="D53" i="8" s="1"/>
  <c r="G53" i="8" s="1"/>
  <c r="E53" i="8" s="1"/>
  <c r="F53" i="8" l="1"/>
  <c r="H53" i="8" s="1"/>
  <c r="D54" i="8" s="1"/>
  <c r="G54" i="8" l="1"/>
  <c r="F54" i="8" s="1"/>
  <c r="E54" i="8" l="1"/>
  <c r="H54" i="8" s="1"/>
  <c r="D55" i="8" s="1"/>
  <c r="G55" i="8" l="1"/>
  <c r="F55" i="8" s="1"/>
  <c r="E55" i="8" l="1"/>
  <c r="H55" i="8" s="1"/>
  <c r="D56" i="8" s="1"/>
  <c r="G56" i="8" l="1"/>
  <c r="E56" i="8" s="1"/>
  <c r="F56" i="8" l="1"/>
  <c r="H56" i="8" s="1"/>
  <c r="D57" i="8" s="1"/>
  <c r="G57" i="8" l="1"/>
  <c r="E57" i="8" s="1"/>
  <c r="F57" i="8" l="1"/>
  <c r="H57" i="8" s="1"/>
  <c r="D58" i="8" s="1"/>
  <c r="G58" i="8" l="1"/>
  <c r="E58" i="8" s="1"/>
  <c r="F58" i="8" l="1"/>
  <c r="H58" i="8" s="1"/>
  <c r="D59" i="8" s="1"/>
  <c r="G59" i="8" l="1"/>
  <c r="E59" i="8" s="1"/>
  <c r="F59" i="8" l="1"/>
  <c r="H59" i="8" s="1"/>
  <c r="D60" i="8" s="1"/>
  <c r="G60" i="8" l="1"/>
  <c r="E60" i="8" s="1"/>
  <c r="F60" i="8" l="1"/>
  <c r="H60" i="8" s="1"/>
  <c r="D61" i="8" s="1"/>
  <c r="G61" i="8" l="1"/>
  <c r="E61" i="8" s="1"/>
  <c r="F61" i="8" l="1"/>
  <c r="H61" i="8" s="1"/>
  <c r="D62" i="8" s="1"/>
  <c r="G62" i="8" l="1"/>
  <c r="E62" i="8" s="1"/>
  <c r="F62" i="8" l="1"/>
  <c r="H62" i="8" s="1"/>
  <c r="D63" i="8" s="1"/>
  <c r="G63" i="8" l="1"/>
  <c r="E63" i="8" s="1"/>
  <c r="F63" i="8" l="1"/>
  <c r="H63" i="8" s="1"/>
  <c r="D64" i="8" s="1"/>
  <c r="G64" i="8" l="1"/>
  <c r="E64" i="8" s="1"/>
  <c r="F64" i="8" l="1"/>
  <c r="H64" i="8" s="1"/>
  <c r="D65" i="8" s="1"/>
  <c r="G65" i="8" l="1"/>
  <c r="F65" i="8" s="1"/>
  <c r="E65" i="8" l="1"/>
  <c r="H65" i="8" s="1"/>
  <c r="D66" i="8" s="1"/>
  <c r="G66" i="8" l="1"/>
  <c r="E66" i="8" s="1"/>
  <c r="F66" i="8" l="1"/>
  <c r="H66" i="8" s="1"/>
  <c r="D67" i="8" s="1"/>
  <c r="G67" i="8" l="1"/>
  <c r="E67" i="8" s="1"/>
  <c r="F67" i="8" l="1"/>
  <c r="H67" i="8" s="1"/>
  <c r="D68" i="8" s="1"/>
  <c r="G68" i="8" l="1"/>
  <c r="E68" i="8" s="1"/>
  <c r="F68" i="8" l="1"/>
  <c r="H68" i="8" s="1"/>
  <c r="D69" i="8" s="1"/>
  <c r="G69" i="8" l="1"/>
  <c r="E69" i="8" s="1"/>
  <c r="F69" i="8" l="1"/>
  <c r="H69" i="8" s="1"/>
  <c r="D70" i="8" s="1"/>
  <c r="G70" i="8" l="1"/>
  <c r="F70" i="8" s="1"/>
  <c r="E70" i="8" l="1"/>
  <c r="H70" i="8" s="1"/>
  <c r="D71" i="8" s="1"/>
  <c r="G71" i="8" l="1"/>
  <c r="F71" i="8" s="1"/>
  <c r="E71" i="8" l="1"/>
  <c r="H71" i="8" s="1"/>
  <c r="D72" i="8" s="1"/>
  <c r="G72" i="8" l="1"/>
  <c r="F72" i="8" s="1"/>
  <c r="E72" i="8" l="1"/>
  <c r="H72" i="8" s="1"/>
  <c r="D73" i="8" s="1"/>
  <c r="G73" i="8" l="1"/>
  <c r="E73" i="8" s="1"/>
  <c r="F73" i="8" l="1"/>
  <c r="H73" i="8" s="1"/>
  <c r="D74" i="8" s="1"/>
  <c r="G74" i="8" l="1"/>
  <c r="E74" i="8" s="1"/>
  <c r="F74" i="8" l="1"/>
  <c r="H74" i="8" s="1"/>
  <c r="D75" i="8" s="1"/>
  <c r="G75" i="8" l="1"/>
  <c r="E75" i="8" s="1"/>
  <c r="F75" i="8" l="1"/>
  <c r="H75" i="8" s="1"/>
  <c r="D76" i="8" s="1"/>
  <c r="G76" i="8" l="1"/>
  <c r="E76" i="8" s="1"/>
  <c r="F76" i="8" l="1"/>
  <c r="H76" i="8" s="1"/>
  <c r="D77" i="8" s="1"/>
  <c r="G77" i="8" l="1"/>
  <c r="E77" i="8" s="1"/>
  <c r="F77" i="8" l="1"/>
  <c r="H77" i="8" s="1"/>
  <c r="D78" i="8" s="1"/>
  <c r="G78" i="8" l="1"/>
  <c r="E78" i="8" s="1"/>
  <c r="F78" i="8" l="1"/>
  <c r="H78" i="8" s="1"/>
  <c r="D79" i="8" s="1"/>
  <c r="G79" i="8" l="1"/>
  <c r="E79" i="8" s="1"/>
  <c r="F79" i="8" l="1"/>
  <c r="H79" i="8" s="1"/>
  <c r="D80" i="8" s="1"/>
  <c r="G80" i="8" l="1"/>
  <c r="E80" i="8" s="1"/>
  <c r="F80" i="8" l="1"/>
  <c r="H80" i="8" s="1"/>
  <c r="D81" i="8" s="1"/>
  <c r="G81" i="8" l="1"/>
  <c r="E81" i="8" s="1"/>
  <c r="F81" i="8" l="1"/>
  <c r="H81" i="8" s="1"/>
</calcChain>
</file>

<file path=xl/comments1.xml><?xml version="1.0" encoding="utf-8"?>
<comments xmlns="http://schemas.openxmlformats.org/spreadsheetml/2006/main">
  <authors>
    <author>Author</author>
    <author>Zhu, Vincent</author>
  </authors>
  <commentList>
    <comment ref="D9" authorId="0" shapeId="0">
      <text>
        <r>
          <rPr>
            <sz val="9"/>
            <color indexed="81"/>
            <rFont val="Tahoma"/>
            <family val="2"/>
          </rPr>
          <t>Assume entry age is 30 for both Grade A and B.</t>
        </r>
      </text>
    </comment>
    <comment ref="H13" authorId="1" shapeId="0">
      <text>
        <r>
          <rPr>
            <sz val="10"/>
            <color indexed="81"/>
            <rFont val="Tahoma"/>
            <family val="2"/>
          </rPr>
          <t>Assume that there are no withdrawals or deaths prior to the retirement age when determining AL at each valuation date.</t>
        </r>
      </text>
    </comment>
    <comment ref="L13" authorId="1" shapeId="0">
      <text>
        <r>
          <rPr>
            <sz val="11"/>
            <color indexed="81"/>
            <rFont val="Tahoma"/>
            <family val="2"/>
          </rPr>
          <t>k*(P+F)*S*[(1+e)/(1+i)]^(NRA-x) - SCR*(S*a</t>
        </r>
        <r>
          <rPr>
            <vertAlign val="subscript"/>
            <sz val="11"/>
            <color indexed="81"/>
            <rFont val="Tahoma"/>
            <family val="2"/>
          </rPr>
          <t>NRA-x</t>
        </r>
        <r>
          <rPr>
            <sz val="11"/>
            <color indexed="81"/>
            <rFont val="Tahoma"/>
            <family val="2"/>
          </rPr>
          <t>)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 entry age is 30 for both Grade A and B.</t>
        </r>
      </text>
    </comment>
  </commentList>
</comments>
</file>

<file path=xl/sharedStrings.xml><?xml version="1.0" encoding="utf-8"?>
<sst xmlns="http://schemas.openxmlformats.org/spreadsheetml/2006/main" count="221" uniqueCount="111">
  <si>
    <t>The scheme is a new scheme, benefits will only allow for service from the date the scheme started for all the current employees.</t>
  </si>
  <si>
    <t>New employee joining rate</t>
  </si>
  <si>
    <t>Expense</t>
  </si>
  <si>
    <t>Withdraw</t>
  </si>
  <si>
    <t>Salary increase</t>
  </si>
  <si>
    <t>Inflation</t>
  </si>
  <si>
    <t>Retire Rate post-NRA for Grade A</t>
  </si>
  <si>
    <t>Age at start of year</t>
  </si>
  <si>
    <t>Number of employees</t>
  </si>
  <si>
    <t>Average Salary $</t>
  </si>
  <si>
    <t xml:space="preserve">Grade </t>
  </si>
  <si>
    <t>B</t>
  </si>
  <si>
    <t>A</t>
  </si>
  <si>
    <t>Accrual rate</t>
  </si>
  <si>
    <t>Grade A</t>
  </si>
  <si>
    <t>Grade B</t>
  </si>
  <si>
    <t>Investment return</t>
  </si>
  <si>
    <t>a65</t>
  </si>
  <si>
    <t>Normal Retirement Age</t>
  </si>
  <si>
    <t>SCR</t>
  </si>
  <si>
    <t>Age</t>
  </si>
  <si>
    <t>Salary</t>
  </si>
  <si>
    <t>e</t>
  </si>
  <si>
    <t>i</t>
  </si>
  <si>
    <t>AL</t>
  </si>
  <si>
    <t>Accu credit</t>
  </si>
  <si>
    <t>annual income</t>
  </si>
  <si>
    <t>Each credit (as annuity)
EOY</t>
  </si>
  <si>
    <t>Annual Income</t>
  </si>
  <si>
    <t>Contribution</t>
  </si>
  <si>
    <t>&gt;50</t>
  </si>
  <si>
    <t>=&lt;50</t>
  </si>
  <si>
    <t>Group</t>
  </si>
  <si>
    <t>30A</t>
  </si>
  <si>
    <t>Number of years of past service
(P)</t>
  </si>
  <si>
    <t>Accrual rate
(k)</t>
  </si>
  <si>
    <t>Salary inlfation
(e)</t>
  </si>
  <si>
    <t>Investment return
(i)</t>
  </si>
  <si>
    <t>Current age
BOY
(X)</t>
  </si>
  <si>
    <t>Pensionable salary
BOY
(S)</t>
  </si>
  <si>
    <t>Check</t>
  </si>
  <si>
    <t>Actuarial Reserve
EOY
(AR)</t>
  </si>
  <si>
    <t>Withdraw benefit % of AR</t>
  </si>
  <si>
    <t>SCR
=k*[(1+e)/(1+i)]^(NRA-x-1)</t>
  </si>
  <si>
    <t>Grade:</t>
  </si>
  <si>
    <t>Age at start of year:</t>
  </si>
  <si>
    <t>NRA:</t>
  </si>
  <si>
    <t>Accrual rate:</t>
  </si>
  <si>
    <t>Average Salary:</t>
  </si>
  <si>
    <t>Salary increase:</t>
  </si>
  <si>
    <t>Entry Age:</t>
  </si>
  <si>
    <t>SCR
=k*(NRA-EA)*
[(1+e)/(1+i)]^(NRA-EA)</t>
  </si>
  <si>
    <t>Contribution (as lump sum)
EOY</t>
  </si>
  <si>
    <t>Inforce
BOY</t>
  </si>
  <si>
    <t>Inforce
EOY</t>
  </si>
  <si>
    <t>Retire</t>
  </si>
  <si>
    <t>to vary by age</t>
  </si>
  <si>
    <t>to justify</t>
  </si>
  <si>
    <t>Mortality after retirement</t>
  </si>
  <si>
    <t>Mortality Rate post-NRA for Grade A</t>
  </si>
  <si>
    <t>For Grade A, members who die after normal retirement age will be treated as normal retirement, receiving the normal retirement lump-sum benefit.</t>
  </si>
  <si>
    <t>white-collar</t>
  </si>
  <si>
    <t>Number of employees:</t>
  </si>
  <si>
    <t>Deaths uniform throughout the year</t>
  </si>
  <si>
    <t>Withdrawals/Retirement at end of year</t>
  </si>
  <si>
    <t>Decrement table</t>
  </si>
  <si>
    <t>Assumptions</t>
  </si>
  <si>
    <r>
      <t>a</t>
    </r>
    <r>
      <rPr>
        <b/>
        <vertAlign val="subscript"/>
        <sz val="14"/>
        <color theme="0"/>
        <rFont val="Calibri"/>
        <family val="2"/>
        <scheme val="minor"/>
      </rPr>
      <t>NRA-x</t>
    </r>
  </si>
  <si>
    <t xml:space="preserve">It would  be reasonable to place an upper limit on retirement decrements ie an age where decrement is 100%. At what age is up to the actuary, you have the scheme's own experience, local legislation, age pension thresholds etc to take into account. </t>
  </si>
  <si>
    <r>
      <t>average</t>
    </r>
    <r>
      <rPr>
        <sz val="11"/>
        <color theme="1"/>
        <rFont val="Calibri"/>
        <family val="2"/>
        <scheme val="minor"/>
      </rPr>
      <t xml:space="preserve"> entry age</t>
    </r>
  </si>
  <si>
    <t>Contribution
EOY</t>
  </si>
  <si>
    <r>
      <t>a</t>
    </r>
    <r>
      <rPr>
        <b/>
        <vertAlign val="subscript"/>
        <sz val="14"/>
        <color theme="0"/>
        <rFont val="Calibri"/>
        <family val="2"/>
        <scheme val="minor"/>
      </rPr>
      <t>NRA-EA</t>
    </r>
    <r>
      <rPr>
        <b/>
        <vertAlign val="subscript"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(Annuity Certain?)</t>
    </r>
  </si>
  <si>
    <t>Description</t>
  </si>
  <si>
    <t>Includes assumptions required</t>
  </si>
  <si>
    <t>Data</t>
  </si>
  <si>
    <t>Includes a breakdown of expenses and policy statistics from 2017 to 2019 as well as forecast policy statistics for 2020</t>
  </si>
  <si>
    <t>Solutions</t>
  </si>
  <si>
    <t>Includes calculation of 2020 recommended expenses and 2020 expenses derived from applying inflation to 2017 expenses for comparison</t>
  </si>
  <si>
    <t>Depreciation</t>
  </si>
  <si>
    <t>breakdown of the derivation of depreciation assumptions</t>
  </si>
  <si>
    <t>Macro</t>
  </si>
  <si>
    <t>PUC Projection</t>
  </si>
  <si>
    <t>EAN Projection</t>
  </si>
  <si>
    <t>Actuarial Liability
BOY
(AL)</t>
  </si>
  <si>
    <t>Withdraw benefit
EOY</t>
  </si>
  <si>
    <t>30B</t>
  </si>
  <si>
    <t>40B</t>
  </si>
  <si>
    <t>40A</t>
  </si>
  <si>
    <t>45B</t>
  </si>
  <si>
    <t>45A</t>
  </si>
  <si>
    <t>50B</t>
  </si>
  <si>
    <t>50A</t>
  </si>
  <si>
    <t>55B</t>
  </si>
  <si>
    <t>55A</t>
  </si>
  <si>
    <t>Total Contribution</t>
  </si>
  <si>
    <t>Total Salary</t>
  </si>
  <si>
    <t>Initial SCR</t>
  </si>
  <si>
    <t>Current Group</t>
  </si>
  <si>
    <t>No. of Employees</t>
  </si>
  <si>
    <t>No. of years of past service
(P)</t>
  </si>
  <si>
    <t>Salary EOY</t>
  </si>
  <si>
    <t>No. of employees:</t>
  </si>
  <si>
    <t>Data table - Summary for all the groups as of the end of year 1</t>
  </si>
  <si>
    <t>Reasonability check on contribution</t>
  </si>
  <si>
    <t>Grade</t>
  </si>
  <si>
    <t>i'=(1+i)/(1+e)-1</t>
  </si>
  <si>
    <r>
      <t>a</t>
    </r>
    <r>
      <rPr>
        <b/>
        <vertAlign val="subscript"/>
        <sz val="14"/>
        <color theme="0"/>
        <rFont val="Calibri"/>
        <family val="2"/>
        <scheme val="minor"/>
      </rPr>
      <t>NRA-EA</t>
    </r>
    <r>
      <rPr>
        <b/>
        <vertAlign val="subscript"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@ i'</t>
    </r>
  </si>
  <si>
    <r>
      <t>a</t>
    </r>
    <r>
      <rPr>
        <b/>
        <vertAlign val="subscript"/>
        <sz val="14"/>
        <color theme="0"/>
        <rFont val="Calibri"/>
        <family val="2"/>
        <scheme val="minor"/>
      </rPr>
      <t xml:space="preserve">NRA-x </t>
    </r>
    <r>
      <rPr>
        <b/>
        <sz val="11"/>
        <color theme="0"/>
        <rFont val="Calibri"/>
        <family val="2"/>
        <scheme val="minor"/>
      </rPr>
      <t>@ i'</t>
    </r>
  </si>
  <si>
    <r>
      <t>SCR = k*(NRA-EA)*[(1+e)/(1+i)]^(NRA-EA)/a</t>
    </r>
    <r>
      <rPr>
        <b/>
        <vertAlign val="subscript"/>
        <sz val="11"/>
        <color theme="0"/>
        <rFont val="Calibri"/>
        <family val="2"/>
        <scheme val="minor"/>
      </rPr>
      <t>NRA-EA</t>
    </r>
  </si>
  <si>
    <r>
      <t>Check btw EAN and PUC
SCR</t>
    </r>
    <r>
      <rPr>
        <b/>
        <vertAlign val="subscript"/>
        <sz val="11"/>
        <color theme="0"/>
        <rFont val="Calibri"/>
        <family val="2"/>
        <scheme val="minor"/>
      </rPr>
      <t>AAN</t>
    </r>
    <r>
      <rPr>
        <b/>
        <sz val="11"/>
        <color theme="0"/>
        <rFont val="Calibri"/>
        <family val="2"/>
        <scheme val="minor"/>
      </rPr>
      <t>/SCR</t>
    </r>
    <r>
      <rPr>
        <b/>
        <vertAlign val="subscript"/>
        <sz val="11"/>
        <color theme="0"/>
        <rFont val="Calibri"/>
        <family val="2"/>
        <scheme val="minor"/>
      </rPr>
      <t>PUC</t>
    </r>
  </si>
  <si>
    <r>
      <t>F/a</t>
    </r>
    <r>
      <rPr>
        <b/>
        <vertAlign val="subscript"/>
        <sz val="14"/>
        <color theme="0"/>
        <rFont val="Calibri"/>
        <family val="2"/>
        <scheme val="minor"/>
      </rPr>
      <t>F</t>
    </r>
    <r>
      <rPr>
        <b/>
        <sz val="14"/>
        <color theme="0"/>
        <rFont val="Calibri"/>
        <family val="2"/>
        <scheme val="minor"/>
      </rPr>
      <t>*v'</t>
    </r>
    <r>
      <rPr>
        <b/>
        <vertAlign val="superscript"/>
        <sz val="14"/>
        <color theme="0"/>
        <rFont val="Calibri"/>
        <family val="2"/>
        <scheme val="minor"/>
      </rPr>
      <t>x-EA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</si>
</sst>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* #,##0.0000_);_(* \(#,##0.0000\);_(* &quot;-&quot;??_);_(@_)"/>
    <numFmt numFmtId="168" formatCode="_-* #,##0.00_-;\-* #,##0.00_-;_-* &quot;-&quot;??_-;_-@_-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FFFFFF"/>
      <name val="Century Gothic"/>
      <family val="2"/>
    </font>
    <font>
      <sz val="10"/>
      <color rgb="FF000000"/>
      <name val="Century Gothic"/>
      <family val="2"/>
    </font>
    <font>
      <i/>
      <sz val="11"/>
      <color theme="1"/>
      <name val="Calibri"/>
      <family val="2"/>
      <scheme val="minor"/>
    </font>
    <font>
      <b/>
      <u val="singleAccounting"/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entury Gothic"/>
      <family val="2"/>
    </font>
    <font>
      <b/>
      <sz val="14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entury Gothic"/>
      <family val="2"/>
    </font>
    <font>
      <b/>
      <vertAlign val="subscript"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vertAlign val="subscript"/>
      <sz val="14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</font>
    <font>
      <sz val="10"/>
      <name val="Century Gothic"/>
      <family val="2"/>
    </font>
    <font>
      <b/>
      <sz val="10"/>
      <name val="Century Gothic"/>
      <family val="2"/>
    </font>
    <font>
      <b/>
      <sz val="11"/>
      <color rgb="FFFF00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b/>
      <i/>
      <sz val="1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Tahoma"/>
      <family val="2"/>
    </font>
    <font>
      <sz val="11"/>
      <color indexed="81"/>
      <name val="Tahoma"/>
      <family val="2"/>
    </font>
    <font>
      <vertAlign val="subscript"/>
      <sz val="11"/>
      <color indexed="81"/>
      <name val="Tahoma"/>
      <family val="2"/>
    </font>
    <font>
      <b/>
      <vertAlign val="superscript"/>
      <sz val="14"/>
      <color theme="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A900"/>
        <bgColor indexed="64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168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5" fillId="12" borderId="0" applyNumberFormat="0" applyBorder="0" applyAlignment="0" applyProtection="0"/>
  </cellStyleXfs>
  <cellXfs count="141">
    <xf numFmtId="0" fontId="0" fillId="0" borderId="0" xfId="0"/>
    <xf numFmtId="0" fontId="4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3" fontId="5" fillId="0" borderId="4" xfId="0" applyNumberFormat="1" applyFont="1" applyBorder="1" applyAlignment="1">
      <alignment horizontal="center" vertical="center"/>
    </xf>
    <xf numFmtId="9" fontId="0" fillId="0" borderId="0" xfId="0" applyNumberFormat="1"/>
    <xf numFmtId="9" fontId="0" fillId="3" borderId="0" xfId="0" applyNumberFormat="1" applyFill="1"/>
    <xf numFmtId="0" fontId="0" fillId="3" borderId="0" xfId="0" applyFill="1"/>
    <xf numFmtId="164" fontId="0" fillId="0" borderId="0" xfId="1" applyNumberFormat="1" applyFont="1"/>
    <xf numFmtId="10" fontId="0" fillId="0" borderId="0" xfId="3" applyNumberFormat="1" applyFont="1"/>
    <xf numFmtId="164" fontId="0" fillId="0" borderId="0" xfId="0" applyNumberFormat="1"/>
    <xf numFmtId="6" fontId="0" fillId="0" borderId="0" xfId="0" applyNumberFormat="1"/>
    <xf numFmtId="0" fontId="2" fillId="0" borderId="0" xfId="0" applyFont="1"/>
    <xf numFmtId="43" fontId="0" fillId="0" borderId="0" xfId="0" applyNumberFormat="1"/>
    <xf numFmtId="10" fontId="0" fillId="0" borderId="0" xfId="0" applyNumberFormat="1"/>
    <xf numFmtId="165" fontId="0" fillId="0" borderId="0" xfId="2" applyNumberFormat="1" applyFont="1"/>
    <xf numFmtId="164" fontId="0" fillId="4" borderId="0" xfId="0" applyNumberFormat="1" applyFill="1"/>
    <xf numFmtId="164" fontId="6" fillId="4" borderId="0" xfId="0" applyNumberFormat="1" applyFont="1" applyFill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7" fillId="4" borderId="0" xfId="0" applyNumberFormat="1" applyFont="1" applyFill="1"/>
    <xf numFmtId="43" fontId="8" fillId="0" borderId="0" xfId="0" applyNumberFormat="1" applyFont="1"/>
    <xf numFmtId="165" fontId="8" fillId="0" borderId="0" xfId="2" applyNumberFormat="1" applyFont="1"/>
    <xf numFmtId="0" fontId="8" fillId="0" borderId="0" xfId="0" applyFont="1" applyAlignment="1">
      <alignment horizontal="center" vertical="center" wrapText="1"/>
    </xf>
    <xf numFmtId="10" fontId="0" fillId="5" borderId="0" xfId="3" applyNumberFormat="1" applyFont="1" applyFill="1"/>
    <xf numFmtId="0" fontId="4" fillId="6" borderId="0" xfId="0" applyFont="1" applyFill="1" applyAlignment="1">
      <alignment horizontal="center" vertical="center" wrapText="1"/>
    </xf>
    <xf numFmtId="166" fontId="0" fillId="0" borderId="6" xfId="3" applyNumberFormat="1" applyFont="1" applyBorder="1"/>
    <xf numFmtId="166" fontId="0" fillId="0" borderId="6" xfId="0" applyNumberFormat="1" applyBorder="1"/>
    <xf numFmtId="0" fontId="0" fillId="0" borderId="5" xfId="0" applyBorder="1"/>
    <xf numFmtId="0" fontId="0" fillId="0" borderId="9" xfId="0" quotePrefix="1" applyBorder="1"/>
    <xf numFmtId="0" fontId="0" fillId="0" borderId="10" xfId="0" applyBorder="1"/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3" xfId="0" applyFont="1" applyFill="1" applyBorder="1" applyAlignment="1">
      <alignment horizontal="center" vertical="center" wrapText="1"/>
    </xf>
    <xf numFmtId="166" fontId="0" fillId="0" borderId="14" xfId="3" applyNumberFormat="1" applyFont="1" applyBorder="1"/>
    <xf numFmtId="166" fontId="0" fillId="0" borderId="14" xfId="0" applyNumberFormat="1" applyBorder="1"/>
    <xf numFmtId="166" fontId="0" fillId="0" borderId="7" xfId="3" applyNumberFormat="1" applyFont="1" applyBorder="1"/>
    <xf numFmtId="166" fontId="0" fillId="0" borderId="15" xfId="0" applyNumberFormat="1" applyBorder="1"/>
    <xf numFmtId="166" fontId="6" fillId="0" borderId="13" xfId="0" applyNumberFormat="1" applyFont="1" applyBorder="1"/>
    <xf numFmtId="9" fontId="0" fillId="0" borderId="15" xfId="0" applyNumberFormat="1" applyBorder="1"/>
    <xf numFmtId="0" fontId="11" fillId="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Font="1" applyAlignment="1">
      <alignment horizontal="center" vertical="center"/>
    </xf>
    <xf numFmtId="10" fontId="0" fillId="0" borderId="0" xfId="3" applyNumberFormat="1" applyFont="1" applyAlignment="1">
      <alignment horizontal="center" vertical="center"/>
    </xf>
    <xf numFmtId="43" fontId="0" fillId="0" borderId="0" xfId="1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6" fontId="0" fillId="0" borderId="0" xfId="3" applyNumberFormat="1" applyFont="1" applyAlignment="1">
      <alignment horizontal="center" vertical="center"/>
    </xf>
    <xf numFmtId="43" fontId="0" fillId="0" borderId="0" xfId="1" applyFont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166" fontId="0" fillId="3" borderId="0" xfId="0" applyNumberFormat="1" applyFill="1"/>
    <xf numFmtId="43" fontId="12" fillId="0" borderId="0" xfId="0" applyNumberFormat="1" applyFont="1" applyAlignment="1">
      <alignment horizontal="center" vertical="center"/>
    </xf>
    <xf numFmtId="43" fontId="12" fillId="0" borderId="0" xfId="0" applyNumberFormat="1" applyFont="1"/>
    <xf numFmtId="0" fontId="9" fillId="9" borderId="0" xfId="0" applyFont="1" applyFill="1" applyAlignment="1">
      <alignment horizontal="center" vertical="center" wrapText="1"/>
    </xf>
    <xf numFmtId="0" fontId="13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right"/>
    </xf>
    <xf numFmtId="9" fontId="6" fillId="8" borderId="0" xfId="3" applyFont="1" applyFill="1" applyAlignment="1">
      <alignment horizontal="right"/>
    </xf>
    <xf numFmtId="165" fontId="6" fillId="8" borderId="0" xfId="2" applyNumberFormat="1" applyFont="1" applyFill="1" applyAlignment="1">
      <alignment horizontal="right"/>
    </xf>
    <xf numFmtId="10" fontId="6" fillId="8" borderId="0" xfId="3" applyNumberFormat="1" applyFont="1" applyFill="1" applyAlignment="1">
      <alignment horizontal="right"/>
    </xf>
    <xf numFmtId="0" fontId="0" fillId="8" borderId="0" xfId="0" applyFill="1" applyAlignment="1">
      <alignment horizontal="center" vertical="center"/>
    </xf>
    <xf numFmtId="9" fontId="0" fillId="8" borderId="0" xfId="3" applyFont="1" applyFill="1" applyAlignment="1">
      <alignment horizontal="center" vertical="center"/>
    </xf>
    <xf numFmtId="3" fontId="0" fillId="8" borderId="0" xfId="0" applyNumberFormat="1" applyFill="1" applyAlignment="1">
      <alignment horizontal="center" vertical="center"/>
    </xf>
    <xf numFmtId="166" fontId="0" fillId="8" borderId="0" xfId="3" applyNumberFormat="1" applyFont="1" applyFill="1" applyAlignment="1">
      <alignment horizontal="center" vertical="center"/>
    </xf>
    <xf numFmtId="164" fontId="6" fillId="8" borderId="0" xfId="1" applyNumberFormat="1" applyFont="1" applyFill="1" applyAlignment="1">
      <alignment horizontal="right"/>
    </xf>
    <xf numFmtId="0" fontId="10" fillId="0" borderId="0" xfId="0" applyFont="1"/>
    <xf numFmtId="167" fontId="0" fillId="8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0" fontId="16" fillId="0" borderId="0" xfId="0" applyFont="1"/>
    <xf numFmtId="0" fontId="18" fillId="9" borderId="0" xfId="0" applyFont="1" applyFill="1" applyAlignment="1">
      <alignment horizontal="center" vertical="center" wrapText="1"/>
    </xf>
    <xf numFmtId="0" fontId="20" fillId="0" borderId="0" xfId="0" applyFont="1"/>
    <xf numFmtId="0" fontId="22" fillId="0" borderId="0" xfId="4" applyFont="1"/>
    <xf numFmtId="0" fontId="23" fillId="0" borderId="0" xfId="4" applyFont="1"/>
    <xf numFmtId="0" fontId="22" fillId="11" borderId="0" xfId="4" applyFont="1" applyFill="1"/>
    <xf numFmtId="164" fontId="12" fillId="0" borderId="0" xfId="0" applyNumberFormat="1" applyFont="1" applyAlignment="1">
      <alignment horizontal="center" vertical="center"/>
    </xf>
    <xf numFmtId="9" fontId="0" fillId="0" borderId="0" xfId="3" applyFont="1"/>
    <xf numFmtId="0" fontId="24" fillId="0" borderId="0" xfId="0" applyFont="1"/>
    <xf numFmtId="0" fontId="0" fillId="0" borderId="0" xfId="0" applyBorder="1"/>
    <xf numFmtId="0" fontId="0" fillId="0" borderId="21" xfId="0" applyBorder="1"/>
    <xf numFmtId="0" fontId="0" fillId="0" borderId="12" xfId="0" applyBorder="1"/>
    <xf numFmtId="0" fontId="0" fillId="0" borderId="4" xfId="0" applyBorder="1"/>
    <xf numFmtId="164" fontId="0" fillId="5" borderId="26" xfId="1" applyNumberFormat="1" applyFont="1" applyFill="1" applyBorder="1"/>
    <xf numFmtId="0" fontId="3" fillId="0" borderId="1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64" fontId="0" fillId="0" borderId="17" xfId="1" applyNumberFormat="1" applyFont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164" fontId="0" fillId="0" borderId="20" xfId="1" applyNumberFormat="1" applyFont="1" applyBorder="1" applyAlignment="1">
      <alignment horizontal="center" vertical="center"/>
    </xf>
    <xf numFmtId="164" fontId="0" fillId="0" borderId="6" xfId="1" applyNumberFormat="1" applyFont="1" applyBorder="1" applyAlignment="1">
      <alignment horizontal="center" vertical="center"/>
    </xf>
    <xf numFmtId="164" fontId="0" fillId="0" borderId="21" xfId="1" applyNumberFormat="1" applyFont="1" applyBorder="1" applyAlignment="1">
      <alignment horizontal="center" vertical="center"/>
    </xf>
    <xf numFmtId="0" fontId="3" fillId="0" borderId="0" xfId="0" applyFont="1"/>
    <xf numFmtId="0" fontId="13" fillId="13" borderId="16" xfId="0" applyFont="1" applyFill="1" applyBorder="1" applyAlignment="1">
      <alignment horizontal="right" vertical="center"/>
    </xf>
    <xf numFmtId="0" fontId="13" fillId="13" borderId="17" xfId="0" applyFont="1" applyFill="1" applyBorder="1" applyAlignment="1">
      <alignment horizontal="right" vertical="center"/>
    </xf>
    <xf numFmtId="0" fontId="13" fillId="13" borderId="30" xfId="0" applyFont="1" applyFill="1" applyBorder="1" applyAlignment="1">
      <alignment horizontal="right" vertical="center"/>
    </xf>
    <xf numFmtId="0" fontId="6" fillId="13" borderId="21" xfId="0" applyFont="1" applyFill="1" applyBorder="1" applyAlignment="1">
      <alignment vertical="center"/>
    </xf>
    <xf numFmtId="164" fontId="6" fillId="13" borderId="21" xfId="1" applyNumberFormat="1" applyFont="1" applyFill="1" applyBorder="1" applyAlignment="1">
      <alignment vertical="center"/>
    </xf>
    <xf numFmtId="0" fontId="6" fillId="13" borderId="19" xfId="0" applyFont="1" applyFill="1" applyBorder="1" applyAlignment="1">
      <alignment horizontal="right" vertical="center"/>
    </xf>
    <xf numFmtId="0" fontId="26" fillId="0" borderId="0" xfId="0" applyFont="1"/>
    <xf numFmtId="0" fontId="28" fillId="14" borderId="0" xfId="0" applyFont="1" applyFill="1" applyAlignment="1">
      <alignment horizontal="centerContinuous"/>
    </xf>
    <xf numFmtId="0" fontId="29" fillId="14" borderId="0" xfId="0" applyFont="1" applyFill="1" applyAlignment="1">
      <alignment horizontal="centerContinuous"/>
    </xf>
    <xf numFmtId="0" fontId="26" fillId="10" borderId="0" xfId="0" applyFont="1" applyFill="1" applyAlignment="1">
      <alignment horizontal="center" vertical="center" wrapText="1"/>
    </xf>
    <xf numFmtId="0" fontId="9" fillId="15" borderId="0" xfId="0" applyFont="1" applyFill="1" applyAlignment="1">
      <alignment horizontal="center" vertical="center" wrapText="1"/>
    </xf>
    <xf numFmtId="0" fontId="30" fillId="7" borderId="31" xfId="0" applyFont="1" applyFill="1" applyBorder="1" applyAlignment="1">
      <alignment horizontal="center" vertical="center"/>
    </xf>
    <xf numFmtId="0" fontId="30" fillId="7" borderId="3" xfId="0" applyFont="1" applyFill="1" applyBorder="1" applyAlignment="1">
      <alignment horizontal="center" vertical="center"/>
    </xf>
    <xf numFmtId="0" fontId="13" fillId="5" borderId="28" xfId="1" applyNumberFormat="1" applyFont="1" applyFill="1" applyBorder="1" applyAlignment="1">
      <alignment horizontal="right"/>
    </xf>
    <xf numFmtId="0" fontId="13" fillId="5" borderId="29" xfId="3" applyNumberFormat="1" applyFont="1" applyFill="1" applyBorder="1" applyAlignment="1">
      <alignment horizontal="right"/>
    </xf>
    <xf numFmtId="43" fontId="0" fillId="0" borderId="0" xfId="1" applyFont="1"/>
    <xf numFmtId="166" fontId="6" fillId="8" borderId="0" xfId="3" applyNumberFormat="1" applyFont="1" applyFill="1" applyAlignment="1">
      <alignment horizontal="right"/>
    </xf>
    <xf numFmtId="43" fontId="25" fillId="12" borderId="0" xfId="7" applyNumberFormat="1" applyAlignment="1">
      <alignment horizontal="center" vertical="center"/>
    </xf>
    <xf numFmtId="0" fontId="6" fillId="13" borderId="27" xfId="0" applyFont="1" applyFill="1" applyBorder="1" applyAlignment="1">
      <alignment horizontal="right" vertical="center"/>
    </xf>
    <xf numFmtId="0" fontId="6" fillId="13" borderId="0" xfId="0" applyFont="1" applyFill="1" applyBorder="1" applyAlignment="1">
      <alignment vertical="center"/>
    </xf>
    <xf numFmtId="164" fontId="6" fillId="13" borderId="0" xfId="1" applyNumberFormat="1" applyFont="1" applyFill="1" applyBorder="1" applyAlignment="1">
      <alignment vertical="center"/>
    </xf>
    <xf numFmtId="0" fontId="13" fillId="5" borderId="32" xfId="3" applyNumberFormat="1" applyFont="1" applyFill="1" applyBorder="1" applyAlignment="1">
      <alignment horizontal="right"/>
    </xf>
    <xf numFmtId="0" fontId="13" fillId="10" borderId="0" xfId="0" applyFont="1" applyFill="1" applyAlignment="1">
      <alignment horizontal="center" vertical="center" wrapText="1"/>
    </xf>
    <xf numFmtId="166" fontId="6" fillId="0" borderId="13" xfId="0" applyNumberFormat="1" applyFont="1" applyBorder="1" applyAlignment="1">
      <alignment horizontal="center" vertical="center"/>
    </xf>
    <xf numFmtId="166" fontId="6" fillId="0" borderId="15" xfId="0" applyNumberFormat="1" applyFont="1" applyBorder="1" applyAlignment="1">
      <alignment horizontal="center" vertical="center"/>
    </xf>
    <xf numFmtId="0" fontId="18" fillId="15" borderId="0" xfId="0" applyFont="1" applyFill="1" applyAlignment="1">
      <alignment horizontal="center" vertical="center" wrapText="1"/>
    </xf>
    <xf numFmtId="164" fontId="35" fillId="0" borderId="0" xfId="0" applyNumberFormat="1" applyFont="1" applyAlignment="1">
      <alignment horizontal="center" vertical="center"/>
    </xf>
    <xf numFmtId="43" fontId="35" fillId="0" borderId="0" xfId="0" applyNumberFormat="1" applyFont="1"/>
    <xf numFmtId="0" fontId="8" fillId="0" borderId="0" xfId="0" applyFont="1"/>
    <xf numFmtId="10" fontId="35" fillId="0" borderId="0" xfId="3" applyNumberFormat="1" applyFont="1"/>
    <xf numFmtId="10" fontId="35" fillId="0" borderId="0" xfId="0" applyNumberFormat="1" applyFont="1"/>
    <xf numFmtId="164" fontId="6" fillId="13" borderId="4" xfId="1" applyNumberFormat="1" applyFont="1" applyFill="1" applyBorder="1" applyAlignment="1">
      <alignment horizontal="right" vertical="center"/>
    </xf>
    <xf numFmtId="10" fontId="27" fillId="5" borderId="24" xfId="3" applyNumberFormat="1" applyFont="1" applyFill="1" applyBorder="1"/>
    <xf numFmtId="0" fontId="13" fillId="5" borderId="34" xfId="1" applyNumberFormat="1" applyFont="1" applyFill="1" applyBorder="1" applyAlignment="1">
      <alignment horizontal="right"/>
    </xf>
    <xf numFmtId="0" fontId="13" fillId="5" borderId="15" xfId="0" applyFont="1" applyFill="1" applyBorder="1" applyAlignment="1">
      <alignment horizontal="center"/>
    </xf>
    <xf numFmtId="0" fontId="13" fillId="10" borderId="22" xfId="0" applyFont="1" applyFill="1" applyBorder="1" applyAlignment="1">
      <alignment horizontal="right" vertical="center" wrapText="1"/>
    </xf>
    <xf numFmtId="0" fontId="13" fillId="10" borderId="5" xfId="0" applyFont="1" applyFill="1" applyBorder="1" applyAlignment="1">
      <alignment horizontal="right" vertical="center" wrapText="1"/>
    </xf>
    <xf numFmtId="0" fontId="13" fillId="10" borderId="10" xfId="0" applyFont="1" applyFill="1" applyBorder="1" applyAlignment="1">
      <alignment horizontal="right" vertical="center" wrapText="1"/>
    </xf>
    <xf numFmtId="0" fontId="13" fillId="10" borderId="23" xfId="0" applyFont="1" applyFill="1" applyBorder="1" applyAlignment="1">
      <alignment horizontal="right" vertical="center" wrapText="1"/>
    </xf>
    <xf numFmtId="164" fontId="6" fillId="13" borderId="12" xfId="1" applyNumberFormat="1" applyFont="1" applyFill="1" applyBorder="1" applyAlignment="1">
      <alignment horizontal="right" vertical="center"/>
    </xf>
    <xf numFmtId="10" fontId="13" fillId="5" borderId="12" xfId="3" applyNumberFormat="1" applyFont="1" applyFill="1" applyBorder="1" applyAlignment="1">
      <alignment horizontal="right"/>
    </xf>
    <xf numFmtId="10" fontId="13" fillId="5" borderId="33" xfId="3" applyNumberFormat="1" applyFont="1" applyFill="1" applyBorder="1" applyAlignment="1">
      <alignment horizontal="right"/>
    </xf>
    <xf numFmtId="10" fontId="13" fillId="5" borderId="4" xfId="3" applyNumberFormat="1" applyFont="1" applyFill="1" applyBorder="1" applyAlignment="1">
      <alignment horizontal="right"/>
    </xf>
    <xf numFmtId="10" fontId="36" fillId="5" borderId="30" xfId="3" applyNumberFormat="1" applyFont="1" applyFill="1" applyBorder="1" applyAlignment="1">
      <alignment horizontal="right"/>
    </xf>
    <xf numFmtId="10" fontId="36" fillId="5" borderId="12" xfId="3" applyNumberFormat="1" applyFont="1" applyFill="1" applyBorder="1" applyAlignment="1">
      <alignment horizontal="right"/>
    </xf>
  </cellXfs>
  <cellStyles count="8">
    <cellStyle name="Comma" xfId="1" builtinId="3"/>
    <cellStyle name="Comma 2" xfId="5"/>
    <cellStyle name="Currency" xfId="2" builtinId="4"/>
    <cellStyle name="Neutral" xfId="7" builtinId="28"/>
    <cellStyle name="Normal" xfId="0" builtinId="0"/>
    <cellStyle name="Normal 2" xfId="4"/>
    <cellStyle name="Percent" xfId="3" builtinId="5"/>
    <cellStyle name="Percent 2" xfId="6"/>
  </cellStyles>
  <dxfs count="1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'Figure 9.1'!$J$2:$J$38</c:f>
              <c:numCache>
                <c:formatCode>_(* #,##0_);_(* \(#,##0\);_(* "-"??_);_(@_)</c:formatCode>
                <c:ptCount val="37"/>
                <c:pt idx="0">
                  <c:v>10799.669890023582</c:v>
                </c:pt>
                <c:pt idx="1">
                  <c:v>22787.303467949761</c:v>
                </c:pt>
                <c:pt idx="2">
                  <c:v>36067.65753171176</c:v>
                </c:pt>
                <c:pt idx="3">
                  <c:v>50754.1610141645</c:v>
                </c:pt>
                <c:pt idx="4">
                  <c:v>66969.617501610934</c:v>
                </c:pt>
                <c:pt idx="5">
                  <c:v>84846.964216242486</c:v>
                </c:pt>
                <c:pt idx="6">
                  <c:v>104530.09198747967</c:v>
                </c:pt>
                <c:pt idx="7">
                  <c:v>126174.73109943392</c:v>
                </c:pt>
                <c:pt idx="8">
                  <c:v>149949.40829293319</c:v>
                </c:pt>
                <c:pt idx="9">
                  <c:v>176036.48062307877</c:v>
                </c:pt>
                <c:pt idx="10">
                  <c:v>204633.25232963727</c:v>
                </c:pt>
                <c:pt idx="11">
                  <c:v>235953.18137042187</c:v>
                </c:pt>
                <c:pt idx="12">
                  <c:v>270227.18280010164</c:v>
                </c:pt>
                <c:pt idx="13">
                  <c:v>307705.0367517572</c:v>
                </c:pt>
                <c:pt idx="14">
                  <c:v>348656.90939937456</c:v>
                </c:pt>
                <c:pt idx="15">
                  <c:v>393374.99595002568</c:v>
                </c:pt>
                <c:pt idx="16">
                  <c:v>442175.29543868982</c:v>
                </c:pt>
                <c:pt idx="17">
                  <c:v>495399.52788082708</c:v>
                </c:pt>
                <c:pt idx="18">
                  <c:v>553417.20518254652</c:v>
                </c:pt>
                <c:pt idx="19">
                  <c:v>616627.8681205411</c:v>
                </c:pt>
                <c:pt idx="20">
                  <c:v>685463.50268927705</c:v>
                </c:pt>
                <c:pt idx="21">
                  <c:v>760391.15017708461</c:v>
                </c:pt>
                <c:pt idx="22">
                  <c:v>841915.72648209671</c:v>
                </c:pt>
                <c:pt idx="23">
                  <c:v>930583.06742023514</c:v>
                </c:pt>
                <c:pt idx="24">
                  <c:v>1026983.218118012</c:v>
                </c:pt>
                <c:pt idx="25">
                  <c:v>1131753.9860307353</c:v>
                </c:pt>
                <c:pt idx="26">
                  <c:v>1245584.7786903752</c:v>
                </c:pt>
                <c:pt idx="27">
                  <c:v>1369220.7489761016</c:v>
                </c:pt>
                <c:pt idx="28">
                  <c:v>1503467.2725244013</c:v>
                </c:pt>
                <c:pt idx="29">
                  <c:v>1649194.7838654709</c:v>
                </c:pt>
                <c:pt idx="30">
                  <c:v>1807344.0000000002</c:v>
                </c:pt>
                <c:pt idx="31">
                  <c:v>150612.00000000003</c:v>
                </c:pt>
                <c:pt idx="32">
                  <c:v>150612.00000000003</c:v>
                </c:pt>
                <c:pt idx="33">
                  <c:v>150612.00000000003</c:v>
                </c:pt>
                <c:pt idx="34">
                  <c:v>150612.00000000003</c:v>
                </c:pt>
                <c:pt idx="35">
                  <c:v>150612.00000000003</c:v>
                </c:pt>
                <c:pt idx="36">
                  <c:v>150612.00000000003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7900472"/>
        <c:axId val="127900856"/>
      </c:barChart>
      <c:catAx>
        <c:axId val="127900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00856"/>
        <c:crosses val="autoZero"/>
        <c:auto val="1"/>
        <c:lblAlgn val="ctr"/>
        <c:lblOffset val="100"/>
        <c:noMultiLvlLbl val="0"/>
      </c:catAx>
      <c:valAx>
        <c:axId val="127900856"/>
        <c:scaling>
          <c:orientation val="minMax"/>
          <c:max val="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00472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924756</xdr:colOff>
      <xdr:row>12</xdr:row>
      <xdr:rowOff>173690</xdr:rowOff>
    </xdr:from>
    <xdr:to>
      <xdr:col>27</xdr:col>
      <xdr:colOff>673267</xdr:colOff>
      <xdr:row>31</xdr:row>
      <xdr:rowOff>190499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67315" y="2560543"/>
          <a:ext cx="9049393" cy="4106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156882</xdr:colOff>
      <xdr:row>32</xdr:row>
      <xdr:rowOff>78441</xdr:rowOff>
    </xdr:from>
    <xdr:to>
      <xdr:col>8</xdr:col>
      <xdr:colOff>795616</xdr:colOff>
      <xdr:row>47</xdr:row>
      <xdr:rowOff>155761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9:B15"/>
  <sheetViews>
    <sheetView showGridLines="0" workbookViewId="0"/>
  </sheetViews>
  <sheetFormatPr defaultRowHeight="15" x14ac:dyDescent="0.25"/>
  <sheetData>
    <row r="9" spans="1:2" x14ac:dyDescent="0.25">
      <c r="A9" s="75" t="s">
        <v>72</v>
      </c>
      <c r="B9" s="74"/>
    </row>
    <row r="10" spans="1:2" x14ac:dyDescent="0.25">
      <c r="A10" s="76" t="s">
        <v>66</v>
      </c>
      <c r="B10" s="74" t="s">
        <v>73</v>
      </c>
    </row>
    <row r="11" spans="1:2" x14ac:dyDescent="0.25">
      <c r="A11" s="76" t="s">
        <v>74</v>
      </c>
      <c r="B11" s="74" t="s">
        <v>75</v>
      </c>
    </row>
    <row r="12" spans="1:2" x14ac:dyDescent="0.25">
      <c r="A12" s="76" t="s">
        <v>76</v>
      </c>
      <c r="B12" s="74" t="s">
        <v>77</v>
      </c>
    </row>
    <row r="13" spans="1:2" x14ac:dyDescent="0.25">
      <c r="A13" s="76" t="s">
        <v>78</v>
      </c>
      <c r="B13" s="74" t="s">
        <v>79</v>
      </c>
    </row>
    <row r="15" spans="1:2" x14ac:dyDescent="0.25">
      <c r="A15" s="75" t="s"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59999389629810485"/>
  </sheetPr>
  <dimension ref="A1:G27"/>
  <sheetViews>
    <sheetView workbookViewId="0"/>
  </sheetViews>
  <sheetFormatPr defaultRowHeight="15" x14ac:dyDescent="0.25"/>
  <cols>
    <col min="1" max="1" width="30.85546875" bestFit="1" customWidth="1"/>
  </cols>
  <sheetData>
    <row r="1" spans="1:3" x14ac:dyDescent="0.25">
      <c r="A1" s="71" t="s">
        <v>66</v>
      </c>
    </row>
    <row r="2" spans="1:3" x14ac:dyDescent="0.25">
      <c r="A2">
        <v>1</v>
      </c>
      <c r="B2" t="s">
        <v>0</v>
      </c>
    </row>
    <row r="4" spans="1:3" x14ac:dyDescent="0.25">
      <c r="A4">
        <v>2</v>
      </c>
      <c r="B4" t="s">
        <v>60</v>
      </c>
    </row>
    <row r="6" spans="1:3" x14ac:dyDescent="0.25">
      <c r="A6" t="s">
        <v>13</v>
      </c>
      <c r="B6" t="s">
        <v>14</v>
      </c>
      <c r="C6" s="9">
        <v>0.1</v>
      </c>
    </row>
    <row r="7" spans="1:3" x14ac:dyDescent="0.25">
      <c r="B7" t="s">
        <v>15</v>
      </c>
      <c r="C7" s="9">
        <v>0.05</v>
      </c>
    </row>
    <row r="9" spans="1:3" x14ac:dyDescent="0.25">
      <c r="A9" t="s">
        <v>18</v>
      </c>
      <c r="B9" t="s">
        <v>14</v>
      </c>
      <c r="C9" s="10">
        <v>50</v>
      </c>
    </row>
    <row r="10" spans="1:3" x14ac:dyDescent="0.25">
      <c r="B10" t="s">
        <v>15</v>
      </c>
      <c r="C10" s="10">
        <v>60</v>
      </c>
    </row>
    <row r="13" spans="1:3" x14ac:dyDescent="0.25">
      <c r="A13" t="s">
        <v>1</v>
      </c>
    </row>
    <row r="15" spans="1:3" x14ac:dyDescent="0.25">
      <c r="A15" t="s">
        <v>2</v>
      </c>
    </row>
    <row r="17" spans="1:7" x14ac:dyDescent="0.25">
      <c r="A17" t="s">
        <v>3</v>
      </c>
      <c r="B17" s="9">
        <v>0.05</v>
      </c>
      <c r="C17" s="15" t="s">
        <v>57</v>
      </c>
    </row>
    <row r="18" spans="1:7" x14ac:dyDescent="0.25">
      <c r="A18" t="s">
        <v>42</v>
      </c>
      <c r="B18" s="54">
        <v>0.75</v>
      </c>
    </row>
    <row r="19" spans="1:7" x14ac:dyDescent="0.25">
      <c r="A19" t="s">
        <v>4</v>
      </c>
      <c r="B19" t="s">
        <v>14</v>
      </c>
      <c r="C19" s="54">
        <f>'opening demographics'!F12</f>
        <v>3.6484317092170926E-2</v>
      </c>
      <c r="D19" s="15" t="s">
        <v>57</v>
      </c>
    </row>
    <row r="20" spans="1:7" x14ac:dyDescent="0.25">
      <c r="B20" t="s">
        <v>15</v>
      </c>
      <c r="C20" s="54">
        <f>'opening demographics'!G12</f>
        <v>1.501035790919647E-2</v>
      </c>
      <c r="D20" s="15" t="s">
        <v>57</v>
      </c>
    </row>
    <row r="21" spans="1:7" x14ac:dyDescent="0.25">
      <c r="A21" t="s">
        <v>5</v>
      </c>
    </row>
    <row r="23" spans="1:7" x14ac:dyDescent="0.25">
      <c r="A23" t="s">
        <v>16</v>
      </c>
      <c r="B23" s="9">
        <v>0.04</v>
      </c>
      <c r="C23" s="15" t="s">
        <v>57</v>
      </c>
    </row>
    <row r="25" spans="1:7" x14ac:dyDescent="0.25">
      <c r="A25" t="s">
        <v>6</v>
      </c>
      <c r="B25" s="9">
        <v>0.1</v>
      </c>
      <c r="C25" s="15" t="s">
        <v>56</v>
      </c>
      <c r="E25" s="15" t="s">
        <v>61</v>
      </c>
      <c r="G25" t="s">
        <v>68</v>
      </c>
    </row>
    <row r="26" spans="1:7" x14ac:dyDescent="0.25">
      <c r="C26" s="15"/>
    </row>
    <row r="27" spans="1:7" x14ac:dyDescent="0.25">
      <c r="A27" t="s">
        <v>59</v>
      </c>
      <c r="B27" s="9">
        <v>0.1</v>
      </c>
      <c r="C27" s="15" t="s">
        <v>56</v>
      </c>
      <c r="E27" s="15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 tint="-0.249977111117893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A1:H81"/>
  <sheetViews>
    <sheetView zoomScale="85" zoomScaleNormal="85" workbookViewId="0">
      <selection activeCell="C3" sqref="C3"/>
    </sheetView>
  </sheetViews>
  <sheetFormatPr defaultRowHeight="15" x14ac:dyDescent="0.25"/>
  <cols>
    <col min="1" max="1" width="2.85546875" customWidth="1"/>
    <col min="2" max="2" width="14.85546875" customWidth="1"/>
    <col min="3" max="3" width="17.85546875" bestFit="1" customWidth="1"/>
    <col min="4" max="4" width="11.140625" customWidth="1"/>
    <col min="5" max="5" width="17.85546875" bestFit="1" customWidth="1"/>
    <col min="6" max="7" width="17.85546875" customWidth="1"/>
    <col min="8" max="8" width="17.42578125" bestFit="1" customWidth="1"/>
  </cols>
  <sheetData>
    <row r="1" spans="1:8" ht="16.5" thickBot="1" x14ac:dyDescent="0.3">
      <c r="A1" s="102" t="s">
        <v>65</v>
      </c>
    </row>
    <row r="2" spans="1:8" ht="15.75" x14ac:dyDescent="0.25">
      <c r="B2" s="107" t="s">
        <v>32</v>
      </c>
      <c r="C2" s="58" t="s">
        <v>44</v>
      </c>
      <c r="D2" s="59" t="str">
        <f>RIGHT($B$3,1)</f>
        <v>A</v>
      </c>
      <c r="F2" s="68" t="s">
        <v>63</v>
      </c>
    </row>
    <row r="3" spans="1:8" ht="16.5" thickBot="1" x14ac:dyDescent="0.3">
      <c r="B3" s="108" t="s">
        <v>89</v>
      </c>
      <c r="C3" s="58" t="s">
        <v>101</v>
      </c>
      <c r="D3" s="59">
        <f>VLOOKUP($B$3,'opening demographics'!$A$1:$E$11,3,FALSE)</f>
        <v>30</v>
      </c>
      <c r="F3" s="68" t="s">
        <v>64</v>
      </c>
    </row>
    <row r="4" spans="1:8" x14ac:dyDescent="0.25">
      <c r="C4" s="58" t="s">
        <v>45</v>
      </c>
      <c r="D4" s="59">
        <f>VALUE(LEFT($B$3,2))</f>
        <v>45</v>
      </c>
    </row>
    <row r="5" spans="1:8" x14ac:dyDescent="0.25">
      <c r="C5" s="58" t="s">
        <v>46</v>
      </c>
      <c r="D5" s="59">
        <f ca="1">INDIRECT("NRA_"&amp;$D$2)</f>
        <v>50</v>
      </c>
    </row>
    <row r="6" spans="1:8" x14ac:dyDescent="0.25">
      <c r="C6" s="58" t="s">
        <v>47</v>
      </c>
      <c r="D6" s="60">
        <f ca="1">INDIRECT("accrual_rate_"&amp;$D$2)</f>
        <v>0.1</v>
      </c>
    </row>
    <row r="7" spans="1:8" x14ac:dyDescent="0.25">
      <c r="C7" s="58" t="s">
        <v>48</v>
      </c>
      <c r="D7" s="61">
        <f>VLOOKUP($B$3,'opening demographics'!$A$1:$E$11,4,FALSE)</f>
        <v>175000</v>
      </c>
    </row>
    <row r="8" spans="1:8" x14ac:dyDescent="0.25">
      <c r="C8" s="58" t="s">
        <v>49</v>
      </c>
      <c r="D8" s="62">
        <f ca="1">INDIRECT("e_"&amp;$D$2)</f>
        <v>3.6484317092170926E-2</v>
      </c>
    </row>
    <row r="10" spans="1:8" ht="51.75" customHeight="1" x14ac:dyDescent="0.25">
      <c r="B10" s="57" t="s">
        <v>34</v>
      </c>
      <c r="C10" s="57" t="s">
        <v>38</v>
      </c>
      <c r="D10" s="57" t="s">
        <v>53</v>
      </c>
      <c r="E10" s="57" t="s">
        <v>3</v>
      </c>
      <c r="F10" s="57" t="s">
        <v>55</v>
      </c>
      <c r="G10" s="57" t="s">
        <v>58</v>
      </c>
      <c r="H10" s="57" t="s">
        <v>54</v>
      </c>
    </row>
    <row r="11" spans="1:8" x14ac:dyDescent="0.25">
      <c r="B11" s="46">
        <v>1</v>
      </c>
      <c r="C11" s="63">
        <f>D4</f>
        <v>45</v>
      </c>
      <c r="D11" s="69">
        <v>1</v>
      </c>
      <c r="E11" s="70">
        <f t="shared" ref="E11:E42" ca="1" si="0">IF($D$2="A",(D11-G11)*withdraw_rate*(C11&lt;$D$5),(D11-G11)*withdraw_rate*(C11&lt;&gt;$D$5))</f>
        <v>0.05</v>
      </c>
      <c r="F11" s="70">
        <f t="shared" ref="F11:F42" ca="1" si="1">IF($D$2="A",(D11-G11)*retire_rate_A*(C11&gt;=$D$5),(D11-G11)*100%*(C11=$D$5))</f>
        <v>0</v>
      </c>
      <c r="G11" s="70">
        <f t="shared" ref="G11:G42" ca="1" si="2">IF($D$2="A",D11*mort_rate_A*(C11&gt;=$D$5),0)</f>
        <v>0</v>
      </c>
      <c r="H11" s="70">
        <f ca="1">D11-E11-F11-G11</f>
        <v>0.95</v>
      </c>
    </row>
    <row r="12" spans="1:8" x14ac:dyDescent="0.25">
      <c r="B12" s="46">
        <f>IF($C12="","",B11+1)</f>
        <v>2</v>
      </c>
      <c r="C12" s="22">
        <f t="shared" ref="C12:C43" si="3">IF(C11="","",IF($D$2="A",C11+1,IF(C11+1&gt;$D$5,"",C11+1)))</f>
        <v>46</v>
      </c>
      <c r="D12" s="70">
        <f ca="1">H11</f>
        <v>0.95</v>
      </c>
      <c r="E12" s="70">
        <f t="shared" ca="1" si="0"/>
        <v>4.7500000000000001E-2</v>
      </c>
      <c r="F12" s="70">
        <f t="shared" ca="1" si="1"/>
        <v>0</v>
      </c>
      <c r="G12" s="70">
        <f t="shared" ca="1" si="2"/>
        <v>0</v>
      </c>
      <c r="H12" s="70">
        <f t="shared" ref="H12:H75" ca="1" si="4">D12-E12-F12-G12</f>
        <v>0.90249999999999997</v>
      </c>
    </row>
    <row r="13" spans="1:8" x14ac:dyDescent="0.25">
      <c r="B13" s="46">
        <f t="shared" ref="B13:B76" si="5">IF($C13="","",B12+1)</f>
        <v>3</v>
      </c>
      <c r="C13" s="22">
        <f t="shared" si="3"/>
        <v>47</v>
      </c>
      <c r="D13" s="70">
        <f t="shared" ref="D13:D76" ca="1" si="6">H12</f>
        <v>0.90249999999999997</v>
      </c>
      <c r="E13" s="70">
        <f t="shared" ca="1" si="0"/>
        <v>4.5124999999999998E-2</v>
      </c>
      <c r="F13" s="70">
        <f t="shared" ca="1" si="1"/>
        <v>0</v>
      </c>
      <c r="G13" s="70">
        <f t="shared" ca="1" si="2"/>
        <v>0</v>
      </c>
      <c r="H13" s="70">
        <f t="shared" ca="1" si="4"/>
        <v>0.857375</v>
      </c>
    </row>
    <row r="14" spans="1:8" x14ac:dyDescent="0.25">
      <c r="B14" s="46">
        <f t="shared" si="5"/>
        <v>4</v>
      </c>
      <c r="C14" s="22">
        <f t="shared" si="3"/>
        <v>48</v>
      </c>
      <c r="D14" s="70">
        <f t="shared" ca="1" si="6"/>
        <v>0.857375</v>
      </c>
      <c r="E14" s="70">
        <f t="shared" ca="1" si="0"/>
        <v>4.2868750000000004E-2</v>
      </c>
      <c r="F14" s="70">
        <f t="shared" ca="1" si="1"/>
        <v>0</v>
      </c>
      <c r="G14" s="70">
        <f t="shared" ca="1" si="2"/>
        <v>0</v>
      </c>
      <c r="H14" s="70">
        <f t="shared" ca="1" si="4"/>
        <v>0.81450624999999999</v>
      </c>
    </row>
    <row r="15" spans="1:8" x14ac:dyDescent="0.25">
      <c r="B15" s="46">
        <f t="shared" si="5"/>
        <v>5</v>
      </c>
      <c r="C15" s="22">
        <f t="shared" si="3"/>
        <v>49</v>
      </c>
      <c r="D15" s="70">
        <f t="shared" ca="1" si="6"/>
        <v>0.81450624999999999</v>
      </c>
      <c r="E15" s="70">
        <f t="shared" ca="1" si="0"/>
        <v>4.0725312499999999E-2</v>
      </c>
      <c r="F15" s="70">
        <f t="shared" ca="1" si="1"/>
        <v>0</v>
      </c>
      <c r="G15" s="70">
        <f t="shared" ca="1" si="2"/>
        <v>0</v>
      </c>
      <c r="H15" s="70">
        <f t="shared" ca="1" si="4"/>
        <v>0.77378093749999999</v>
      </c>
    </row>
    <row r="16" spans="1:8" x14ac:dyDescent="0.25">
      <c r="B16" s="46">
        <f t="shared" si="5"/>
        <v>6</v>
      </c>
      <c r="C16" s="22">
        <f t="shared" si="3"/>
        <v>50</v>
      </c>
      <c r="D16" s="70">
        <f t="shared" ca="1" si="6"/>
        <v>0.77378093749999999</v>
      </c>
      <c r="E16" s="70">
        <f t="shared" ca="1" si="0"/>
        <v>0</v>
      </c>
      <c r="F16" s="70">
        <f t="shared" ca="1" si="1"/>
        <v>6.9640284375E-2</v>
      </c>
      <c r="G16" s="70">
        <f t="shared" ca="1" si="2"/>
        <v>7.7378093750000002E-2</v>
      </c>
      <c r="H16" s="70">
        <f t="shared" ca="1" si="4"/>
        <v>0.62676255937499992</v>
      </c>
    </row>
    <row r="17" spans="2:8" x14ac:dyDescent="0.25">
      <c r="B17" s="46">
        <f t="shared" si="5"/>
        <v>7</v>
      </c>
      <c r="C17" s="22">
        <f t="shared" si="3"/>
        <v>51</v>
      </c>
      <c r="D17" s="70">
        <f t="shared" ca="1" si="6"/>
        <v>0.62676255937499992</v>
      </c>
      <c r="E17" s="70">
        <f t="shared" ca="1" si="0"/>
        <v>0</v>
      </c>
      <c r="F17" s="70">
        <f t="shared" ca="1" si="1"/>
        <v>5.6408630343749988E-2</v>
      </c>
      <c r="G17" s="70">
        <f t="shared" ca="1" si="2"/>
        <v>6.2676255937499994E-2</v>
      </c>
      <c r="H17" s="70">
        <f t="shared" ca="1" si="4"/>
        <v>0.50767767309374989</v>
      </c>
    </row>
    <row r="18" spans="2:8" x14ac:dyDescent="0.25">
      <c r="B18" s="46">
        <f t="shared" si="5"/>
        <v>8</v>
      </c>
      <c r="C18" s="22">
        <f t="shared" si="3"/>
        <v>52</v>
      </c>
      <c r="D18" s="70">
        <f t="shared" ca="1" si="6"/>
        <v>0.50767767309374989</v>
      </c>
      <c r="E18" s="70">
        <f t="shared" ca="1" si="0"/>
        <v>0</v>
      </c>
      <c r="F18" s="70">
        <f t="shared" ca="1" si="1"/>
        <v>4.5690990578437493E-2</v>
      </c>
      <c r="G18" s="70">
        <f t="shared" ca="1" si="2"/>
        <v>5.0767767309374989E-2</v>
      </c>
      <c r="H18" s="70">
        <f t="shared" ca="1" si="4"/>
        <v>0.4112189152059374</v>
      </c>
    </row>
    <row r="19" spans="2:8" x14ac:dyDescent="0.25">
      <c r="B19" s="46">
        <f t="shared" si="5"/>
        <v>9</v>
      </c>
      <c r="C19" s="22">
        <f t="shared" si="3"/>
        <v>53</v>
      </c>
      <c r="D19" s="70">
        <f t="shared" ca="1" si="6"/>
        <v>0.4112189152059374</v>
      </c>
      <c r="E19" s="70">
        <f t="shared" ca="1" si="0"/>
        <v>0</v>
      </c>
      <c r="F19" s="70">
        <f t="shared" ca="1" si="1"/>
        <v>3.7009702368534368E-2</v>
      </c>
      <c r="G19" s="70">
        <f t="shared" ca="1" si="2"/>
        <v>4.1121891520593742E-2</v>
      </c>
      <c r="H19" s="70">
        <f t="shared" ca="1" si="4"/>
        <v>0.33308732131680929</v>
      </c>
    </row>
    <row r="20" spans="2:8" x14ac:dyDescent="0.25">
      <c r="B20" s="46">
        <f t="shared" si="5"/>
        <v>10</v>
      </c>
      <c r="C20" s="22">
        <f t="shared" si="3"/>
        <v>54</v>
      </c>
      <c r="D20" s="70">
        <f t="shared" ca="1" si="6"/>
        <v>0.33308732131680929</v>
      </c>
      <c r="E20" s="70">
        <f t="shared" ca="1" si="0"/>
        <v>0</v>
      </c>
      <c r="F20" s="70">
        <f t="shared" ca="1" si="1"/>
        <v>2.9977858918512835E-2</v>
      </c>
      <c r="G20" s="70">
        <f t="shared" ca="1" si="2"/>
        <v>3.3308732131680931E-2</v>
      </c>
      <c r="H20" s="70">
        <f t="shared" ca="1" si="4"/>
        <v>0.2698007302666155</v>
      </c>
    </row>
    <row r="21" spans="2:8" x14ac:dyDescent="0.25">
      <c r="B21" s="46">
        <f t="shared" si="5"/>
        <v>11</v>
      </c>
      <c r="C21" s="22">
        <f t="shared" si="3"/>
        <v>55</v>
      </c>
      <c r="D21" s="70">
        <f t="shared" ca="1" si="6"/>
        <v>0.2698007302666155</v>
      </c>
      <c r="E21" s="70">
        <f t="shared" ca="1" si="0"/>
        <v>0</v>
      </c>
      <c r="F21" s="70">
        <f t="shared" ca="1" si="1"/>
        <v>2.4282065723995397E-2</v>
      </c>
      <c r="G21" s="70">
        <f t="shared" ca="1" si="2"/>
        <v>2.6980073026661552E-2</v>
      </c>
      <c r="H21" s="70">
        <f t="shared" ca="1" si="4"/>
        <v>0.21853859151595856</v>
      </c>
    </row>
    <row r="22" spans="2:8" x14ac:dyDescent="0.25">
      <c r="B22" s="46">
        <f t="shared" si="5"/>
        <v>12</v>
      </c>
      <c r="C22" s="22">
        <f t="shared" si="3"/>
        <v>56</v>
      </c>
      <c r="D22" s="70">
        <f t="shared" ca="1" si="6"/>
        <v>0.21853859151595856</v>
      </c>
      <c r="E22" s="70">
        <f t="shared" ca="1" si="0"/>
        <v>0</v>
      </c>
      <c r="F22" s="70">
        <f t="shared" ca="1" si="1"/>
        <v>1.9668473236436272E-2</v>
      </c>
      <c r="G22" s="70">
        <f t="shared" ca="1" si="2"/>
        <v>2.1853859151595857E-2</v>
      </c>
      <c r="H22" s="70">
        <f t="shared" ca="1" si="4"/>
        <v>0.17701625912792643</v>
      </c>
    </row>
    <row r="23" spans="2:8" x14ac:dyDescent="0.25">
      <c r="B23" s="46">
        <f t="shared" si="5"/>
        <v>13</v>
      </c>
      <c r="C23" s="22">
        <f t="shared" si="3"/>
        <v>57</v>
      </c>
      <c r="D23" s="70">
        <f t="shared" ca="1" si="6"/>
        <v>0.17701625912792643</v>
      </c>
      <c r="E23" s="70">
        <f t="shared" ca="1" si="0"/>
        <v>0</v>
      </c>
      <c r="F23" s="70">
        <f t="shared" ca="1" si="1"/>
        <v>1.5931463321513378E-2</v>
      </c>
      <c r="G23" s="70">
        <f t="shared" ca="1" si="2"/>
        <v>1.7701625912792642E-2</v>
      </c>
      <c r="H23" s="70">
        <f t="shared" ca="1" si="4"/>
        <v>0.1433831698936204</v>
      </c>
    </row>
    <row r="24" spans="2:8" x14ac:dyDescent="0.25">
      <c r="B24" s="46">
        <f t="shared" si="5"/>
        <v>14</v>
      </c>
      <c r="C24" s="22">
        <f t="shared" si="3"/>
        <v>58</v>
      </c>
      <c r="D24" s="70">
        <f t="shared" ca="1" si="6"/>
        <v>0.1433831698936204</v>
      </c>
      <c r="E24" s="70">
        <f t="shared" ca="1" si="0"/>
        <v>0</v>
      </c>
      <c r="F24" s="70">
        <f t="shared" ca="1" si="1"/>
        <v>1.2904485290425838E-2</v>
      </c>
      <c r="G24" s="70">
        <f t="shared" ca="1" si="2"/>
        <v>1.433831698936204E-2</v>
      </c>
      <c r="H24" s="70">
        <f t="shared" ca="1" si="4"/>
        <v>0.11614036761383252</v>
      </c>
    </row>
    <row r="25" spans="2:8" x14ac:dyDescent="0.25">
      <c r="B25" s="46">
        <f t="shared" si="5"/>
        <v>15</v>
      </c>
      <c r="C25" s="22">
        <f t="shared" si="3"/>
        <v>59</v>
      </c>
      <c r="D25" s="70">
        <f t="shared" ca="1" si="6"/>
        <v>0.11614036761383252</v>
      </c>
      <c r="E25" s="70">
        <f t="shared" ca="1" si="0"/>
        <v>0</v>
      </c>
      <c r="F25" s="70">
        <f t="shared" ca="1" si="1"/>
        <v>1.0452633085244927E-2</v>
      </c>
      <c r="G25" s="70">
        <f t="shared" ca="1" si="2"/>
        <v>1.1614036761383253E-2</v>
      </c>
      <c r="H25" s="70">
        <f t="shared" ca="1" si="4"/>
        <v>9.407369776720434E-2</v>
      </c>
    </row>
    <row r="26" spans="2:8" x14ac:dyDescent="0.25">
      <c r="B26" s="46">
        <f t="shared" si="5"/>
        <v>16</v>
      </c>
      <c r="C26" s="22">
        <f t="shared" si="3"/>
        <v>60</v>
      </c>
      <c r="D26" s="70">
        <f t="shared" ca="1" si="6"/>
        <v>9.407369776720434E-2</v>
      </c>
      <c r="E26" s="70">
        <f t="shared" ca="1" si="0"/>
        <v>0</v>
      </c>
      <c r="F26" s="70">
        <f t="shared" ca="1" si="1"/>
        <v>8.4666327990483899E-3</v>
      </c>
      <c r="G26" s="70">
        <f t="shared" ca="1" si="2"/>
        <v>9.407369776720435E-3</v>
      </c>
      <c r="H26" s="70">
        <f t="shared" ca="1" si="4"/>
        <v>7.6199695191435518E-2</v>
      </c>
    </row>
    <row r="27" spans="2:8" x14ac:dyDescent="0.25">
      <c r="B27" s="46">
        <f t="shared" si="5"/>
        <v>17</v>
      </c>
      <c r="C27" s="22">
        <f t="shared" si="3"/>
        <v>61</v>
      </c>
      <c r="D27" s="70">
        <f t="shared" ca="1" si="6"/>
        <v>7.6199695191435518E-2</v>
      </c>
      <c r="E27" s="70">
        <f t="shared" ca="1" si="0"/>
        <v>0</v>
      </c>
      <c r="F27" s="70">
        <f t="shared" ca="1" si="1"/>
        <v>6.8579725672291971E-3</v>
      </c>
      <c r="G27" s="70">
        <f t="shared" ca="1" si="2"/>
        <v>7.6199695191435518E-3</v>
      </c>
      <c r="H27" s="70">
        <f t="shared" ca="1" si="4"/>
        <v>6.1721753105062768E-2</v>
      </c>
    </row>
    <row r="28" spans="2:8" x14ac:dyDescent="0.25">
      <c r="B28" s="46">
        <f t="shared" si="5"/>
        <v>18</v>
      </c>
      <c r="C28" s="22">
        <f t="shared" si="3"/>
        <v>62</v>
      </c>
      <c r="D28" s="70">
        <f t="shared" ca="1" si="6"/>
        <v>6.1721753105062768E-2</v>
      </c>
      <c r="E28" s="70">
        <f t="shared" ca="1" si="0"/>
        <v>0</v>
      </c>
      <c r="F28" s="70">
        <f t="shared" ca="1" si="1"/>
        <v>5.5549577794556495E-3</v>
      </c>
      <c r="G28" s="70">
        <f t="shared" ca="1" si="2"/>
        <v>6.1721753105062772E-3</v>
      </c>
      <c r="H28" s="70">
        <f t="shared" ca="1" si="4"/>
        <v>4.9994620015100841E-2</v>
      </c>
    </row>
    <row r="29" spans="2:8" x14ac:dyDescent="0.25">
      <c r="B29" s="46">
        <f t="shared" si="5"/>
        <v>19</v>
      </c>
      <c r="C29" s="22">
        <f t="shared" si="3"/>
        <v>63</v>
      </c>
      <c r="D29" s="70">
        <f t="shared" ca="1" si="6"/>
        <v>4.9994620015100841E-2</v>
      </c>
      <c r="E29" s="70">
        <f t="shared" ca="1" si="0"/>
        <v>0</v>
      </c>
      <c r="F29" s="70">
        <f t="shared" ca="1" si="1"/>
        <v>4.4995158013590754E-3</v>
      </c>
      <c r="G29" s="70">
        <f t="shared" ca="1" si="2"/>
        <v>4.9994620015100842E-3</v>
      </c>
      <c r="H29" s="70">
        <f t="shared" ca="1" si="4"/>
        <v>4.0495642212231682E-2</v>
      </c>
    </row>
    <row r="30" spans="2:8" x14ac:dyDescent="0.25">
      <c r="B30" s="46">
        <f t="shared" si="5"/>
        <v>20</v>
      </c>
      <c r="C30" s="22">
        <f t="shared" si="3"/>
        <v>64</v>
      </c>
      <c r="D30" s="70">
        <f t="shared" ca="1" si="6"/>
        <v>4.0495642212231682E-2</v>
      </c>
      <c r="E30" s="70">
        <f t="shared" ca="1" si="0"/>
        <v>0</v>
      </c>
      <c r="F30" s="70">
        <f t="shared" ca="1" si="1"/>
        <v>3.6446077991008513E-3</v>
      </c>
      <c r="G30" s="70">
        <f t="shared" ca="1" si="2"/>
        <v>4.0495642212231685E-3</v>
      </c>
      <c r="H30" s="70">
        <f t="shared" ca="1" si="4"/>
        <v>3.2801470191907663E-2</v>
      </c>
    </row>
    <row r="31" spans="2:8" x14ac:dyDescent="0.25">
      <c r="B31" s="46">
        <f t="shared" si="5"/>
        <v>21</v>
      </c>
      <c r="C31" s="22">
        <f t="shared" si="3"/>
        <v>65</v>
      </c>
      <c r="D31" s="70">
        <f t="shared" ca="1" si="6"/>
        <v>3.2801470191907663E-2</v>
      </c>
      <c r="E31" s="70">
        <f t="shared" ca="1" si="0"/>
        <v>0</v>
      </c>
      <c r="F31" s="70">
        <f t="shared" ca="1" si="1"/>
        <v>2.9521323172716895E-3</v>
      </c>
      <c r="G31" s="70">
        <f t="shared" ca="1" si="2"/>
        <v>3.2801470191907663E-3</v>
      </c>
      <c r="H31" s="70">
        <f t="shared" ca="1" si="4"/>
        <v>2.6569190855445204E-2</v>
      </c>
    </row>
    <row r="32" spans="2:8" x14ac:dyDescent="0.25">
      <c r="B32" s="46">
        <f t="shared" si="5"/>
        <v>22</v>
      </c>
      <c r="C32" s="22">
        <f t="shared" si="3"/>
        <v>66</v>
      </c>
      <c r="D32" s="70">
        <f t="shared" ca="1" si="6"/>
        <v>2.6569190855445204E-2</v>
      </c>
      <c r="E32" s="70">
        <f t="shared" ca="1" si="0"/>
        <v>0</v>
      </c>
      <c r="F32" s="70">
        <f t="shared" ca="1" si="1"/>
        <v>2.3912271769900685E-3</v>
      </c>
      <c r="G32" s="70">
        <f t="shared" ca="1" si="2"/>
        <v>2.6569190855445205E-3</v>
      </c>
      <c r="H32" s="70">
        <f t="shared" ca="1" si="4"/>
        <v>2.1521044592910616E-2</v>
      </c>
    </row>
    <row r="33" spans="2:8" x14ac:dyDescent="0.25">
      <c r="B33" s="46">
        <f t="shared" si="5"/>
        <v>23</v>
      </c>
      <c r="C33" s="22">
        <f t="shared" si="3"/>
        <v>67</v>
      </c>
      <c r="D33" s="70">
        <f t="shared" ca="1" si="6"/>
        <v>2.1521044592910616E-2</v>
      </c>
      <c r="E33" s="70">
        <f t="shared" ca="1" si="0"/>
        <v>0</v>
      </c>
      <c r="F33" s="70">
        <f t="shared" ca="1" si="1"/>
        <v>1.9368940133619554E-3</v>
      </c>
      <c r="G33" s="70">
        <f t="shared" ca="1" si="2"/>
        <v>2.1521044592910615E-3</v>
      </c>
      <c r="H33" s="70">
        <f t="shared" ca="1" si="4"/>
        <v>1.7432046120257599E-2</v>
      </c>
    </row>
    <row r="34" spans="2:8" x14ac:dyDescent="0.25">
      <c r="B34" s="46">
        <f t="shared" si="5"/>
        <v>24</v>
      </c>
      <c r="C34" s="22">
        <f t="shared" si="3"/>
        <v>68</v>
      </c>
      <c r="D34" s="70">
        <f t="shared" ca="1" si="6"/>
        <v>1.7432046120257599E-2</v>
      </c>
      <c r="E34" s="70">
        <f t="shared" ca="1" si="0"/>
        <v>0</v>
      </c>
      <c r="F34" s="70">
        <f t="shared" ca="1" si="1"/>
        <v>1.5688841508231842E-3</v>
      </c>
      <c r="G34" s="70">
        <f t="shared" ca="1" si="2"/>
        <v>1.7432046120257599E-3</v>
      </c>
      <c r="H34" s="70">
        <f t="shared" ca="1" si="4"/>
        <v>1.4119957357408655E-2</v>
      </c>
    </row>
    <row r="35" spans="2:8" x14ac:dyDescent="0.25">
      <c r="B35" s="46">
        <f t="shared" si="5"/>
        <v>25</v>
      </c>
      <c r="C35" s="22">
        <f t="shared" si="3"/>
        <v>69</v>
      </c>
      <c r="D35" s="70">
        <f t="shared" ca="1" si="6"/>
        <v>1.4119957357408655E-2</v>
      </c>
      <c r="E35" s="70">
        <f t="shared" ca="1" si="0"/>
        <v>0</v>
      </c>
      <c r="F35" s="70">
        <f t="shared" ca="1" si="1"/>
        <v>1.2707961621667792E-3</v>
      </c>
      <c r="G35" s="70">
        <f t="shared" ca="1" si="2"/>
        <v>1.4119957357408657E-3</v>
      </c>
      <c r="H35" s="70">
        <f t="shared" ca="1" si="4"/>
        <v>1.1437165459501011E-2</v>
      </c>
    </row>
    <row r="36" spans="2:8" x14ac:dyDescent="0.25">
      <c r="B36" s="46">
        <f t="shared" si="5"/>
        <v>26</v>
      </c>
      <c r="C36" s="22">
        <f t="shared" si="3"/>
        <v>70</v>
      </c>
      <c r="D36" s="70">
        <f t="shared" ca="1" si="6"/>
        <v>1.1437165459501011E-2</v>
      </c>
      <c r="E36" s="70">
        <f t="shared" ca="1" si="0"/>
        <v>0</v>
      </c>
      <c r="F36" s="70">
        <f t="shared" ca="1" si="1"/>
        <v>1.029344891355091E-3</v>
      </c>
      <c r="G36" s="70">
        <f t="shared" ca="1" si="2"/>
        <v>1.1437165459501012E-3</v>
      </c>
      <c r="H36" s="70">
        <f t="shared" ca="1" si="4"/>
        <v>9.2641040221958203E-3</v>
      </c>
    </row>
    <row r="37" spans="2:8" x14ac:dyDescent="0.25">
      <c r="B37" s="46">
        <f t="shared" si="5"/>
        <v>27</v>
      </c>
      <c r="C37" s="22">
        <f t="shared" si="3"/>
        <v>71</v>
      </c>
      <c r="D37" s="70">
        <f t="shared" ca="1" si="6"/>
        <v>9.2641040221958203E-3</v>
      </c>
      <c r="E37" s="70">
        <f t="shared" ca="1" si="0"/>
        <v>0</v>
      </c>
      <c r="F37" s="70">
        <f t="shared" ca="1" si="1"/>
        <v>8.3376936199762398E-4</v>
      </c>
      <c r="G37" s="70">
        <f t="shared" ca="1" si="2"/>
        <v>9.2641040221958209E-4</v>
      </c>
      <c r="H37" s="70">
        <f t="shared" ca="1" si="4"/>
        <v>7.5039242579786137E-3</v>
      </c>
    </row>
    <row r="38" spans="2:8" x14ac:dyDescent="0.25">
      <c r="B38" s="46">
        <f t="shared" si="5"/>
        <v>28</v>
      </c>
      <c r="C38" s="22">
        <f t="shared" si="3"/>
        <v>72</v>
      </c>
      <c r="D38" s="70">
        <f t="shared" ca="1" si="6"/>
        <v>7.5039242579786137E-3</v>
      </c>
      <c r="E38" s="70">
        <f t="shared" ca="1" si="0"/>
        <v>0</v>
      </c>
      <c r="F38" s="70">
        <f t="shared" ca="1" si="1"/>
        <v>6.7535318321807532E-4</v>
      </c>
      <c r="G38" s="70">
        <f t="shared" ca="1" si="2"/>
        <v>7.5039242579786139E-4</v>
      </c>
      <c r="H38" s="70">
        <f t="shared" ca="1" si="4"/>
        <v>6.0781786489626771E-3</v>
      </c>
    </row>
    <row r="39" spans="2:8" x14ac:dyDescent="0.25">
      <c r="B39" s="46">
        <f t="shared" si="5"/>
        <v>29</v>
      </c>
      <c r="C39" s="22">
        <f t="shared" si="3"/>
        <v>73</v>
      </c>
      <c r="D39" s="70">
        <f t="shared" ca="1" si="6"/>
        <v>6.0781786489626771E-3</v>
      </c>
      <c r="E39" s="70">
        <f t="shared" ca="1" si="0"/>
        <v>0</v>
      </c>
      <c r="F39" s="70">
        <f t="shared" ca="1" si="1"/>
        <v>5.4703607840664097E-4</v>
      </c>
      <c r="G39" s="70">
        <f t="shared" ca="1" si="2"/>
        <v>6.0781786489626775E-4</v>
      </c>
      <c r="H39" s="70">
        <f t="shared" ca="1" si="4"/>
        <v>4.9233247056597682E-3</v>
      </c>
    </row>
    <row r="40" spans="2:8" x14ac:dyDescent="0.25">
      <c r="B40" s="46">
        <f t="shared" si="5"/>
        <v>30</v>
      </c>
      <c r="C40" s="22">
        <f t="shared" si="3"/>
        <v>74</v>
      </c>
      <c r="D40" s="70">
        <f t="shared" ca="1" si="6"/>
        <v>4.9233247056597682E-3</v>
      </c>
      <c r="E40" s="70">
        <f t="shared" ca="1" si="0"/>
        <v>0</v>
      </c>
      <c r="F40" s="70">
        <f t="shared" ca="1" si="1"/>
        <v>4.4309922350937916E-4</v>
      </c>
      <c r="G40" s="70">
        <f t="shared" ca="1" si="2"/>
        <v>4.9233247056597687E-4</v>
      </c>
      <c r="H40" s="70">
        <f t="shared" ca="1" si="4"/>
        <v>3.9878930115844124E-3</v>
      </c>
    </row>
    <row r="41" spans="2:8" x14ac:dyDescent="0.25">
      <c r="B41" s="46">
        <f t="shared" si="5"/>
        <v>31</v>
      </c>
      <c r="C41" s="22">
        <f t="shared" si="3"/>
        <v>75</v>
      </c>
      <c r="D41" s="70">
        <f t="shared" ca="1" si="6"/>
        <v>3.9878930115844124E-3</v>
      </c>
      <c r="E41" s="70">
        <f t="shared" ca="1" si="0"/>
        <v>0</v>
      </c>
      <c r="F41" s="70">
        <f t="shared" ca="1" si="1"/>
        <v>3.5891037104259714E-4</v>
      </c>
      <c r="G41" s="70">
        <f t="shared" ca="1" si="2"/>
        <v>3.9878930115844126E-4</v>
      </c>
      <c r="H41" s="70">
        <f t="shared" ca="1" si="4"/>
        <v>3.230193339383374E-3</v>
      </c>
    </row>
    <row r="42" spans="2:8" x14ac:dyDescent="0.25">
      <c r="B42" s="46">
        <f t="shared" si="5"/>
        <v>32</v>
      </c>
      <c r="C42" s="22">
        <f t="shared" si="3"/>
        <v>76</v>
      </c>
      <c r="D42" s="70">
        <f t="shared" ca="1" si="6"/>
        <v>3.230193339383374E-3</v>
      </c>
      <c r="E42" s="70">
        <f t="shared" ca="1" si="0"/>
        <v>0</v>
      </c>
      <c r="F42" s="70">
        <f t="shared" ca="1" si="1"/>
        <v>2.9071740054450367E-4</v>
      </c>
      <c r="G42" s="70">
        <f t="shared" ca="1" si="2"/>
        <v>3.230193339383374E-4</v>
      </c>
      <c r="H42" s="70">
        <f t="shared" ca="1" si="4"/>
        <v>2.616456604900533E-3</v>
      </c>
    </row>
    <row r="43" spans="2:8" x14ac:dyDescent="0.25">
      <c r="B43" s="46">
        <f t="shared" si="5"/>
        <v>33</v>
      </c>
      <c r="C43" s="22">
        <f t="shared" si="3"/>
        <v>77</v>
      </c>
      <c r="D43" s="70">
        <f t="shared" ca="1" si="6"/>
        <v>2.616456604900533E-3</v>
      </c>
      <c r="E43" s="70">
        <f t="shared" ref="E43:E74" ca="1" si="7">IF($D$2="A",(D43-G43)*withdraw_rate*(C43&lt;$D$5),(D43-G43)*withdraw_rate*(C43&lt;&gt;$D$5))</f>
        <v>0</v>
      </c>
      <c r="F43" s="70">
        <f t="shared" ref="F43:F74" ca="1" si="8">IF($D$2="A",(D43-G43)*retire_rate_A*(C43&gt;=$D$5),(D43-G43)*100%*(C43=$D$5))</f>
        <v>2.3548109444104798E-4</v>
      </c>
      <c r="G43" s="70">
        <f t="shared" ref="G43:G74" ca="1" si="9">IF($D$2="A",D43*mort_rate_A*(C43&gt;=$D$5),0)</f>
        <v>2.616456604900533E-4</v>
      </c>
      <c r="H43" s="70">
        <f t="shared" ca="1" si="4"/>
        <v>2.1193298499694317E-3</v>
      </c>
    </row>
    <row r="44" spans="2:8" x14ac:dyDescent="0.25">
      <c r="B44" s="46">
        <f t="shared" si="5"/>
        <v>34</v>
      </c>
      <c r="C44" s="22">
        <f t="shared" ref="C44:C75" si="10">IF(C43="","",IF($D$2="A",C43+1,IF(C43+1&gt;$D$5,"",C43+1)))</f>
        <v>78</v>
      </c>
      <c r="D44" s="70">
        <f t="shared" ca="1" si="6"/>
        <v>2.1193298499694317E-3</v>
      </c>
      <c r="E44" s="70">
        <f t="shared" ca="1" si="7"/>
        <v>0</v>
      </c>
      <c r="F44" s="70">
        <f t="shared" ca="1" si="8"/>
        <v>1.9073968649724888E-4</v>
      </c>
      <c r="G44" s="70">
        <f t="shared" ca="1" si="9"/>
        <v>2.1193298499694318E-4</v>
      </c>
      <c r="H44" s="70">
        <f t="shared" ca="1" si="4"/>
        <v>1.7166571784752397E-3</v>
      </c>
    </row>
    <row r="45" spans="2:8" x14ac:dyDescent="0.25">
      <c r="B45" s="46">
        <f t="shared" si="5"/>
        <v>35</v>
      </c>
      <c r="C45" s="22">
        <f t="shared" si="10"/>
        <v>79</v>
      </c>
      <c r="D45" s="70">
        <f t="shared" ca="1" si="6"/>
        <v>1.7166571784752397E-3</v>
      </c>
      <c r="E45" s="70">
        <f t="shared" ca="1" si="7"/>
        <v>0</v>
      </c>
      <c r="F45" s="70">
        <f t="shared" ca="1" si="8"/>
        <v>1.5449914606277158E-4</v>
      </c>
      <c r="G45" s="70">
        <f t="shared" ca="1" si="9"/>
        <v>1.7166571784752398E-4</v>
      </c>
      <c r="H45" s="70">
        <f t="shared" ca="1" si="4"/>
        <v>1.3904923145649443E-3</v>
      </c>
    </row>
    <row r="46" spans="2:8" x14ac:dyDescent="0.25">
      <c r="B46" s="46">
        <f t="shared" si="5"/>
        <v>36</v>
      </c>
      <c r="C46" s="22">
        <f t="shared" si="10"/>
        <v>80</v>
      </c>
      <c r="D46" s="70">
        <f t="shared" ca="1" si="6"/>
        <v>1.3904923145649443E-3</v>
      </c>
      <c r="E46" s="70">
        <f t="shared" ca="1" si="7"/>
        <v>0</v>
      </c>
      <c r="F46" s="70">
        <f t="shared" ca="1" si="8"/>
        <v>1.25144308310845E-4</v>
      </c>
      <c r="G46" s="70">
        <f t="shared" ca="1" si="9"/>
        <v>1.3904923145649444E-4</v>
      </c>
      <c r="H46" s="70">
        <f t="shared" ca="1" si="4"/>
        <v>1.1262987747976049E-3</v>
      </c>
    </row>
    <row r="47" spans="2:8" x14ac:dyDescent="0.25">
      <c r="B47" s="46">
        <f t="shared" si="5"/>
        <v>37</v>
      </c>
      <c r="C47" s="22">
        <f t="shared" si="10"/>
        <v>81</v>
      </c>
      <c r="D47" s="70">
        <f t="shared" ca="1" si="6"/>
        <v>1.1262987747976049E-3</v>
      </c>
      <c r="E47" s="70">
        <f t="shared" ca="1" si="7"/>
        <v>0</v>
      </c>
      <c r="F47" s="70">
        <f t="shared" ca="1" si="8"/>
        <v>1.0136688973178446E-4</v>
      </c>
      <c r="G47" s="70">
        <f t="shared" ca="1" si="9"/>
        <v>1.1262987747976051E-4</v>
      </c>
      <c r="H47" s="70">
        <f t="shared" ca="1" si="4"/>
        <v>9.1230200758606007E-4</v>
      </c>
    </row>
    <row r="48" spans="2:8" x14ac:dyDescent="0.25">
      <c r="B48" s="46">
        <f t="shared" si="5"/>
        <v>38</v>
      </c>
      <c r="C48" s="22">
        <f t="shared" si="10"/>
        <v>82</v>
      </c>
      <c r="D48" s="70">
        <f t="shared" ca="1" si="6"/>
        <v>9.1230200758606007E-4</v>
      </c>
      <c r="E48" s="70">
        <f t="shared" ca="1" si="7"/>
        <v>0</v>
      </c>
      <c r="F48" s="70">
        <f t="shared" ca="1" si="8"/>
        <v>8.2107180682745409E-5</v>
      </c>
      <c r="G48" s="70">
        <f t="shared" ca="1" si="9"/>
        <v>9.1230200758606007E-5</v>
      </c>
      <c r="H48" s="70">
        <f t="shared" ca="1" si="4"/>
        <v>7.3896462614470861E-4</v>
      </c>
    </row>
    <row r="49" spans="2:8" x14ac:dyDescent="0.25">
      <c r="B49" s="46">
        <f t="shared" si="5"/>
        <v>39</v>
      </c>
      <c r="C49" s="22">
        <f t="shared" si="10"/>
        <v>83</v>
      </c>
      <c r="D49" s="70">
        <f t="shared" ca="1" si="6"/>
        <v>7.3896462614470861E-4</v>
      </c>
      <c r="E49" s="70">
        <f t="shared" ca="1" si="7"/>
        <v>0</v>
      </c>
      <c r="F49" s="70">
        <f t="shared" ca="1" si="8"/>
        <v>6.6506816353023771E-5</v>
      </c>
      <c r="G49" s="70">
        <f t="shared" ca="1" si="9"/>
        <v>7.3896462614470872E-5</v>
      </c>
      <c r="H49" s="70">
        <f t="shared" ca="1" si="4"/>
        <v>5.9856134717721401E-4</v>
      </c>
    </row>
    <row r="50" spans="2:8" x14ac:dyDescent="0.25">
      <c r="B50" s="46">
        <f t="shared" si="5"/>
        <v>40</v>
      </c>
      <c r="C50" s="22">
        <f t="shared" si="10"/>
        <v>84</v>
      </c>
      <c r="D50" s="70">
        <f t="shared" ca="1" si="6"/>
        <v>5.9856134717721401E-4</v>
      </c>
      <c r="E50" s="70">
        <f t="shared" ca="1" si="7"/>
        <v>0</v>
      </c>
      <c r="F50" s="70">
        <f t="shared" ca="1" si="8"/>
        <v>5.387052124594926E-5</v>
      </c>
      <c r="G50" s="70">
        <f t="shared" ca="1" si="9"/>
        <v>5.9856134717721405E-5</v>
      </c>
      <c r="H50" s="70">
        <f t="shared" ca="1" si="4"/>
        <v>4.8483469121354339E-4</v>
      </c>
    </row>
    <row r="51" spans="2:8" x14ac:dyDescent="0.25">
      <c r="B51" s="46">
        <f t="shared" si="5"/>
        <v>41</v>
      </c>
      <c r="C51" s="22">
        <f t="shared" si="10"/>
        <v>85</v>
      </c>
      <c r="D51" s="70">
        <f t="shared" ca="1" si="6"/>
        <v>4.8483469121354339E-4</v>
      </c>
      <c r="E51" s="70">
        <f t="shared" ca="1" si="7"/>
        <v>0</v>
      </c>
      <c r="F51" s="70">
        <f t="shared" ca="1" si="8"/>
        <v>4.3635122209218912E-5</v>
      </c>
      <c r="G51" s="70">
        <f t="shared" ca="1" si="9"/>
        <v>4.8483469121354342E-5</v>
      </c>
      <c r="H51" s="70">
        <f t="shared" ca="1" si="4"/>
        <v>3.9271609988297015E-4</v>
      </c>
    </row>
    <row r="52" spans="2:8" x14ac:dyDescent="0.25">
      <c r="B52" s="46">
        <f t="shared" si="5"/>
        <v>42</v>
      </c>
      <c r="C52" s="22">
        <f t="shared" si="10"/>
        <v>86</v>
      </c>
      <c r="D52" s="70">
        <f t="shared" ca="1" si="6"/>
        <v>3.9271609988297015E-4</v>
      </c>
      <c r="E52" s="70">
        <f t="shared" ca="1" si="7"/>
        <v>0</v>
      </c>
      <c r="F52" s="70">
        <f t="shared" ca="1" si="8"/>
        <v>3.5344448989467315E-5</v>
      </c>
      <c r="G52" s="70">
        <f t="shared" ca="1" si="9"/>
        <v>3.9271609988297019E-5</v>
      </c>
      <c r="H52" s="70">
        <f t="shared" ca="1" si="4"/>
        <v>3.181000409052058E-4</v>
      </c>
    </row>
    <row r="53" spans="2:8" x14ac:dyDescent="0.25">
      <c r="B53" s="46">
        <f t="shared" si="5"/>
        <v>43</v>
      </c>
      <c r="C53" s="22">
        <f t="shared" si="10"/>
        <v>87</v>
      </c>
      <c r="D53" s="70">
        <f t="shared" ca="1" si="6"/>
        <v>3.181000409052058E-4</v>
      </c>
      <c r="E53" s="70">
        <f t="shared" ca="1" si="7"/>
        <v>0</v>
      </c>
      <c r="F53" s="70">
        <f t="shared" ca="1" si="8"/>
        <v>2.8629003681468524E-5</v>
      </c>
      <c r="G53" s="70">
        <f t="shared" ca="1" si="9"/>
        <v>3.1810004090520581E-5</v>
      </c>
      <c r="H53" s="70">
        <f t="shared" ca="1" si="4"/>
        <v>2.5766103313321672E-4</v>
      </c>
    </row>
    <row r="54" spans="2:8" x14ac:dyDescent="0.25">
      <c r="B54" s="46">
        <f t="shared" si="5"/>
        <v>44</v>
      </c>
      <c r="C54" s="22">
        <f t="shared" si="10"/>
        <v>88</v>
      </c>
      <c r="D54" s="70">
        <f t="shared" ca="1" si="6"/>
        <v>2.5766103313321672E-4</v>
      </c>
      <c r="E54" s="70">
        <f t="shared" ca="1" si="7"/>
        <v>0</v>
      </c>
      <c r="F54" s="70">
        <f t="shared" ca="1" si="8"/>
        <v>2.3189492981989508E-5</v>
      </c>
      <c r="G54" s="70">
        <f t="shared" ca="1" si="9"/>
        <v>2.5766103313321674E-5</v>
      </c>
      <c r="H54" s="70">
        <f t="shared" ca="1" si="4"/>
        <v>2.0870543683790556E-4</v>
      </c>
    </row>
    <row r="55" spans="2:8" x14ac:dyDescent="0.25">
      <c r="B55" s="46">
        <f t="shared" si="5"/>
        <v>45</v>
      </c>
      <c r="C55" s="22">
        <f t="shared" si="10"/>
        <v>89</v>
      </c>
      <c r="D55" s="70">
        <f t="shared" ca="1" si="6"/>
        <v>2.0870543683790556E-4</v>
      </c>
      <c r="E55" s="70">
        <f t="shared" ca="1" si="7"/>
        <v>0</v>
      </c>
      <c r="F55" s="70">
        <f t="shared" ca="1" si="8"/>
        <v>1.8783489315411502E-5</v>
      </c>
      <c r="G55" s="70">
        <f t="shared" ca="1" si="9"/>
        <v>2.0870543683790556E-5</v>
      </c>
      <c r="H55" s="70">
        <f t="shared" ca="1" si="4"/>
        <v>1.690514038387035E-4</v>
      </c>
    </row>
    <row r="56" spans="2:8" x14ac:dyDescent="0.25">
      <c r="B56" s="46">
        <f t="shared" si="5"/>
        <v>46</v>
      </c>
      <c r="C56" s="22">
        <f t="shared" si="10"/>
        <v>90</v>
      </c>
      <c r="D56" s="70">
        <f t="shared" ca="1" si="6"/>
        <v>1.690514038387035E-4</v>
      </c>
      <c r="E56" s="70">
        <f t="shared" ca="1" si="7"/>
        <v>0</v>
      </c>
      <c r="F56" s="70">
        <f t="shared" ca="1" si="8"/>
        <v>1.5214626345483315E-5</v>
      </c>
      <c r="G56" s="70">
        <f t="shared" ca="1" si="9"/>
        <v>1.6905140383870352E-5</v>
      </c>
      <c r="H56" s="70">
        <f t="shared" ca="1" si="4"/>
        <v>1.3693163710934984E-4</v>
      </c>
    </row>
    <row r="57" spans="2:8" x14ac:dyDescent="0.25">
      <c r="B57" s="46">
        <f t="shared" si="5"/>
        <v>47</v>
      </c>
      <c r="C57" s="22">
        <f t="shared" si="10"/>
        <v>91</v>
      </c>
      <c r="D57" s="70">
        <f t="shared" ca="1" si="6"/>
        <v>1.3693163710934984E-4</v>
      </c>
      <c r="E57" s="70">
        <f t="shared" ca="1" si="7"/>
        <v>0</v>
      </c>
      <c r="F57" s="70">
        <f t="shared" ca="1" si="8"/>
        <v>1.2323847339841486E-5</v>
      </c>
      <c r="G57" s="70">
        <f t="shared" ca="1" si="9"/>
        <v>1.3693163710934985E-5</v>
      </c>
      <c r="H57" s="70">
        <f t="shared" ca="1" si="4"/>
        <v>1.1091462605857338E-4</v>
      </c>
    </row>
    <row r="58" spans="2:8" x14ac:dyDescent="0.25">
      <c r="B58" s="46">
        <f t="shared" si="5"/>
        <v>48</v>
      </c>
      <c r="C58" s="22">
        <f t="shared" si="10"/>
        <v>92</v>
      </c>
      <c r="D58" s="70">
        <f t="shared" ca="1" si="6"/>
        <v>1.1091462605857338E-4</v>
      </c>
      <c r="E58" s="70">
        <f t="shared" ca="1" si="7"/>
        <v>0</v>
      </c>
      <c r="F58" s="70">
        <f t="shared" ca="1" si="8"/>
        <v>9.9823163452716049E-6</v>
      </c>
      <c r="G58" s="70">
        <f t="shared" ca="1" si="9"/>
        <v>1.1091462605857339E-5</v>
      </c>
      <c r="H58" s="70">
        <f t="shared" ca="1" si="4"/>
        <v>8.9840847107444433E-5</v>
      </c>
    </row>
    <row r="59" spans="2:8" x14ac:dyDescent="0.25">
      <c r="B59" s="46">
        <f t="shared" si="5"/>
        <v>49</v>
      </c>
      <c r="C59" s="22">
        <f t="shared" si="10"/>
        <v>93</v>
      </c>
      <c r="D59" s="70">
        <f t="shared" ca="1" si="6"/>
        <v>8.9840847107444433E-5</v>
      </c>
      <c r="E59" s="70">
        <f t="shared" ca="1" si="7"/>
        <v>0</v>
      </c>
      <c r="F59" s="70">
        <f t="shared" ca="1" si="8"/>
        <v>8.0856762396699991E-6</v>
      </c>
      <c r="G59" s="70">
        <f t="shared" ca="1" si="9"/>
        <v>8.9840847107444436E-6</v>
      </c>
      <c r="H59" s="70">
        <f t="shared" ca="1" si="4"/>
        <v>7.2771086157029981E-5</v>
      </c>
    </row>
    <row r="60" spans="2:8" x14ac:dyDescent="0.25">
      <c r="B60" s="46">
        <f t="shared" si="5"/>
        <v>50</v>
      </c>
      <c r="C60" s="22">
        <f t="shared" si="10"/>
        <v>94</v>
      </c>
      <c r="D60" s="70">
        <f t="shared" ca="1" si="6"/>
        <v>7.2771086157029981E-5</v>
      </c>
      <c r="E60" s="70">
        <f t="shared" ca="1" si="7"/>
        <v>0</v>
      </c>
      <c r="F60" s="70">
        <f t="shared" ca="1" si="8"/>
        <v>6.5493977541326983E-6</v>
      </c>
      <c r="G60" s="70">
        <f t="shared" ca="1" si="9"/>
        <v>7.2771086157029981E-6</v>
      </c>
      <c r="H60" s="70">
        <f t="shared" ca="1" si="4"/>
        <v>5.8944579787194285E-5</v>
      </c>
    </row>
    <row r="61" spans="2:8" x14ac:dyDescent="0.25">
      <c r="B61" s="46">
        <f t="shared" si="5"/>
        <v>51</v>
      </c>
      <c r="C61" s="22">
        <f t="shared" si="10"/>
        <v>95</v>
      </c>
      <c r="D61" s="70">
        <f t="shared" ca="1" si="6"/>
        <v>5.8944579787194285E-5</v>
      </c>
      <c r="E61" s="70">
        <f t="shared" ca="1" si="7"/>
        <v>0</v>
      </c>
      <c r="F61" s="70">
        <f t="shared" ca="1" si="8"/>
        <v>5.3050121808474859E-6</v>
      </c>
      <c r="G61" s="70">
        <f t="shared" ca="1" si="9"/>
        <v>5.894457978719429E-6</v>
      </c>
      <c r="H61" s="70">
        <f t="shared" ca="1" si="4"/>
        <v>4.7745109627627368E-5</v>
      </c>
    </row>
    <row r="62" spans="2:8" x14ac:dyDescent="0.25">
      <c r="B62" s="46">
        <f t="shared" si="5"/>
        <v>52</v>
      </c>
      <c r="C62" s="22">
        <f t="shared" si="10"/>
        <v>96</v>
      </c>
      <c r="D62" s="70">
        <f t="shared" ca="1" si="6"/>
        <v>4.7745109627627368E-5</v>
      </c>
      <c r="E62" s="70">
        <f t="shared" ca="1" si="7"/>
        <v>0</v>
      </c>
      <c r="F62" s="70">
        <f t="shared" ca="1" si="8"/>
        <v>4.2970598664864635E-6</v>
      </c>
      <c r="G62" s="70">
        <f t="shared" ca="1" si="9"/>
        <v>4.7745109627627374E-6</v>
      </c>
      <c r="H62" s="70">
        <f t="shared" ca="1" si="4"/>
        <v>3.8673538798378161E-5</v>
      </c>
    </row>
    <row r="63" spans="2:8" x14ac:dyDescent="0.25">
      <c r="B63" s="46">
        <f t="shared" si="5"/>
        <v>53</v>
      </c>
      <c r="C63" s="22">
        <f t="shared" si="10"/>
        <v>97</v>
      </c>
      <c r="D63" s="70">
        <f t="shared" ca="1" si="6"/>
        <v>3.8673538798378161E-5</v>
      </c>
      <c r="E63" s="70">
        <f t="shared" ca="1" si="7"/>
        <v>0</v>
      </c>
      <c r="F63" s="70">
        <f t="shared" ca="1" si="8"/>
        <v>3.4806184918540345E-6</v>
      </c>
      <c r="G63" s="70">
        <f t="shared" ca="1" si="9"/>
        <v>3.8673538798378161E-6</v>
      </c>
      <c r="H63" s="70">
        <f t="shared" ca="1" si="4"/>
        <v>3.1325566426686312E-5</v>
      </c>
    </row>
    <row r="64" spans="2:8" x14ac:dyDescent="0.25">
      <c r="B64" s="46">
        <f t="shared" si="5"/>
        <v>54</v>
      </c>
      <c r="C64" s="22">
        <f t="shared" si="10"/>
        <v>98</v>
      </c>
      <c r="D64" s="70">
        <f t="shared" ca="1" si="6"/>
        <v>3.1325566426686312E-5</v>
      </c>
      <c r="E64" s="70">
        <f t="shared" ca="1" si="7"/>
        <v>0</v>
      </c>
      <c r="F64" s="70">
        <f t="shared" ca="1" si="8"/>
        <v>2.8193009784017683E-6</v>
      </c>
      <c r="G64" s="70">
        <f t="shared" ca="1" si="9"/>
        <v>3.1325566426686312E-6</v>
      </c>
      <c r="H64" s="70">
        <f t="shared" ca="1" si="4"/>
        <v>2.5373708805615912E-5</v>
      </c>
    </row>
    <row r="65" spans="2:8" x14ac:dyDescent="0.25">
      <c r="B65" s="46">
        <f t="shared" si="5"/>
        <v>55</v>
      </c>
      <c r="C65" s="22">
        <f t="shared" si="10"/>
        <v>99</v>
      </c>
      <c r="D65" s="70">
        <f t="shared" ca="1" si="6"/>
        <v>2.5373708805615912E-5</v>
      </c>
      <c r="E65" s="70">
        <f t="shared" ca="1" si="7"/>
        <v>0</v>
      </c>
      <c r="F65" s="70">
        <f t="shared" ca="1" si="8"/>
        <v>2.2836337925054324E-6</v>
      </c>
      <c r="G65" s="70">
        <f t="shared" ca="1" si="9"/>
        <v>2.5373708805615912E-6</v>
      </c>
      <c r="H65" s="70">
        <f t="shared" ca="1" si="4"/>
        <v>2.0552704132548887E-5</v>
      </c>
    </row>
    <row r="66" spans="2:8" x14ac:dyDescent="0.25">
      <c r="B66" s="46">
        <f t="shared" si="5"/>
        <v>56</v>
      </c>
      <c r="C66" s="22">
        <f t="shared" si="10"/>
        <v>100</v>
      </c>
      <c r="D66" s="70">
        <f t="shared" ca="1" si="6"/>
        <v>2.0552704132548887E-5</v>
      </c>
      <c r="E66" s="70">
        <f t="shared" ca="1" si="7"/>
        <v>0</v>
      </c>
      <c r="F66" s="70">
        <f t="shared" ca="1" si="8"/>
        <v>1.8497433719294001E-6</v>
      </c>
      <c r="G66" s="70">
        <f t="shared" ca="1" si="9"/>
        <v>2.0552704132548889E-6</v>
      </c>
      <c r="H66" s="70">
        <f t="shared" ca="1" si="4"/>
        <v>1.6647690347364599E-5</v>
      </c>
    </row>
    <row r="67" spans="2:8" x14ac:dyDescent="0.25">
      <c r="B67" s="46">
        <f t="shared" si="5"/>
        <v>57</v>
      </c>
      <c r="C67" s="22">
        <f t="shared" si="10"/>
        <v>101</v>
      </c>
      <c r="D67" s="70">
        <f t="shared" ca="1" si="6"/>
        <v>1.6647690347364599E-5</v>
      </c>
      <c r="E67" s="70">
        <f t="shared" ca="1" si="7"/>
        <v>0</v>
      </c>
      <c r="F67" s="70">
        <f t="shared" ca="1" si="8"/>
        <v>1.4982921312628141E-6</v>
      </c>
      <c r="G67" s="70">
        <f t="shared" ca="1" si="9"/>
        <v>1.66476903473646E-6</v>
      </c>
      <c r="H67" s="70">
        <f t="shared" ca="1" si="4"/>
        <v>1.3484629181365325E-5</v>
      </c>
    </row>
    <row r="68" spans="2:8" x14ac:dyDescent="0.25">
      <c r="B68" s="46">
        <f t="shared" si="5"/>
        <v>58</v>
      </c>
      <c r="C68" s="22">
        <f t="shared" si="10"/>
        <v>102</v>
      </c>
      <c r="D68" s="70">
        <f t="shared" ca="1" si="6"/>
        <v>1.3484629181365325E-5</v>
      </c>
      <c r="E68" s="70">
        <f t="shared" ca="1" si="7"/>
        <v>0</v>
      </c>
      <c r="F68" s="70">
        <f t="shared" ca="1" si="8"/>
        <v>1.2136166263228793E-6</v>
      </c>
      <c r="G68" s="70">
        <f t="shared" ca="1" si="9"/>
        <v>1.3484629181365326E-6</v>
      </c>
      <c r="H68" s="70">
        <f t="shared" ca="1" si="4"/>
        <v>1.0922549636905913E-5</v>
      </c>
    </row>
    <row r="69" spans="2:8" x14ac:dyDescent="0.25">
      <c r="B69" s="46">
        <f t="shared" si="5"/>
        <v>59</v>
      </c>
      <c r="C69" s="22">
        <f t="shared" si="10"/>
        <v>103</v>
      </c>
      <c r="D69" s="70">
        <f t="shared" ca="1" si="6"/>
        <v>1.0922549636905913E-5</v>
      </c>
      <c r="E69" s="70">
        <f t="shared" ca="1" si="7"/>
        <v>0</v>
      </c>
      <c r="F69" s="70">
        <f t="shared" ca="1" si="8"/>
        <v>9.8302946732153223E-7</v>
      </c>
      <c r="G69" s="70">
        <f t="shared" ca="1" si="9"/>
        <v>1.0922549636905914E-6</v>
      </c>
      <c r="H69" s="70">
        <f t="shared" ca="1" si="4"/>
        <v>8.847265205893789E-6</v>
      </c>
    </row>
    <row r="70" spans="2:8" x14ac:dyDescent="0.25">
      <c r="B70" s="46">
        <f t="shared" si="5"/>
        <v>60</v>
      </c>
      <c r="C70" s="22">
        <f t="shared" si="10"/>
        <v>104</v>
      </c>
      <c r="D70" s="70">
        <f t="shared" ca="1" si="6"/>
        <v>8.847265205893789E-6</v>
      </c>
      <c r="E70" s="70">
        <f t="shared" ca="1" si="7"/>
        <v>0</v>
      </c>
      <c r="F70" s="70">
        <f t="shared" ca="1" si="8"/>
        <v>7.962538685304411E-7</v>
      </c>
      <c r="G70" s="70">
        <f t="shared" ca="1" si="9"/>
        <v>8.847265205893789E-7</v>
      </c>
      <c r="H70" s="70">
        <f t="shared" ca="1" si="4"/>
        <v>7.166284816773969E-6</v>
      </c>
    </row>
    <row r="71" spans="2:8" x14ac:dyDescent="0.25">
      <c r="B71" s="46">
        <f t="shared" si="5"/>
        <v>61</v>
      </c>
      <c r="C71" s="22">
        <f t="shared" si="10"/>
        <v>105</v>
      </c>
      <c r="D71" s="70">
        <f t="shared" ca="1" si="6"/>
        <v>7.166284816773969E-6</v>
      </c>
      <c r="E71" s="70">
        <f t="shared" ca="1" si="7"/>
        <v>0</v>
      </c>
      <c r="F71" s="70">
        <f t="shared" ca="1" si="8"/>
        <v>6.4496563350965721E-7</v>
      </c>
      <c r="G71" s="70">
        <f t="shared" ca="1" si="9"/>
        <v>7.1662848167739695E-7</v>
      </c>
      <c r="H71" s="70">
        <f t="shared" ca="1" si="4"/>
        <v>5.8046907015869148E-6</v>
      </c>
    </row>
    <row r="72" spans="2:8" x14ac:dyDescent="0.25">
      <c r="B72" s="46">
        <f t="shared" si="5"/>
        <v>62</v>
      </c>
      <c r="C72" s="22">
        <f t="shared" si="10"/>
        <v>106</v>
      </c>
      <c r="D72" s="70">
        <f t="shared" ca="1" si="6"/>
        <v>5.8046907015869148E-6</v>
      </c>
      <c r="E72" s="70">
        <f t="shared" ca="1" si="7"/>
        <v>0</v>
      </c>
      <c r="F72" s="70">
        <f t="shared" ca="1" si="8"/>
        <v>5.2242216314282235E-7</v>
      </c>
      <c r="G72" s="70">
        <f t="shared" ca="1" si="9"/>
        <v>5.8046907015869154E-7</v>
      </c>
      <c r="H72" s="70">
        <f t="shared" ca="1" si="4"/>
        <v>4.7017994682854008E-6</v>
      </c>
    </row>
    <row r="73" spans="2:8" x14ac:dyDescent="0.25">
      <c r="B73" s="46">
        <f t="shared" si="5"/>
        <v>63</v>
      </c>
      <c r="C73" s="22">
        <f t="shared" si="10"/>
        <v>107</v>
      </c>
      <c r="D73" s="70">
        <f t="shared" ca="1" si="6"/>
        <v>4.7017994682854008E-6</v>
      </c>
      <c r="E73" s="70">
        <f t="shared" ca="1" si="7"/>
        <v>0</v>
      </c>
      <c r="F73" s="70">
        <f t="shared" ca="1" si="8"/>
        <v>4.2316195214568615E-7</v>
      </c>
      <c r="G73" s="70">
        <f t="shared" ca="1" si="9"/>
        <v>4.7017994682854011E-7</v>
      </c>
      <c r="H73" s="70">
        <f t="shared" ca="1" si="4"/>
        <v>3.8084575693111747E-6</v>
      </c>
    </row>
    <row r="74" spans="2:8" x14ac:dyDescent="0.25">
      <c r="B74" s="46">
        <f t="shared" si="5"/>
        <v>64</v>
      </c>
      <c r="C74" s="22">
        <f t="shared" si="10"/>
        <v>108</v>
      </c>
      <c r="D74" s="70">
        <f t="shared" ca="1" si="6"/>
        <v>3.8084575693111747E-6</v>
      </c>
      <c r="E74" s="70">
        <f t="shared" ca="1" si="7"/>
        <v>0</v>
      </c>
      <c r="F74" s="70">
        <f t="shared" ca="1" si="8"/>
        <v>3.427611812380057E-7</v>
      </c>
      <c r="G74" s="70">
        <f t="shared" ca="1" si="9"/>
        <v>3.8084575693111747E-7</v>
      </c>
      <c r="H74" s="70">
        <f t="shared" ca="1" si="4"/>
        <v>3.0848506311420517E-6</v>
      </c>
    </row>
    <row r="75" spans="2:8" x14ac:dyDescent="0.25">
      <c r="B75" s="46">
        <f t="shared" si="5"/>
        <v>65</v>
      </c>
      <c r="C75" s="22">
        <f t="shared" si="10"/>
        <v>109</v>
      </c>
      <c r="D75" s="70">
        <f t="shared" ca="1" si="6"/>
        <v>3.0848506311420517E-6</v>
      </c>
      <c r="E75" s="70">
        <f t="shared" ref="E75:E81" ca="1" si="11">IF($D$2="A",(D75-G75)*withdraw_rate*(C75&lt;$D$5),(D75-G75)*withdraw_rate*(C75&lt;&gt;$D$5))</f>
        <v>0</v>
      </c>
      <c r="F75" s="70">
        <f t="shared" ref="F75:F81" ca="1" si="12">IF($D$2="A",(D75-G75)*retire_rate_A*(C75&gt;=$D$5),(D75-G75)*100%*(C75=$D$5))</f>
        <v>2.7763655680278468E-7</v>
      </c>
      <c r="G75" s="70">
        <f t="shared" ref="G75:G81" ca="1" si="13">IF($D$2="A",D75*mort_rate_A*(C75&gt;=$D$5),0)</f>
        <v>3.084850631142052E-7</v>
      </c>
      <c r="H75" s="70">
        <f t="shared" ca="1" si="4"/>
        <v>2.4987290112250619E-6</v>
      </c>
    </row>
    <row r="76" spans="2:8" x14ac:dyDescent="0.25">
      <c r="B76" s="46">
        <f t="shared" si="5"/>
        <v>66</v>
      </c>
      <c r="C76" s="22">
        <f t="shared" ref="C76:C81" si="14">IF(C75="","",IF($D$2="A",C75+1,IF(C75+1&gt;$D$5,"",C75+1)))</f>
        <v>110</v>
      </c>
      <c r="D76" s="70">
        <f t="shared" ca="1" si="6"/>
        <v>2.4987290112250619E-6</v>
      </c>
      <c r="E76" s="70">
        <f t="shared" ca="1" si="11"/>
        <v>0</v>
      </c>
      <c r="F76" s="70">
        <f t="shared" ca="1" si="12"/>
        <v>2.2488561101025559E-7</v>
      </c>
      <c r="G76" s="70">
        <f t="shared" ca="1" si="13"/>
        <v>2.498729011225062E-7</v>
      </c>
      <c r="H76" s="70">
        <f t="shared" ref="H76:H81" ca="1" si="15">D76-E76-F76-G76</f>
        <v>2.0239704990923002E-6</v>
      </c>
    </row>
    <row r="77" spans="2:8" x14ac:dyDescent="0.25">
      <c r="B77" s="46">
        <f t="shared" ref="B77:B81" si="16">IF($C77="","",B76+1)</f>
        <v>67</v>
      </c>
      <c r="C77" s="22">
        <f t="shared" si="14"/>
        <v>111</v>
      </c>
      <c r="D77" s="70">
        <f t="shared" ref="D77:D81" ca="1" si="17">H76</f>
        <v>2.0239704990923002E-6</v>
      </c>
      <c r="E77" s="70">
        <f t="shared" ca="1" si="11"/>
        <v>0</v>
      </c>
      <c r="F77" s="70">
        <f t="shared" ca="1" si="12"/>
        <v>1.8215734491830702E-7</v>
      </c>
      <c r="G77" s="70">
        <f t="shared" ca="1" si="13"/>
        <v>2.0239704990923002E-7</v>
      </c>
      <c r="H77" s="70">
        <f t="shared" ca="1" si="15"/>
        <v>1.6394161042647631E-6</v>
      </c>
    </row>
    <row r="78" spans="2:8" x14ac:dyDescent="0.25">
      <c r="B78" s="46">
        <f t="shared" si="16"/>
        <v>68</v>
      </c>
      <c r="C78" s="22">
        <f t="shared" si="14"/>
        <v>112</v>
      </c>
      <c r="D78" s="70">
        <f t="shared" ca="1" si="17"/>
        <v>1.6394161042647631E-6</v>
      </c>
      <c r="E78" s="70">
        <f t="shared" ca="1" si="11"/>
        <v>0</v>
      </c>
      <c r="F78" s="70">
        <f t="shared" ca="1" si="12"/>
        <v>1.4754744938382867E-7</v>
      </c>
      <c r="G78" s="70">
        <f t="shared" ca="1" si="13"/>
        <v>1.6394161042647631E-7</v>
      </c>
      <c r="H78" s="70">
        <f t="shared" ca="1" si="15"/>
        <v>1.327927044454458E-6</v>
      </c>
    </row>
    <row r="79" spans="2:8" x14ac:dyDescent="0.25">
      <c r="B79" s="46">
        <f t="shared" si="16"/>
        <v>69</v>
      </c>
      <c r="C79" s="22">
        <f t="shared" si="14"/>
        <v>113</v>
      </c>
      <c r="D79" s="70">
        <f t="shared" ca="1" si="17"/>
        <v>1.327927044454458E-6</v>
      </c>
      <c r="E79" s="70">
        <f t="shared" ca="1" si="11"/>
        <v>0</v>
      </c>
      <c r="F79" s="70">
        <f t="shared" ca="1" si="12"/>
        <v>1.1951343400090122E-7</v>
      </c>
      <c r="G79" s="70">
        <f t="shared" ca="1" si="13"/>
        <v>1.3279270444544581E-7</v>
      </c>
      <c r="H79" s="70">
        <f t="shared" ca="1" si="15"/>
        <v>1.0756209060081111E-6</v>
      </c>
    </row>
    <row r="80" spans="2:8" x14ac:dyDescent="0.25">
      <c r="B80" s="46">
        <f t="shared" si="16"/>
        <v>70</v>
      </c>
      <c r="C80" s="22">
        <f t="shared" si="14"/>
        <v>114</v>
      </c>
      <c r="D80" s="70">
        <f t="shared" ca="1" si="17"/>
        <v>1.0756209060081111E-6</v>
      </c>
      <c r="E80" s="70">
        <f t="shared" ca="1" si="11"/>
        <v>0</v>
      </c>
      <c r="F80" s="70">
        <f t="shared" ca="1" si="12"/>
        <v>9.6805881540729997E-8</v>
      </c>
      <c r="G80" s="70">
        <f t="shared" ca="1" si="13"/>
        <v>1.0756209060081111E-7</v>
      </c>
      <c r="H80" s="70">
        <f t="shared" ca="1" si="15"/>
        <v>8.7125293386656994E-7</v>
      </c>
    </row>
    <row r="81" spans="2:8" x14ac:dyDescent="0.25">
      <c r="B81" s="46">
        <f t="shared" si="16"/>
        <v>71</v>
      </c>
      <c r="C81" s="22">
        <f t="shared" si="14"/>
        <v>115</v>
      </c>
      <c r="D81" s="70">
        <f t="shared" ca="1" si="17"/>
        <v>8.7125293386656994E-7</v>
      </c>
      <c r="E81" s="70">
        <f t="shared" ca="1" si="11"/>
        <v>0</v>
      </c>
      <c r="F81" s="70">
        <f t="shared" ca="1" si="12"/>
        <v>7.8412764047991292E-8</v>
      </c>
      <c r="G81" s="70">
        <f t="shared" ca="1" si="13"/>
        <v>8.7125293386657E-8</v>
      </c>
      <c r="H81" s="70">
        <f t="shared" ca="1" si="15"/>
        <v>7.0571487643192162E-7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AB84"/>
  <sheetViews>
    <sheetView tabSelected="1" zoomScale="85" zoomScaleNormal="85" workbookViewId="0">
      <selection activeCell="H18" sqref="H18"/>
    </sheetView>
  </sheetViews>
  <sheetFormatPr defaultRowHeight="15" x14ac:dyDescent="0.25"/>
  <cols>
    <col min="1" max="1" width="3" customWidth="1"/>
    <col min="2" max="2" width="14.85546875" customWidth="1"/>
    <col min="3" max="3" width="17.85546875" bestFit="1" customWidth="1"/>
    <col min="4" max="4" width="11.140625" customWidth="1"/>
    <col min="5" max="5" width="16.28515625" customWidth="1"/>
    <col min="6" max="6" width="15.7109375" customWidth="1"/>
    <col min="7" max="7" width="12.140625" customWidth="1"/>
    <col min="8" max="17" width="15.7109375" customWidth="1"/>
    <col min="18" max="18" width="12.85546875" customWidth="1"/>
    <col min="19" max="19" width="16.28515625" customWidth="1"/>
    <col min="20" max="20" width="14.28515625" bestFit="1" customWidth="1"/>
    <col min="21" max="22" width="11.5703125" bestFit="1" customWidth="1"/>
    <col min="23" max="23" width="10.5703125" bestFit="1" customWidth="1"/>
    <col min="24" max="28" width="11.5703125" bestFit="1" customWidth="1"/>
  </cols>
  <sheetData>
    <row r="1" spans="1:17" ht="16.5" thickBot="1" x14ac:dyDescent="0.3">
      <c r="A1" s="102" t="s">
        <v>81</v>
      </c>
    </row>
    <row r="2" spans="1:17" ht="16.5" thickBot="1" x14ac:dyDescent="0.3">
      <c r="B2" s="107" t="s">
        <v>32</v>
      </c>
      <c r="C2" s="58" t="s">
        <v>44</v>
      </c>
      <c r="D2" s="59" t="str">
        <f>RIGHT($B$3,1)</f>
        <v>B</v>
      </c>
      <c r="H2" s="103" t="s">
        <v>102</v>
      </c>
      <c r="I2" s="104"/>
      <c r="J2" s="104"/>
      <c r="K2" s="104"/>
      <c r="L2" s="104"/>
      <c r="M2" s="104"/>
      <c r="N2" s="104"/>
      <c r="O2" s="104"/>
      <c r="P2" s="104"/>
      <c r="Q2" s="104"/>
    </row>
    <row r="3" spans="1:17" ht="16.5" thickBot="1" x14ac:dyDescent="0.3">
      <c r="B3" s="108" t="str">
        <f>EAN_Projection!B3</f>
        <v>40B</v>
      </c>
      <c r="C3" s="58" t="s">
        <v>101</v>
      </c>
      <c r="D3" s="59">
        <f>VLOOKUP($B$3,'opening demographics'!$A$1:$E$11,3,FALSE)</f>
        <v>220</v>
      </c>
      <c r="F3" s="96" t="s">
        <v>97</v>
      </c>
      <c r="G3" s="101" t="str">
        <f>B3</f>
        <v>40B</v>
      </c>
      <c r="H3" s="85" t="s">
        <v>33</v>
      </c>
      <c r="I3" s="86" t="s">
        <v>87</v>
      </c>
      <c r="J3" s="86" t="s">
        <v>89</v>
      </c>
      <c r="K3" s="86" t="s">
        <v>91</v>
      </c>
      <c r="L3" s="87" t="s">
        <v>93</v>
      </c>
      <c r="M3" s="88" t="s">
        <v>85</v>
      </c>
      <c r="N3" s="86" t="s">
        <v>86</v>
      </c>
      <c r="O3" s="86" t="s">
        <v>88</v>
      </c>
      <c r="P3" s="86" t="s">
        <v>90</v>
      </c>
      <c r="Q3" s="89" t="s">
        <v>92</v>
      </c>
    </row>
    <row r="4" spans="1:17" x14ac:dyDescent="0.25">
      <c r="C4" s="58" t="s">
        <v>45</v>
      </c>
      <c r="D4" s="59">
        <f>VALUE(LEFT($B$3,2))</f>
        <v>40</v>
      </c>
      <c r="F4" s="97" t="s">
        <v>98</v>
      </c>
      <c r="G4" s="99">
        <f>D3</f>
        <v>220</v>
      </c>
      <c r="H4" s="90">
        <f t="dataTable" ref="H4:Q7" dt2D="0" dtr="1" r1="B3" ca="1"/>
        <v>20</v>
      </c>
      <c r="I4" s="91">
        <v>15</v>
      </c>
      <c r="J4" s="91">
        <v>30</v>
      </c>
      <c r="K4" s="91">
        <v>25</v>
      </c>
      <c r="L4" s="92">
        <v>10</v>
      </c>
      <c r="M4" s="93">
        <v>210</v>
      </c>
      <c r="N4" s="91">
        <v>220</v>
      </c>
      <c r="O4" s="91">
        <v>240</v>
      </c>
      <c r="P4" s="91">
        <v>180</v>
      </c>
      <c r="Q4" s="94">
        <v>50</v>
      </c>
    </row>
    <row r="5" spans="1:17" x14ac:dyDescent="0.25">
      <c r="C5" s="58" t="s">
        <v>46</v>
      </c>
      <c r="D5" s="59">
        <f ca="1">INDIRECT("NRA_"&amp;$D$2)</f>
        <v>60</v>
      </c>
      <c r="F5" s="97" t="s">
        <v>29</v>
      </c>
      <c r="G5" s="100">
        <f ca="1">I14</f>
        <v>2781.4118006497902</v>
      </c>
      <c r="H5" s="90">
        <v>9718.9927433616194</v>
      </c>
      <c r="I5" s="91">
        <v>15080.597806276177</v>
      </c>
      <c r="J5" s="91">
        <v>17894.450538829002</v>
      </c>
      <c r="K5" s="91">
        <v>19240.000000000004</v>
      </c>
      <c r="L5" s="92">
        <v>26443.952496513255</v>
      </c>
      <c r="M5" s="93">
        <v>1955.2936564113406</v>
      </c>
      <c r="N5" s="91">
        <v>2781.4118006497902</v>
      </c>
      <c r="O5" s="91">
        <v>3429.9198483455698</v>
      </c>
      <c r="P5" s="91">
        <v>4199.6385794697735</v>
      </c>
      <c r="Q5" s="94">
        <v>4742.7064247790113</v>
      </c>
    </row>
    <row r="6" spans="1:17" x14ac:dyDescent="0.25">
      <c r="C6" s="58" t="s">
        <v>47</v>
      </c>
      <c r="D6" s="60">
        <f ca="1">INDIRECT("accrual_rate_"&amp;$D$2)</f>
        <v>0.05</v>
      </c>
      <c r="F6" s="97" t="s">
        <v>100</v>
      </c>
      <c r="G6" s="100">
        <f ca="1">E15</f>
        <v>88305.901138100089</v>
      </c>
      <c r="H6" s="90">
        <v>103648.4317092171</v>
      </c>
      <c r="I6" s="91">
        <v>155472.64756382565</v>
      </c>
      <c r="J6" s="91">
        <v>181384.75549112991</v>
      </c>
      <c r="K6" s="91">
        <v>191749.59866205163</v>
      </c>
      <c r="L6" s="92">
        <v>259121.07927304273</v>
      </c>
      <c r="M6" s="93">
        <v>79170.807916917329</v>
      </c>
      <c r="N6" s="91">
        <v>88305.901138100089</v>
      </c>
      <c r="O6" s="91">
        <v>96425.984001373668</v>
      </c>
      <c r="P6" s="91">
        <v>104546.06686464723</v>
      </c>
      <c r="Q6" s="94">
        <v>104546.06686464723</v>
      </c>
    </row>
    <row r="7" spans="1:17" ht="15.75" thickBot="1" x14ac:dyDescent="0.3">
      <c r="C7" s="58" t="s">
        <v>48</v>
      </c>
      <c r="D7" s="61">
        <f>VLOOKUP($B$3,'opening demographics'!$A$1:$E$11,4,FALSE)</f>
        <v>87000</v>
      </c>
      <c r="F7" s="98" t="s">
        <v>40</v>
      </c>
      <c r="G7" s="127" t="str">
        <f ca="1">O13</f>
        <v>Pass</v>
      </c>
      <c r="H7" s="131" t="str">
        <v>Pass</v>
      </c>
      <c r="I7" s="132" t="str">
        <v>Pass</v>
      </c>
      <c r="J7" s="132" t="str">
        <v>Pass</v>
      </c>
      <c r="K7" s="132" t="str">
        <v>Pass</v>
      </c>
      <c r="L7" s="133" t="str">
        <v>Pass</v>
      </c>
      <c r="M7" s="132" t="str">
        <v>Pass</v>
      </c>
      <c r="N7" s="132" t="str">
        <v>Pass</v>
      </c>
      <c r="O7" s="132" t="str">
        <v>Pass</v>
      </c>
      <c r="P7" s="132" t="str">
        <v>Pass</v>
      </c>
      <c r="Q7" s="134" t="str">
        <v>Pass</v>
      </c>
    </row>
    <row r="8" spans="1:17" x14ac:dyDescent="0.25">
      <c r="C8" s="58" t="s">
        <v>49</v>
      </c>
      <c r="D8" s="62">
        <f ca="1">INDIRECT("e_"&amp;$D$2)</f>
        <v>1.501035790919647E-2</v>
      </c>
      <c r="H8" s="129" t="s">
        <v>104</v>
      </c>
      <c r="I8" s="130" t="s">
        <v>12</v>
      </c>
      <c r="J8" s="130" t="s">
        <v>11</v>
      </c>
      <c r="K8" s="80"/>
      <c r="L8" s="80"/>
      <c r="M8" s="80"/>
      <c r="N8" s="80"/>
      <c r="O8" s="80"/>
      <c r="P8" s="80"/>
      <c r="Q8" s="81"/>
    </row>
    <row r="9" spans="1:17" x14ac:dyDescent="0.25">
      <c r="H9" s="109" t="s">
        <v>94</v>
      </c>
      <c r="I9" s="84">
        <f>SUMPRODUCT(H4:L4,H5:L5)</f>
        <v>1702861.8630913778</v>
      </c>
      <c r="J9" s="84">
        <f>SUMPRODUCT(M4:Q4,M5:Q5)</f>
        <v>2838773.2931357818</v>
      </c>
      <c r="K9" s="80"/>
      <c r="L9" s="80"/>
      <c r="M9" s="80"/>
      <c r="N9" s="80"/>
      <c r="O9" s="80"/>
      <c r="P9" s="80"/>
      <c r="Q9" s="81"/>
    </row>
    <row r="10" spans="1:17" x14ac:dyDescent="0.25">
      <c r="H10" s="109" t="s">
        <v>95</v>
      </c>
      <c r="I10" s="84">
        <f>SUMPRODUCT(H6:L6,H4:L4)</f>
        <v>17231551.77165734</v>
      </c>
      <c r="J10" s="84">
        <f>SUMPRODUCT(M6:Q6,M4:Q4)</f>
        <v>83240999.452133209</v>
      </c>
      <c r="K10" s="80"/>
      <c r="L10" s="80"/>
      <c r="M10" s="80"/>
      <c r="N10" s="80"/>
      <c r="O10" s="80"/>
      <c r="P10" s="80"/>
      <c r="Q10" s="81"/>
    </row>
    <row r="11" spans="1:17" ht="15.75" thickBot="1" x14ac:dyDescent="0.3">
      <c r="H11" s="110" t="s">
        <v>96</v>
      </c>
      <c r="I11" s="128">
        <f>I9/I10</f>
        <v>9.882231650734237E-2</v>
      </c>
      <c r="J11" s="128">
        <f>J9/J10</f>
        <v>3.4103065938896927E-2</v>
      </c>
      <c r="K11" s="82"/>
      <c r="L11" s="82"/>
      <c r="M11" s="82"/>
      <c r="N11" s="82"/>
      <c r="O11" s="82"/>
      <c r="P11" s="82"/>
      <c r="Q11" s="83"/>
    </row>
    <row r="13" spans="1:17" ht="51.75" customHeight="1" x14ac:dyDescent="0.25">
      <c r="B13" s="57" t="s">
        <v>99</v>
      </c>
      <c r="C13" s="57" t="s">
        <v>38</v>
      </c>
      <c r="D13" s="57" t="s">
        <v>35</v>
      </c>
      <c r="E13" s="57" t="s">
        <v>39</v>
      </c>
      <c r="F13" s="57" t="s">
        <v>36</v>
      </c>
      <c r="G13" s="57" t="s">
        <v>37</v>
      </c>
      <c r="H13" s="57" t="s">
        <v>43</v>
      </c>
      <c r="I13" s="57" t="s">
        <v>70</v>
      </c>
      <c r="J13" s="57" t="s">
        <v>83</v>
      </c>
      <c r="K13" s="57" t="s">
        <v>41</v>
      </c>
      <c r="L13" s="57" t="s">
        <v>84</v>
      </c>
      <c r="N13" s="106" t="s">
        <v>103</v>
      </c>
      <c r="O13" s="105" t="str">
        <f ca="1">IF(ABS(SUM(O14:O84))&lt;0.0001,"Pass","Check!")</f>
        <v>Pass</v>
      </c>
    </row>
    <row r="14" spans="1:17" x14ac:dyDescent="0.25">
      <c r="B14" s="46">
        <v>0</v>
      </c>
      <c r="C14" s="63">
        <f>D4</f>
        <v>40</v>
      </c>
      <c r="D14" s="64">
        <f ca="1">D6</f>
        <v>0.05</v>
      </c>
      <c r="E14" s="65">
        <f>D7</f>
        <v>87000</v>
      </c>
      <c r="F14" s="66">
        <f ca="1">D8</f>
        <v>1.501035790919647E-2</v>
      </c>
      <c r="G14" s="51">
        <f t="shared" ref="G14" si="0">i</f>
        <v>0.04</v>
      </c>
      <c r="H14" s="48">
        <f ca="1">IF($C14="","",
D14*((1+F14)/(1+G14))^($D$5-C14-1))</f>
        <v>3.1497462398350794E-2</v>
      </c>
      <c r="I14" s="49">
        <f ca="1">IF($C15="",0,
H14*E14*(1+F14))</f>
        <v>2781.4118006497902</v>
      </c>
      <c r="J14" s="49">
        <f ca="1">IF($C14="",0,
D14*E14*B14*((1+F14)/(1+G14))^($D$5-C14))</f>
        <v>0</v>
      </c>
      <c r="K14" s="113">
        <f ca="1">I14</f>
        <v>2781.4118006497902</v>
      </c>
      <c r="L14" s="53">
        <f ca="1">K14*Assumptions!$B$18</f>
        <v>2086.0588504873426</v>
      </c>
      <c r="N14" s="77">
        <f t="shared" ref="N14:N45" ca="1" si="1">IF($C15="","",J15-J14*(1+i))</f>
        <v>2781.4118006497897</v>
      </c>
      <c r="O14" s="56">
        <f t="shared" ref="O14:O61" ca="1" si="2">IFERROR(N14-I14,"")</f>
        <v>-4.5474735088646412E-13</v>
      </c>
    </row>
    <row r="15" spans="1:17" x14ac:dyDescent="0.25">
      <c r="B15" s="46">
        <f ca="1">IF($C15="","",B14+1)</f>
        <v>1</v>
      </c>
      <c r="C15" s="22">
        <f t="shared" ref="C15:C46" ca="1" si="3">IF(C14="","",IF($D$2="A",C14+1,IF(C14+1&gt;$D$5,"",C14+1)))</f>
        <v>41</v>
      </c>
      <c r="D15" s="47">
        <f ca="1">IF($C15="","",D14)</f>
        <v>0.05</v>
      </c>
      <c r="E15" s="50">
        <f ca="1">IF($C15="","",E14*(1+F14))</f>
        <v>88305.901138100089</v>
      </c>
      <c r="F15" s="51">
        <f ca="1">IF($C15="","",F14)</f>
        <v>1.501035790919647E-2</v>
      </c>
      <c r="G15" s="51">
        <f ca="1">IF($C15="","",G14)</f>
        <v>0.04</v>
      </c>
      <c r="H15" s="48">
        <f t="shared" ref="H15:H78" ca="1" si="4">IF($C15="","",
D15*((1+F15)/(1+G15))^($D$5-C15-1))</f>
        <v>3.2272932624807085E-2</v>
      </c>
      <c r="I15" s="49">
        <f t="shared" ref="I15:I78" ca="1" si="5">IF($C16="",0,
H15*E15*(1+F15))</f>
        <v>2892.6682726757813</v>
      </c>
      <c r="J15" s="49">
        <f t="shared" ref="J15:J78" ca="1" si="6">IF($C15="",0,
D15*E15*B15*((1+F15)/(1+G15))^($D$5-C15))</f>
        <v>2781.4118006497897</v>
      </c>
      <c r="K15" s="52">
        <f t="shared" ref="K15:K46" ca="1" si="7">IF($C15="",0,
K14*(1+i)+I15)</f>
        <v>5785.3365453515635</v>
      </c>
      <c r="L15" s="53">
        <f ca="1">K15*Assumptions!$B$18</f>
        <v>4339.0024090136721</v>
      </c>
      <c r="N15" s="77">
        <f t="shared" ca="1" si="1"/>
        <v>2892.6682726757813</v>
      </c>
      <c r="O15" s="56">
        <f t="shared" ca="1" si="2"/>
        <v>0</v>
      </c>
    </row>
    <row r="16" spans="1:17" x14ac:dyDescent="0.25">
      <c r="B16" s="46">
        <f t="shared" ref="B16:B61" ca="1" si="8">IF($C16="","",B15+1)</f>
        <v>2</v>
      </c>
      <c r="C16" s="22">
        <f t="shared" ca="1" si="3"/>
        <v>42</v>
      </c>
      <c r="D16" s="47">
        <f t="shared" ref="D16:D61" ca="1" si="9">IF($C16="","",D15)</f>
        <v>0.05</v>
      </c>
      <c r="E16" s="50">
        <f t="shared" ref="E16:E79" ca="1" si="10">IF($C16="","",E15*(1+F15))</f>
        <v>89631.404319677094</v>
      </c>
      <c r="F16" s="51">
        <f t="shared" ref="F16:F61" ca="1" si="11">IF($C16="","",F15)</f>
        <v>1.501035790919647E-2</v>
      </c>
      <c r="G16" s="51">
        <f t="shared" ref="G16:G61" ca="1" si="12">IF($C16="","",G15)</f>
        <v>0.04</v>
      </c>
      <c r="H16" s="48">
        <f t="shared" ca="1" si="4"/>
        <v>3.3067494994767348E-2</v>
      </c>
      <c r="I16" s="49">
        <f t="shared" ca="1" si="5"/>
        <v>3008.375003582813</v>
      </c>
      <c r="J16" s="49">
        <f t="shared" ca="1" si="6"/>
        <v>5785.3365453515626</v>
      </c>
      <c r="K16" s="52">
        <f t="shared" ca="1" si="7"/>
        <v>9025.1250107484393</v>
      </c>
      <c r="L16" s="53">
        <f ca="1">K16*Assumptions!$B$18</f>
        <v>6768.8437580613299</v>
      </c>
      <c r="N16" s="77">
        <f t="shared" ca="1" si="1"/>
        <v>3008.3750035828143</v>
      </c>
      <c r="O16" s="56">
        <f t="shared" ca="1" si="2"/>
        <v>1.3642420526593924E-12</v>
      </c>
    </row>
    <row r="17" spans="2:28" x14ac:dyDescent="0.25">
      <c r="B17" s="46">
        <f t="shared" ca="1" si="8"/>
        <v>3</v>
      </c>
      <c r="C17" s="22">
        <f t="shared" ca="1" si="3"/>
        <v>43</v>
      </c>
      <c r="D17" s="47">
        <f t="shared" ca="1" si="9"/>
        <v>0.05</v>
      </c>
      <c r="E17" s="50">
        <f t="shared" ca="1" si="10"/>
        <v>90976.803778419344</v>
      </c>
      <c r="F17" s="51">
        <f t="shared" ca="1" si="11"/>
        <v>1.501035790919647E-2</v>
      </c>
      <c r="G17" s="51">
        <f t="shared" ca="1" si="12"/>
        <v>0.04</v>
      </c>
      <c r="H17" s="48">
        <f t="shared" ca="1" si="4"/>
        <v>3.3881619558442592E-2</v>
      </c>
      <c r="I17" s="49">
        <f t="shared" ca="1" si="5"/>
        <v>3128.7100037261257</v>
      </c>
      <c r="J17" s="49">
        <f t="shared" ca="1" si="6"/>
        <v>9025.1250107484393</v>
      </c>
      <c r="K17" s="52">
        <f t="shared" ca="1" si="7"/>
        <v>12514.840014904503</v>
      </c>
      <c r="L17" s="53">
        <f ca="1">K17*Assumptions!$B$18</f>
        <v>9386.1300111783767</v>
      </c>
      <c r="N17" s="77">
        <f t="shared" ca="1" si="1"/>
        <v>3128.7100037261262</v>
      </c>
      <c r="O17" s="56">
        <f t="shared" ca="1" si="2"/>
        <v>4.5474735088646412E-13</v>
      </c>
    </row>
    <row r="18" spans="2:28" x14ac:dyDescent="0.25">
      <c r="B18" s="46">
        <f t="shared" ca="1" si="8"/>
        <v>4</v>
      </c>
      <c r="C18" s="22">
        <f t="shared" ca="1" si="3"/>
        <v>44</v>
      </c>
      <c r="D18" s="47">
        <f t="shared" ca="1" si="9"/>
        <v>0.05</v>
      </c>
      <c r="E18" s="50">
        <f t="shared" ca="1" si="10"/>
        <v>92342.398164568149</v>
      </c>
      <c r="F18" s="51">
        <f t="shared" ca="1" si="11"/>
        <v>1.501035790919647E-2</v>
      </c>
      <c r="G18" s="51">
        <f t="shared" ca="1" si="12"/>
        <v>0.04</v>
      </c>
      <c r="H18" s="48">
        <f t="shared" ca="1" si="4"/>
        <v>3.4715787938720342E-2</v>
      </c>
      <c r="I18" s="49">
        <f t="shared" ca="1" si="5"/>
        <v>3253.858403875171</v>
      </c>
      <c r="J18" s="49">
        <f t="shared" ca="1" si="6"/>
        <v>12514.840014904503</v>
      </c>
      <c r="K18" s="52">
        <f t="shared" ca="1" si="7"/>
        <v>16269.292019375855</v>
      </c>
      <c r="L18" s="53">
        <f ca="1">K18*Assumptions!$B$18</f>
        <v>12201.969014531891</v>
      </c>
      <c r="N18" s="77">
        <f t="shared" ca="1" si="1"/>
        <v>3253.8584038751724</v>
      </c>
      <c r="O18" s="56">
        <f t="shared" ca="1" si="2"/>
        <v>1.3642420526593924E-12</v>
      </c>
    </row>
    <row r="19" spans="2:28" x14ac:dyDescent="0.25">
      <c r="B19" s="46">
        <f t="shared" ca="1" si="8"/>
        <v>5</v>
      </c>
      <c r="C19" s="22">
        <f t="shared" ca="1" si="3"/>
        <v>45</v>
      </c>
      <c r="D19" s="47">
        <f t="shared" ca="1" si="9"/>
        <v>0.05</v>
      </c>
      <c r="E19" s="50">
        <f t="shared" ca="1" si="10"/>
        <v>93728.490611211848</v>
      </c>
      <c r="F19" s="51">
        <f t="shared" ca="1" si="11"/>
        <v>1.501035790919647E-2</v>
      </c>
      <c r="G19" s="51">
        <f t="shared" ca="1" si="12"/>
        <v>0.04</v>
      </c>
      <c r="H19" s="48">
        <f t="shared" ca="1" si="4"/>
        <v>3.5570493616084935E-2</v>
      </c>
      <c r="I19" s="49">
        <f t="shared" ca="1" si="5"/>
        <v>3384.0127400301781</v>
      </c>
      <c r="J19" s="49">
        <f t="shared" ca="1" si="6"/>
        <v>16269.292019375856</v>
      </c>
      <c r="K19" s="52">
        <f t="shared" ca="1" si="7"/>
        <v>20304.076440181067</v>
      </c>
      <c r="L19" s="53">
        <f ca="1">K19*Assumptions!$B$18</f>
        <v>15228.0573301358</v>
      </c>
      <c r="N19" s="77">
        <f t="shared" ca="1" si="1"/>
        <v>3384.0127400301753</v>
      </c>
      <c r="O19" s="56">
        <f t="shared" ca="1" si="2"/>
        <v>-2.7284841053187847E-12</v>
      </c>
    </row>
    <row r="20" spans="2:28" x14ac:dyDescent="0.25">
      <c r="B20" s="46">
        <f t="shared" ca="1" si="8"/>
        <v>6</v>
      </c>
      <c r="C20" s="22">
        <f t="shared" ca="1" si="3"/>
        <v>46</v>
      </c>
      <c r="D20" s="47">
        <f t="shared" ca="1" si="9"/>
        <v>0.05</v>
      </c>
      <c r="E20" s="50">
        <f t="shared" ca="1" si="10"/>
        <v>95135.388801574896</v>
      </c>
      <c r="F20" s="51">
        <f t="shared" ca="1" si="11"/>
        <v>1.501035790919647E-2</v>
      </c>
      <c r="G20" s="51">
        <f t="shared" ca="1" si="12"/>
        <v>0.04</v>
      </c>
      <c r="H20" s="48">
        <f t="shared" ca="1" si="4"/>
        <v>3.644624222055258E-2</v>
      </c>
      <c r="I20" s="49">
        <f t="shared" ca="1" si="5"/>
        <v>3519.373249631386</v>
      </c>
      <c r="J20" s="49">
        <f t="shared" ca="1" si="6"/>
        <v>20304.076440181067</v>
      </c>
      <c r="K20" s="52">
        <f t="shared" ca="1" si="7"/>
        <v>24635.612747419695</v>
      </c>
      <c r="L20" s="53">
        <f ca="1">K20*Assumptions!$B$18</f>
        <v>18476.70956056477</v>
      </c>
      <c r="N20" s="77">
        <f t="shared" ca="1" si="1"/>
        <v>3519.3732496313896</v>
      </c>
      <c r="O20" s="56">
        <f t="shared" ca="1" si="2"/>
        <v>3.637978807091713E-12</v>
      </c>
    </row>
    <row r="21" spans="2:28" x14ac:dyDescent="0.25">
      <c r="B21" s="46">
        <f t="shared" ca="1" si="8"/>
        <v>7</v>
      </c>
      <c r="C21" s="22">
        <f t="shared" ca="1" si="3"/>
        <v>47</v>
      </c>
      <c r="D21" s="47">
        <f t="shared" ca="1" si="9"/>
        <v>0.05</v>
      </c>
      <c r="E21" s="50">
        <f t="shared" ca="1" si="10"/>
        <v>96563.40503731709</v>
      </c>
      <c r="F21" s="51">
        <f t="shared" ca="1" si="11"/>
        <v>1.501035790919647E-2</v>
      </c>
      <c r="G21" s="51">
        <f t="shared" ca="1" si="12"/>
        <v>0.04</v>
      </c>
      <c r="H21" s="48">
        <f t="shared" ca="1" si="4"/>
        <v>3.7343551830793839E-2</v>
      </c>
      <c r="I21" s="49">
        <f t="shared" ca="1" si="5"/>
        <v>3660.1481796166413</v>
      </c>
      <c r="J21" s="49">
        <f t="shared" ca="1" si="6"/>
        <v>24635.612747419698</v>
      </c>
      <c r="K21" s="52">
        <f t="shared" ca="1" si="7"/>
        <v>29281.185436933123</v>
      </c>
      <c r="L21" s="53">
        <f ca="1">K21*Assumptions!$B$18</f>
        <v>21960.889077699841</v>
      </c>
      <c r="N21" s="77">
        <f t="shared" ca="1" si="1"/>
        <v>3660.1481796166445</v>
      </c>
      <c r="O21" s="56">
        <f t="shared" ca="1" si="2"/>
        <v>3.1832314562052488E-12</v>
      </c>
    </row>
    <row r="22" spans="2:28" x14ac:dyDescent="0.25">
      <c r="B22" s="46">
        <f t="shared" ca="1" si="8"/>
        <v>8</v>
      </c>
      <c r="C22" s="22">
        <f t="shared" ca="1" si="3"/>
        <v>48</v>
      </c>
      <c r="D22" s="47">
        <f t="shared" ca="1" si="9"/>
        <v>0.05</v>
      </c>
      <c r="E22" s="50">
        <f t="shared" ca="1" si="10"/>
        <v>98012.856307857932</v>
      </c>
      <c r="F22" s="51">
        <f t="shared" ca="1" si="11"/>
        <v>1.501035790919647E-2</v>
      </c>
      <c r="G22" s="51">
        <f t="shared" ca="1" si="12"/>
        <v>0.04</v>
      </c>
      <c r="H22" s="48">
        <f t="shared" ca="1" si="4"/>
        <v>3.8262953280620619E-2</v>
      </c>
      <c r="I22" s="49">
        <f t="shared" ca="1" si="5"/>
        <v>3806.5541068013076</v>
      </c>
      <c r="J22" s="49">
        <f t="shared" ca="1" si="6"/>
        <v>29281.18543693313</v>
      </c>
      <c r="K22" s="52">
        <f t="shared" ca="1" si="7"/>
        <v>34258.986961211755</v>
      </c>
      <c r="L22" s="53">
        <f ca="1">K22*Assumptions!$B$18</f>
        <v>25694.240220908818</v>
      </c>
      <c r="N22" s="77">
        <f t="shared" ca="1" si="1"/>
        <v>3806.5541068013117</v>
      </c>
      <c r="O22" s="56">
        <f t="shared" ca="1" si="2"/>
        <v>4.0927261579781771E-12</v>
      </c>
    </row>
    <row r="23" spans="2:28" x14ac:dyDescent="0.25">
      <c r="B23" s="46">
        <f t="shared" ca="1" si="8"/>
        <v>9</v>
      </c>
      <c r="C23" s="22">
        <f t="shared" ca="1" si="3"/>
        <v>49</v>
      </c>
      <c r="D23" s="47">
        <f t="shared" ca="1" si="9"/>
        <v>0.05</v>
      </c>
      <c r="E23" s="50">
        <f t="shared" ca="1" si="10"/>
        <v>99484.064360741526</v>
      </c>
      <c r="F23" s="51">
        <f t="shared" ca="1" si="11"/>
        <v>1.501035790919647E-2</v>
      </c>
      <c r="G23" s="51">
        <f t="shared" ca="1" si="12"/>
        <v>0.04</v>
      </c>
      <c r="H23" s="48">
        <f t="shared" ca="1" si="4"/>
        <v>3.92049904730188E-2</v>
      </c>
      <c r="I23" s="49">
        <f t="shared" ca="1" si="5"/>
        <v>3958.8162710733604</v>
      </c>
      <c r="J23" s="49">
        <f t="shared" ca="1" si="6"/>
        <v>34258.986961211769</v>
      </c>
      <c r="K23" s="52">
        <f t="shared" ca="1" si="7"/>
        <v>39588.162710733588</v>
      </c>
      <c r="L23" s="53">
        <f ca="1">K23*Assumptions!$B$18</f>
        <v>29691.122033050189</v>
      </c>
      <c r="N23" s="77">
        <f t="shared" ca="1" si="1"/>
        <v>3958.8162710733595</v>
      </c>
      <c r="O23" s="56">
        <f t="shared" ca="1" si="2"/>
        <v>-9.0949470177292824E-13</v>
      </c>
    </row>
    <row r="24" spans="2:28" x14ac:dyDescent="0.25">
      <c r="B24" s="46">
        <f t="shared" ca="1" si="8"/>
        <v>10</v>
      </c>
      <c r="C24" s="22">
        <f t="shared" ca="1" si="3"/>
        <v>50</v>
      </c>
      <c r="D24" s="47">
        <f t="shared" ca="1" si="9"/>
        <v>0.05</v>
      </c>
      <c r="E24" s="50">
        <f t="shared" ca="1" si="10"/>
        <v>100977.35577305779</v>
      </c>
      <c r="F24" s="51">
        <f t="shared" ca="1" si="11"/>
        <v>1.501035790919647E-2</v>
      </c>
      <c r="G24" s="51">
        <f t="shared" ca="1" si="12"/>
        <v>0.04</v>
      </c>
      <c r="H24" s="48">
        <f t="shared" ca="1" si="4"/>
        <v>4.0170220701912437E-2</v>
      </c>
      <c r="I24" s="49">
        <f t="shared" ca="1" si="5"/>
        <v>4117.1689219162954</v>
      </c>
      <c r="J24" s="49">
        <f t="shared" ca="1" si="6"/>
        <v>39588.162710733603</v>
      </c>
      <c r="K24" s="52">
        <f t="shared" ca="1" si="7"/>
        <v>45288.858141079225</v>
      </c>
      <c r="L24" s="53">
        <f ca="1">K24*Assumptions!$B$18</f>
        <v>33966.643605809419</v>
      </c>
      <c r="N24" s="77">
        <f t="shared" ca="1" si="1"/>
        <v>4117.1689219163018</v>
      </c>
      <c r="O24" s="56">
        <f t="shared" ca="1" si="2"/>
        <v>6.3664629124104977E-12</v>
      </c>
    </row>
    <row r="25" spans="2:28" x14ac:dyDescent="0.25">
      <c r="B25" s="46">
        <f t="shared" ca="1" si="8"/>
        <v>11</v>
      </c>
      <c r="C25" s="22">
        <f t="shared" ca="1" si="3"/>
        <v>51</v>
      </c>
      <c r="D25" s="47">
        <f t="shared" ca="1" si="9"/>
        <v>0.05</v>
      </c>
      <c r="E25" s="50">
        <f t="shared" ca="1" si="10"/>
        <v>102493.06202393565</v>
      </c>
      <c r="F25" s="51">
        <f t="shared" ca="1" si="11"/>
        <v>1.501035790919647E-2</v>
      </c>
      <c r="G25" s="51">
        <f t="shared" ca="1" si="12"/>
        <v>0.04</v>
      </c>
      <c r="H25" s="48">
        <f t="shared" ca="1" si="4"/>
        <v>4.1159214981849809E-2</v>
      </c>
      <c r="I25" s="49">
        <f t="shared" ca="1" si="5"/>
        <v>4281.8556787929474</v>
      </c>
      <c r="J25" s="49">
        <f t="shared" ca="1" si="6"/>
        <v>45288.858141079247</v>
      </c>
      <c r="K25" s="52">
        <f t="shared" ca="1" si="7"/>
        <v>51382.268145515343</v>
      </c>
      <c r="L25" s="53">
        <f ca="1">K25*Assumptions!$B$18</f>
        <v>38536.701109136506</v>
      </c>
      <c r="N25" s="77">
        <f t="shared" ca="1" si="1"/>
        <v>4281.8556787929483</v>
      </c>
      <c r="O25" s="56">
        <f t="shared" ca="1" si="2"/>
        <v>9.0949470177292824E-13</v>
      </c>
    </row>
    <row r="26" spans="2:28" x14ac:dyDescent="0.25">
      <c r="B26" s="46">
        <f t="shared" ca="1" si="8"/>
        <v>12</v>
      </c>
      <c r="C26" s="22">
        <f t="shared" ca="1" si="3"/>
        <v>52</v>
      </c>
      <c r="D26" s="47">
        <f t="shared" ca="1" si="9"/>
        <v>0.05</v>
      </c>
      <c r="E26" s="50">
        <f t="shared" ca="1" si="10"/>
        <v>104031.51956812439</v>
      </c>
      <c r="F26" s="51">
        <f t="shared" ca="1" si="11"/>
        <v>1.501035790919647E-2</v>
      </c>
      <c r="G26" s="51">
        <f t="shared" ca="1" si="12"/>
        <v>0.04</v>
      </c>
      <c r="H26" s="48">
        <f t="shared" ca="1" si="4"/>
        <v>4.2172558385806365E-2</v>
      </c>
      <c r="I26" s="49">
        <f t="shared" ca="1" si="5"/>
        <v>4453.1299059446656</v>
      </c>
      <c r="J26" s="49">
        <f t="shared" ca="1" si="6"/>
        <v>51382.268145515365</v>
      </c>
      <c r="K26" s="52">
        <f t="shared" ca="1" si="7"/>
        <v>57890.688777280629</v>
      </c>
      <c r="L26" s="53">
        <f ca="1">K26*Assumptions!$B$18</f>
        <v>43418.016582960474</v>
      </c>
      <c r="N26" s="77">
        <f t="shared" ca="1" si="1"/>
        <v>4453.1299059446683</v>
      </c>
      <c r="O26" s="56">
        <f t="shared" ca="1" si="2"/>
        <v>2.7284841053187847E-12</v>
      </c>
    </row>
    <row r="27" spans="2:28" x14ac:dyDescent="0.25">
      <c r="B27" s="46">
        <f t="shared" ca="1" si="8"/>
        <v>13</v>
      </c>
      <c r="C27" s="22">
        <f t="shared" ca="1" si="3"/>
        <v>53</v>
      </c>
      <c r="D27" s="47">
        <f t="shared" ca="1" si="9"/>
        <v>0.05</v>
      </c>
      <c r="E27" s="50">
        <f t="shared" ca="1" si="10"/>
        <v>105593.06991067952</v>
      </c>
      <c r="F27" s="51">
        <f t="shared" ca="1" si="11"/>
        <v>1.501035790919647E-2</v>
      </c>
      <c r="G27" s="51">
        <f t="shared" ca="1" si="12"/>
        <v>0.04</v>
      </c>
      <c r="H27" s="48">
        <f t="shared" ca="1" si="4"/>
        <v>4.3210850391304401E-2</v>
      </c>
      <c r="I27" s="49">
        <f t="shared" ca="1" si="5"/>
        <v>4631.255102182452</v>
      </c>
      <c r="J27" s="49">
        <f t="shared" ca="1" si="6"/>
        <v>57890.688777280651</v>
      </c>
      <c r="K27" s="52">
        <f t="shared" ca="1" si="7"/>
        <v>64837.571430554308</v>
      </c>
      <c r="L27" s="53">
        <f ca="1">K27*Assumptions!$B$18</f>
        <v>48628.178572915727</v>
      </c>
      <c r="N27" s="77">
        <f t="shared" ca="1" si="1"/>
        <v>4631.2551021824547</v>
      </c>
      <c r="O27" s="56">
        <f t="shared" ca="1" si="2"/>
        <v>2.7284841053187847E-12</v>
      </c>
    </row>
    <row r="28" spans="2:28" x14ac:dyDescent="0.25">
      <c r="B28" s="46">
        <f t="shared" ca="1" si="8"/>
        <v>14</v>
      </c>
      <c r="C28" s="22">
        <f t="shared" ca="1" si="3"/>
        <v>54</v>
      </c>
      <c r="D28" s="47">
        <f t="shared" ca="1" si="9"/>
        <v>0.05</v>
      </c>
      <c r="E28" s="50">
        <f t="shared" ca="1" si="10"/>
        <v>107178.05968276963</v>
      </c>
      <c r="F28" s="51">
        <f t="shared" ca="1" si="11"/>
        <v>1.501035790919647E-2</v>
      </c>
      <c r="G28" s="51">
        <f t="shared" ca="1" si="12"/>
        <v>0.04</v>
      </c>
      <c r="H28" s="48">
        <f t="shared" ca="1" si="4"/>
        <v>4.4274705235054251E-2</v>
      </c>
      <c r="I28" s="49">
        <f t="shared" ca="1" si="5"/>
        <v>4816.5053062697525</v>
      </c>
      <c r="J28" s="49">
        <f t="shared" ca="1" si="6"/>
        <v>64837.571430554337</v>
      </c>
      <c r="K28" s="52">
        <f t="shared" ca="1" si="7"/>
        <v>72247.579594046241</v>
      </c>
      <c r="L28" s="53">
        <f ca="1">K28*Assumptions!$B$18</f>
        <v>54185.684695534685</v>
      </c>
      <c r="N28" s="77">
        <f t="shared" ca="1" si="1"/>
        <v>4816.5053062697698</v>
      </c>
      <c r="O28" s="56">
        <f t="shared" ca="1" si="2"/>
        <v>1.7280399333685637E-11</v>
      </c>
      <c r="Q28" s="79"/>
    </row>
    <row r="29" spans="2:28" x14ac:dyDescent="0.25">
      <c r="B29" s="46">
        <f t="shared" ca="1" si="8"/>
        <v>15</v>
      </c>
      <c r="C29" s="22">
        <f t="shared" ca="1" si="3"/>
        <v>55</v>
      </c>
      <c r="D29" s="47">
        <f t="shared" ca="1" si="9"/>
        <v>0.05</v>
      </c>
      <c r="E29" s="50">
        <f t="shared" ca="1" si="10"/>
        <v>108786.84071862121</v>
      </c>
      <c r="F29" s="51">
        <f t="shared" ca="1" si="11"/>
        <v>1.501035790919647E-2</v>
      </c>
      <c r="G29" s="51">
        <f t="shared" ca="1" si="12"/>
        <v>0.04</v>
      </c>
      <c r="H29" s="48">
        <f t="shared" ca="1" si="4"/>
        <v>4.536475227632672E-2</v>
      </c>
      <c r="I29" s="49">
        <f t="shared" ca="1" si="5"/>
        <v>5009.1655185205418</v>
      </c>
      <c r="J29" s="49">
        <f t="shared" ca="1" si="6"/>
        <v>72247.579594046285</v>
      </c>
      <c r="K29" s="52">
        <f t="shared" ca="1" si="7"/>
        <v>80146.64829632864</v>
      </c>
      <c r="L29" s="53">
        <f ca="1">K29*Assumptions!$B$18</f>
        <v>60109.98622224648</v>
      </c>
      <c r="N29" s="77">
        <f t="shared" ca="1" si="1"/>
        <v>5009.1655185205309</v>
      </c>
      <c r="O29" s="56">
        <f t="shared" ca="1" si="2"/>
        <v>-1.0913936421275139E-11</v>
      </c>
    </row>
    <row r="30" spans="2:28" x14ac:dyDescent="0.25">
      <c r="B30" s="46">
        <f t="shared" ca="1" si="8"/>
        <v>16</v>
      </c>
      <c r="C30" s="22">
        <f t="shared" ca="1" si="3"/>
        <v>56</v>
      </c>
      <c r="D30" s="47">
        <f t="shared" ca="1" si="9"/>
        <v>0.05</v>
      </c>
      <c r="E30" s="50">
        <f t="shared" ca="1" si="10"/>
        <v>110419.77013361847</v>
      </c>
      <c r="F30" s="51">
        <f t="shared" ca="1" si="11"/>
        <v>1.501035790919647E-2</v>
      </c>
      <c r="G30" s="51">
        <f t="shared" ca="1" si="12"/>
        <v>0.04</v>
      </c>
      <c r="H30" s="48">
        <f t="shared" ca="1" si="4"/>
        <v>4.6481636369271905E-2</v>
      </c>
      <c r="I30" s="49">
        <f t="shared" ca="1" si="5"/>
        <v>5209.5321392613641</v>
      </c>
      <c r="J30" s="49">
        <f t="shared" ca="1" si="6"/>
        <v>80146.648296328669</v>
      </c>
      <c r="K30" s="52">
        <f t="shared" ca="1" si="7"/>
        <v>88562.046367443152</v>
      </c>
      <c r="L30" s="53">
        <f ca="1">K30*Assumptions!$B$18</f>
        <v>66421.53477558236</v>
      </c>
      <c r="N30" s="77">
        <f t="shared" ca="1" si="1"/>
        <v>5209.5321392613987</v>
      </c>
      <c r="O30" s="56">
        <f t="shared" ca="1" si="2"/>
        <v>3.4560798667371273E-11</v>
      </c>
    </row>
    <row r="31" spans="2:28" x14ac:dyDescent="0.25">
      <c r="B31" s="46">
        <f t="shared" ca="1" si="8"/>
        <v>17</v>
      </c>
      <c r="C31" s="22">
        <f t="shared" ca="1" si="3"/>
        <v>57</v>
      </c>
      <c r="D31" s="47">
        <f t="shared" ca="1" si="9"/>
        <v>0.05</v>
      </c>
      <c r="E31" s="50">
        <f t="shared" ca="1" si="10"/>
        <v>112077.21040357529</v>
      </c>
      <c r="F31" s="51">
        <f t="shared" ca="1" si="11"/>
        <v>1.501035790919647E-2</v>
      </c>
      <c r="G31" s="51">
        <f t="shared" ca="1" si="12"/>
        <v>0.04</v>
      </c>
      <c r="H31" s="48">
        <f t="shared" ca="1" si="4"/>
        <v>4.762601824440435E-2</v>
      </c>
      <c r="I31" s="49">
        <f t="shared" ca="1" si="5"/>
        <v>5417.9134248318187</v>
      </c>
      <c r="J31" s="49">
        <f t="shared" ca="1" si="6"/>
        <v>88562.04636744321</v>
      </c>
      <c r="K31" s="52">
        <f t="shared" ca="1" si="7"/>
        <v>97522.4416469727</v>
      </c>
      <c r="L31" s="53">
        <f ca="1">K31*Assumptions!$B$18</f>
        <v>73141.831235229532</v>
      </c>
      <c r="N31" s="77">
        <f t="shared" ca="1" si="1"/>
        <v>5417.9134248318005</v>
      </c>
      <c r="O31" s="56">
        <f t="shared" ca="1" si="2"/>
        <v>-1.8189894035458565E-11</v>
      </c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</row>
    <row r="32" spans="2:28" x14ac:dyDescent="0.25">
      <c r="B32" s="46">
        <f t="shared" ca="1" si="8"/>
        <v>18</v>
      </c>
      <c r="C32" s="22">
        <f t="shared" ca="1" si="3"/>
        <v>58</v>
      </c>
      <c r="D32" s="47">
        <f t="shared" ca="1" si="9"/>
        <v>0.05</v>
      </c>
      <c r="E32" s="50">
        <f t="shared" ca="1" si="10"/>
        <v>113759.52944519727</v>
      </c>
      <c r="F32" s="51">
        <f t="shared" ca="1" si="11"/>
        <v>1.501035790919647E-2</v>
      </c>
      <c r="G32" s="51">
        <f t="shared" ca="1" si="12"/>
        <v>0.04</v>
      </c>
      <c r="H32" s="48">
        <f t="shared" ca="1" si="4"/>
        <v>4.8798574899480598E-2</v>
      </c>
      <c r="I32" s="49">
        <f t="shared" ca="1" si="5"/>
        <v>5634.6299618250923</v>
      </c>
      <c r="J32" s="49">
        <f t="shared" ca="1" si="6"/>
        <v>97522.441646972744</v>
      </c>
      <c r="K32" s="52">
        <f t="shared" ca="1" si="7"/>
        <v>107057.96927467671</v>
      </c>
      <c r="L32" s="53">
        <f ca="1">K32*Assumptions!$B$18</f>
        <v>80293.476956007537</v>
      </c>
      <c r="N32" s="77">
        <f t="shared" ca="1" si="1"/>
        <v>5634.6299618251069</v>
      </c>
      <c r="O32" s="56">
        <f t="shared" ca="1" si="2"/>
        <v>1.4551915228366852E-11</v>
      </c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</row>
    <row r="33" spans="2:18" x14ac:dyDescent="0.25">
      <c r="B33" s="46">
        <f t="shared" ca="1" si="8"/>
        <v>19</v>
      </c>
      <c r="C33" s="22">
        <f t="shared" ca="1" si="3"/>
        <v>59</v>
      </c>
      <c r="D33" s="47">
        <f t="shared" ca="1" si="9"/>
        <v>0.05</v>
      </c>
      <c r="E33" s="50">
        <f t="shared" ca="1" si="10"/>
        <v>115467.10069775146</v>
      </c>
      <c r="F33" s="51">
        <f t="shared" ca="1" si="11"/>
        <v>1.501035790919647E-2</v>
      </c>
      <c r="G33" s="51">
        <f t="shared" ca="1" si="12"/>
        <v>0.04</v>
      </c>
      <c r="H33" s="48">
        <f t="shared" ca="1" si="4"/>
        <v>0.05</v>
      </c>
      <c r="I33" s="49">
        <f t="shared" ca="1" si="5"/>
        <v>5860.0151602980968</v>
      </c>
      <c r="J33" s="49">
        <f t="shared" ca="1" si="6"/>
        <v>107057.96927467677</v>
      </c>
      <c r="K33" s="52">
        <f t="shared" ca="1" si="7"/>
        <v>117200.30320596187</v>
      </c>
      <c r="L33" s="53">
        <f ca="1">K33*Assumptions!$B$18</f>
        <v>87900.227404471399</v>
      </c>
      <c r="N33" s="77">
        <f t="shared" ca="1" si="1"/>
        <v>5860.0151602981205</v>
      </c>
      <c r="O33" s="56">
        <f t="shared" ca="1" si="2"/>
        <v>2.3646862246096134E-11</v>
      </c>
      <c r="R33" s="11"/>
    </row>
    <row r="34" spans="2:18" x14ac:dyDescent="0.25">
      <c r="B34" s="46">
        <f t="shared" ca="1" si="8"/>
        <v>20</v>
      </c>
      <c r="C34" s="22">
        <f t="shared" ca="1" si="3"/>
        <v>60</v>
      </c>
      <c r="D34" s="47">
        <f t="shared" ca="1" si="9"/>
        <v>0.05</v>
      </c>
      <c r="E34" s="50">
        <f t="shared" ca="1" si="10"/>
        <v>117200.30320596194</v>
      </c>
      <c r="F34" s="51">
        <f t="shared" ca="1" si="11"/>
        <v>1.501035790919647E-2</v>
      </c>
      <c r="G34" s="51">
        <f t="shared" ca="1" si="12"/>
        <v>0.04</v>
      </c>
      <c r="H34" s="48">
        <f t="shared" ca="1" si="4"/>
        <v>5.1231004289566041E-2</v>
      </c>
      <c r="I34" s="49">
        <f t="shared" ca="1" si="5"/>
        <v>0</v>
      </c>
      <c r="J34" s="49">
        <f t="shared" ca="1" si="6"/>
        <v>117200.30320596196</v>
      </c>
      <c r="K34" s="52">
        <f t="shared" ca="1" si="7"/>
        <v>121888.31533420035</v>
      </c>
      <c r="L34" s="53">
        <f ca="1">K34*Assumptions!$B$18</f>
        <v>91416.236500650266</v>
      </c>
      <c r="N34" s="77" t="str">
        <f t="shared" ca="1" si="1"/>
        <v/>
      </c>
      <c r="O34" s="56" t="str">
        <f t="shared" ca="1" si="2"/>
        <v/>
      </c>
      <c r="R34" s="11"/>
    </row>
    <row r="35" spans="2:18" x14ac:dyDescent="0.25">
      <c r="B35" s="46" t="str">
        <f t="shared" ca="1" si="8"/>
        <v/>
      </c>
      <c r="C35" s="22" t="str">
        <f t="shared" ca="1" si="3"/>
        <v/>
      </c>
      <c r="D35" s="47" t="str">
        <f t="shared" ca="1" si="9"/>
        <v/>
      </c>
      <c r="E35" s="50" t="str">
        <f t="shared" ca="1" si="10"/>
        <v/>
      </c>
      <c r="F35" s="51" t="str">
        <f t="shared" ca="1" si="11"/>
        <v/>
      </c>
      <c r="G35" s="51" t="str">
        <f t="shared" ca="1" si="12"/>
        <v/>
      </c>
      <c r="H35" s="48" t="str">
        <f t="shared" ca="1" si="4"/>
        <v/>
      </c>
      <c r="I35" s="49">
        <f t="shared" ca="1" si="5"/>
        <v>0</v>
      </c>
      <c r="J35" s="49">
        <f t="shared" ca="1" si="6"/>
        <v>0</v>
      </c>
      <c r="K35" s="52">
        <f t="shared" ca="1" si="7"/>
        <v>0</v>
      </c>
      <c r="L35" s="53">
        <f ca="1">K35*Assumptions!$B$18</f>
        <v>0</v>
      </c>
      <c r="N35" s="77" t="str">
        <f t="shared" ca="1" si="1"/>
        <v/>
      </c>
      <c r="O35" s="56" t="str">
        <f t="shared" ca="1" si="2"/>
        <v/>
      </c>
      <c r="R35" s="78"/>
    </row>
    <row r="36" spans="2:18" x14ac:dyDescent="0.25">
      <c r="B36" s="46" t="str">
        <f t="shared" ca="1" si="8"/>
        <v/>
      </c>
      <c r="C36" s="22" t="str">
        <f t="shared" ca="1" si="3"/>
        <v/>
      </c>
      <c r="D36" s="47" t="str">
        <f t="shared" ca="1" si="9"/>
        <v/>
      </c>
      <c r="E36" s="50" t="str">
        <f t="shared" ca="1" si="10"/>
        <v/>
      </c>
      <c r="F36" s="51" t="str">
        <f t="shared" ca="1" si="11"/>
        <v/>
      </c>
      <c r="G36" s="51" t="str">
        <f t="shared" ca="1" si="12"/>
        <v/>
      </c>
      <c r="H36" s="48" t="str">
        <f t="shared" ca="1" si="4"/>
        <v/>
      </c>
      <c r="I36" s="49">
        <f t="shared" ca="1" si="5"/>
        <v>0</v>
      </c>
      <c r="J36" s="49">
        <f t="shared" ca="1" si="6"/>
        <v>0</v>
      </c>
      <c r="K36" s="52">
        <f t="shared" ca="1" si="7"/>
        <v>0</v>
      </c>
      <c r="L36" s="53">
        <f ca="1">K36*Assumptions!$B$18</f>
        <v>0</v>
      </c>
      <c r="N36" s="77" t="str">
        <f t="shared" ca="1" si="1"/>
        <v/>
      </c>
      <c r="O36" s="56" t="str">
        <f t="shared" ca="1" si="2"/>
        <v/>
      </c>
    </row>
    <row r="37" spans="2:18" x14ac:dyDescent="0.25">
      <c r="B37" s="46" t="str">
        <f t="shared" ca="1" si="8"/>
        <v/>
      </c>
      <c r="C37" s="22" t="str">
        <f t="shared" ca="1" si="3"/>
        <v/>
      </c>
      <c r="D37" s="47" t="str">
        <f t="shared" ca="1" si="9"/>
        <v/>
      </c>
      <c r="E37" s="50" t="str">
        <f t="shared" ca="1" si="10"/>
        <v/>
      </c>
      <c r="F37" s="51" t="str">
        <f t="shared" ca="1" si="11"/>
        <v/>
      </c>
      <c r="G37" s="51" t="str">
        <f t="shared" ca="1" si="12"/>
        <v/>
      </c>
      <c r="H37" s="48" t="str">
        <f t="shared" ca="1" si="4"/>
        <v/>
      </c>
      <c r="I37" s="49">
        <f t="shared" ca="1" si="5"/>
        <v>0</v>
      </c>
      <c r="J37" s="49">
        <f t="shared" ca="1" si="6"/>
        <v>0</v>
      </c>
      <c r="K37" s="52">
        <f t="shared" ca="1" si="7"/>
        <v>0</v>
      </c>
      <c r="L37" s="53">
        <f ca="1">K37*Assumptions!$B$18</f>
        <v>0</v>
      </c>
      <c r="N37" s="77" t="str">
        <f t="shared" ca="1" si="1"/>
        <v/>
      </c>
      <c r="O37" s="56" t="str">
        <f t="shared" ca="1" si="2"/>
        <v/>
      </c>
    </row>
    <row r="38" spans="2:18" x14ac:dyDescent="0.25">
      <c r="B38" s="46" t="str">
        <f t="shared" ca="1" si="8"/>
        <v/>
      </c>
      <c r="C38" s="22" t="str">
        <f t="shared" ca="1" si="3"/>
        <v/>
      </c>
      <c r="D38" s="47" t="str">
        <f t="shared" ca="1" si="9"/>
        <v/>
      </c>
      <c r="E38" s="50" t="str">
        <f t="shared" ca="1" si="10"/>
        <v/>
      </c>
      <c r="F38" s="51" t="str">
        <f t="shared" ca="1" si="11"/>
        <v/>
      </c>
      <c r="G38" s="51" t="str">
        <f t="shared" ca="1" si="12"/>
        <v/>
      </c>
      <c r="H38" s="48" t="str">
        <f t="shared" ca="1" si="4"/>
        <v/>
      </c>
      <c r="I38" s="49">
        <f t="shared" ca="1" si="5"/>
        <v>0</v>
      </c>
      <c r="J38" s="49">
        <f t="shared" ca="1" si="6"/>
        <v>0</v>
      </c>
      <c r="K38" s="52">
        <f t="shared" ca="1" si="7"/>
        <v>0</v>
      </c>
      <c r="L38" s="53">
        <f ca="1">K38*Assumptions!$B$18</f>
        <v>0</v>
      </c>
      <c r="N38" s="77" t="str">
        <f t="shared" ca="1" si="1"/>
        <v/>
      </c>
      <c r="O38" s="56" t="str">
        <f t="shared" ca="1" si="2"/>
        <v/>
      </c>
    </row>
    <row r="39" spans="2:18" x14ac:dyDescent="0.25">
      <c r="B39" s="46" t="str">
        <f t="shared" ca="1" si="8"/>
        <v/>
      </c>
      <c r="C39" s="22" t="str">
        <f t="shared" ca="1" si="3"/>
        <v/>
      </c>
      <c r="D39" s="47" t="str">
        <f t="shared" ca="1" si="9"/>
        <v/>
      </c>
      <c r="E39" s="50" t="str">
        <f t="shared" ca="1" si="10"/>
        <v/>
      </c>
      <c r="F39" s="51" t="str">
        <f t="shared" ca="1" si="11"/>
        <v/>
      </c>
      <c r="G39" s="51" t="str">
        <f t="shared" ca="1" si="12"/>
        <v/>
      </c>
      <c r="H39" s="48" t="str">
        <f t="shared" ca="1" si="4"/>
        <v/>
      </c>
      <c r="I39" s="49">
        <f t="shared" ca="1" si="5"/>
        <v>0</v>
      </c>
      <c r="J39" s="49">
        <f t="shared" ca="1" si="6"/>
        <v>0</v>
      </c>
      <c r="K39" s="52">
        <f t="shared" ca="1" si="7"/>
        <v>0</v>
      </c>
      <c r="L39" s="53">
        <f ca="1">K39*Assumptions!$B$18</f>
        <v>0</v>
      </c>
      <c r="N39" s="77" t="str">
        <f t="shared" ca="1" si="1"/>
        <v/>
      </c>
      <c r="O39" s="56" t="str">
        <f t="shared" ca="1" si="2"/>
        <v/>
      </c>
    </row>
    <row r="40" spans="2:18" x14ac:dyDescent="0.25">
      <c r="B40" s="46" t="str">
        <f t="shared" ca="1" si="8"/>
        <v/>
      </c>
      <c r="C40" s="22" t="str">
        <f t="shared" ca="1" si="3"/>
        <v/>
      </c>
      <c r="D40" s="47" t="str">
        <f t="shared" ca="1" si="9"/>
        <v/>
      </c>
      <c r="E40" s="50" t="str">
        <f t="shared" ca="1" si="10"/>
        <v/>
      </c>
      <c r="F40" s="51" t="str">
        <f t="shared" ca="1" si="11"/>
        <v/>
      </c>
      <c r="G40" s="51" t="str">
        <f t="shared" ca="1" si="12"/>
        <v/>
      </c>
      <c r="H40" s="48" t="str">
        <f t="shared" ca="1" si="4"/>
        <v/>
      </c>
      <c r="I40" s="49">
        <f t="shared" ca="1" si="5"/>
        <v>0</v>
      </c>
      <c r="J40" s="49">
        <f t="shared" ca="1" si="6"/>
        <v>0</v>
      </c>
      <c r="K40" s="52">
        <f t="shared" ca="1" si="7"/>
        <v>0</v>
      </c>
      <c r="L40" s="53">
        <f ca="1">K40*Assumptions!$B$18</f>
        <v>0</v>
      </c>
      <c r="N40" s="77" t="str">
        <f t="shared" ca="1" si="1"/>
        <v/>
      </c>
      <c r="O40" s="56" t="str">
        <f t="shared" ca="1" si="2"/>
        <v/>
      </c>
    </row>
    <row r="41" spans="2:18" x14ac:dyDescent="0.25">
      <c r="B41" s="46" t="str">
        <f t="shared" ca="1" si="8"/>
        <v/>
      </c>
      <c r="C41" s="22" t="str">
        <f t="shared" ca="1" si="3"/>
        <v/>
      </c>
      <c r="D41" s="47" t="str">
        <f t="shared" ca="1" si="9"/>
        <v/>
      </c>
      <c r="E41" s="50" t="str">
        <f t="shared" ca="1" si="10"/>
        <v/>
      </c>
      <c r="F41" s="51" t="str">
        <f t="shared" ca="1" si="11"/>
        <v/>
      </c>
      <c r="G41" s="51" t="str">
        <f t="shared" ca="1" si="12"/>
        <v/>
      </c>
      <c r="H41" s="48" t="str">
        <f t="shared" ca="1" si="4"/>
        <v/>
      </c>
      <c r="I41" s="49">
        <f t="shared" ca="1" si="5"/>
        <v>0</v>
      </c>
      <c r="J41" s="49">
        <f t="shared" ca="1" si="6"/>
        <v>0</v>
      </c>
      <c r="K41" s="52">
        <f t="shared" ca="1" si="7"/>
        <v>0</v>
      </c>
      <c r="L41" s="53">
        <f ca="1">K41*Assumptions!$B$18</f>
        <v>0</v>
      </c>
      <c r="N41" s="77" t="str">
        <f t="shared" ca="1" si="1"/>
        <v/>
      </c>
      <c r="O41" s="56" t="str">
        <f t="shared" ca="1" si="2"/>
        <v/>
      </c>
    </row>
    <row r="42" spans="2:18" x14ac:dyDescent="0.25">
      <c r="B42" s="46" t="str">
        <f t="shared" ca="1" si="8"/>
        <v/>
      </c>
      <c r="C42" s="22" t="str">
        <f t="shared" ca="1" si="3"/>
        <v/>
      </c>
      <c r="D42" s="47" t="str">
        <f t="shared" ca="1" si="9"/>
        <v/>
      </c>
      <c r="E42" s="50" t="str">
        <f t="shared" ca="1" si="10"/>
        <v/>
      </c>
      <c r="F42" s="51" t="str">
        <f t="shared" ca="1" si="11"/>
        <v/>
      </c>
      <c r="G42" s="51" t="str">
        <f t="shared" ca="1" si="12"/>
        <v/>
      </c>
      <c r="H42" s="48" t="str">
        <f t="shared" ca="1" si="4"/>
        <v/>
      </c>
      <c r="I42" s="49">
        <f t="shared" ca="1" si="5"/>
        <v>0</v>
      </c>
      <c r="J42" s="49">
        <f t="shared" ca="1" si="6"/>
        <v>0</v>
      </c>
      <c r="K42" s="52">
        <f t="shared" ca="1" si="7"/>
        <v>0</v>
      </c>
      <c r="L42" s="53">
        <f ca="1">K42*Assumptions!$B$18</f>
        <v>0</v>
      </c>
      <c r="N42" s="77" t="str">
        <f t="shared" ca="1" si="1"/>
        <v/>
      </c>
      <c r="O42" s="56" t="str">
        <f t="shared" ca="1" si="2"/>
        <v/>
      </c>
    </row>
    <row r="43" spans="2:18" x14ac:dyDescent="0.25">
      <c r="B43" s="46" t="str">
        <f t="shared" ca="1" si="8"/>
        <v/>
      </c>
      <c r="C43" s="22" t="str">
        <f t="shared" ca="1" si="3"/>
        <v/>
      </c>
      <c r="D43" s="47" t="str">
        <f t="shared" ca="1" si="9"/>
        <v/>
      </c>
      <c r="E43" s="50" t="str">
        <f t="shared" ca="1" si="10"/>
        <v/>
      </c>
      <c r="F43" s="51" t="str">
        <f t="shared" ca="1" si="11"/>
        <v/>
      </c>
      <c r="G43" s="51" t="str">
        <f t="shared" ca="1" si="12"/>
        <v/>
      </c>
      <c r="H43" s="48" t="str">
        <f t="shared" ca="1" si="4"/>
        <v/>
      </c>
      <c r="I43" s="49">
        <f t="shared" ca="1" si="5"/>
        <v>0</v>
      </c>
      <c r="J43" s="49">
        <f t="shared" ca="1" si="6"/>
        <v>0</v>
      </c>
      <c r="K43" s="52">
        <f t="shared" ca="1" si="7"/>
        <v>0</v>
      </c>
      <c r="L43" s="53">
        <f ca="1">K43*Assumptions!$B$18</f>
        <v>0</v>
      </c>
      <c r="N43" s="77" t="str">
        <f t="shared" ca="1" si="1"/>
        <v/>
      </c>
      <c r="O43" s="56" t="str">
        <f t="shared" ca="1" si="2"/>
        <v/>
      </c>
    </row>
    <row r="44" spans="2:18" x14ac:dyDescent="0.25">
      <c r="B44" s="46" t="str">
        <f t="shared" ca="1" si="8"/>
        <v/>
      </c>
      <c r="C44" s="22" t="str">
        <f t="shared" ca="1" si="3"/>
        <v/>
      </c>
      <c r="D44" s="47" t="str">
        <f t="shared" ca="1" si="9"/>
        <v/>
      </c>
      <c r="E44" s="50" t="str">
        <f t="shared" ca="1" si="10"/>
        <v/>
      </c>
      <c r="F44" s="51" t="str">
        <f t="shared" ca="1" si="11"/>
        <v/>
      </c>
      <c r="G44" s="51" t="str">
        <f t="shared" ca="1" si="12"/>
        <v/>
      </c>
      <c r="H44" s="48" t="str">
        <f t="shared" ca="1" si="4"/>
        <v/>
      </c>
      <c r="I44" s="49">
        <f t="shared" ca="1" si="5"/>
        <v>0</v>
      </c>
      <c r="J44" s="49">
        <f t="shared" ca="1" si="6"/>
        <v>0</v>
      </c>
      <c r="K44" s="52">
        <f t="shared" ca="1" si="7"/>
        <v>0</v>
      </c>
      <c r="L44" s="53">
        <f ca="1">K44*Assumptions!$B$18</f>
        <v>0</v>
      </c>
      <c r="N44" s="77" t="str">
        <f t="shared" ca="1" si="1"/>
        <v/>
      </c>
      <c r="O44" s="56" t="str">
        <f t="shared" ca="1" si="2"/>
        <v/>
      </c>
    </row>
    <row r="45" spans="2:18" x14ac:dyDescent="0.25">
      <c r="B45" s="46" t="str">
        <f t="shared" ca="1" si="8"/>
        <v/>
      </c>
      <c r="C45" s="22" t="str">
        <f t="shared" ca="1" si="3"/>
        <v/>
      </c>
      <c r="D45" s="47" t="str">
        <f t="shared" ca="1" si="9"/>
        <v/>
      </c>
      <c r="E45" s="50" t="str">
        <f t="shared" ca="1" si="10"/>
        <v/>
      </c>
      <c r="F45" s="51" t="str">
        <f t="shared" ca="1" si="11"/>
        <v/>
      </c>
      <c r="G45" s="51" t="str">
        <f t="shared" ca="1" si="12"/>
        <v/>
      </c>
      <c r="H45" s="48" t="str">
        <f t="shared" ca="1" si="4"/>
        <v/>
      </c>
      <c r="I45" s="49">
        <f t="shared" ca="1" si="5"/>
        <v>0</v>
      </c>
      <c r="J45" s="49">
        <f t="shared" ca="1" si="6"/>
        <v>0</v>
      </c>
      <c r="K45" s="52">
        <f t="shared" ca="1" si="7"/>
        <v>0</v>
      </c>
      <c r="L45" s="53">
        <f ca="1">K45*Assumptions!$B$18</f>
        <v>0</v>
      </c>
      <c r="N45" s="77" t="str">
        <f t="shared" ca="1" si="1"/>
        <v/>
      </c>
      <c r="O45" s="56" t="str">
        <f t="shared" ca="1" si="2"/>
        <v/>
      </c>
    </row>
    <row r="46" spans="2:18" x14ac:dyDescent="0.25">
      <c r="B46" s="46" t="str">
        <f t="shared" ca="1" si="8"/>
        <v/>
      </c>
      <c r="C46" s="22" t="str">
        <f t="shared" ca="1" si="3"/>
        <v/>
      </c>
      <c r="D46" s="47" t="str">
        <f t="shared" ca="1" si="9"/>
        <v/>
      </c>
      <c r="E46" s="50" t="str">
        <f t="shared" ca="1" si="10"/>
        <v/>
      </c>
      <c r="F46" s="51" t="str">
        <f t="shared" ca="1" si="11"/>
        <v/>
      </c>
      <c r="G46" s="51" t="str">
        <f t="shared" ca="1" si="12"/>
        <v/>
      </c>
      <c r="H46" s="48" t="str">
        <f t="shared" ca="1" si="4"/>
        <v/>
      </c>
      <c r="I46" s="49">
        <f t="shared" ca="1" si="5"/>
        <v>0</v>
      </c>
      <c r="J46" s="49">
        <f t="shared" ca="1" si="6"/>
        <v>0</v>
      </c>
      <c r="K46" s="52">
        <f t="shared" ca="1" si="7"/>
        <v>0</v>
      </c>
      <c r="L46" s="53">
        <f ca="1">K46*Assumptions!$B$18</f>
        <v>0</v>
      </c>
      <c r="N46" s="77" t="str">
        <f t="shared" ref="N46:N77" ca="1" si="13">IF($C47="","",J47-J46*(1+i))</f>
        <v/>
      </c>
      <c r="O46" s="56" t="str">
        <f t="shared" ca="1" si="2"/>
        <v/>
      </c>
    </row>
    <row r="47" spans="2:18" x14ac:dyDescent="0.25">
      <c r="B47" s="46" t="str">
        <f t="shared" ca="1" si="8"/>
        <v/>
      </c>
      <c r="C47" s="22" t="str">
        <f t="shared" ref="C47:C78" ca="1" si="14">IF(C46="","",IF($D$2="A",C46+1,IF(C46+1&gt;$D$5,"",C46+1)))</f>
        <v/>
      </c>
      <c r="D47" s="47" t="str">
        <f t="shared" ca="1" si="9"/>
        <v/>
      </c>
      <c r="E47" s="50" t="str">
        <f t="shared" ca="1" si="10"/>
        <v/>
      </c>
      <c r="F47" s="51" t="str">
        <f t="shared" ca="1" si="11"/>
        <v/>
      </c>
      <c r="G47" s="51" t="str">
        <f t="shared" ca="1" si="12"/>
        <v/>
      </c>
      <c r="H47" s="48" t="str">
        <f t="shared" ca="1" si="4"/>
        <v/>
      </c>
      <c r="I47" s="49">
        <f t="shared" ca="1" si="5"/>
        <v>0</v>
      </c>
      <c r="J47" s="49">
        <f t="shared" ca="1" si="6"/>
        <v>0</v>
      </c>
      <c r="K47" s="52">
        <f t="shared" ref="K47:K78" ca="1" si="15">IF($C47="",0,
K46*(1+i)+I47)</f>
        <v>0</v>
      </c>
      <c r="L47" s="53">
        <f ca="1">K47*Assumptions!$B$18</f>
        <v>0</v>
      </c>
      <c r="N47" s="77" t="str">
        <f t="shared" ca="1" si="13"/>
        <v/>
      </c>
      <c r="O47" s="56" t="str">
        <f t="shared" ca="1" si="2"/>
        <v/>
      </c>
    </row>
    <row r="48" spans="2:18" x14ac:dyDescent="0.25">
      <c r="B48" s="46" t="str">
        <f t="shared" ca="1" si="8"/>
        <v/>
      </c>
      <c r="C48" s="22" t="str">
        <f t="shared" ca="1" si="14"/>
        <v/>
      </c>
      <c r="D48" s="47" t="str">
        <f t="shared" ca="1" si="9"/>
        <v/>
      </c>
      <c r="E48" s="50" t="str">
        <f t="shared" ca="1" si="10"/>
        <v/>
      </c>
      <c r="F48" s="51" t="str">
        <f t="shared" ca="1" si="11"/>
        <v/>
      </c>
      <c r="G48" s="51" t="str">
        <f t="shared" ca="1" si="12"/>
        <v/>
      </c>
      <c r="H48" s="48" t="str">
        <f t="shared" ca="1" si="4"/>
        <v/>
      </c>
      <c r="I48" s="49">
        <f t="shared" ca="1" si="5"/>
        <v>0</v>
      </c>
      <c r="J48" s="49">
        <f t="shared" ca="1" si="6"/>
        <v>0</v>
      </c>
      <c r="K48" s="52">
        <f t="shared" ca="1" si="15"/>
        <v>0</v>
      </c>
      <c r="L48" s="53">
        <f ca="1">K48*Assumptions!$B$18</f>
        <v>0</v>
      </c>
      <c r="N48" s="77" t="str">
        <f t="shared" ca="1" si="13"/>
        <v/>
      </c>
      <c r="O48" s="56" t="str">
        <f t="shared" ca="1" si="2"/>
        <v/>
      </c>
    </row>
    <row r="49" spans="2:15" x14ac:dyDescent="0.25">
      <c r="B49" s="46" t="str">
        <f t="shared" ca="1" si="8"/>
        <v/>
      </c>
      <c r="C49" s="22" t="str">
        <f t="shared" ca="1" si="14"/>
        <v/>
      </c>
      <c r="D49" s="47" t="str">
        <f t="shared" ca="1" si="9"/>
        <v/>
      </c>
      <c r="E49" s="50" t="str">
        <f t="shared" ca="1" si="10"/>
        <v/>
      </c>
      <c r="F49" s="51" t="str">
        <f t="shared" ca="1" si="11"/>
        <v/>
      </c>
      <c r="G49" s="51" t="str">
        <f t="shared" ca="1" si="12"/>
        <v/>
      </c>
      <c r="H49" s="48" t="str">
        <f t="shared" ca="1" si="4"/>
        <v/>
      </c>
      <c r="I49" s="49">
        <f t="shared" ca="1" si="5"/>
        <v>0</v>
      </c>
      <c r="J49" s="49">
        <f t="shared" ca="1" si="6"/>
        <v>0</v>
      </c>
      <c r="K49" s="52">
        <f t="shared" ca="1" si="15"/>
        <v>0</v>
      </c>
      <c r="L49" s="53">
        <f ca="1">K49*Assumptions!$B$18</f>
        <v>0</v>
      </c>
      <c r="N49" s="77" t="str">
        <f t="shared" ca="1" si="13"/>
        <v/>
      </c>
      <c r="O49" s="56" t="str">
        <f t="shared" ca="1" si="2"/>
        <v/>
      </c>
    </row>
    <row r="50" spans="2:15" x14ac:dyDescent="0.25">
      <c r="B50" s="46" t="str">
        <f t="shared" ca="1" si="8"/>
        <v/>
      </c>
      <c r="C50" s="22" t="str">
        <f t="shared" ca="1" si="14"/>
        <v/>
      </c>
      <c r="D50" s="47" t="str">
        <f t="shared" ca="1" si="9"/>
        <v/>
      </c>
      <c r="E50" s="50" t="str">
        <f t="shared" ca="1" si="10"/>
        <v/>
      </c>
      <c r="F50" s="51" t="str">
        <f t="shared" ca="1" si="11"/>
        <v/>
      </c>
      <c r="G50" s="51" t="str">
        <f t="shared" ca="1" si="12"/>
        <v/>
      </c>
      <c r="H50" s="48" t="str">
        <f t="shared" ca="1" si="4"/>
        <v/>
      </c>
      <c r="I50" s="49">
        <f t="shared" ca="1" si="5"/>
        <v>0</v>
      </c>
      <c r="J50" s="49">
        <f t="shared" ca="1" si="6"/>
        <v>0</v>
      </c>
      <c r="K50" s="52">
        <f t="shared" ca="1" si="15"/>
        <v>0</v>
      </c>
      <c r="L50" s="53">
        <f ca="1">K50*Assumptions!$B$18</f>
        <v>0</v>
      </c>
      <c r="N50" s="77" t="str">
        <f t="shared" ca="1" si="13"/>
        <v/>
      </c>
      <c r="O50" s="56" t="str">
        <f t="shared" ca="1" si="2"/>
        <v/>
      </c>
    </row>
    <row r="51" spans="2:15" x14ac:dyDescent="0.25">
      <c r="B51" s="46" t="str">
        <f t="shared" ca="1" si="8"/>
        <v/>
      </c>
      <c r="C51" s="22" t="str">
        <f t="shared" ca="1" si="14"/>
        <v/>
      </c>
      <c r="D51" s="47" t="str">
        <f t="shared" ca="1" si="9"/>
        <v/>
      </c>
      <c r="E51" s="50" t="str">
        <f t="shared" ca="1" si="10"/>
        <v/>
      </c>
      <c r="F51" s="51" t="str">
        <f t="shared" ca="1" si="11"/>
        <v/>
      </c>
      <c r="G51" s="51" t="str">
        <f t="shared" ca="1" si="12"/>
        <v/>
      </c>
      <c r="H51" s="48" t="str">
        <f t="shared" ca="1" si="4"/>
        <v/>
      </c>
      <c r="I51" s="49">
        <f t="shared" ca="1" si="5"/>
        <v>0</v>
      </c>
      <c r="J51" s="49">
        <f t="shared" ca="1" si="6"/>
        <v>0</v>
      </c>
      <c r="K51" s="52">
        <f t="shared" ca="1" si="15"/>
        <v>0</v>
      </c>
      <c r="L51" s="53">
        <f ca="1">K51*Assumptions!$B$18</f>
        <v>0</v>
      </c>
      <c r="N51" s="77" t="str">
        <f t="shared" ca="1" si="13"/>
        <v/>
      </c>
      <c r="O51" s="56" t="str">
        <f t="shared" ca="1" si="2"/>
        <v/>
      </c>
    </row>
    <row r="52" spans="2:15" x14ac:dyDescent="0.25">
      <c r="B52" s="46" t="str">
        <f t="shared" ca="1" si="8"/>
        <v/>
      </c>
      <c r="C52" s="22" t="str">
        <f t="shared" ca="1" si="14"/>
        <v/>
      </c>
      <c r="D52" s="47" t="str">
        <f t="shared" ca="1" si="9"/>
        <v/>
      </c>
      <c r="E52" s="50" t="str">
        <f t="shared" ca="1" si="10"/>
        <v/>
      </c>
      <c r="F52" s="51" t="str">
        <f t="shared" ca="1" si="11"/>
        <v/>
      </c>
      <c r="G52" s="51" t="str">
        <f t="shared" ca="1" si="12"/>
        <v/>
      </c>
      <c r="H52" s="48" t="str">
        <f t="shared" ca="1" si="4"/>
        <v/>
      </c>
      <c r="I52" s="49">
        <f t="shared" ca="1" si="5"/>
        <v>0</v>
      </c>
      <c r="J52" s="49">
        <f t="shared" ca="1" si="6"/>
        <v>0</v>
      </c>
      <c r="K52" s="52">
        <f t="shared" ca="1" si="15"/>
        <v>0</v>
      </c>
      <c r="L52" s="53">
        <f ca="1">K52*Assumptions!$B$18</f>
        <v>0</v>
      </c>
      <c r="N52" s="77" t="str">
        <f t="shared" ca="1" si="13"/>
        <v/>
      </c>
      <c r="O52" s="56" t="str">
        <f t="shared" ca="1" si="2"/>
        <v/>
      </c>
    </row>
    <row r="53" spans="2:15" x14ac:dyDescent="0.25">
      <c r="B53" s="46" t="str">
        <f t="shared" ca="1" si="8"/>
        <v/>
      </c>
      <c r="C53" s="22" t="str">
        <f t="shared" ca="1" si="14"/>
        <v/>
      </c>
      <c r="D53" s="47" t="str">
        <f t="shared" ca="1" si="9"/>
        <v/>
      </c>
      <c r="E53" s="50" t="str">
        <f t="shared" ca="1" si="10"/>
        <v/>
      </c>
      <c r="F53" s="51" t="str">
        <f t="shared" ca="1" si="11"/>
        <v/>
      </c>
      <c r="G53" s="51" t="str">
        <f t="shared" ca="1" si="12"/>
        <v/>
      </c>
      <c r="H53" s="48" t="str">
        <f t="shared" ca="1" si="4"/>
        <v/>
      </c>
      <c r="I53" s="49">
        <f t="shared" ca="1" si="5"/>
        <v>0</v>
      </c>
      <c r="J53" s="49">
        <f t="shared" ca="1" si="6"/>
        <v>0</v>
      </c>
      <c r="K53" s="52">
        <f t="shared" ca="1" si="15"/>
        <v>0</v>
      </c>
      <c r="L53" s="53">
        <f ca="1">K53*Assumptions!$B$18</f>
        <v>0</v>
      </c>
      <c r="N53" s="77" t="str">
        <f t="shared" ca="1" si="13"/>
        <v/>
      </c>
      <c r="O53" s="56" t="str">
        <f t="shared" ca="1" si="2"/>
        <v/>
      </c>
    </row>
    <row r="54" spans="2:15" x14ac:dyDescent="0.25">
      <c r="B54" s="46" t="str">
        <f t="shared" ca="1" si="8"/>
        <v/>
      </c>
      <c r="C54" s="22" t="str">
        <f t="shared" ca="1" si="14"/>
        <v/>
      </c>
      <c r="D54" s="47" t="str">
        <f t="shared" ca="1" si="9"/>
        <v/>
      </c>
      <c r="E54" s="50" t="str">
        <f t="shared" ca="1" si="10"/>
        <v/>
      </c>
      <c r="F54" s="51" t="str">
        <f t="shared" ca="1" si="11"/>
        <v/>
      </c>
      <c r="G54" s="51" t="str">
        <f t="shared" ca="1" si="12"/>
        <v/>
      </c>
      <c r="H54" s="48" t="str">
        <f t="shared" ca="1" si="4"/>
        <v/>
      </c>
      <c r="I54" s="49">
        <f t="shared" ca="1" si="5"/>
        <v>0</v>
      </c>
      <c r="J54" s="49">
        <f t="shared" ca="1" si="6"/>
        <v>0</v>
      </c>
      <c r="K54" s="52">
        <f t="shared" ca="1" si="15"/>
        <v>0</v>
      </c>
      <c r="L54" s="53">
        <f ca="1">K54*Assumptions!$B$18</f>
        <v>0</v>
      </c>
      <c r="N54" s="77" t="str">
        <f t="shared" ca="1" si="13"/>
        <v/>
      </c>
      <c r="O54" s="56" t="str">
        <f t="shared" ca="1" si="2"/>
        <v/>
      </c>
    </row>
    <row r="55" spans="2:15" x14ac:dyDescent="0.25">
      <c r="B55" s="46" t="str">
        <f t="shared" ca="1" si="8"/>
        <v/>
      </c>
      <c r="C55" s="22" t="str">
        <f t="shared" ca="1" si="14"/>
        <v/>
      </c>
      <c r="D55" s="47" t="str">
        <f t="shared" ca="1" si="9"/>
        <v/>
      </c>
      <c r="E55" s="50" t="str">
        <f t="shared" ca="1" si="10"/>
        <v/>
      </c>
      <c r="F55" s="51" t="str">
        <f t="shared" ca="1" si="11"/>
        <v/>
      </c>
      <c r="G55" s="51" t="str">
        <f t="shared" ca="1" si="12"/>
        <v/>
      </c>
      <c r="H55" s="48" t="str">
        <f t="shared" ca="1" si="4"/>
        <v/>
      </c>
      <c r="I55" s="49">
        <f t="shared" ca="1" si="5"/>
        <v>0</v>
      </c>
      <c r="J55" s="49">
        <f t="shared" ca="1" si="6"/>
        <v>0</v>
      </c>
      <c r="K55" s="52">
        <f t="shared" ca="1" si="15"/>
        <v>0</v>
      </c>
      <c r="L55" s="53">
        <f ca="1">K55*Assumptions!$B$18</f>
        <v>0</v>
      </c>
      <c r="N55" s="77" t="str">
        <f t="shared" ca="1" si="13"/>
        <v/>
      </c>
      <c r="O55" s="56" t="str">
        <f t="shared" ca="1" si="2"/>
        <v/>
      </c>
    </row>
    <row r="56" spans="2:15" x14ac:dyDescent="0.25">
      <c r="B56" s="46" t="str">
        <f t="shared" ca="1" si="8"/>
        <v/>
      </c>
      <c r="C56" s="22" t="str">
        <f t="shared" ca="1" si="14"/>
        <v/>
      </c>
      <c r="D56" s="47" t="str">
        <f t="shared" ca="1" si="9"/>
        <v/>
      </c>
      <c r="E56" s="50" t="str">
        <f t="shared" ca="1" si="10"/>
        <v/>
      </c>
      <c r="F56" s="51" t="str">
        <f t="shared" ca="1" si="11"/>
        <v/>
      </c>
      <c r="G56" s="51" t="str">
        <f t="shared" ca="1" si="12"/>
        <v/>
      </c>
      <c r="H56" s="48" t="str">
        <f t="shared" ca="1" si="4"/>
        <v/>
      </c>
      <c r="I56" s="49">
        <f t="shared" ca="1" si="5"/>
        <v>0</v>
      </c>
      <c r="J56" s="49">
        <f t="shared" ca="1" si="6"/>
        <v>0</v>
      </c>
      <c r="K56" s="52">
        <f t="shared" ca="1" si="15"/>
        <v>0</v>
      </c>
      <c r="L56" s="53">
        <f ca="1">K56*Assumptions!$B$18</f>
        <v>0</v>
      </c>
      <c r="N56" s="77" t="str">
        <f t="shared" ca="1" si="13"/>
        <v/>
      </c>
      <c r="O56" s="56" t="str">
        <f t="shared" ca="1" si="2"/>
        <v/>
      </c>
    </row>
    <row r="57" spans="2:15" x14ac:dyDescent="0.25">
      <c r="B57" s="46" t="str">
        <f t="shared" ca="1" si="8"/>
        <v/>
      </c>
      <c r="C57" s="22" t="str">
        <f t="shared" ca="1" si="14"/>
        <v/>
      </c>
      <c r="D57" s="47" t="str">
        <f t="shared" ca="1" si="9"/>
        <v/>
      </c>
      <c r="E57" s="50" t="str">
        <f t="shared" ca="1" si="10"/>
        <v/>
      </c>
      <c r="F57" s="51" t="str">
        <f t="shared" ca="1" si="11"/>
        <v/>
      </c>
      <c r="G57" s="51" t="str">
        <f t="shared" ca="1" si="12"/>
        <v/>
      </c>
      <c r="H57" s="48" t="str">
        <f t="shared" ca="1" si="4"/>
        <v/>
      </c>
      <c r="I57" s="49">
        <f t="shared" ca="1" si="5"/>
        <v>0</v>
      </c>
      <c r="J57" s="49">
        <f t="shared" ca="1" si="6"/>
        <v>0</v>
      </c>
      <c r="K57" s="52">
        <f t="shared" ca="1" si="15"/>
        <v>0</v>
      </c>
      <c r="L57" s="53">
        <f ca="1">K57*Assumptions!$B$18</f>
        <v>0</v>
      </c>
      <c r="N57" s="77" t="str">
        <f t="shared" ca="1" si="13"/>
        <v/>
      </c>
      <c r="O57" s="56" t="str">
        <f t="shared" ca="1" si="2"/>
        <v/>
      </c>
    </row>
    <row r="58" spans="2:15" x14ac:dyDescent="0.25">
      <c r="B58" s="46" t="str">
        <f t="shared" ca="1" si="8"/>
        <v/>
      </c>
      <c r="C58" s="22" t="str">
        <f t="shared" ca="1" si="14"/>
        <v/>
      </c>
      <c r="D58" s="47" t="str">
        <f t="shared" ca="1" si="9"/>
        <v/>
      </c>
      <c r="E58" s="50" t="str">
        <f t="shared" ca="1" si="10"/>
        <v/>
      </c>
      <c r="F58" s="51" t="str">
        <f t="shared" ca="1" si="11"/>
        <v/>
      </c>
      <c r="G58" s="51" t="str">
        <f t="shared" ca="1" si="12"/>
        <v/>
      </c>
      <c r="H58" s="48" t="str">
        <f t="shared" ca="1" si="4"/>
        <v/>
      </c>
      <c r="I58" s="49">
        <f t="shared" ca="1" si="5"/>
        <v>0</v>
      </c>
      <c r="J58" s="49">
        <f t="shared" ca="1" si="6"/>
        <v>0</v>
      </c>
      <c r="K58" s="52">
        <f t="shared" ca="1" si="15"/>
        <v>0</v>
      </c>
      <c r="L58" s="53">
        <f ca="1">K58*Assumptions!$B$18</f>
        <v>0</v>
      </c>
      <c r="N58" s="77" t="str">
        <f t="shared" ca="1" si="13"/>
        <v/>
      </c>
      <c r="O58" s="56" t="str">
        <f t="shared" ca="1" si="2"/>
        <v/>
      </c>
    </row>
    <row r="59" spans="2:15" x14ac:dyDescent="0.25">
      <c r="B59" s="46" t="str">
        <f t="shared" ca="1" si="8"/>
        <v/>
      </c>
      <c r="C59" s="22" t="str">
        <f t="shared" ca="1" si="14"/>
        <v/>
      </c>
      <c r="D59" s="47" t="str">
        <f t="shared" ca="1" si="9"/>
        <v/>
      </c>
      <c r="E59" s="50" t="str">
        <f t="shared" ca="1" si="10"/>
        <v/>
      </c>
      <c r="F59" s="51" t="str">
        <f t="shared" ca="1" si="11"/>
        <v/>
      </c>
      <c r="G59" s="51" t="str">
        <f t="shared" ca="1" si="12"/>
        <v/>
      </c>
      <c r="H59" s="48" t="str">
        <f t="shared" ca="1" si="4"/>
        <v/>
      </c>
      <c r="I59" s="49">
        <f t="shared" ca="1" si="5"/>
        <v>0</v>
      </c>
      <c r="J59" s="49">
        <f t="shared" ca="1" si="6"/>
        <v>0</v>
      </c>
      <c r="K59" s="52">
        <f t="shared" ca="1" si="15"/>
        <v>0</v>
      </c>
      <c r="L59" s="53">
        <f ca="1">K59*Assumptions!$B$18</f>
        <v>0</v>
      </c>
      <c r="N59" s="77" t="str">
        <f t="shared" ca="1" si="13"/>
        <v/>
      </c>
      <c r="O59" s="56" t="str">
        <f t="shared" ca="1" si="2"/>
        <v/>
      </c>
    </row>
    <row r="60" spans="2:15" x14ac:dyDescent="0.25">
      <c r="B60" s="46" t="str">
        <f t="shared" ca="1" si="8"/>
        <v/>
      </c>
      <c r="C60" s="22" t="str">
        <f t="shared" ca="1" si="14"/>
        <v/>
      </c>
      <c r="D60" s="47" t="str">
        <f t="shared" ca="1" si="9"/>
        <v/>
      </c>
      <c r="E60" s="50" t="str">
        <f t="shared" ca="1" si="10"/>
        <v/>
      </c>
      <c r="F60" s="51" t="str">
        <f t="shared" ca="1" si="11"/>
        <v/>
      </c>
      <c r="G60" s="51" t="str">
        <f t="shared" ca="1" si="12"/>
        <v/>
      </c>
      <c r="H60" s="48" t="str">
        <f t="shared" ca="1" si="4"/>
        <v/>
      </c>
      <c r="I60" s="49">
        <f t="shared" ca="1" si="5"/>
        <v>0</v>
      </c>
      <c r="J60" s="49">
        <f t="shared" ca="1" si="6"/>
        <v>0</v>
      </c>
      <c r="K60" s="52">
        <f t="shared" ca="1" si="15"/>
        <v>0</v>
      </c>
      <c r="L60" s="53">
        <f ca="1">K60*Assumptions!$B$18</f>
        <v>0</v>
      </c>
      <c r="N60" s="77" t="str">
        <f t="shared" ca="1" si="13"/>
        <v/>
      </c>
      <c r="O60" s="56" t="str">
        <f t="shared" ca="1" si="2"/>
        <v/>
      </c>
    </row>
    <row r="61" spans="2:15" x14ac:dyDescent="0.25">
      <c r="B61" s="46" t="str">
        <f t="shared" ca="1" si="8"/>
        <v/>
      </c>
      <c r="C61" s="22" t="str">
        <f t="shared" ca="1" si="14"/>
        <v/>
      </c>
      <c r="D61" s="47" t="str">
        <f t="shared" ca="1" si="9"/>
        <v/>
      </c>
      <c r="E61" s="50" t="str">
        <f t="shared" ca="1" si="10"/>
        <v/>
      </c>
      <c r="F61" s="51" t="str">
        <f t="shared" ca="1" si="11"/>
        <v/>
      </c>
      <c r="G61" s="51" t="str">
        <f t="shared" ca="1" si="12"/>
        <v/>
      </c>
      <c r="H61" s="48" t="str">
        <f t="shared" ca="1" si="4"/>
        <v/>
      </c>
      <c r="I61" s="49">
        <f t="shared" ca="1" si="5"/>
        <v>0</v>
      </c>
      <c r="J61" s="49">
        <f t="shared" ca="1" si="6"/>
        <v>0</v>
      </c>
      <c r="K61" s="52">
        <f t="shared" ca="1" si="15"/>
        <v>0</v>
      </c>
      <c r="L61" s="53">
        <f ca="1">K61*Assumptions!$B$18</f>
        <v>0</v>
      </c>
      <c r="N61" s="77" t="str">
        <f t="shared" ca="1" si="13"/>
        <v/>
      </c>
      <c r="O61" s="56" t="str">
        <f t="shared" ca="1" si="2"/>
        <v/>
      </c>
    </row>
    <row r="62" spans="2:15" x14ac:dyDescent="0.25">
      <c r="B62" s="46" t="str">
        <f t="shared" ref="B62:B69" ca="1" si="16">IF($C62="","",B61+1)</f>
        <v/>
      </c>
      <c r="C62" s="22" t="str">
        <f t="shared" ca="1" si="14"/>
        <v/>
      </c>
      <c r="D62" s="47" t="str">
        <f t="shared" ref="D62:D69" ca="1" si="17">IF($C62="","",D61)</f>
        <v/>
      </c>
      <c r="E62" s="50" t="str">
        <f t="shared" ca="1" si="10"/>
        <v/>
      </c>
      <c r="F62" s="51" t="str">
        <f t="shared" ref="F62:F69" ca="1" si="18">IF($C62="","",F61)</f>
        <v/>
      </c>
      <c r="G62" s="51" t="str">
        <f t="shared" ref="G62:G69" ca="1" si="19">IF($C62="","",G61)</f>
        <v/>
      </c>
      <c r="H62" s="48" t="str">
        <f t="shared" ca="1" si="4"/>
        <v/>
      </c>
      <c r="I62" s="49">
        <f t="shared" ca="1" si="5"/>
        <v>0</v>
      </c>
      <c r="J62" s="49">
        <f t="shared" ca="1" si="6"/>
        <v>0</v>
      </c>
      <c r="K62" s="52">
        <f t="shared" ca="1" si="15"/>
        <v>0</v>
      </c>
      <c r="L62" s="53">
        <f ca="1">K62*Assumptions!$B$18</f>
        <v>0</v>
      </c>
      <c r="N62" s="77" t="str">
        <f t="shared" ca="1" si="13"/>
        <v/>
      </c>
      <c r="O62" s="56" t="str">
        <f t="shared" ref="O62:O69" ca="1" si="20">IFERROR(N62-I62,"")</f>
        <v/>
      </c>
    </row>
    <row r="63" spans="2:15" x14ac:dyDescent="0.25">
      <c r="B63" s="46" t="str">
        <f t="shared" ca="1" si="16"/>
        <v/>
      </c>
      <c r="C63" s="22" t="str">
        <f t="shared" ca="1" si="14"/>
        <v/>
      </c>
      <c r="D63" s="47" t="str">
        <f t="shared" ca="1" si="17"/>
        <v/>
      </c>
      <c r="E63" s="50" t="str">
        <f t="shared" ca="1" si="10"/>
        <v/>
      </c>
      <c r="F63" s="51" t="str">
        <f t="shared" ca="1" si="18"/>
        <v/>
      </c>
      <c r="G63" s="51" t="str">
        <f t="shared" ca="1" si="19"/>
        <v/>
      </c>
      <c r="H63" s="48" t="str">
        <f t="shared" ca="1" si="4"/>
        <v/>
      </c>
      <c r="I63" s="49">
        <f t="shared" ca="1" si="5"/>
        <v>0</v>
      </c>
      <c r="J63" s="49">
        <f t="shared" ca="1" si="6"/>
        <v>0</v>
      </c>
      <c r="K63" s="52">
        <f t="shared" ca="1" si="15"/>
        <v>0</v>
      </c>
      <c r="L63" s="53">
        <f ca="1">K63*Assumptions!$B$18</f>
        <v>0</v>
      </c>
      <c r="N63" s="77" t="str">
        <f t="shared" ca="1" si="13"/>
        <v/>
      </c>
      <c r="O63" s="56" t="str">
        <f t="shared" ca="1" si="20"/>
        <v/>
      </c>
    </row>
    <row r="64" spans="2:15" x14ac:dyDescent="0.25">
      <c r="B64" s="46" t="str">
        <f t="shared" ca="1" si="16"/>
        <v/>
      </c>
      <c r="C64" s="22" t="str">
        <f t="shared" ca="1" si="14"/>
        <v/>
      </c>
      <c r="D64" s="47" t="str">
        <f t="shared" ca="1" si="17"/>
        <v/>
      </c>
      <c r="E64" s="50" t="str">
        <f t="shared" ca="1" si="10"/>
        <v/>
      </c>
      <c r="F64" s="51" t="str">
        <f t="shared" ca="1" si="18"/>
        <v/>
      </c>
      <c r="G64" s="51" t="str">
        <f t="shared" ca="1" si="19"/>
        <v/>
      </c>
      <c r="H64" s="48" t="str">
        <f t="shared" ca="1" si="4"/>
        <v/>
      </c>
      <c r="I64" s="49">
        <f t="shared" ca="1" si="5"/>
        <v>0</v>
      </c>
      <c r="J64" s="49">
        <f t="shared" ca="1" si="6"/>
        <v>0</v>
      </c>
      <c r="K64" s="52">
        <f t="shared" ca="1" si="15"/>
        <v>0</v>
      </c>
      <c r="L64" s="53">
        <f ca="1">K64*Assumptions!$B$18</f>
        <v>0</v>
      </c>
      <c r="N64" s="77" t="str">
        <f t="shared" ca="1" si="13"/>
        <v/>
      </c>
      <c r="O64" s="56" t="str">
        <f t="shared" ca="1" si="20"/>
        <v/>
      </c>
    </row>
    <row r="65" spans="2:15" x14ac:dyDescent="0.25">
      <c r="B65" s="46" t="str">
        <f t="shared" ca="1" si="16"/>
        <v/>
      </c>
      <c r="C65" s="22" t="str">
        <f t="shared" ca="1" si="14"/>
        <v/>
      </c>
      <c r="D65" s="47" t="str">
        <f t="shared" ca="1" si="17"/>
        <v/>
      </c>
      <c r="E65" s="50" t="str">
        <f t="shared" ca="1" si="10"/>
        <v/>
      </c>
      <c r="F65" s="51" t="str">
        <f t="shared" ca="1" si="18"/>
        <v/>
      </c>
      <c r="G65" s="51" t="str">
        <f t="shared" ca="1" si="19"/>
        <v/>
      </c>
      <c r="H65" s="48" t="str">
        <f t="shared" ca="1" si="4"/>
        <v/>
      </c>
      <c r="I65" s="49">
        <f t="shared" ca="1" si="5"/>
        <v>0</v>
      </c>
      <c r="J65" s="49">
        <f t="shared" ca="1" si="6"/>
        <v>0</v>
      </c>
      <c r="K65" s="52">
        <f t="shared" ca="1" si="15"/>
        <v>0</v>
      </c>
      <c r="L65" s="53">
        <f ca="1">K65*Assumptions!$B$18</f>
        <v>0</v>
      </c>
      <c r="N65" s="77" t="str">
        <f t="shared" ca="1" si="13"/>
        <v/>
      </c>
      <c r="O65" s="56" t="str">
        <f t="shared" ca="1" si="20"/>
        <v/>
      </c>
    </row>
    <row r="66" spans="2:15" x14ac:dyDescent="0.25">
      <c r="B66" s="46" t="str">
        <f t="shared" ca="1" si="16"/>
        <v/>
      </c>
      <c r="C66" s="22" t="str">
        <f t="shared" ca="1" si="14"/>
        <v/>
      </c>
      <c r="D66" s="47" t="str">
        <f t="shared" ca="1" si="17"/>
        <v/>
      </c>
      <c r="E66" s="50" t="str">
        <f t="shared" ca="1" si="10"/>
        <v/>
      </c>
      <c r="F66" s="51" t="str">
        <f t="shared" ca="1" si="18"/>
        <v/>
      </c>
      <c r="G66" s="51" t="str">
        <f t="shared" ca="1" si="19"/>
        <v/>
      </c>
      <c r="H66" s="48" t="str">
        <f t="shared" ca="1" si="4"/>
        <v/>
      </c>
      <c r="I66" s="49">
        <f t="shared" ca="1" si="5"/>
        <v>0</v>
      </c>
      <c r="J66" s="49">
        <f t="shared" ca="1" si="6"/>
        <v>0</v>
      </c>
      <c r="K66" s="52">
        <f t="shared" ca="1" si="15"/>
        <v>0</v>
      </c>
      <c r="L66" s="53">
        <f ca="1">K66*Assumptions!$B$18</f>
        <v>0</v>
      </c>
      <c r="N66" s="77" t="str">
        <f t="shared" ca="1" si="13"/>
        <v/>
      </c>
      <c r="O66" s="56" t="str">
        <f t="shared" ca="1" si="20"/>
        <v/>
      </c>
    </row>
    <row r="67" spans="2:15" x14ac:dyDescent="0.25">
      <c r="B67" s="46" t="str">
        <f t="shared" ca="1" si="16"/>
        <v/>
      </c>
      <c r="C67" s="22" t="str">
        <f t="shared" ca="1" si="14"/>
        <v/>
      </c>
      <c r="D67" s="47" t="str">
        <f t="shared" ca="1" si="17"/>
        <v/>
      </c>
      <c r="E67" s="50" t="str">
        <f t="shared" ca="1" si="10"/>
        <v/>
      </c>
      <c r="F67" s="51" t="str">
        <f t="shared" ca="1" si="18"/>
        <v/>
      </c>
      <c r="G67" s="51" t="str">
        <f t="shared" ca="1" si="19"/>
        <v/>
      </c>
      <c r="H67" s="48" t="str">
        <f t="shared" ca="1" si="4"/>
        <v/>
      </c>
      <c r="I67" s="49">
        <f t="shared" ca="1" si="5"/>
        <v>0</v>
      </c>
      <c r="J67" s="49">
        <f t="shared" ca="1" si="6"/>
        <v>0</v>
      </c>
      <c r="K67" s="52">
        <f t="shared" ca="1" si="15"/>
        <v>0</v>
      </c>
      <c r="L67" s="53">
        <f ca="1">K67*Assumptions!$B$18</f>
        <v>0</v>
      </c>
      <c r="N67" s="77" t="str">
        <f t="shared" ca="1" si="13"/>
        <v/>
      </c>
      <c r="O67" s="56" t="str">
        <f t="shared" ca="1" si="20"/>
        <v/>
      </c>
    </row>
    <row r="68" spans="2:15" x14ac:dyDescent="0.25">
      <c r="B68" s="46" t="str">
        <f t="shared" ca="1" si="16"/>
        <v/>
      </c>
      <c r="C68" s="22" t="str">
        <f t="shared" ca="1" si="14"/>
        <v/>
      </c>
      <c r="D68" s="47" t="str">
        <f t="shared" ca="1" si="17"/>
        <v/>
      </c>
      <c r="E68" s="50" t="str">
        <f t="shared" ca="1" si="10"/>
        <v/>
      </c>
      <c r="F68" s="51" t="str">
        <f t="shared" ca="1" si="18"/>
        <v/>
      </c>
      <c r="G68" s="51" t="str">
        <f t="shared" ca="1" si="19"/>
        <v/>
      </c>
      <c r="H68" s="48" t="str">
        <f t="shared" ca="1" si="4"/>
        <v/>
      </c>
      <c r="I68" s="49">
        <f t="shared" ca="1" si="5"/>
        <v>0</v>
      </c>
      <c r="J68" s="49">
        <f t="shared" ca="1" si="6"/>
        <v>0</v>
      </c>
      <c r="K68" s="52">
        <f t="shared" ca="1" si="15"/>
        <v>0</v>
      </c>
      <c r="L68" s="53">
        <f ca="1">K68*Assumptions!$B$18</f>
        <v>0</v>
      </c>
      <c r="N68" s="77" t="str">
        <f t="shared" ca="1" si="13"/>
        <v/>
      </c>
      <c r="O68" s="56" t="str">
        <f t="shared" ca="1" si="20"/>
        <v/>
      </c>
    </row>
    <row r="69" spans="2:15" x14ac:dyDescent="0.25">
      <c r="B69" s="46" t="str">
        <f t="shared" ca="1" si="16"/>
        <v/>
      </c>
      <c r="C69" s="22" t="str">
        <f t="shared" ca="1" si="14"/>
        <v/>
      </c>
      <c r="D69" s="47" t="str">
        <f t="shared" ca="1" si="17"/>
        <v/>
      </c>
      <c r="E69" s="50" t="str">
        <f t="shared" ca="1" si="10"/>
        <v/>
      </c>
      <c r="F69" s="51" t="str">
        <f t="shared" ca="1" si="18"/>
        <v/>
      </c>
      <c r="G69" s="51" t="str">
        <f t="shared" ca="1" si="19"/>
        <v/>
      </c>
      <c r="H69" s="48" t="str">
        <f t="shared" ca="1" si="4"/>
        <v/>
      </c>
      <c r="I69" s="49">
        <f t="shared" ca="1" si="5"/>
        <v>0</v>
      </c>
      <c r="J69" s="49">
        <f t="shared" ca="1" si="6"/>
        <v>0</v>
      </c>
      <c r="K69" s="52">
        <f t="shared" ca="1" si="15"/>
        <v>0</v>
      </c>
      <c r="L69" s="53">
        <f ca="1">K69*Assumptions!$B$18</f>
        <v>0</v>
      </c>
      <c r="N69" s="77" t="str">
        <f t="shared" ca="1" si="13"/>
        <v/>
      </c>
      <c r="O69" s="56" t="str">
        <f t="shared" ca="1" si="20"/>
        <v/>
      </c>
    </row>
    <row r="70" spans="2:15" x14ac:dyDescent="0.25">
      <c r="B70" s="46" t="str">
        <f t="shared" ref="B70:B84" ca="1" si="21">IF($C70="","",B69+1)</f>
        <v/>
      </c>
      <c r="C70" s="22" t="str">
        <f t="shared" ca="1" si="14"/>
        <v/>
      </c>
      <c r="D70" s="47" t="str">
        <f t="shared" ref="D70:D84" ca="1" si="22">IF($C70="","",D69)</f>
        <v/>
      </c>
      <c r="E70" s="50" t="str">
        <f t="shared" ca="1" si="10"/>
        <v/>
      </c>
      <c r="F70" s="51" t="str">
        <f t="shared" ref="F70:F84" ca="1" si="23">IF($C70="","",F69)</f>
        <v/>
      </c>
      <c r="G70" s="51" t="str">
        <f t="shared" ref="G70:G84" ca="1" si="24">IF($C70="","",G69)</f>
        <v/>
      </c>
      <c r="H70" s="48" t="str">
        <f t="shared" ca="1" si="4"/>
        <v/>
      </c>
      <c r="I70" s="49">
        <f t="shared" ca="1" si="5"/>
        <v>0</v>
      </c>
      <c r="J70" s="49">
        <f t="shared" ca="1" si="6"/>
        <v>0</v>
      </c>
      <c r="K70" s="52">
        <f t="shared" ca="1" si="15"/>
        <v>0</v>
      </c>
      <c r="L70" s="53">
        <f ca="1">K70*Assumptions!$B$18</f>
        <v>0</v>
      </c>
      <c r="N70" s="77" t="str">
        <f t="shared" ca="1" si="13"/>
        <v/>
      </c>
      <c r="O70" s="56" t="str">
        <f t="shared" ref="O70:O78" ca="1" si="25">IFERROR(N70-I70,"")</f>
        <v/>
      </c>
    </row>
    <row r="71" spans="2:15" x14ac:dyDescent="0.25">
      <c r="B71" s="46" t="str">
        <f t="shared" ca="1" si="21"/>
        <v/>
      </c>
      <c r="C71" s="22" t="str">
        <f t="shared" ca="1" si="14"/>
        <v/>
      </c>
      <c r="D71" s="47" t="str">
        <f t="shared" ca="1" si="22"/>
        <v/>
      </c>
      <c r="E71" s="50" t="str">
        <f t="shared" ca="1" si="10"/>
        <v/>
      </c>
      <c r="F71" s="51" t="str">
        <f t="shared" ca="1" si="23"/>
        <v/>
      </c>
      <c r="G71" s="51" t="str">
        <f t="shared" ca="1" si="24"/>
        <v/>
      </c>
      <c r="H71" s="48" t="str">
        <f t="shared" ca="1" si="4"/>
        <v/>
      </c>
      <c r="I71" s="49">
        <f t="shared" ca="1" si="5"/>
        <v>0</v>
      </c>
      <c r="J71" s="49">
        <f t="shared" ca="1" si="6"/>
        <v>0</v>
      </c>
      <c r="K71" s="52">
        <f t="shared" ca="1" si="15"/>
        <v>0</v>
      </c>
      <c r="L71" s="53">
        <f ca="1">K71*Assumptions!$B$18</f>
        <v>0</v>
      </c>
      <c r="N71" s="77" t="str">
        <f t="shared" ca="1" si="13"/>
        <v/>
      </c>
      <c r="O71" s="56" t="str">
        <f t="shared" ca="1" si="25"/>
        <v/>
      </c>
    </row>
    <row r="72" spans="2:15" x14ac:dyDescent="0.25">
      <c r="B72" s="46" t="str">
        <f t="shared" ca="1" si="21"/>
        <v/>
      </c>
      <c r="C72" s="22" t="str">
        <f t="shared" ca="1" si="14"/>
        <v/>
      </c>
      <c r="D72" s="47" t="str">
        <f t="shared" ca="1" si="22"/>
        <v/>
      </c>
      <c r="E72" s="50" t="str">
        <f t="shared" ca="1" si="10"/>
        <v/>
      </c>
      <c r="F72" s="51" t="str">
        <f t="shared" ca="1" si="23"/>
        <v/>
      </c>
      <c r="G72" s="51" t="str">
        <f t="shared" ca="1" si="24"/>
        <v/>
      </c>
      <c r="H72" s="48" t="str">
        <f t="shared" ca="1" si="4"/>
        <v/>
      </c>
      <c r="I72" s="49">
        <f t="shared" ca="1" si="5"/>
        <v>0</v>
      </c>
      <c r="J72" s="49">
        <f t="shared" ca="1" si="6"/>
        <v>0</v>
      </c>
      <c r="K72" s="52">
        <f t="shared" ca="1" si="15"/>
        <v>0</v>
      </c>
      <c r="L72" s="53">
        <f ca="1">K72*Assumptions!$B$18</f>
        <v>0</v>
      </c>
      <c r="N72" s="77" t="str">
        <f t="shared" ca="1" si="13"/>
        <v/>
      </c>
      <c r="O72" s="56" t="str">
        <f t="shared" ca="1" si="25"/>
        <v/>
      </c>
    </row>
    <row r="73" spans="2:15" x14ac:dyDescent="0.25">
      <c r="B73" s="46" t="str">
        <f t="shared" ca="1" si="21"/>
        <v/>
      </c>
      <c r="C73" s="22" t="str">
        <f t="shared" ca="1" si="14"/>
        <v/>
      </c>
      <c r="D73" s="47" t="str">
        <f t="shared" ca="1" si="22"/>
        <v/>
      </c>
      <c r="E73" s="50" t="str">
        <f t="shared" ca="1" si="10"/>
        <v/>
      </c>
      <c r="F73" s="51" t="str">
        <f t="shared" ca="1" si="23"/>
        <v/>
      </c>
      <c r="G73" s="51" t="str">
        <f t="shared" ca="1" si="24"/>
        <v/>
      </c>
      <c r="H73" s="48" t="str">
        <f t="shared" ca="1" si="4"/>
        <v/>
      </c>
      <c r="I73" s="49">
        <f t="shared" ca="1" si="5"/>
        <v>0</v>
      </c>
      <c r="J73" s="49">
        <f t="shared" ca="1" si="6"/>
        <v>0</v>
      </c>
      <c r="K73" s="52">
        <f t="shared" ca="1" si="15"/>
        <v>0</v>
      </c>
      <c r="L73" s="53">
        <f ca="1">K73*Assumptions!$B$18</f>
        <v>0</v>
      </c>
      <c r="N73" s="77" t="str">
        <f t="shared" ca="1" si="13"/>
        <v/>
      </c>
      <c r="O73" s="56" t="str">
        <f t="shared" ca="1" si="25"/>
        <v/>
      </c>
    </row>
    <row r="74" spans="2:15" x14ac:dyDescent="0.25">
      <c r="B74" s="46" t="str">
        <f t="shared" ca="1" si="21"/>
        <v/>
      </c>
      <c r="C74" s="22" t="str">
        <f t="shared" ca="1" si="14"/>
        <v/>
      </c>
      <c r="D74" s="47" t="str">
        <f t="shared" ca="1" si="22"/>
        <v/>
      </c>
      <c r="E74" s="50" t="str">
        <f t="shared" ca="1" si="10"/>
        <v/>
      </c>
      <c r="F74" s="51" t="str">
        <f t="shared" ca="1" si="23"/>
        <v/>
      </c>
      <c r="G74" s="51" t="str">
        <f t="shared" ca="1" si="24"/>
        <v/>
      </c>
      <c r="H74" s="48" t="str">
        <f t="shared" ca="1" si="4"/>
        <v/>
      </c>
      <c r="I74" s="49">
        <f t="shared" ca="1" si="5"/>
        <v>0</v>
      </c>
      <c r="J74" s="49">
        <f t="shared" ca="1" si="6"/>
        <v>0</v>
      </c>
      <c r="K74" s="52">
        <f t="shared" ca="1" si="15"/>
        <v>0</v>
      </c>
      <c r="L74" s="53">
        <f ca="1">K74*Assumptions!$B$18</f>
        <v>0</v>
      </c>
      <c r="N74" s="77" t="str">
        <f t="shared" ca="1" si="13"/>
        <v/>
      </c>
      <c r="O74" s="56" t="str">
        <f t="shared" ca="1" si="25"/>
        <v/>
      </c>
    </row>
    <row r="75" spans="2:15" x14ac:dyDescent="0.25">
      <c r="B75" s="46" t="str">
        <f t="shared" ca="1" si="21"/>
        <v/>
      </c>
      <c r="C75" s="22" t="str">
        <f t="shared" ca="1" si="14"/>
        <v/>
      </c>
      <c r="D75" s="47" t="str">
        <f t="shared" ca="1" si="22"/>
        <v/>
      </c>
      <c r="E75" s="50" t="str">
        <f t="shared" ca="1" si="10"/>
        <v/>
      </c>
      <c r="F75" s="51" t="str">
        <f t="shared" ca="1" si="23"/>
        <v/>
      </c>
      <c r="G75" s="51" t="str">
        <f t="shared" ca="1" si="24"/>
        <v/>
      </c>
      <c r="H75" s="48" t="str">
        <f t="shared" ca="1" si="4"/>
        <v/>
      </c>
      <c r="I75" s="49">
        <f t="shared" ca="1" si="5"/>
        <v>0</v>
      </c>
      <c r="J75" s="49">
        <f t="shared" ca="1" si="6"/>
        <v>0</v>
      </c>
      <c r="K75" s="52">
        <f t="shared" ca="1" si="15"/>
        <v>0</v>
      </c>
      <c r="L75" s="53">
        <f ca="1">K75*Assumptions!$B$18</f>
        <v>0</v>
      </c>
      <c r="N75" s="77" t="str">
        <f t="shared" ca="1" si="13"/>
        <v/>
      </c>
      <c r="O75" s="56" t="str">
        <f t="shared" ca="1" si="25"/>
        <v/>
      </c>
    </row>
    <row r="76" spans="2:15" x14ac:dyDescent="0.25">
      <c r="B76" s="46" t="str">
        <f t="shared" ca="1" si="21"/>
        <v/>
      </c>
      <c r="C76" s="22" t="str">
        <f t="shared" ca="1" si="14"/>
        <v/>
      </c>
      <c r="D76" s="47" t="str">
        <f t="shared" ca="1" si="22"/>
        <v/>
      </c>
      <c r="E76" s="50" t="str">
        <f t="shared" ca="1" si="10"/>
        <v/>
      </c>
      <c r="F76" s="51" t="str">
        <f t="shared" ca="1" si="23"/>
        <v/>
      </c>
      <c r="G76" s="51" t="str">
        <f t="shared" ca="1" si="24"/>
        <v/>
      </c>
      <c r="H76" s="48" t="str">
        <f t="shared" ca="1" si="4"/>
        <v/>
      </c>
      <c r="I76" s="49">
        <f t="shared" ca="1" si="5"/>
        <v>0</v>
      </c>
      <c r="J76" s="49">
        <f t="shared" ca="1" si="6"/>
        <v>0</v>
      </c>
      <c r="K76" s="52">
        <f t="shared" ca="1" si="15"/>
        <v>0</v>
      </c>
      <c r="L76" s="53">
        <f ca="1">K76*Assumptions!$B$18</f>
        <v>0</v>
      </c>
      <c r="N76" s="77" t="str">
        <f t="shared" ca="1" si="13"/>
        <v/>
      </c>
      <c r="O76" s="56" t="str">
        <f t="shared" ca="1" si="25"/>
        <v/>
      </c>
    </row>
    <row r="77" spans="2:15" x14ac:dyDescent="0.25">
      <c r="B77" s="46" t="str">
        <f t="shared" ca="1" si="21"/>
        <v/>
      </c>
      <c r="C77" s="22" t="str">
        <f t="shared" ca="1" si="14"/>
        <v/>
      </c>
      <c r="D77" s="47" t="str">
        <f t="shared" ca="1" si="22"/>
        <v/>
      </c>
      <c r="E77" s="50" t="str">
        <f t="shared" ca="1" si="10"/>
        <v/>
      </c>
      <c r="F77" s="51" t="str">
        <f t="shared" ca="1" si="23"/>
        <v/>
      </c>
      <c r="G77" s="51" t="str">
        <f t="shared" ca="1" si="24"/>
        <v/>
      </c>
      <c r="H77" s="48" t="str">
        <f t="shared" ca="1" si="4"/>
        <v/>
      </c>
      <c r="I77" s="49">
        <f t="shared" ca="1" si="5"/>
        <v>0</v>
      </c>
      <c r="J77" s="49">
        <f t="shared" ca="1" si="6"/>
        <v>0</v>
      </c>
      <c r="K77" s="52">
        <f t="shared" ca="1" si="15"/>
        <v>0</v>
      </c>
      <c r="L77" s="53">
        <f ca="1">K77*Assumptions!$B$18</f>
        <v>0</v>
      </c>
      <c r="N77" s="77" t="str">
        <f t="shared" ca="1" si="13"/>
        <v/>
      </c>
      <c r="O77" s="56" t="str">
        <f t="shared" ca="1" si="25"/>
        <v/>
      </c>
    </row>
    <row r="78" spans="2:15" x14ac:dyDescent="0.25">
      <c r="B78" s="46" t="str">
        <f t="shared" ca="1" si="21"/>
        <v/>
      </c>
      <c r="C78" s="22" t="str">
        <f t="shared" ca="1" si="14"/>
        <v/>
      </c>
      <c r="D78" s="47" t="str">
        <f t="shared" ca="1" si="22"/>
        <v/>
      </c>
      <c r="E78" s="50" t="str">
        <f t="shared" ca="1" si="10"/>
        <v/>
      </c>
      <c r="F78" s="51" t="str">
        <f t="shared" ca="1" si="23"/>
        <v/>
      </c>
      <c r="G78" s="51" t="str">
        <f t="shared" ca="1" si="24"/>
        <v/>
      </c>
      <c r="H78" s="48" t="str">
        <f t="shared" ca="1" si="4"/>
        <v/>
      </c>
      <c r="I78" s="49">
        <f t="shared" ca="1" si="5"/>
        <v>0</v>
      </c>
      <c r="J78" s="49">
        <f t="shared" ca="1" si="6"/>
        <v>0</v>
      </c>
      <c r="K78" s="52">
        <f t="shared" ca="1" si="15"/>
        <v>0</v>
      </c>
      <c r="L78" s="53">
        <f ca="1">K78*Assumptions!$B$18</f>
        <v>0</v>
      </c>
      <c r="N78" s="77" t="str">
        <f t="shared" ref="N78:N84" ca="1" si="26">IF($C79="","",J79-J78*(1+i))</f>
        <v/>
      </c>
      <c r="O78" s="56" t="str">
        <f t="shared" ca="1" si="25"/>
        <v/>
      </c>
    </row>
    <row r="79" spans="2:15" x14ac:dyDescent="0.25">
      <c r="B79" s="46" t="str">
        <f t="shared" ca="1" si="21"/>
        <v/>
      </c>
      <c r="C79" s="22" t="str">
        <f t="shared" ref="C79:C84" ca="1" si="27">IF(C78="","",IF($D$2="A",C78+1,IF(C78+1&gt;$D$5,"",C78+1)))</f>
        <v/>
      </c>
      <c r="D79" s="47" t="str">
        <f t="shared" ca="1" si="22"/>
        <v/>
      </c>
      <c r="E79" s="50" t="str">
        <f t="shared" ca="1" si="10"/>
        <v/>
      </c>
      <c r="F79" s="51" t="str">
        <f t="shared" ca="1" si="23"/>
        <v/>
      </c>
      <c r="G79" s="51" t="str">
        <f t="shared" ca="1" si="24"/>
        <v/>
      </c>
      <c r="H79" s="48" t="str">
        <f t="shared" ref="H79:H84" ca="1" si="28">IF($C79="","",
D79*((1+F79)/(1+G79))^($D$5-C79-1))</f>
        <v/>
      </c>
      <c r="I79" s="49">
        <f t="shared" ref="I79:I84" ca="1" si="29">IF($C80="",0,
H79*E79*(1+F79))</f>
        <v>0</v>
      </c>
      <c r="J79" s="49">
        <f t="shared" ref="J79:J84" ca="1" si="30">IF($C79="",0,
D79*E79*B79*((1+F79)/(1+G79))^($D$5-C79))</f>
        <v>0</v>
      </c>
      <c r="K79" s="52">
        <f t="shared" ref="K79:K84" ca="1" si="31">IF($C79="",0,
K78*(1+i)+I79)</f>
        <v>0</v>
      </c>
      <c r="L79" s="53">
        <f ca="1">K79*Assumptions!$B$18</f>
        <v>0</v>
      </c>
      <c r="N79" s="77" t="str">
        <f t="shared" ca="1" si="26"/>
        <v/>
      </c>
      <c r="O79" s="56" t="str">
        <f ca="1">IFERROR(N79-I79,"")</f>
        <v/>
      </c>
    </row>
    <row r="80" spans="2:15" x14ac:dyDescent="0.25">
      <c r="B80" s="46" t="str">
        <f t="shared" ca="1" si="21"/>
        <v/>
      </c>
      <c r="C80" s="22" t="str">
        <f t="shared" ca="1" si="27"/>
        <v/>
      </c>
      <c r="D80" s="47" t="str">
        <f t="shared" ca="1" si="22"/>
        <v/>
      </c>
      <c r="E80" s="50" t="str">
        <f t="shared" ref="E80:E84" ca="1" si="32">IF($C80="","",E79*(1+F79))</f>
        <v/>
      </c>
      <c r="F80" s="51" t="str">
        <f t="shared" ca="1" si="23"/>
        <v/>
      </c>
      <c r="G80" s="51" t="str">
        <f t="shared" ca="1" si="24"/>
        <v/>
      </c>
      <c r="H80" s="48" t="str">
        <f t="shared" ca="1" si="28"/>
        <v/>
      </c>
      <c r="I80" s="49">
        <f t="shared" ca="1" si="29"/>
        <v>0</v>
      </c>
      <c r="J80" s="49">
        <f t="shared" ca="1" si="30"/>
        <v>0</v>
      </c>
      <c r="K80" s="52">
        <f t="shared" ca="1" si="31"/>
        <v>0</v>
      </c>
      <c r="L80" s="53">
        <f ca="1">K80*Assumptions!$B$18</f>
        <v>0</v>
      </c>
      <c r="N80" s="77" t="str">
        <f t="shared" ca="1" si="26"/>
        <v/>
      </c>
      <c r="O80" s="56" t="str">
        <f t="shared" ref="O80:O84" ca="1" si="33">IFERROR(N80-I80,"")</f>
        <v/>
      </c>
    </row>
    <row r="81" spans="2:15" x14ac:dyDescent="0.25">
      <c r="B81" s="46" t="str">
        <f t="shared" ca="1" si="21"/>
        <v/>
      </c>
      <c r="C81" s="22" t="str">
        <f t="shared" ca="1" si="27"/>
        <v/>
      </c>
      <c r="D81" s="47" t="str">
        <f t="shared" ca="1" si="22"/>
        <v/>
      </c>
      <c r="E81" s="50" t="str">
        <f t="shared" ca="1" si="32"/>
        <v/>
      </c>
      <c r="F81" s="51" t="str">
        <f t="shared" ca="1" si="23"/>
        <v/>
      </c>
      <c r="G81" s="51" t="str">
        <f t="shared" ca="1" si="24"/>
        <v/>
      </c>
      <c r="H81" s="48" t="str">
        <f t="shared" ca="1" si="28"/>
        <v/>
      </c>
      <c r="I81" s="49">
        <f t="shared" ca="1" si="29"/>
        <v>0</v>
      </c>
      <c r="J81" s="49">
        <f t="shared" ca="1" si="30"/>
        <v>0</v>
      </c>
      <c r="K81" s="52">
        <f t="shared" ca="1" si="31"/>
        <v>0</v>
      </c>
      <c r="L81" s="53">
        <f ca="1">K81*Assumptions!$B$18</f>
        <v>0</v>
      </c>
      <c r="N81" s="77" t="str">
        <f t="shared" ca="1" si="26"/>
        <v/>
      </c>
      <c r="O81" s="56" t="str">
        <f t="shared" ca="1" si="33"/>
        <v/>
      </c>
    </row>
    <row r="82" spans="2:15" x14ac:dyDescent="0.25">
      <c r="B82" s="46" t="str">
        <f t="shared" ca="1" si="21"/>
        <v/>
      </c>
      <c r="C82" s="22" t="str">
        <f t="shared" ca="1" si="27"/>
        <v/>
      </c>
      <c r="D82" s="47" t="str">
        <f t="shared" ca="1" si="22"/>
        <v/>
      </c>
      <c r="E82" s="50" t="str">
        <f t="shared" ca="1" si="32"/>
        <v/>
      </c>
      <c r="F82" s="51" t="str">
        <f t="shared" ca="1" si="23"/>
        <v/>
      </c>
      <c r="G82" s="51" t="str">
        <f t="shared" ca="1" si="24"/>
        <v/>
      </c>
      <c r="H82" s="48" t="str">
        <f t="shared" ca="1" si="28"/>
        <v/>
      </c>
      <c r="I82" s="49">
        <f t="shared" ca="1" si="29"/>
        <v>0</v>
      </c>
      <c r="J82" s="49">
        <f t="shared" ca="1" si="30"/>
        <v>0</v>
      </c>
      <c r="K82" s="52">
        <f t="shared" ca="1" si="31"/>
        <v>0</v>
      </c>
      <c r="L82" s="53">
        <f ca="1">K82*Assumptions!$B$18</f>
        <v>0</v>
      </c>
      <c r="N82" s="77" t="str">
        <f t="shared" ca="1" si="26"/>
        <v/>
      </c>
      <c r="O82" s="56" t="str">
        <f t="shared" ca="1" si="33"/>
        <v/>
      </c>
    </row>
    <row r="83" spans="2:15" x14ac:dyDescent="0.25">
      <c r="B83" s="46" t="str">
        <f t="shared" ca="1" si="21"/>
        <v/>
      </c>
      <c r="C83" s="22" t="str">
        <f t="shared" ca="1" si="27"/>
        <v/>
      </c>
      <c r="D83" s="47" t="str">
        <f t="shared" ca="1" si="22"/>
        <v/>
      </c>
      <c r="E83" s="50" t="str">
        <f t="shared" ca="1" si="32"/>
        <v/>
      </c>
      <c r="F83" s="51" t="str">
        <f t="shared" ca="1" si="23"/>
        <v/>
      </c>
      <c r="G83" s="51" t="str">
        <f t="shared" ca="1" si="24"/>
        <v/>
      </c>
      <c r="H83" s="48" t="str">
        <f t="shared" ca="1" si="28"/>
        <v/>
      </c>
      <c r="I83" s="49">
        <f t="shared" ca="1" si="29"/>
        <v>0</v>
      </c>
      <c r="J83" s="49">
        <f t="shared" ca="1" si="30"/>
        <v>0</v>
      </c>
      <c r="K83" s="52">
        <f t="shared" ca="1" si="31"/>
        <v>0</v>
      </c>
      <c r="L83" s="53">
        <f ca="1">K83*Assumptions!$B$18</f>
        <v>0</v>
      </c>
      <c r="N83" s="77" t="str">
        <f t="shared" ca="1" si="26"/>
        <v/>
      </c>
      <c r="O83" s="56" t="str">
        <f t="shared" ca="1" si="33"/>
        <v/>
      </c>
    </row>
    <row r="84" spans="2:15" x14ac:dyDescent="0.25">
      <c r="B84" s="46" t="str">
        <f t="shared" ca="1" si="21"/>
        <v/>
      </c>
      <c r="C84" s="22" t="str">
        <f t="shared" ca="1" si="27"/>
        <v/>
      </c>
      <c r="D84" s="47" t="str">
        <f t="shared" ca="1" si="22"/>
        <v/>
      </c>
      <c r="E84" s="50" t="str">
        <f t="shared" ca="1" si="32"/>
        <v/>
      </c>
      <c r="F84" s="51" t="str">
        <f t="shared" ca="1" si="23"/>
        <v/>
      </c>
      <c r="G84" s="51" t="str">
        <f t="shared" ca="1" si="24"/>
        <v/>
      </c>
      <c r="H84" s="48" t="str">
        <f t="shared" ca="1" si="28"/>
        <v/>
      </c>
      <c r="I84" s="49">
        <f t="shared" si="29"/>
        <v>0</v>
      </c>
      <c r="J84" s="49">
        <f t="shared" ca="1" si="30"/>
        <v>0</v>
      </c>
      <c r="K84" s="52">
        <f t="shared" ca="1" si="31"/>
        <v>0</v>
      </c>
      <c r="L84" s="53">
        <f ca="1">K84*Assumptions!$B$18</f>
        <v>0</v>
      </c>
      <c r="N84" s="77" t="str">
        <f t="shared" si="26"/>
        <v/>
      </c>
      <c r="O84" s="56" t="str">
        <f t="shared" si="33"/>
        <v/>
      </c>
    </row>
  </sheetData>
  <conditionalFormatting sqref="O13">
    <cfRule type="cellIs" dxfId="13" priority="5" operator="equal">
      <formula>"Pass"</formula>
    </cfRule>
    <cfRule type="cellIs" dxfId="12" priority="6" operator="equal">
      <formula>"Check!"</formula>
    </cfRule>
  </conditionalFormatting>
  <conditionalFormatting sqref="H7">
    <cfRule type="cellIs" dxfId="11" priority="3" operator="equal">
      <formula>"Pass"</formula>
    </cfRule>
    <cfRule type="cellIs" dxfId="10" priority="4" operator="equal">
      <formula>"Check!"</formula>
    </cfRule>
  </conditionalFormatting>
  <conditionalFormatting sqref="I7:Q7">
    <cfRule type="cellIs" dxfId="9" priority="1" operator="equal">
      <formula>"Pass"</formula>
    </cfRule>
    <cfRule type="cellIs" dxfId="8" priority="2" operator="equal">
      <formula>"Check!"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Y84"/>
  <sheetViews>
    <sheetView zoomScale="85" zoomScaleNormal="85" workbookViewId="0"/>
  </sheetViews>
  <sheetFormatPr defaultRowHeight="15" x14ac:dyDescent="0.25"/>
  <cols>
    <col min="1" max="1" width="3" customWidth="1"/>
    <col min="2" max="2" width="14.85546875" customWidth="1"/>
    <col min="3" max="3" width="17.85546875" bestFit="1" customWidth="1"/>
    <col min="4" max="4" width="11.140625" customWidth="1"/>
    <col min="5" max="5" width="16.28515625" customWidth="1"/>
    <col min="6" max="6" width="15.7109375" customWidth="1"/>
    <col min="7" max="7" width="12.140625" customWidth="1"/>
    <col min="8" max="9" width="15.7109375" customWidth="1"/>
    <col min="10" max="10" width="16.140625" customWidth="1"/>
    <col min="11" max="17" width="15.7109375" customWidth="1"/>
    <col min="18" max="18" width="3.28515625" customWidth="1"/>
    <col min="19" max="19" width="12.85546875" customWidth="1"/>
    <col min="20" max="20" width="11.28515625" customWidth="1"/>
    <col min="21" max="21" width="13.7109375" customWidth="1"/>
    <col min="22" max="25" width="11.5703125" bestFit="1" customWidth="1"/>
  </cols>
  <sheetData>
    <row r="1" spans="1:21" ht="16.5" thickBot="1" x14ac:dyDescent="0.3">
      <c r="A1" s="102" t="s">
        <v>82</v>
      </c>
    </row>
    <row r="2" spans="1:21" ht="16.5" thickBot="1" x14ac:dyDescent="0.3">
      <c r="B2" s="107" t="s">
        <v>32</v>
      </c>
      <c r="C2" s="58" t="s">
        <v>44</v>
      </c>
      <c r="D2" s="59" t="str">
        <f>RIGHT($B$3,1)</f>
        <v>B</v>
      </c>
      <c r="H2" s="103" t="s">
        <v>102</v>
      </c>
      <c r="I2" s="104"/>
      <c r="J2" s="104"/>
      <c r="K2" s="104"/>
      <c r="L2" s="104"/>
      <c r="M2" s="104"/>
      <c r="N2" s="104"/>
      <c r="O2" s="104"/>
      <c r="P2" s="104"/>
      <c r="Q2" s="104"/>
    </row>
    <row r="3" spans="1:21" ht="16.5" thickBot="1" x14ac:dyDescent="0.3">
      <c r="B3" s="108" t="s">
        <v>86</v>
      </c>
      <c r="C3" s="58" t="s">
        <v>101</v>
      </c>
      <c r="D3" s="59">
        <f>VLOOKUP($B$3,'opening demographics'!$A$1:$E$11,3,FALSE)</f>
        <v>220</v>
      </c>
      <c r="F3" s="96" t="s">
        <v>97</v>
      </c>
      <c r="G3" s="114" t="str">
        <f>B3</f>
        <v>40B</v>
      </c>
      <c r="H3" s="85" t="s">
        <v>33</v>
      </c>
      <c r="I3" s="86" t="s">
        <v>87</v>
      </c>
      <c r="J3" s="86" t="s">
        <v>89</v>
      </c>
      <c r="K3" s="86" t="s">
        <v>91</v>
      </c>
      <c r="L3" s="87" t="s">
        <v>93</v>
      </c>
      <c r="M3" s="88" t="s">
        <v>85</v>
      </c>
      <c r="N3" s="86" t="s">
        <v>86</v>
      </c>
      <c r="O3" s="86" t="s">
        <v>88</v>
      </c>
      <c r="P3" s="86" t="s">
        <v>90</v>
      </c>
      <c r="Q3" s="89" t="s">
        <v>92</v>
      </c>
    </row>
    <row r="4" spans="1:21" x14ac:dyDescent="0.25">
      <c r="C4" s="58" t="s">
        <v>45</v>
      </c>
      <c r="D4" s="59">
        <f>VALUE(LEFT($B$3,2))</f>
        <v>40</v>
      </c>
      <c r="F4" s="97" t="s">
        <v>98</v>
      </c>
      <c r="G4" s="115">
        <f>D3</f>
        <v>220</v>
      </c>
      <c r="H4" s="90">
        <f t="dataTable" ref="H4:Q7" dt2D="0" dtr="1" r1="B3" ca="1"/>
        <v>20</v>
      </c>
      <c r="I4" s="91">
        <v>15</v>
      </c>
      <c r="J4" s="91">
        <v>30</v>
      </c>
      <c r="K4" s="91">
        <v>25</v>
      </c>
      <c r="L4" s="92">
        <v>10</v>
      </c>
      <c r="M4" s="93">
        <v>210</v>
      </c>
      <c r="N4" s="91">
        <v>220</v>
      </c>
      <c r="O4" s="91">
        <v>240</v>
      </c>
      <c r="P4" s="91">
        <v>180</v>
      </c>
      <c r="Q4" s="94">
        <v>50</v>
      </c>
    </row>
    <row r="5" spans="1:21" x14ac:dyDescent="0.25">
      <c r="C5" s="58" t="s">
        <v>46</v>
      </c>
      <c r="D5" s="59">
        <f ca="1">INDIRECT("NRA_"&amp;$D$2)</f>
        <v>60</v>
      </c>
      <c r="F5" s="97" t="s">
        <v>29</v>
      </c>
      <c r="G5" s="116">
        <f ca="1">K14</f>
        <v>3035.4088228881055</v>
      </c>
      <c r="H5" s="90">
        <v>10034.811328683076</v>
      </c>
      <c r="I5" s="91">
        <v>15052.216993024613</v>
      </c>
      <c r="J5" s="91">
        <v>17560.919825195382</v>
      </c>
      <c r="K5" s="91">
        <v>18564.400958063692</v>
      </c>
      <c r="L5" s="92">
        <v>25087.02832170769</v>
      </c>
      <c r="M5" s="93">
        <v>2721.4010136238189</v>
      </c>
      <c r="N5" s="91">
        <v>3035.4088228881055</v>
      </c>
      <c r="O5" s="91">
        <v>3314.5268755674715</v>
      </c>
      <c r="P5" s="91">
        <v>3593.6449282468375</v>
      </c>
      <c r="Q5" s="94">
        <v>3593.6449282468375</v>
      </c>
    </row>
    <row r="6" spans="1:21" x14ac:dyDescent="0.25">
      <c r="C6" s="58" t="s">
        <v>47</v>
      </c>
      <c r="D6" s="60">
        <f ca="1">INDIRECT("accrual_rate_"&amp;$D$2)</f>
        <v>0.05</v>
      </c>
      <c r="F6" s="97" t="s">
        <v>100</v>
      </c>
      <c r="G6" s="116">
        <f ca="1">E15</f>
        <v>88305.901138100089</v>
      </c>
      <c r="H6" s="90">
        <v>103648.4317092171</v>
      </c>
      <c r="I6" s="91">
        <v>155472.64756382565</v>
      </c>
      <c r="J6" s="91">
        <v>181384.75549112991</v>
      </c>
      <c r="K6" s="91">
        <v>191749.59866205163</v>
      </c>
      <c r="L6" s="92">
        <v>259121.07927304273</v>
      </c>
      <c r="M6" s="93">
        <v>79170.807916917329</v>
      </c>
      <c r="N6" s="91">
        <v>88305.901138100089</v>
      </c>
      <c r="O6" s="91">
        <v>96425.984001373668</v>
      </c>
      <c r="P6" s="91">
        <v>104546.06686464723</v>
      </c>
      <c r="Q6" s="94">
        <v>104546.06686464723</v>
      </c>
    </row>
    <row r="7" spans="1:21" ht="15.75" thickBot="1" x14ac:dyDescent="0.3">
      <c r="C7" s="58" t="s">
        <v>48</v>
      </c>
      <c r="D7" s="61">
        <f>VLOOKUP($B$3,'opening demographics'!$A$1:$E$11,4,FALSE)</f>
        <v>87000</v>
      </c>
      <c r="F7" s="98" t="s">
        <v>40</v>
      </c>
      <c r="G7" s="135" t="str">
        <f ca="1">Q13</f>
        <v>Pass</v>
      </c>
      <c r="H7" s="131" t="str">
        <v>Pass</v>
      </c>
      <c r="I7" s="132" t="str">
        <v>Pass</v>
      </c>
      <c r="J7" s="132" t="str">
        <v>Pass</v>
      </c>
      <c r="K7" s="132" t="str">
        <v>Pass</v>
      </c>
      <c r="L7" s="133" t="str">
        <v>Pass</v>
      </c>
      <c r="M7" s="132" t="str">
        <v>Pass</v>
      </c>
      <c r="N7" s="132" t="str">
        <v>Pass</v>
      </c>
      <c r="O7" s="132" t="str">
        <v>Pass</v>
      </c>
      <c r="P7" s="132" t="str">
        <v>Pass</v>
      </c>
      <c r="Q7" s="134" t="str">
        <v>Pass</v>
      </c>
    </row>
    <row r="8" spans="1:21" ht="15.75" thickBot="1" x14ac:dyDescent="0.3">
      <c r="C8" s="58" t="s">
        <v>49</v>
      </c>
      <c r="D8" s="62">
        <f ca="1">INDIRECT("e_"&amp;$D$2)</f>
        <v>1.501035790919647E-2</v>
      </c>
      <c r="G8" s="117" t="s">
        <v>96</v>
      </c>
      <c r="H8" s="139">
        <f>H5/H6</f>
        <v>9.681585300620342E-2</v>
      </c>
      <c r="I8" s="136">
        <f t="shared" ref="I8:Q8" si="0">I5/I6</f>
        <v>9.6815853006203406E-2</v>
      </c>
      <c r="J8" s="136">
        <f t="shared" si="0"/>
        <v>9.681585300620342E-2</v>
      </c>
      <c r="K8" s="136">
        <f t="shared" si="0"/>
        <v>9.681585300620342E-2</v>
      </c>
      <c r="L8" s="137">
        <f t="shared" si="0"/>
        <v>9.681585300620342E-2</v>
      </c>
      <c r="M8" s="140">
        <f t="shared" si="0"/>
        <v>3.4373793639692111E-2</v>
      </c>
      <c r="N8" s="136">
        <f t="shared" si="0"/>
        <v>3.4373793639692111E-2</v>
      </c>
      <c r="O8" s="136">
        <f t="shared" si="0"/>
        <v>3.4373793639692111E-2</v>
      </c>
      <c r="P8" s="136">
        <f t="shared" si="0"/>
        <v>3.4373793639692111E-2</v>
      </c>
      <c r="Q8" s="138">
        <f t="shared" si="0"/>
        <v>3.4373793639692111E-2</v>
      </c>
    </row>
    <row r="9" spans="1:21" x14ac:dyDescent="0.25">
      <c r="C9" s="58" t="s">
        <v>50</v>
      </c>
      <c r="D9" s="67">
        <v>30</v>
      </c>
      <c r="E9" s="73" t="s">
        <v>69</v>
      </c>
    </row>
    <row r="10" spans="1:21" x14ac:dyDescent="0.25">
      <c r="C10" s="58" t="s">
        <v>105</v>
      </c>
      <c r="D10" s="112">
        <f ca="1">(1+G14)/(1+F14)-1</f>
        <v>2.46200857913208E-2</v>
      </c>
    </row>
    <row r="13" spans="1:21" ht="51.75" customHeight="1" x14ac:dyDescent="0.25">
      <c r="B13" s="57" t="s">
        <v>99</v>
      </c>
      <c r="C13" s="57" t="s">
        <v>38</v>
      </c>
      <c r="D13" s="57" t="s">
        <v>35</v>
      </c>
      <c r="E13" s="57" t="s">
        <v>39</v>
      </c>
      <c r="F13" s="57" t="s">
        <v>36</v>
      </c>
      <c r="G13" s="57" t="s">
        <v>37</v>
      </c>
      <c r="H13" s="72" t="s">
        <v>106</v>
      </c>
      <c r="I13" s="72" t="s">
        <v>107</v>
      </c>
      <c r="J13" s="57" t="s">
        <v>108</v>
      </c>
      <c r="K13" s="57" t="s">
        <v>70</v>
      </c>
      <c r="L13" s="57" t="s">
        <v>83</v>
      </c>
      <c r="M13" s="57" t="s">
        <v>41</v>
      </c>
      <c r="N13" s="57" t="s">
        <v>84</v>
      </c>
      <c r="P13" s="106" t="s">
        <v>103</v>
      </c>
      <c r="Q13" s="105" t="str">
        <f ca="1">IF(ABS(SUM(Q14:Q84))&lt;0.0001,"Pass","Check!")</f>
        <v>Pass</v>
      </c>
      <c r="S13" s="106" t="s">
        <v>109</v>
      </c>
      <c r="T13" s="121" t="s">
        <v>110</v>
      </c>
      <c r="U13" s="105" t="str">
        <f ca="1">IF(ABS(SUM(U14:U84))&lt;0.0001,"Pass","Check!")</f>
        <v>Pass</v>
      </c>
    </row>
    <row r="14" spans="1:21" x14ac:dyDescent="0.25">
      <c r="B14" s="46">
        <v>0</v>
      </c>
      <c r="C14" s="63">
        <f>D4</f>
        <v>40</v>
      </c>
      <c r="D14" s="64">
        <f ca="1">D6</f>
        <v>0.05</v>
      </c>
      <c r="E14" s="65">
        <f>D7</f>
        <v>87000</v>
      </c>
      <c r="F14" s="66">
        <f ca="1">D8</f>
        <v>1.501035790919647E-2</v>
      </c>
      <c r="G14" s="51">
        <f t="shared" ref="G14" si="1">i</f>
        <v>0.04</v>
      </c>
      <c r="H14" s="111">
        <f ca="1">(1-(1+$D$10)^-($D$5-$D$9))/$D$10</f>
        <v>21.03671089968751</v>
      </c>
      <c r="I14" s="111">
        <f ca="1">IFERROR((1-(1+$D$10)^-($D$5-$C14))/$D$10,0)</f>
        <v>15.645253719627194</v>
      </c>
      <c r="J14" s="48">
        <f ca="1">IF($C14="","",
D14*($D$5-$D$9)*((1+F14)/(1+G14))^($D$5-$D$9)/$H$14)</f>
        <v>3.4373793639692111E-2</v>
      </c>
      <c r="K14" s="52">
        <f t="shared" ref="K14:K45" ca="1" si="2">IF($C15="",0,
J14*E14*(1+F14))</f>
        <v>3035.4088228881055</v>
      </c>
      <c r="L14" s="49">
        <f ca="1">IF($C14="",0,
D14*($D$5-$D$4)*E14*((1+F14)/(1+G14))^($D$5-C14)-J14*E14*I14)</f>
        <v>6701.243590513528</v>
      </c>
      <c r="M14" s="113">
        <f ca="1">K14</f>
        <v>3035.4088228881055</v>
      </c>
      <c r="N14" s="53">
        <f ca="1">M14*Assumptions!$B$18</f>
        <v>2276.5566171660794</v>
      </c>
      <c r="P14" s="122">
        <f t="shared" ref="P14:P45" ca="1" si="3">IF($C15="","",L15-L14*(1+i))</f>
        <v>3035.4088228881219</v>
      </c>
      <c r="Q14" s="123">
        <f t="shared" ref="Q14:Q45" ca="1" si="4">IFERROR(P14-K14,"")</f>
        <v>1.6370904631912708E-11</v>
      </c>
      <c r="R14" s="124"/>
      <c r="S14" s="125">
        <f ca="1">IFERROR(J14/PUC_Projection!H14,"")</f>
        <v>1.0913194594842004</v>
      </c>
      <c r="T14" s="125">
        <f ca="1">IF($C14="","",($D$5-$D$9)/$H$14*(1+$D$10)^-(C14-$D$9+1))</f>
        <v>1.0913194594842006</v>
      </c>
      <c r="U14" s="126">
        <f ca="1">IFERROR(S14-T14,"")</f>
        <v>-2.2204460492503131E-16</v>
      </c>
    </row>
    <row r="15" spans="1:21" x14ac:dyDescent="0.25">
      <c r="B15" s="46">
        <f ca="1">IF($C15="","",B14+1)</f>
        <v>1</v>
      </c>
      <c r="C15" s="22">
        <f t="shared" ref="C15:C78" ca="1" si="5">IF(C14="","",IF($D$2="A",C14+1,IF(C14+1&gt;$D$5,"",C14+1)))</f>
        <v>41</v>
      </c>
      <c r="D15" s="47">
        <f ca="1">IF($C15="","",D14)</f>
        <v>0.05</v>
      </c>
      <c r="E15" s="50">
        <f ca="1">IF($C15="","",E14*(1+F14))</f>
        <v>88305.901138100089</v>
      </c>
      <c r="F15" s="51">
        <f ca="1">IF($C15="","",F14)</f>
        <v>1.501035790919647E-2</v>
      </c>
      <c r="G15" s="51">
        <f ca="1">IF($C15="","",G14)</f>
        <v>0.04</v>
      </c>
      <c r="I15" s="111">
        <f ca="1">IFERROR((1-(1+$D$10)^-($D$5-$C15))/$D$10,0)</f>
        <v>15.030441208431395</v>
      </c>
      <c r="J15" s="48">
        <f ca="1">IF($C15="","",
D15*($D$5-$D$9)*((1+F15)/(1+G15))^($D$5-$D$9)/$H$14)</f>
        <v>3.4373793639692111E-2</v>
      </c>
      <c r="K15" s="52">
        <f t="shared" ca="1" si="2"/>
        <v>3080.9713957203885</v>
      </c>
      <c r="L15" s="49">
        <f t="shared" ref="L15:L78" ca="1" si="6">IF($C15="",0,
D15*($D$5-$D$4)*E15*((1+F15)/(1+G15))^($D$5-C15)-J15*E15*I15)</f>
        <v>10004.702157022191</v>
      </c>
      <c r="M15" s="52">
        <f t="shared" ref="M15:M46" ca="1" si="7">IF($C15="",0,
M14*(1+i)+K15)</f>
        <v>6237.7965715240189</v>
      </c>
      <c r="N15" s="53">
        <f ca="1">M15*Assumptions!$B$18</f>
        <v>4678.3474286430137</v>
      </c>
      <c r="P15" s="122">
        <f t="shared" ca="1" si="3"/>
        <v>3080.9713957203585</v>
      </c>
      <c r="Q15" s="123">
        <f t="shared" ca="1" si="4"/>
        <v>-3.0013325158506632E-11</v>
      </c>
      <c r="R15" s="124"/>
      <c r="S15" s="125">
        <f ca="1">IFERROR(J15/PUC_Projection!H15,"")</f>
        <v>1.0650966876580088</v>
      </c>
      <c r="T15" s="125">
        <f ca="1">IF($C15="","",($D$5-$D$9)/$H$14*(1+$D$10)^-(C15-$D$9+1))</f>
        <v>1.0650966876580088</v>
      </c>
      <c r="U15" s="126">
        <f ca="1">IFERROR(S15-T15,"")</f>
        <v>0</v>
      </c>
    </row>
    <row r="16" spans="1:21" x14ac:dyDescent="0.25">
      <c r="B16" s="46">
        <f t="shared" ref="B16:B79" ca="1" si="8">IF($C16="","",B15+1)</f>
        <v>2</v>
      </c>
      <c r="C16" s="22">
        <f t="shared" ca="1" si="5"/>
        <v>42</v>
      </c>
      <c r="D16" s="47">
        <f t="shared" ref="D16:D79" ca="1" si="9">IF($C16="","",D15)</f>
        <v>0.05</v>
      </c>
      <c r="E16" s="50">
        <f t="shared" ref="E16:E79" ca="1" si="10">IF($C16="","",E15*(1+F15))</f>
        <v>89631.404319677094</v>
      </c>
      <c r="F16" s="51">
        <f t="shared" ref="F16:G31" ca="1" si="11">IF($C16="","",F15)</f>
        <v>1.501035790919647E-2</v>
      </c>
      <c r="G16" s="51">
        <f t="shared" ca="1" si="11"/>
        <v>0.04</v>
      </c>
      <c r="I16" s="111">
        <f ca="1">IFERROR((1-(1+$D$10)^-($D$5-$C16))/$D$10,0)</f>
        <v>14.400491960464382</v>
      </c>
      <c r="J16" s="48">
        <f ca="1">IF($C16="","",
D16*($D$5-$D$9)*((1+F16)/(1+G16))^($D$5-$D$9)/$H$14)</f>
        <v>3.4373793639692111E-2</v>
      </c>
      <c r="K16" s="52">
        <f t="shared" ca="1" si="2"/>
        <v>3127.2178790781481</v>
      </c>
      <c r="L16" s="49">
        <f t="shared" ca="1" si="6"/>
        <v>13485.861639023438</v>
      </c>
      <c r="M16" s="52">
        <f t="shared" ca="1" si="7"/>
        <v>9614.5263134631277</v>
      </c>
      <c r="N16" s="53">
        <f ca="1">M16*Assumptions!$B$18</f>
        <v>7210.8947350973458</v>
      </c>
      <c r="P16" s="122">
        <f t="shared" ca="1" si="3"/>
        <v>3127.2178790781545</v>
      </c>
      <c r="Q16" s="123">
        <f t="shared" ca="1" si="4"/>
        <v>6.3664629124104977E-12</v>
      </c>
      <c r="R16" s="124"/>
      <c r="S16" s="125">
        <f ca="1">IFERROR(J16/PUC_Projection!H16,"")</f>
        <v>1.0395040097573607</v>
      </c>
      <c r="T16" s="125">
        <f ca="1">IF($C16="","",($D$5-$D$9)/$H$14*(1+$D$10)^-(C16-$D$9+1))</f>
        <v>1.0395040097573607</v>
      </c>
      <c r="U16" s="126">
        <f ca="1">IFERROR(S16-T16,"")</f>
        <v>0</v>
      </c>
    </row>
    <row r="17" spans="2:25" x14ac:dyDescent="0.25">
      <c r="B17" s="46">
        <f t="shared" ca="1" si="8"/>
        <v>3</v>
      </c>
      <c r="C17" s="22">
        <f t="shared" ca="1" si="5"/>
        <v>43</v>
      </c>
      <c r="D17" s="47">
        <f t="shared" ca="1" si="9"/>
        <v>0.05</v>
      </c>
      <c r="E17" s="50">
        <f t="shared" ca="1" si="10"/>
        <v>90976.803778419344</v>
      </c>
      <c r="F17" s="51">
        <f t="shared" ca="1" si="11"/>
        <v>1.501035790919647E-2</v>
      </c>
      <c r="G17" s="51">
        <f t="shared" ca="1" si="11"/>
        <v>0.04</v>
      </c>
      <c r="I17" s="111">
        <f ca="1">IFERROR((1-(1+$D$10)^-($D$5-$C17))/$D$10,0)</f>
        <v>13.75503330796824</v>
      </c>
      <c r="J17" s="48">
        <f ca="1">IF($C17="","",
D17*($D$5-$D$9)*((1+F17)/(1+G17))^($D$5-$D$9)/$H$14)</f>
        <v>3.4373793639692111E-2</v>
      </c>
      <c r="K17" s="52">
        <f t="shared" ca="1" si="2"/>
        <v>3174.1585387031496</v>
      </c>
      <c r="L17" s="49">
        <f t="shared" ca="1" si="6"/>
        <v>17152.513983662531</v>
      </c>
      <c r="M17" s="52">
        <f t="shared" ca="1" si="7"/>
        <v>13173.265904704804</v>
      </c>
      <c r="N17" s="53">
        <f ca="1">M17*Assumptions!$B$18</f>
        <v>9879.9494285286019</v>
      </c>
      <c r="P17" s="122">
        <f t="shared" ca="1" si="3"/>
        <v>3174.1585387031591</v>
      </c>
      <c r="Q17" s="123">
        <f t="shared" ca="1" si="4"/>
        <v>9.5496943686157465E-12</v>
      </c>
      <c r="R17" s="124"/>
      <c r="S17" s="125">
        <f ca="1">IFERROR(J17/PUC_Projection!H17,"")</f>
        <v>1.0145262855690993</v>
      </c>
      <c r="T17" s="125">
        <f ca="1">IF($C17="","",($D$5-$D$9)/$H$14*(1+$D$10)^-(C17-$D$9+1))</f>
        <v>1.0145262855690993</v>
      </c>
      <c r="U17" s="126">
        <f ca="1">IFERROR(S17-T17,"")</f>
        <v>0</v>
      </c>
    </row>
    <row r="18" spans="2:25" x14ac:dyDescent="0.25">
      <c r="B18" s="46">
        <f t="shared" ca="1" si="8"/>
        <v>4</v>
      </c>
      <c r="C18" s="22">
        <f t="shared" ca="1" si="5"/>
        <v>44</v>
      </c>
      <c r="D18" s="47">
        <f t="shared" ca="1" si="9"/>
        <v>0.05</v>
      </c>
      <c r="E18" s="50">
        <f t="shared" ca="1" si="10"/>
        <v>92342.398164568149</v>
      </c>
      <c r="F18" s="51">
        <f t="shared" ca="1" si="11"/>
        <v>1.501035790919647E-2</v>
      </c>
      <c r="G18" s="51">
        <f t="shared" ca="1" si="11"/>
        <v>0.04</v>
      </c>
      <c r="I18" s="111">
        <f ca="1">IFERROR((1-(1+$D$10)^-($D$5-$C18))/$D$10,0)</f>
        <v>13.093683408072893</v>
      </c>
      <c r="J18" s="48">
        <f ca="1">IF($C18="","",
D18*($D$5-$D$9)*((1+F18)/(1+G18))^($D$5-$D$9)/$H$14)</f>
        <v>3.4373793639692111E-2</v>
      </c>
      <c r="K18" s="52">
        <f t="shared" ca="1" si="2"/>
        <v>3221.8037944296157</v>
      </c>
      <c r="L18" s="49">
        <f t="shared" ca="1" si="6"/>
        <v>21012.773081712192</v>
      </c>
      <c r="M18" s="52">
        <f t="shared" ca="1" si="7"/>
        <v>16922.000335322613</v>
      </c>
      <c r="N18" s="53">
        <f ca="1">M18*Assumptions!$B$18</f>
        <v>12691.50025149196</v>
      </c>
      <c r="P18" s="122">
        <f t="shared" ca="1" si="3"/>
        <v>3221.803794429612</v>
      </c>
      <c r="Q18" s="123">
        <f t="shared" ca="1" si="4"/>
        <v>-3.637978807091713E-12</v>
      </c>
      <c r="R18" s="124"/>
      <c r="S18" s="125">
        <f ca="1">IFERROR(J18/PUC_Projection!H18,"")</f>
        <v>0.9901487386767106</v>
      </c>
      <c r="T18" s="125">
        <f ca="1">IF($C18="","",($D$5-$D$9)/$H$14*(1+$D$10)^-(C18-$D$9+1))</f>
        <v>0.99014873867671072</v>
      </c>
      <c r="U18" s="126">
        <f ca="1">IFERROR(S18-T18,"")</f>
        <v>-1.1102230246251565E-16</v>
      </c>
    </row>
    <row r="19" spans="2:25" x14ac:dyDescent="0.25">
      <c r="B19" s="46">
        <f t="shared" ca="1" si="8"/>
        <v>5</v>
      </c>
      <c r="C19" s="22">
        <f t="shared" ca="1" si="5"/>
        <v>45</v>
      </c>
      <c r="D19" s="47">
        <f t="shared" ca="1" si="9"/>
        <v>0.05</v>
      </c>
      <c r="E19" s="50">
        <f t="shared" ca="1" si="10"/>
        <v>93728.490611211848</v>
      </c>
      <c r="F19" s="51">
        <f t="shared" ca="1" si="11"/>
        <v>1.501035790919647E-2</v>
      </c>
      <c r="G19" s="51">
        <f t="shared" ca="1" si="11"/>
        <v>0.04</v>
      </c>
      <c r="I19" s="111">
        <f ca="1">IFERROR((1-(1+$D$10)^-($D$5-$C19))/$D$10,0)</f>
        <v>12.41605101690404</v>
      </c>
      <c r="J19" s="48">
        <f ca="1">IF($C19="","",
D19*($D$5-$D$9)*((1+F19)/(1+G19))^($D$5-$D$9)/$H$14)</f>
        <v>3.4373793639692111E-2</v>
      </c>
      <c r="K19" s="52">
        <f t="shared" ca="1" si="2"/>
        <v>3270.1642224972115</v>
      </c>
      <c r="L19" s="49">
        <f t="shared" ca="1" si="6"/>
        <v>25075.087799410292</v>
      </c>
      <c r="M19" s="52">
        <f t="shared" ca="1" si="7"/>
        <v>20869.044571232731</v>
      </c>
      <c r="N19" s="53">
        <f ca="1">M19*Assumptions!$B$18</f>
        <v>15651.783428424547</v>
      </c>
      <c r="P19" s="122">
        <f t="shared" ca="1" si="3"/>
        <v>3270.1642224971947</v>
      </c>
      <c r="Q19" s="123">
        <f t="shared" ca="1" si="4"/>
        <v>-1.6825651982799172E-11</v>
      </c>
      <c r="R19" s="124"/>
      <c r="S19" s="125">
        <f ca="1">IFERROR(J19/PUC_Projection!H19,"")</f>
        <v>0.96635694771883407</v>
      </c>
      <c r="T19" s="125">
        <f ca="1">IF($C19="","",($D$5-$D$9)/$H$14*(1+$D$10)^-(C19-$D$9+1))</f>
        <v>0.96635694771883407</v>
      </c>
      <c r="U19" s="126">
        <f ca="1">IFERROR(S19-T19,"")</f>
        <v>0</v>
      </c>
    </row>
    <row r="20" spans="2:25" x14ac:dyDescent="0.25">
      <c r="B20" s="46">
        <f t="shared" ca="1" si="8"/>
        <v>6</v>
      </c>
      <c r="C20" s="22">
        <f t="shared" ca="1" si="5"/>
        <v>46</v>
      </c>
      <c r="D20" s="47">
        <f t="shared" ca="1" si="9"/>
        <v>0.05</v>
      </c>
      <c r="E20" s="50">
        <f t="shared" ca="1" si="10"/>
        <v>95135.388801574896</v>
      </c>
      <c r="F20" s="51">
        <f t="shared" ca="1" si="11"/>
        <v>1.501035790919647E-2</v>
      </c>
      <c r="G20" s="51">
        <f t="shared" ca="1" si="11"/>
        <v>0.04</v>
      </c>
      <c r="I20" s="111">
        <f ca="1">IFERROR((1-(1+$D$10)^-($D$5-$C20))/$D$10,0)</f>
        <v>11.721735258129636</v>
      </c>
      <c r="J20" s="48">
        <f ca="1">IF($C20="","",
D20*($D$5-$D$9)*((1+F20)/(1+G20))^($D$5-$D$9)/$H$14)</f>
        <v>3.4373793639692111E-2</v>
      </c>
      <c r="K20" s="52">
        <f t="shared" ca="1" si="2"/>
        <v>3319.2505578987434</v>
      </c>
      <c r="L20" s="49">
        <f t="shared" ca="1" si="6"/>
        <v>29348.255533883901</v>
      </c>
      <c r="M20" s="52">
        <f t="shared" ca="1" si="7"/>
        <v>25023.056911980784</v>
      </c>
      <c r="N20" s="53">
        <f ca="1">M20*Assumptions!$B$18</f>
        <v>18767.292683985586</v>
      </c>
      <c r="P20" s="122">
        <f t="shared" ca="1" si="3"/>
        <v>3319.2505578987584</v>
      </c>
      <c r="Q20" s="123">
        <f t="shared" ca="1" si="4"/>
        <v>1.5006662579253316E-11</v>
      </c>
      <c r="R20" s="124"/>
      <c r="S20" s="125">
        <f ca="1">IFERROR(J20/PUC_Projection!H20,"")</f>
        <v>0.94313683785781943</v>
      </c>
      <c r="T20" s="125">
        <f ca="1">IF($C20="","",($D$5-$D$9)/$H$14*(1+$D$10)^-(C20-$D$9+1))</f>
        <v>0.94313683785781943</v>
      </c>
      <c r="U20" s="126">
        <f ca="1">IFERROR(S20-T20,"")</f>
        <v>0</v>
      </c>
    </row>
    <row r="21" spans="2:25" x14ac:dyDescent="0.25">
      <c r="B21" s="46">
        <f t="shared" ca="1" si="8"/>
        <v>7</v>
      </c>
      <c r="C21" s="22">
        <f t="shared" ca="1" si="5"/>
        <v>47</v>
      </c>
      <c r="D21" s="47">
        <f t="shared" ca="1" si="9"/>
        <v>0.05</v>
      </c>
      <c r="E21" s="50">
        <f t="shared" ca="1" si="10"/>
        <v>96563.40503731709</v>
      </c>
      <c r="F21" s="51">
        <f t="shared" ca="1" si="11"/>
        <v>1.501035790919647E-2</v>
      </c>
      <c r="G21" s="51">
        <f t="shared" ca="1" si="11"/>
        <v>0.04</v>
      </c>
      <c r="I21" s="111">
        <f ca="1">IFERROR((1-(1+$D$10)^-($D$5-$C21))/$D$10,0)</f>
        <v>11.010325385807937</v>
      </c>
      <c r="J21" s="48">
        <f ca="1">IF($C21="","",
D21*($D$5-$D$9)*((1+F21)/(1+G21))^($D$5-$D$9)/$H$14)</f>
        <v>3.4373793639692111E-2</v>
      </c>
      <c r="K21" s="52">
        <f t="shared" ca="1" si="2"/>
        <v>3369.0736967631037</v>
      </c>
      <c r="L21" s="49">
        <f t="shared" ca="1" si="6"/>
        <v>33841.436313138016</v>
      </c>
      <c r="M21" s="52">
        <f t="shared" ca="1" si="7"/>
        <v>29393.052885223122</v>
      </c>
      <c r="N21" s="53">
        <f ca="1">M21*Assumptions!$B$18</f>
        <v>22044.789663917341</v>
      </c>
      <c r="P21" s="122">
        <f t="shared" ca="1" si="3"/>
        <v>3369.0736967631237</v>
      </c>
      <c r="Q21" s="123">
        <f t="shared" ca="1" si="4"/>
        <v>2.0008883439004421E-11</v>
      </c>
      <c r="R21" s="124"/>
      <c r="S21" s="125">
        <f ca="1">IFERROR(J21/PUC_Projection!H21,"")</f>
        <v>0.92047467245328185</v>
      </c>
      <c r="T21" s="125">
        <f ca="1">IF($C21="","",($D$5-$D$9)/$H$14*(1+$D$10)^-(C21-$D$9+1))</f>
        <v>0.92047467245328174</v>
      </c>
      <c r="U21" s="126">
        <f ca="1">IFERROR(S21-T21,"")</f>
        <v>1.1102230246251565E-16</v>
      </c>
    </row>
    <row r="22" spans="2:25" x14ac:dyDescent="0.25">
      <c r="B22" s="46">
        <f t="shared" ca="1" si="8"/>
        <v>8</v>
      </c>
      <c r="C22" s="22">
        <f t="shared" ca="1" si="5"/>
        <v>48</v>
      </c>
      <c r="D22" s="47">
        <f t="shared" ca="1" si="9"/>
        <v>0.05</v>
      </c>
      <c r="E22" s="50">
        <f t="shared" ca="1" si="10"/>
        <v>98012.856307857932</v>
      </c>
      <c r="F22" s="51">
        <f t="shared" ca="1" si="11"/>
        <v>1.501035790919647E-2</v>
      </c>
      <c r="G22" s="51">
        <f t="shared" ca="1" si="11"/>
        <v>0.04</v>
      </c>
      <c r="I22" s="111">
        <f ca="1">IFERROR((1-(1+$D$10)^-($D$5-$C22))/$D$10,0)</f>
        <v>10.281400541396883</v>
      </c>
      <c r="J22" s="48">
        <f ca="1">IF($C22="","",
D22*($D$5-$D$9)*((1+F22)/(1+G22))^($D$5-$D$9)/$H$14)</f>
        <v>3.4373793639692111E-2</v>
      </c>
      <c r="K22" s="52">
        <f t="shared" ca="1" si="2"/>
        <v>3419.6446987739778</v>
      </c>
      <c r="L22" s="49">
        <f t="shared" ca="1" si="6"/>
        <v>38564.16746242666</v>
      </c>
      <c r="M22" s="52">
        <f t="shared" ca="1" si="7"/>
        <v>33988.419699406026</v>
      </c>
      <c r="N22" s="53">
        <f ca="1">M22*Assumptions!$B$18</f>
        <v>25491.314774554521</v>
      </c>
      <c r="P22" s="122">
        <f t="shared" ca="1" si="3"/>
        <v>3419.6446987739691</v>
      </c>
      <c r="Q22" s="123">
        <f t="shared" ca="1" si="4"/>
        <v>-8.6401996668428183E-12</v>
      </c>
      <c r="R22" s="124"/>
      <c r="S22" s="125">
        <f ca="1">IFERROR(J22/PUC_Projection!H22,"")</f>
        <v>0.89835704493572677</v>
      </c>
      <c r="T22" s="125">
        <f ca="1">IF($C22="","",($D$5-$D$9)/$H$14*(1+$D$10)^-(C22-$D$9+1))</f>
        <v>0.89835704493572688</v>
      </c>
      <c r="U22" s="126">
        <f ca="1">IFERROR(S22-T22,"")</f>
        <v>-1.1102230246251565E-16</v>
      </c>
    </row>
    <row r="23" spans="2:25" x14ac:dyDescent="0.25">
      <c r="B23" s="46">
        <f t="shared" ca="1" si="8"/>
        <v>9</v>
      </c>
      <c r="C23" s="22">
        <f t="shared" ca="1" si="5"/>
        <v>49</v>
      </c>
      <c r="D23" s="47">
        <f t="shared" ca="1" si="9"/>
        <v>0.05</v>
      </c>
      <c r="E23" s="50">
        <f t="shared" ca="1" si="10"/>
        <v>99484.064360741526</v>
      </c>
      <c r="F23" s="51">
        <f t="shared" ca="1" si="11"/>
        <v>1.501035790919647E-2</v>
      </c>
      <c r="G23" s="51">
        <f t="shared" ca="1" si="11"/>
        <v>0.04</v>
      </c>
      <c r="I23" s="111">
        <f ca="1">IFERROR((1-(1+$D$10)^-($D$5-$C23))/$D$10,0)</f>
        <v>9.5345295047810072</v>
      </c>
      <c r="J23" s="48">
        <f ca="1">IF($C23="","",
D23*($D$5-$D$9)*((1+F23)/(1+G23))^($D$5-$D$9)/$H$14)</f>
        <v>3.4373793639692111E-2</v>
      </c>
      <c r="K23" s="52">
        <f t="shared" ca="1" si="2"/>
        <v>3470.9747896248614</v>
      </c>
      <c r="L23" s="49">
        <f t="shared" ca="1" si="6"/>
        <v>43526.378859697696</v>
      </c>
      <c r="M23" s="52">
        <f t="shared" ca="1" si="7"/>
        <v>38818.931277007126</v>
      </c>
      <c r="N23" s="53">
        <f ca="1">M23*Assumptions!$B$18</f>
        <v>29114.198457755345</v>
      </c>
      <c r="P23" s="122">
        <f t="shared" ca="1" si="3"/>
        <v>3470.9747896248591</v>
      </c>
      <c r="Q23" s="123">
        <f t="shared" ca="1" si="4"/>
        <v>-2.2737367544323206E-12</v>
      </c>
      <c r="R23" s="124"/>
      <c r="S23" s="125">
        <f ca="1">IFERROR(J23/PUC_Projection!H23,"")</f>
        <v>0.87677087087544225</v>
      </c>
      <c r="T23" s="125">
        <f ca="1">IF($C23="","",($D$5-$D$9)/$H$14*(1+$D$10)^-(C23-$D$9+1))</f>
        <v>0.87677087087544237</v>
      </c>
      <c r="U23" s="126">
        <f ca="1">IFERROR(S23-T23,"")</f>
        <v>-1.1102230246251565E-16</v>
      </c>
    </row>
    <row r="24" spans="2:25" x14ac:dyDescent="0.25">
      <c r="B24" s="46">
        <f t="shared" ca="1" si="8"/>
        <v>10</v>
      </c>
      <c r="C24" s="22">
        <f t="shared" ca="1" si="5"/>
        <v>50</v>
      </c>
      <c r="D24" s="47">
        <f t="shared" ca="1" si="9"/>
        <v>0.05</v>
      </c>
      <c r="E24" s="50">
        <f t="shared" ca="1" si="10"/>
        <v>100977.35577305779</v>
      </c>
      <c r="F24" s="51">
        <f t="shared" ca="1" si="11"/>
        <v>1.501035790919647E-2</v>
      </c>
      <c r="G24" s="51">
        <f t="shared" ca="1" si="11"/>
        <v>0.04</v>
      </c>
      <c r="I24" s="111">
        <f ca="1">IFERROR((1-(1+$D$10)^-($D$5-$C24))/$D$10,0)</f>
        <v>8.7692704391685972</v>
      </c>
      <c r="J24" s="48">
        <f ca="1">IF($C24="","",
D24*($D$5-$D$9)*((1+F24)/(1+G24))^($D$5-$D$9)/$H$14)</f>
        <v>3.4373793639692111E-2</v>
      </c>
      <c r="K24" s="52">
        <f t="shared" ca="1" si="2"/>
        <v>3523.0753635109286</v>
      </c>
      <c r="L24" s="49">
        <f t="shared" ca="1" si="6"/>
        <v>48738.408803710467</v>
      </c>
      <c r="M24" s="52">
        <f t="shared" ca="1" si="7"/>
        <v>43894.763891598341</v>
      </c>
      <c r="N24" s="53">
        <f ca="1">M24*Assumptions!$B$18</f>
        <v>32921.072918698759</v>
      </c>
      <c r="P24" s="122">
        <f t="shared" ca="1" si="3"/>
        <v>3523.0753635109431</v>
      </c>
      <c r="Q24" s="123">
        <f t="shared" ca="1" si="4"/>
        <v>1.4551915228366852E-11</v>
      </c>
      <c r="R24" s="124"/>
      <c r="S24" s="125">
        <f ca="1">IFERROR(J24/PUC_Projection!H24,"")</f>
        <v>0.85570338024196202</v>
      </c>
      <c r="T24" s="125">
        <f ca="1">IF($C24="","",($D$5-$D$9)/$H$14*(1+$D$10)^-(C24-$D$9+1))</f>
        <v>0.85570338024196224</v>
      </c>
      <c r="U24" s="126">
        <f ca="1">IFERROR(S24-T24,"")</f>
        <v>-2.2204460492503131E-16</v>
      </c>
    </row>
    <row r="25" spans="2:25" x14ac:dyDescent="0.25">
      <c r="B25" s="46">
        <f t="shared" ca="1" si="8"/>
        <v>11</v>
      </c>
      <c r="C25" s="22">
        <f t="shared" ca="1" si="5"/>
        <v>51</v>
      </c>
      <c r="D25" s="47">
        <f t="shared" ca="1" si="9"/>
        <v>0.05</v>
      </c>
      <c r="E25" s="50">
        <f t="shared" ca="1" si="10"/>
        <v>102493.06202393565</v>
      </c>
      <c r="F25" s="51">
        <f t="shared" ca="1" si="11"/>
        <v>1.501035790919647E-2</v>
      </c>
      <c r="G25" s="51">
        <f t="shared" ca="1" si="11"/>
        <v>0.04</v>
      </c>
      <c r="I25" s="111">
        <f ca="1">IFERROR((1-(1+$D$10)^-($D$5-$C25))/$D$10,0)</f>
        <v>7.9851706297082208</v>
      </c>
      <c r="J25" s="48">
        <f ca="1">IF($C25="","",
D25*($D$5-$D$9)*((1+F25)/(1+G25))^($D$5-$D$9)/$H$14)</f>
        <v>3.4373793639692111E-2</v>
      </c>
      <c r="K25" s="52">
        <f t="shared" ca="1" si="2"/>
        <v>3575.9579856582995</v>
      </c>
      <c r="L25" s="49">
        <f t="shared" ca="1" si="6"/>
        <v>54211.020519369828</v>
      </c>
      <c r="M25" s="52">
        <f t="shared" ca="1" si="7"/>
        <v>49226.512432920579</v>
      </c>
      <c r="N25" s="53">
        <f ca="1">M25*Assumptions!$B$18</f>
        <v>36919.884324690436</v>
      </c>
      <c r="P25" s="122">
        <f t="shared" ca="1" si="3"/>
        <v>3575.9579856583005</v>
      </c>
      <c r="Q25" s="123">
        <f t="shared" ca="1" si="4"/>
        <v>9.0949470177292824E-13</v>
      </c>
      <c r="R25" s="124"/>
      <c r="S25" s="125">
        <f ca="1">IFERROR(J25/PUC_Projection!H25,"")</f>
        <v>0.8351421098495222</v>
      </c>
      <c r="T25" s="125">
        <f ca="1">IF($C25="","",($D$5-$D$9)/$H$14*(1+$D$10)^-(C25-$D$9+1))</f>
        <v>0.83514210984952209</v>
      </c>
      <c r="U25" s="126">
        <f ca="1">IFERROR(S25-T25,"")</f>
        <v>1.1102230246251565E-16</v>
      </c>
    </row>
    <row r="26" spans="2:25" x14ac:dyDescent="0.25">
      <c r="B26" s="46">
        <f t="shared" ca="1" si="8"/>
        <v>12</v>
      </c>
      <c r="C26" s="22">
        <f t="shared" ca="1" si="5"/>
        <v>52</v>
      </c>
      <c r="D26" s="47">
        <f t="shared" ca="1" si="9"/>
        <v>0.05</v>
      </c>
      <c r="E26" s="50">
        <f t="shared" ca="1" si="10"/>
        <v>104031.51956812439</v>
      </c>
      <c r="F26" s="51">
        <f t="shared" ca="1" si="11"/>
        <v>1.501035790919647E-2</v>
      </c>
      <c r="G26" s="51">
        <f t="shared" ca="1" si="11"/>
        <v>0.04</v>
      </c>
      <c r="I26" s="111">
        <f ca="1">IFERROR((1-(1+$D$10)^-($D$5-$C26))/$D$10,0)</f>
        <v>7.1817662156699695</v>
      </c>
      <c r="J26" s="48">
        <f ca="1">IF($C26="","",
D26*($D$5-$D$9)*((1+F26)/(1+G26))^($D$5-$D$9)/$H$14)</f>
        <v>3.4373793639692111E-2</v>
      </c>
      <c r="K26" s="52">
        <f t="shared" ca="1" si="2"/>
        <v>3629.63439489128</v>
      </c>
      <c r="L26" s="49">
        <f t="shared" ca="1" si="6"/>
        <v>59955.419325802926</v>
      </c>
      <c r="M26" s="52">
        <f t="shared" ca="1" si="7"/>
        <v>54825.207325128678</v>
      </c>
      <c r="N26" s="53">
        <f ca="1">M26*Assumptions!$B$18</f>
        <v>41118.905493846512</v>
      </c>
      <c r="P26" s="122">
        <f t="shared" ca="1" si="3"/>
        <v>3629.6343948912909</v>
      </c>
      <c r="Q26" s="123">
        <f t="shared" ca="1" si="4"/>
        <v>1.0913936421275139E-11</v>
      </c>
      <c r="R26" s="124"/>
      <c r="S26" s="125">
        <f ca="1">IFERROR(J26/PUC_Projection!H26,"")</f>
        <v>0.81507489598404315</v>
      </c>
      <c r="T26" s="125">
        <f ca="1">IF($C26="","",($D$5-$D$9)/$H$14*(1+$D$10)^-(C26-$D$9+1))</f>
        <v>0.81507489598404315</v>
      </c>
      <c r="U26" s="126">
        <f ca="1">IFERROR(S26-T26,"")</f>
        <v>0</v>
      </c>
    </row>
    <row r="27" spans="2:25" x14ac:dyDescent="0.25">
      <c r="B27" s="46">
        <f t="shared" ca="1" si="8"/>
        <v>13</v>
      </c>
      <c r="C27" s="22">
        <f t="shared" ca="1" si="5"/>
        <v>53</v>
      </c>
      <c r="D27" s="47">
        <f t="shared" ca="1" si="9"/>
        <v>0.05</v>
      </c>
      <c r="E27" s="50">
        <f t="shared" ca="1" si="10"/>
        <v>105593.06991067952</v>
      </c>
      <c r="F27" s="51">
        <f t="shared" ca="1" si="11"/>
        <v>1.501035790919647E-2</v>
      </c>
      <c r="G27" s="51">
        <f t="shared" ca="1" si="11"/>
        <v>0.04</v>
      </c>
      <c r="I27" s="111">
        <f ca="1">IFERROR((1-(1+$D$10)^-($D$5-$C27))/$D$10,0)</f>
        <v>6.3585819160329704</v>
      </c>
      <c r="J27" s="48">
        <f ca="1">IF($C27="","",
D27*($D$5-$D$9)*((1+F27)/(1+G27))^($D$5-$D$9)/$H$14)</f>
        <v>3.4373793639692111E-2</v>
      </c>
      <c r="K27" s="52">
        <f t="shared" ca="1" si="2"/>
        <v>3684.1165062381283</v>
      </c>
      <c r="L27" s="49">
        <f t="shared" ca="1" si="6"/>
        <v>65983.270493726333</v>
      </c>
      <c r="M27" s="52">
        <f t="shared" ca="1" si="7"/>
        <v>60702.332124371955</v>
      </c>
      <c r="N27" s="53">
        <f ca="1">M27*Assumptions!$B$18</f>
        <v>45526.749093278966</v>
      </c>
      <c r="P27" s="122">
        <f t="shared" ca="1" si="3"/>
        <v>3684.1165062381187</v>
      </c>
      <c r="Q27" s="123">
        <f t="shared" ca="1" si="4"/>
        <v>-9.5496943686157465E-12</v>
      </c>
      <c r="R27" s="124"/>
      <c r="S27" s="125">
        <f ca="1">IFERROR(J27/PUC_Projection!H27,"")</f>
        <v>0.79548986720727377</v>
      </c>
      <c r="T27" s="125">
        <f ca="1">IF($C27="","",($D$5-$D$9)/$H$14*(1+$D$10)^-(C27-$D$9+1))</f>
        <v>0.79548986720727366</v>
      </c>
      <c r="U27" s="126">
        <f ca="1">IFERROR(S27-T27,"")</f>
        <v>1.1102230246251565E-16</v>
      </c>
    </row>
    <row r="28" spans="2:25" x14ac:dyDescent="0.25">
      <c r="B28" s="46">
        <f t="shared" ca="1" si="8"/>
        <v>14</v>
      </c>
      <c r="C28" s="22">
        <f t="shared" ca="1" si="5"/>
        <v>54</v>
      </c>
      <c r="D28" s="47">
        <f t="shared" ca="1" si="9"/>
        <v>0.05</v>
      </c>
      <c r="E28" s="50">
        <f t="shared" ca="1" si="10"/>
        <v>107178.05968276963</v>
      </c>
      <c r="F28" s="51">
        <f t="shared" ca="1" si="11"/>
        <v>1.501035790919647E-2</v>
      </c>
      <c r="G28" s="51">
        <f t="shared" ca="1" si="11"/>
        <v>0.04</v>
      </c>
      <c r="I28" s="111">
        <f ca="1">IFERROR((1-(1+$D$10)^-($D$5-$C28))/$D$10,0)</f>
        <v>5.5151307483168486</v>
      </c>
      <c r="J28" s="48">
        <f ca="1">IF($C28="","",
D28*($D$5-$D$9)*((1+F28)/(1+G28))^($D$5-$D$9)/$H$14)</f>
        <v>3.4373793639692111E-2</v>
      </c>
      <c r="K28" s="52">
        <f t="shared" ca="1" si="2"/>
        <v>3739.4164135759411</v>
      </c>
      <c r="L28" s="49">
        <f t="shared" ca="1" si="6"/>
        <v>72306.717819713507</v>
      </c>
      <c r="M28" s="52">
        <f t="shared" ca="1" si="7"/>
        <v>66869.841822922768</v>
      </c>
      <c r="N28" s="53">
        <f ca="1">M28*Assumptions!$B$18</f>
        <v>50152.38136719208</v>
      </c>
      <c r="P28" s="122">
        <f t="shared" ca="1" si="3"/>
        <v>3739.4164135759638</v>
      </c>
      <c r="Q28" s="123">
        <f t="shared" ca="1" si="4"/>
        <v>2.2737367544323206E-11</v>
      </c>
      <c r="R28" s="124"/>
      <c r="S28" s="125">
        <f ca="1">IFERROR(J28/PUC_Projection!H28,"")</f>
        <v>0.77637543733384029</v>
      </c>
      <c r="T28" s="125">
        <f ca="1">IF($C28="","",($D$5-$D$9)/$H$14*(1+$D$10)^-(C28-$D$9+1))</f>
        <v>0.77637543733384018</v>
      </c>
      <c r="U28" s="126">
        <f ca="1">IFERROR(S28-T28,"")</f>
        <v>1.1102230246251565E-16</v>
      </c>
    </row>
    <row r="29" spans="2:25" x14ac:dyDescent="0.25">
      <c r="B29" s="46">
        <f t="shared" ca="1" si="8"/>
        <v>15</v>
      </c>
      <c r="C29" s="22">
        <f t="shared" ca="1" si="5"/>
        <v>55</v>
      </c>
      <c r="D29" s="47">
        <f t="shared" ca="1" si="9"/>
        <v>0.05</v>
      </c>
      <c r="E29" s="50">
        <f t="shared" ca="1" si="10"/>
        <v>108786.84071862121</v>
      </c>
      <c r="F29" s="51">
        <f t="shared" ca="1" si="11"/>
        <v>1.501035790919647E-2</v>
      </c>
      <c r="G29" s="51">
        <f t="shared" ca="1" si="11"/>
        <v>0.04</v>
      </c>
      <c r="I29" s="111">
        <f ca="1">IFERROR((1-(1+$D$10)^-($D$5-$C29))/$D$10,0)</f>
        <v>4.6509137404907541</v>
      </c>
      <c r="J29" s="48">
        <f ca="1">IF($C29="","",
D29*($D$5-$D$9)*((1+F29)/(1+G29))^($D$5-$D$9)/$H$14)</f>
        <v>3.4373793639692111E-2</v>
      </c>
      <c r="K29" s="52">
        <f t="shared" ca="1" si="2"/>
        <v>3795.5463923152392</v>
      </c>
      <c r="L29" s="49">
        <f t="shared" ca="1" si="6"/>
        <v>78938.402946078015</v>
      </c>
      <c r="M29" s="52">
        <f t="shared" ca="1" si="7"/>
        <v>73340.181888154926</v>
      </c>
      <c r="N29" s="53">
        <f ca="1">M29*Assumptions!$B$18</f>
        <v>55005.136416116191</v>
      </c>
      <c r="P29" s="122">
        <f t="shared" ca="1" si="3"/>
        <v>3795.546392315242</v>
      </c>
      <c r="Q29" s="123">
        <f t="shared" ca="1" si="4"/>
        <v>2.7284841053187847E-12</v>
      </c>
      <c r="R29" s="124"/>
      <c r="S29" s="125">
        <f ca="1">IFERROR(J29/PUC_Projection!H29,"")</f>
        <v>0.75772029857704826</v>
      </c>
      <c r="T29" s="125">
        <f ca="1">IF($C29="","",($D$5-$D$9)/$H$14*(1+$D$10)^-(C29-$D$9+1))</f>
        <v>0.75772029857704815</v>
      </c>
      <c r="U29" s="126">
        <f ca="1">IFERROR(S29-T29,"")</f>
        <v>1.1102230246251565E-16</v>
      </c>
    </row>
    <row r="30" spans="2:25" x14ac:dyDescent="0.25">
      <c r="B30" s="46">
        <f t="shared" ca="1" si="8"/>
        <v>16</v>
      </c>
      <c r="C30" s="22">
        <f t="shared" ca="1" si="5"/>
        <v>56</v>
      </c>
      <c r="D30" s="47">
        <f t="shared" ca="1" si="9"/>
        <v>0.05</v>
      </c>
      <c r="E30" s="50">
        <f t="shared" ca="1" si="10"/>
        <v>110419.77013361847</v>
      </c>
      <c r="F30" s="51">
        <f t="shared" ca="1" si="11"/>
        <v>1.501035790919647E-2</v>
      </c>
      <c r="G30" s="51">
        <f t="shared" ca="1" si="11"/>
        <v>0.04</v>
      </c>
      <c r="I30" s="111">
        <f ca="1">IFERROR((1-(1+$D$10)^-($D$5-$C30))/$D$10,0)</f>
        <v>3.7654196357896748</v>
      </c>
      <c r="J30" s="48">
        <f ca="1">IF($C30="","",
D30*($D$5-$D$9)*((1+F30)/(1+G30))^($D$5-$D$9)/$H$14)</f>
        <v>3.4373793639692111E-2</v>
      </c>
      <c r="K30" s="52">
        <f t="shared" ca="1" si="2"/>
        <v>3852.5189021248507</v>
      </c>
      <c r="L30" s="49">
        <f t="shared" ca="1" si="6"/>
        <v>85891.485456236376</v>
      </c>
      <c r="M30" s="52">
        <f t="shared" ca="1" si="7"/>
        <v>80126.308065805977</v>
      </c>
      <c r="N30" s="53">
        <f ca="1">M30*Assumptions!$B$18</f>
        <v>60094.731049354479</v>
      </c>
      <c r="P30" s="122">
        <f t="shared" ca="1" si="3"/>
        <v>3852.5189021248661</v>
      </c>
      <c r="Q30" s="123">
        <f t="shared" ca="1" si="4"/>
        <v>1.546140993013978E-11</v>
      </c>
      <c r="R30" s="124"/>
      <c r="S30" s="125">
        <f ca="1">IFERROR(J30/PUC_Projection!H30,"")</f>
        <v>0.73951341485937772</v>
      </c>
      <c r="T30" s="125">
        <f ca="1">IF($C30="","",($D$5-$D$9)/$H$14*(1+$D$10)^-(C30-$D$9+1))</f>
        <v>0.73951341485937772</v>
      </c>
      <c r="U30" s="126">
        <f ca="1">IFERROR(S30-T30,"")</f>
        <v>0</v>
      </c>
    </row>
    <row r="31" spans="2:25" x14ac:dyDescent="0.25">
      <c r="B31" s="46">
        <f t="shared" ca="1" si="8"/>
        <v>17</v>
      </c>
      <c r="C31" s="22">
        <f t="shared" ca="1" si="5"/>
        <v>57</v>
      </c>
      <c r="D31" s="47">
        <f t="shared" ca="1" si="9"/>
        <v>0.05</v>
      </c>
      <c r="E31" s="50">
        <f t="shared" ca="1" si="10"/>
        <v>112077.21040357529</v>
      </c>
      <c r="F31" s="51">
        <f t="shared" ca="1" si="11"/>
        <v>1.501035790919647E-2</v>
      </c>
      <c r="G31" s="51">
        <f t="shared" ca="1" si="11"/>
        <v>0.04</v>
      </c>
      <c r="I31" s="111">
        <f ca="1">IFERROR((1-(1+$D$10)^-($D$5-$C31))/$D$10,0)</f>
        <v>2.8581245902631349</v>
      </c>
      <c r="J31" s="48">
        <f ca="1">IF($C31="","",
D31*($D$5-$D$9)*((1+F31)/(1+G31))^($D$5-$D$9)/$H$14)</f>
        <v>3.4373793639692111E-2</v>
      </c>
      <c r="K31" s="52">
        <f t="shared" ca="1" si="2"/>
        <v>3910.3465896976895</v>
      </c>
      <c r="L31" s="49">
        <f t="shared" ca="1" si="6"/>
        <v>93179.663776610701</v>
      </c>
      <c r="M31" s="52">
        <f t="shared" ca="1" si="7"/>
        <v>87241.706978135902</v>
      </c>
      <c r="N31" s="53">
        <f ca="1">M31*Assumptions!$B$18</f>
        <v>65431.280233601923</v>
      </c>
      <c r="P31" s="122">
        <f t="shared" ca="1" si="3"/>
        <v>3910.3465896977141</v>
      </c>
      <c r="Q31" s="123">
        <f t="shared" ca="1" si="4"/>
        <v>2.4556356947869062E-11</v>
      </c>
      <c r="R31" s="124"/>
      <c r="S31" s="125">
        <f ca="1">IFERROR(J31/PUC_Projection!H31,"")</f>
        <v>0.72174401528372023</v>
      </c>
      <c r="T31" s="125">
        <f ca="1">IF($C31="","",($D$5-$D$9)/$H$14*(1+$D$10)^-(C31-$D$9+1))</f>
        <v>0.72174401528372012</v>
      </c>
      <c r="U31" s="126">
        <f ca="1">IFERROR(S31-T31,"")</f>
        <v>1.1102230246251565E-16</v>
      </c>
      <c r="V31" s="11"/>
      <c r="W31" s="11"/>
      <c r="X31" s="11"/>
      <c r="Y31" s="11"/>
    </row>
    <row r="32" spans="2:25" x14ac:dyDescent="0.25">
      <c r="B32" s="46">
        <f t="shared" ca="1" si="8"/>
        <v>18</v>
      </c>
      <c r="C32" s="22">
        <f t="shared" ca="1" si="5"/>
        <v>58</v>
      </c>
      <c r="D32" s="47">
        <f t="shared" ca="1" si="9"/>
        <v>0.05</v>
      </c>
      <c r="E32" s="50">
        <f t="shared" ca="1" si="10"/>
        <v>113759.52944519727</v>
      </c>
      <c r="F32" s="51">
        <f t="shared" ref="F32:G47" ca="1" si="12">IF($C32="","",F31)</f>
        <v>1.501035790919647E-2</v>
      </c>
      <c r="G32" s="51">
        <f t="shared" ca="1" si="12"/>
        <v>0.04</v>
      </c>
      <c r="I32" s="111">
        <f ca="1">IFERROR((1-(1+$D$10)^-($D$5-$C32))/$D$10,0)</f>
        <v>1.9284918628776981</v>
      </c>
      <c r="J32" s="48">
        <f ca="1">IF($C32="","",
D32*($D$5-$D$9)*((1+F32)/(1+G32))^($D$5-$D$9)/$H$14)</f>
        <v>3.4373793639692111E-2</v>
      </c>
      <c r="K32" s="52">
        <f t="shared" ca="1" si="2"/>
        <v>3969.0422915580575</v>
      </c>
      <c r="L32" s="49">
        <f t="shared" ca="1" si="6"/>
        <v>100817.19691737284</v>
      </c>
      <c r="M32" s="52">
        <f t="shared" ca="1" si="7"/>
        <v>94700.417548819401</v>
      </c>
      <c r="N32" s="53">
        <f ca="1">M32*Assumptions!$B$18</f>
        <v>71025.313161614555</v>
      </c>
      <c r="P32" s="122">
        <f t="shared" ca="1" si="3"/>
        <v>3969.0422915580566</v>
      </c>
      <c r="Q32" s="123">
        <f t="shared" ca="1" si="4"/>
        <v>-9.0949470177292824E-13</v>
      </c>
      <c r="R32" s="124"/>
      <c r="S32" s="125">
        <f ca="1">IFERROR(J32/PUC_Projection!H32,"")</f>
        <v>0.70440158776148976</v>
      </c>
      <c r="T32" s="125">
        <f ca="1">IF($C32="","",($D$5-$D$9)/$H$14*(1+$D$10)^-(C32-$D$9+1))</f>
        <v>0.70440158776148964</v>
      </c>
      <c r="U32" s="126">
        <f ca="1">IFERROR(S32-T32,"")</f>
        <v>1.1102230246251565E-16</v>
      </c>
      <c r="V32" s="11"/>
      <c r="W32" s="11"/>
      <c r="X32" s="11"/>
      <c r="Y32" s="11"/>
    </row>
    <row r="33" spans="2:21" x14ac:dyDescent="0.25">
      <c r="B33" s="46">
        <f t="shared" ca="1" si="8"/>
        <v>19</v>
      </c>
      <c r="C33" s="22">
        <f t="shared" ca="1" si="5"/>
        <v>59</v>
      </c>
      <c r="D33" s="47">
        <f t="shared" ca="1" si="9"/>
        <v>0.05</v>
      </c>
      <c r="E33" s="50">
        <f t="shared" ca="1" si="10"/>
        <v>115467.10069775146</v>
      </c>
      <c r="F33" s="51">
        <f t="shared" ca="1" si="12"/>
        <v>1.501035790919647E-2</v>
      </c>
      <c r="G33" s="51">
        <f t="shared" ca="1" si="12"/>
        <v>0.04</v>
      </c>
      <c r="I33" s="111">
        <f ca="1">IFERROR((1-(1+$D$10)^-($D$5-$C33))/$D$10,0)</f>
        <v>0.97597149798961047</v>
      </c>
      <c r="J33" s="48">
        <f ca="1">IF($C33="","",
D33*($D$5-$D$9)*((1+F33)/(1+G33))^($D$5-$D$9)/$H$14)</f>
        <v>3.4373793639692111E-2</v>
      </c>
      <c r="K33" s="52">
        <f t="shared" ca="1" si="2"/>
        <v>4028.6190369110818</v>
      </c>
      <c r="L33" s="49">
        <f t="shared" ca="1" si="6"/>
        <v>108818.92708562582</v>
      </c>
      <c r="M33" s="52">
        <f t="shared" ca="1" si="7"/>
        <v>102517.05328768326</v>
      </c>
      <c r="N33" s="53">
        <f ca="1">M33*Assumptions!$B$18</f>
        <v>76887.789965762437</v>
      </c>
      <c r="P33" s="122">
        <f t="shared" ca="1" si="3"/>
        <v>4028.6190369110845</v>
      </c>
      <c r="Q33" s="123">
        <f t="shared" ca="1" si="4"/>
        <v>2.7284841053187847E-12</v>
      </c>
      <c r="R33" s="124"/>
      <c r="S33" s="125">
        <f ca="1">IFERROR(J33/PUC_Projection!H33,"")</f>
        <v>0.68747587279384215</v>
      </c>
      <c r="T33" s="125">
        <f ca="1">IF($C33="","",($D$5-$D$9)/$H$14*(1+$D$10)^-(C33-$D$9+1))</f>
        <v>0.68747587279384204</v>
      </c>
      <c r="U33" s="126">
        <f ca="1">IFERROR(S33-T33,"")</f>
        <v>1.1102230246251565E-16</v>
      </c>
    </row>
    <row r="34" spans="2:21" x14ac:dyDescent="0.25">
      <c r="B34" s="46">
        <f t="shared" ca="1" si="8"/>
        <v>20</v>
      </c>
      <c r="C34" s="22">
        <f t="shared" ca="1" si="5"/>
        <v>60</v>
      </c>
      <c r="D34" s="47">
        <f t="shared" ca="1" si="9"/>
        <v>0.05</v>
      </c>
      <c r="E34" s="50">
        <f t="shared" ca="1" si="10"/>
        <v>117200.30320596194</v>
      </c>
      <c r="F34" s="51">
        <f t="shared" ca="1" si="12"/>
        <v>1.501035790919647E-2</v>
      </c>
      <c r="G34" s="51">
        <f t="shared" ca="1" si="12"/>
        <v>0.04</v>
      </c>
      <c r="I34" s="111">
        <f ca="1">IFERROR((1-(1+$D$10)^-($D$5-$C34))/$D$10,0)</f>
        <v>0</v>
      </c>
      <c r="J34" s="48">
        <f ca="1">IF($C34="","",
D34*($D$5-$D$9)*((1+F34)/(1+G34))^($D$5-$D$9)/$H$14)</f>
        <v>3.4373793639692111E-2</v>
      </c>
      <c r="K34" s="52">
        <f t="shared" ca="1" si="2"/>
        <v>0</v>
      </c>
      <c r="L34" s="49">
        <f t="shared" ca="1" si="6"/>
        <v>117200.30320596194</v>
      </c>
      <c r="M34" s="52">
        <f t="shared" ca="1" si="7"/>
        <v>106617.73541919059</v>
      </c>
      <c r="N34" s="53">
        <f ca="1">M34*Assumptions!$B$18</f>
        <v>79963.301564392939</v>
      </c>
      <c r="P34" s="122" t="str">
        <f t="shared" ca="1" si="3"/>
        <v/>
      </c>
      <c r="Q34" s="123" t="str">
        <f t="shared" ca="1" si="4"/>
        <v/>
      </c>
      <c r="R34" s="124"/>
      <c r="S34" s="125">
        <f ca="1">IFERROR(J34/PUC_Projection!H34,"")</f>
        <v>0.67095685740232203</v>
      </c>
      <c r="T34" s="125">
        <f ca="1">IF($C34="","",($D$5-$D$9)/$H$14*(1+$D$10)^-(C34-$D$9+1))</f>
        <v>0.67095685740232192</v>
      </c>
      <c r="U34" s="126">
        <f ca="1">IFERROR(S34-T34,"")</f>
        <v>1.1102230246251565E-16</v>
      </c>
    </row>
    <row r="35" spans="2:21" x14ac:dyDescent="0.25">
      <c r="B35" s="46" t="str">
        <f t="shared" ca="1" si="8"/>
        <v/>
      </c>
      <c r="C35" s="22" t="str">
        <f t="shared" ca="1" si="5"/>
        <v/>
      </c>
      <c r="D35" s="47" t="str">
        <f t="shared" ca="1" si="9"/>
        <v/>
      </c>
      <c r="E35" s="50" t="str">
        <f t="shared" ca="1" si="10"/>
        <v/>
      </c>
      <c r="F35" s="51" t="str">
        <f t="shared" ca="1" si="12"/>
        <v/>
      </c>
      <c r="G35" s="51" t="str">
        <f t="shared" ca="1" si="12"/>
        <v/>
      </c>
      <c r="I35" s="111">
        <f ca="1">IFERROR((1-(1+$D$10)^-($D$5-$C35))/$D$10,0)</f>
        <v>0</v>
      </c>
      <c r="J35" s="48" t="str">
        <f ca="1">IF($C35="","",
D35*($D$5-$D$9)*((1+F35)/(1+G35))^($D$5-$D$9)/$H$14)</f>
        <v/>
      </c>
      <c r="K35" s="52">
        <f t="shared" ca="1" si="2"/>
        <v>0</v>
      </c>
      <c r="L35" s="49">
        <f t="shared" ca="1" si="6"/>
        <v>0</v>
      </c>
      <c r="M35" s="52">
        <f t="shared" ca="1" si="7"/>
        <v>0</v>
      </c>
      <c r="N35" s="53">
        <f ca="1">M35*Assumptions!$B$18</f>
        <v>0</v>
      </c>
      <c r="P35" s="122" t="str">
        <f t="shared" ca="1" si="3"/>
        <v/>
      </c>
      <c r="Q35" s="123" t="str">
        <f t="shared" ca="1" si="4"/>
        <v/>
      </c>
      <c r="R35" s="124"/>
      <c r="S35" s="125" t="str">
        <f ca="1">IFERROR(J35/PUC_Projection!H35,"")</f>
        <v/>
      </c>
      <c r="T35" s="125" t="str">
        <f ca="1">IF($C35="","",($D$5-$D$9)/$H$14*(1+$D$10)^-(C35-$D$9+1))</f>
        <v/>
      </c>
      <c r="U35" s="126" t="str">
        <f ca="1">IFERROR(S35-T35,"")</f>
        <v/>
      </c>
    </row>
    <row r="36" spans="2:21" x14ac:dyDescent="0.25">
      <c r="B36" s="46" t="str">
        <f t="shared" ca="1" si="8"/>
        <v/>
      </c>
      <c r="C36" s="22" t="str">
        <f t="shared" ca="1" si="5"/>
        <v/>
      </c>
      <c r="D36" s="47" t="str">
        <f t="shared" ca="1" si="9"/>
        <v/>
      </c>
      <c r="E36" s="50" t="str">
        <f t="shared" ca="1" si="10"/>
        <v/>
      </c>
      <c r="F36" s="51" t="str">
        <f t="shared" ca="1" si="12"/>
        <v/>
      </c>
      <c r="G36" s="51" t="str">
        <f t="shared" ca="1" si="12"/>
        <v/>
      </c>
      <c r="I36" s="111">
        <f ca="1">IFERROR((1-(1+$D$10)^-($D$5-$C36))/$D$10,0)</f>
        <v>0</v>
      </c>
      <c r="J36" s="48" t="str">
        <f ca="1">IF($C36="","",
D36*($D$5-$D$9)*((1+F36)/(1+G36))^($D$5-$D$9)/$H$14)</f>
        <v/>
      </c>
      <c r="K36" s="52">
        <f t="shared" ca="1" si="2"/>
        <v>0</v>
      </c>
      <c r="L36" s="49">
        <f t="shared" ca="1" si="6"/>
        <v>0</v>
      </c>
      <c r="M36" s="52">
        <f t="shared" ca="1" si="7"/>
        <v>0</v>
      </c>
      <c r="N36" s="53">
        <f ca="1">M36*Assumptions!$B$18</f>
        <v>0</v>
      </c>
      <c r="P36" s="122" t="str">
        <f t="shared" ca="1" si="3"/>
        <v/>
      </c>
      <c r="Q36" s="123" t="str">
        <f t="shared" ca="1" si="4"/>
        <v/>
      </c>
      <c r="R36" s="124"/>
      <c r="S36" s="125" t="str">
        <f ca="1">IFERROR(J36/PUC_Projection!H36,"")</f>
        <v/>
      </c>
      <c r="T36" s="125" t="str">
        <f ca="1">IF($C36="","",($D$5-$D$9)/$H$14*(1+$D$10)^-(C36-$D$9+1))</f>
        <v/>
      </c>
      <c r="U36" s="126" t="str">
        <f ca="1">IFERROR(S36-T36,"")</f>
        <v/>
      </c>
    </row>
    <row r="37" spans="2:21" x14ac:dyDescent="0.25">
      <c r="B37" s="46" t="str">
        <f t="shared" ca="1" si="8"/>
        <v/>
      </c>
      <c r="C37" s="22" t="str">
        <f t="shared" ca="1" si="5"/>
        <v/>
      </c>
      <c r="D37" s="47" t="str">
        <f t="shared" ca="1" si="9"/>
        <v/>
      </c>
      <c r="E37" s="50" t="str">
        <f t="shared" ca="1" si="10"/>
        <v/>
      </c>
      <c r="F37" s="51" t="str">
        <f t="shared" ca="1" si="12"/>
        <v/>
      </c>
      <c r="G37" s="51" t="str">
        <f t="shared" ca="1" si="12"/>
        <v/>
      </c>
      <c r="I37" s="111">
        <f ca="1">IFERROR((1-(1+$D$10)^-($D$5-$C37))/$D$10,0)</f>
        <v>0</v>
      </c>
      <c r="J37" s="48" t="str">
        <f ca="1">IF($C37="","",
D37*($D$5-$D$9)*((1+F37)/(1+G37))^($D$5-$D$9)/$H$14)</f>
        <v/>
      </c>
      <c r="K37" s="52">
        <f t="shared" ca="1" si="2"/>
        <v>0</v>
      </c>
      <c r="L37" s="49">
        <f t="shared" ca="1" si="6"/>
        <v>0</v>
      </c>
      <c r="M37" s="52">
        <f t="shared" ca="1" si="7"/>
        <v>0</v>
      </c>
      <c r="N37" s="53">
        <f ca="1">M37*Assumptions!$B$18</f>
        <v>0</v>
      </c>
      <c r="P37" s="122" t="str">
        <f t="shared" ca="1" si="3"/>
        <v/>
      </c>
      <c r="Q37" s="123" t="str">
        <f t="shared" ca="1" si="4"/>
        <v/>
      </c>
      <c r="R37" s="124"/>
      <c r="S37" s="125" t="str">
        <f ca="1">IFERROR(J37/PUC_Projection!H37,"")</f>
        <v/>
      </c>
      <c r="T37" s="125" t="str">
        <f ca="1">IF($C37="","",($D$5-$D$9)/$H$14*(1+$D$10)^-(C37-$D$9+1))</f>
        <v/>
      </c>
      <c r="U37" s="126" t="str">
        <f ca="1">IFERROR(S37-T37,"")</f>
        <v/>
      </c>
    </row>
    <row r="38" spans="2:21" x14ac:dyDescent="0.25">
      <c r="B38" s="46" t="str">
        <f t="shared" ca="1" si="8"/>
        <v/>
      </c>
      <c r="C38" s="22" t="str">
        <f t="shared" ca="1" si="5"/>
        <v/>
      </c>
      <c r="D38" s="47" t="str">
        <f t="shared" ca="1" si="9"/>
        <v/>
      </c>
      <c r="E38" s="50" t="str">
        <f t="shared" ca="1" si="10"/>
        <v/>
      </c>
      <c r="F38" s="51" t="str">
        <f t="shared" ca="1" si="12"/>
        <v/>
      </c>
      <c r="G38" s="51" t="str">
        <f t="shared" ca="1" si="12"/>
        <v/>
      </c>
      <c r="I38" s="111">
        <f ca="1">IFERROR((1-(1+$D$10)^-($D$5-$C38))/$D$10,0)</f>
        <v>0</v>
      </c>
      <c r="J38" s="48" t="str">
        <f ca="1">IF($C38="","",
D38*($D$5-$D$9)*((1+F38)/(1+G38))^($D$5-$D$9)/$H$14)</f>
        <v/>
      </c>
      <c r="K38" s="52">
        <f t="shared" ca="1" si="2"/>
        <v>0</v>
      </c>
      <c r="L38" s="49">
        <f t="shared" ca="1" si="6"/>
        <v>0</v>
      </c>
      <c r="M38" s="52">
        <f t="shared" ca="1" si="7"/>
        <v>0</v>
      </c>
      <c r="N38" s="53">
        <f ca="1">M38*Assumptions!$B$18</f>
        <v>0</v>
      </c>
      <c r="P38" s="122" t="str">
        <f t="shared" ca="1" si="3"/>
        <v/>
      </c>
      <c r="Q38" s="123" t="str">
        <f t="shared" ca="1" si="4"/>
        <v/>
      </c>
      <c r="R38" s="124"/>
      <c r="S38" s="125" t="str">
        <f ca="1">IFERROR(J38/PUC_Projection!H38,"")</f>
        <v/>
      </c>
      <c r="T38" s="125" t="str">
        <f ca="1">IF($C38="","",($D$5-$D$9)/$H$14*(1+$D$10)^-(C38-$D$9+1))</f>
        <v/>
      </c>
      <c r="U38" s="126" t="str">
        <f ca="1">IFERROR(S38-T38,"")</f>
        <v/>
      </c>
    </row>
    <row r="39" spans="2:21" x14ac:dyDescent="0.25">
      <c r="B39" s="46" t="str">
        <f t="shared" ca="1" si="8"/>
        <v/>
      </c>
      <c r="C39" s="22" t="str">
        <f t="shared" ca="1" si="5"/>
        <v/>
      </c>
      <c r="D39" s="47" t="str">
        <f t="shared" ca="1" si="9"/>
        <v/>
      </c>
      <c r="E39" s="50" t="str">
        <f t="shared" ca="1" si="10"/>
        <v/>
      </c>
      <c r="F39" s="51" t="str">
        <f t="shared" ca="1" si="12"/>
        <v/>
      </c>
      <c r="G39" s="51" t="str">
        <f t="shared" ca="1" si="12"/>
        <v/>
      </c>
      <c r="I39" s="111">
        <f ca="1">IFERROR((1-(1+$D$10)^-($D$5-$C39))/$D$10,0)</f>
        <v>0</v>
      </c>
      <c r="J39" s="48" t="str">
        <f ca="1">IF($C39="","",
D39*($D$5-$D$9)*((1+F39)/(1+G39))^($D$5-$D$9)/$H$14)</f>
        <v/>
      </c>
      <c r="K39" s="52">
        <f t="shared" ca="1" si="2"/>
        <v>0</v>
      </c>
      <c r="L39" s="49">
        <f t="shared" ca="1" si="6"/>
        <v>0</v>
      </c>
      <c r="M39" s="52">
        <f t="shared" ca="1" si="7"/>
        <v>0</v>
      </c>
      <c r="N39" s="53">
        <f ca="1">M39*Assumptions!$B$18</f>
        <v>0</v>
      </c>
      <c r="P39" s="122" t="str">
        <f t="shared" ca="1" si="3"/>
        <v/>
      </c>
      <c r="Q39" s="123" t="str">
        <f t="shared" ca="1" si="4"/>
        <v/>
      </c>
      <c r="R39" s="124"/>
      <c r="S39" s="125" t="str">
        <f ca="1">IFERROR(J39/PUC_Projection!H39,"")</f>
        <v/>
      </c>
      <c r="T39" s="125" t="str">
        <f ca="1">IF($C39="","",($D$5-$D$9)/$H$14*(1+$D$10)^-(C39-$D$9+1))</f>
        <v/>
      </c>
      <c r="U39" s="126" t="str">
        <f ca="1">IFERROR(S39-T39,"")</f>
        <v/>
      </c>
    </row>
    <row r="40" spans="2:21" x14ac:dyDescent="0.25">
      <c r="B40" s="46" t="str">
        <f t="shared" ca="1" si="8"/>
        <v/>
      </c>
      <c r="C40" s="22" t="str">
        <f t="shared" ca="1" si="5"/>
        <v/>
      </c>
      <c r="D40" s="47" t="str">
        <f t="shared" ca="1" si="9"/>
        <v/>
      </c>
      <c r="E40" s="50" t="str">
        <f t="shared" ca="1" si="10"/>
        <v/>
      </c>
      <c r="F40" s="51" t="str">
        <f t="shared" ca="1" si="12"/>
        <v/>
      </c>
      <c r="G40" s="51" t="str">
        <f t="shared" ca="1" si="12"/>
        <v/>
      </c>
      <c r="I40" s="111">
        <f ca="1">IFERROR((1-(1+$D$10)^-($D$5-$C40))/$D$10,0)</f>
        <v>0</v>
      </c>
      <c r="J40" s="48" t="str">
        <f ca="1">IF($C40="","",
D40*($D$5-$D$9)*((1+F40)/(1+G40))^($D$5-$D$9)/$H$14)</f>
        <v/>
      </c>
      <c r="K40" s="52">
        <f t="shared" ca="1" si="2"/>
        <v>0</v>
      </c>
      <c r="L40" s="49">
        <f t="shared" ca="1" si="6"/>
        <v>0</v>
      </c>
      <c r="M40" s="52">
        <f t="shared" ca="1" si="7"/>
        <v>0</v>
      </c>
      <c r="N40" s="53">
        <f ca="1">M40*Assumptions!$B$18</f>
        <v>0</v>
      </c>
      <c r="P40" s="122" t="str">
        <f t="shared" ca="1" si="3"/>
        <v/>
      </c>
      <c r="Q40" s="123" t="str">
        <f t="shared" ca="1" si="4"/>
        <v/>
      </c>
      <c r="R40" s="124"/>
      <c r="S40" s="125" t="str">
        <f ca="1">IFERROR(J40/PUC_Projection!H40,"")</f>
        <v/>
      </c>
      <c r="T40" s="125" t="str">
        <f ca="1">IF($C40="","",($D$5-$D$9)/$H$14*(1+$D$10)^-(C40-$D$9+1))</f>
        <v/>
      </c>
      <c r="U40" s="126" t="str">
        <f ca="1">IFERROR(S40-T40,"")</f>
        <v/>
      </c>
    </row>
    <row r="41" spans="2:21" x14ac:dyDescent="0.25">
      <c r="B41" s="46" t="str">
        <f t="shared" ca="1" si="8"/>
        <v/>
      </c>
      <c r="C41" s="22" t="str">
        <f t="shared" ca="1" si="5"/>
        <v/>
      </c>
      <c r="D41" s="47" t="str">
        <f t="shared" ca="1" si="9"/>
        <v/>
      </c>
      <c r="E41" s="50" t="str">
        <f t="shared" ca="1" si="10"/>
        <v/>
      </c>
      <c r="F41" s="51" t="str">
        <f t="shared" ca="1" si="12"/>
        <v/>
      </c>
      <c r="G41" s="51" t="str">
        <f t="shared" ca="1" si="12"/>
        <v/>
      </c>
      <c r="I41" s="111">
        <f ca="1">IFERROR((1-(1+$D$10)^-($D$5-$C41))/$D$10,0)</f>
        <v>0</v>
      </c>
      <c r="J41" s="48" t="str">
        <f ca="1">IF($C41="","",
D41*($D$5-$D$9)*((1+F41)/(1+G41))^($D$5-$D$9)/$H$14)</f>
        <v/>
      </c>
      <c r="K41" s="52">
        <f t="shared" ca="1" si="2"/>
        <v>0</v>
      </c>
      <c r="L41" s="49">
        <f t="shared" ca="1" si="6"/>
        <v>0</v>
      </c>
      <c r="M41" s="52">
        <f t="shared" ca="1" si="7"/>
        <v>0</v>
      </c>
      <c r="N41" s="53">
        <f ca="1">M41*Assumptions!$B$18</f>
        <v>0</v>
      </c>
      <c r="P41" s="122" t="str">
        <f t="shared" ca="1" si="3"/>
        <v/>
      </c>
      <c r="Q41" s="123" t="str">
        <f t="shared" ca="1" si="4"/>
        <v/>
      </c>
      <c r="R41" s="124"/>
      <c r="S41" s="125" t="str">
        <f ca="1">IFERROR(J41/PUC_Projection!H41,"")</f>
        <v/>
      </c>
      <c r="T41" s="125" t="str">
        <f ca="1">IF($C41="","",($D$5-$D$9)/$H$14*(1+$D$10)^-(C41-$D$9+1))</f>
        <v/>
      </c>
      <c r="U41" s="126" t="str">
        <f ca="1">IFERROR(S41-T41,"")</f>
        <v/>
      </c>
    </row>
    <row r="42" spans="2:21" x14ac:dyDescent="0.25">
      <c r="B42" s="46" t="str">
        <f t="shared" ca="1" si="8"/>
        <v/>
      </c>
      <c r="C42" s="22" t="str">
        <f t="shared" ca="1" si="5"/>
        <v/>
      </c>
      <c r="D42" s="47" t="str">
        <f t="shared" ca="1" si="9"/>
        <v/>
      </c>
      <c r="E42" s="50" t="str">
        <f t="shared" ca="1" si="10"/>
        <v/>
      </c>
      <c r="F42" s="51" t="str">
        <f t="shared" ca="1" si="12"/>
        <v/>
      </c>
      <c r="G42" s="51" t="str">
        <f t="shared" ca="1" si="12"/>
        <v/>
      </c>
      <c r="I42" s="111">
        <f ca="1">IFERROR((1-(1+$D$10)^-($D$5-$C42))/$D$10,0)</f>
        <v>0</v>
      </c>
      <c r="J42" s="48" t="str">
        <f ca="1">IF($C42="","",
D42*($D$5-$D$9)*((1+F42)/(1+G42))^($D$5-$D$9)/$H$14)</f>
        <v/>
      </c>
      <c r="K42" s="52">
        <f t="shared" ca="1" si="2"/>
        <v>0</v>
      </c>
      <c r="L42" s="49">
        <f t="shared" ca="1" si="6"/>
        <v>0</v>
      </c>
      <c r="M42" s="52">
        <f t="shared" ca="1" si="7"/>
        <v>0</v>
      </c>
      <c r="N42" s="53">
        <f ca="1">M42*Assumptions!$B$18</f>
        <v>0</v>
      </c>
      <c r="P42" s="122" t="str">
        <f t="shared" ca="1" si="3"/>
        <v/>
      </c>
      <c r="Q42" s="123" t="str">
        <f t="shared" ca="1" si="4"/>
        <v/>
      </c>
      <c r="R42" s="124"/>
      <c r="S42" s="125" t="str">
        <f ca="1">IFERROR(J42/PUC_Projection!H42,"")</f>
        <v/>
      </c>
      <c r="T42" s="125" t="str">
        <f ca="1">IF($C42="","",($D$5-$D$9)/$H$14*(1+$D$10)^-(C42-$D$9+1))</f>
        <v/>
      </c>
      <c r="U42" s="126" t="str">
        <f ca="1">IFERROR(S42-T42,"")</f>
        <v/>
      </c>
    </row>
    <row r="43" spans="2:21" x14ac:dyDescent="0.25">
      <c r="B43" s="46" t="str">
        <f t="shared" ca="1" si="8"/>
        <v/>
      </c>
      <c r="C43" s="22" t="str">
        <f t="shared" ca="1" si="5"/>
        <v/>
      </c>
      <c r="D43" s="47" t="str">
        <f t="shared" ca="1" si="9"/>
        <v/>
      </c>
      <c r="E43" s="50" t="str">
        <f t="shared" ca="1" si="10"/>
        <v/>
      </c>
      <c r="F43" s="51" t="str">
        <f t="shared" ca="1" si="12"/>
        <v/>
      </c>
      <c r="G43" s="51" t="str">
        <f t="shared" ca="1" si="12"/>
        <v/>
      </c>
      <c r="I43" s="111">
        <f ca="1">IFERROR((1-(1+$D$10)^-($D$5-$C43))/$D$10,0)</f>
        <v>0</v>
      </c>
      <c r="J43" s="48" t="str">
        <f ca="1">IF($C43="","",
D43*($D$5-$D$9)*((1+F43)/(1+G43))^($D$5-$D$9)/$H$14)</f>
        <v/>
      </c>
      <c r="K43" s="52">
        <f t="shared" ca="1" si="2"/>
        <v>0</v>
      </c>
      <c r="L43" s="49">
        <f t="shared" ca="1" si="6"/>
        <v>0</v>
      </c>
      <c r="M43" s="52">
        <f t="shared" ca="1" si="7"/>
        <v>0</v>
      </c>
      <c r="N43" s="53">
        <f ca="1">M43*Assumptions!$B$18</f>
        <v>0</v>
      </c>
      <c r="P43" s="122" t="str">
        <f t="shared" ca="1" si="3"/>
        <v/>
      </c>
      <c r="Q43" s="123" t="str">
        <f t="shared" ca="1" si="4"/>
        <v/>
      </c>
      <c r="R43" s="124"/>
      <c r="S43" s="125" t="str">
        <f ca="1">IFERROR(J43/PUC_Projection!H43,"")</f>
        <v/>
      </c>
      <c r="T43" s="125" t="str">
        <f ca="1">IF($C43="","",($D$5-$D$9)/$H$14*(1+$D$10)^-(C43-$D$9+1))</f>
        <v/>
      </c>
      <c r="U43" s="126" t="str">
        <f ca="1">IFERROR(S43-T43,"")</f>
        <v/>
      </c>
    </row>
    <row r="44" spans="2:21" x14ac:dyDescent="0.25">
      <c r="B44" s="46" t="str">
        <f t="shared" ca="1" si="8"/>
        <v/>
      </c>
      <c r="C44" s="22" t="str">
        <f t="shared" ca="1" si="5"/>
        <v/>
      </c>
      <c r="D44" s="47" t="str">
        <f t="shared" ca="1" si="9"/>
        <v/>
      </c>
      <c r="E44" s="50" t="str">
        <f t="shared" ca="1" si="10"/>
        <v/>
      </c>
      <c r="F44" s="51" t="str">
        <f t="shared" ca="1" si="12"/>
        <v/>
      </c>
      <c r="G44" s="51" t="str">
        <f t="shared" ca="1" si="12"/>
        <v/>
      </c>
      <c r="I44" s="111">
        <f ca="1">IFERROR((1-(1+$D$10)^-($D$5-$C44))/$D$10,0)</f>
        <v>0</v>
      </c>
      <c r="J44" s="48" t="str">
        <f ca="1">IF($C44="","",
D44*($D$5-$D$9)*((1+F44)/(1+G44))^($D$5-$D$9)/$H$14)</f>
        <v/>
      </c>
      <c r="K44" s="52">
        <f t="shared" ca="1" si="2"/>
        <v>0</v>
      </c>
      <c r="L44" s="49">
        <f t="shared" ca="1" si="6"/>
        <v>0</v>
      </c>
      <c r="M44" s="52">
        <f t="shared" ca="1" si="7"/>
        <v>0</v>
      </c>
      <c r="N44" s="53">
        <f ca="1">M44*Assumptions!$B$18</f>
        <v>0</v>
      </c>
      <c r="P44" s="122" t="str">
        <f t="shared" ca="1" si="3"/>
        <v/>
      </c>
      <c r="Q44" s="123" t="str">
        <f t="shared" ca="1" si="4"/>
        <v/>
      </c>
      <c r="R44" s="124"/>
      <c r="S44" s="125" t="str">
        <f ca="1">IFERROR(J44/PUC_Projection!H44,"")</f>
        <v/>
      </c>
      <c r="T44" s="125" t="str">
        <f ca="1">IF($C44="","",($D$5-$D$9)/$H$14*(1+$D$10)^-(C44-$D$9+1))</f>
        <v/>
      </c>
      <c r="U44" s="126" t="str">
        <f ca="1">IFERROR(S44-T44,"")</f>
        <v/>
      </c>
    </row>
    <row r="45" spans="2:21" x14ac:dyDescent="0.25">
      <c r="B45" s="46" t="str">
        <f t="shared" ca="1" si="8"/>
        <v/>
      </c>
      <c r="C45" s="22" t="str">
        <f t="shared" ca="1" si="5"/>
        <v/>
      </c>
      <c r="D45" s="47" t="str">
        <f t="shared" ca="1" si="9"/>
        <v/>
      </c>
      <c r="E45" s="50" t="str">
        <f t="shared" ca="1" si="10"/>
        <v/>
      </c>
      <c r="F45" s="51" t="str">
        <f t="shared" ca="1" si="12"/>
        <v/>
      </c>
      <c r="G45" s="51" t="str">
        <f t="shared" ca="1" si="12"/>
        <v/>
      </c>
      <c r="I45" s="111">
        <f ca="1">IFERROR((1-(1+$D$10)^-($D$5-$C45))/$D$10,0)</f>
        <v>0</v>
      </c>
      <c r="J45" s="48" t="str">
        <f ca="1">IF($C45="","",
D45*($D$5-$D$9)*((1+F45)/(1+G45))^($D$5-$D$9)/$H$14)</f>
        <v/>
      </c>
      <c r="K45" s="52">
        <f t="shared" ca="1" si="2"/>
        <v>0</v>
      </c>
      <c r="L45" s="49">
        <f t="shared" ca="1" si="6"/>
        <v>0</v>
      </c>
      <c r="M45" s="52">
        <f t="shared" ca="1" si="7"/>
        <v>0</v>
      </c>
      <c r="N45" s="53">
        <f ca="1">M45*Assumptions!$B$18</f>
        <v>0</v>
      </c>
      <c r="P45" s="77" t="str">
        <f t="shared" ca="1" si="3"/>
        <v/>
      </c>
      <c r="Q45" s="56" t="str">
        <f t="shared" ca="1" si="4"/>
        <v/>
      </c>
      <c r="S45" s="12" t="str">
        <f ca="1">IFERROR(J45/PUC_Projection!H45,"")</f>
        <v/>
      </c>
      <c r="T45" s="12" t="str">
        <f ca="1">IF($C45="","",($D$5-$D$9)/$H$14*(1+$D$10)^-(C45-$D$9+1))</f>
        <v/>
      </c>
      <c r="U45" s="17" t="str">
        <f ca="1">IFERROR(S45-T45,"")</f>
        <v/>
      </c>
    </row>
    <row r="46" spans="2:21" x14ac:dyDescent="0.25">
      <c r="B46" s="46" t="str">
        <f t="shared" ca="1" si="8"/>
        <v/>
      </c>
      <c r="C46" s="22" t="str">
        <f t="shared" ca="1" si="5"/>
        <v/>
      </c>
      <c r="D46" s="47" t="str">
        <f t="shared" ca="1" si="9"/>
        <v/>
      </c>
      <c r="E46" s="50" t="str">
        <f t="shared" ca="1" si="10"/>
        <v/>
      </c>
      <c r="F46" s="51" t="str">
        <f t="shared" ca="1" si="12"/>
        <v/>
      </c>
      <c r="G46" s="51" t="str">
        <f t="shared" ca="1" si="12"/>
        <v/>
      </c>
      <c r="I46" s="111">
        <f ca="1">IFERROR((1-(1+$D$10)^-($D$5-$C46))/$D$10,0)</f>
        <v>0</v>
      </c>
      <c r="J46" s="48" t="str">
        <f ca="1">IF($C46="","",
D46*($D$5-$D$9)*((1+F46)/(1+G46))^($D$5-$D$9)/$H$14)</f>
        <v/>
      </c>
      <c r="K46" s="52">
        <f t="shared" ref="K46:K77" ca="1" si="13">IF($C47="",0,
J46*E46*(1+F46))</f>
        <v>0</v>
      </c>
      <c r="L46" s="49">
        <f t="shared" ca="1" si="6"/>
        <v>0</v>
      </c>
      <c r="M46" s="52">
        <f t="shared" ca="1" si="7"/>
        <v>0</v>
      </c>
      <c r="N46" s="53">
        <f ca="1">M46*Assumptions!$B$18</f>
        <v>0</v>
      </c>
      <c r="P46" s="77" t="str">
        <f t="shared" ref="P46:P77" ca="1" si="14">IF($C47="","",L47-L46*(1+i))</f>
        <v/>
      </c>
      <c r="Q46" s="56" t="str">
        <f t="shared" ref="Q46:Q77" ca="1" si="15">IFERROR(P46-K46,"")</f>
        <v/>
      </c>
      <c r="S46" s="12" t="str">
        <f ca="1">IFERROR(J46/PUC_Projection!H46,"")</f>
        <v/>
      </c>
      <c r="T46" s="12" t="str">
        <f ca="1">IF($C46="","",($D$5-$D$9)/$H$14*(1+$D$10)^-(C46-$D$9+1))</f>
        <v/>
      </c>
      <c r="U46" s="17" t="str">
        <f ca="1">IFERROR(S46-T46,"")</f>
        <v/>
      </c>
    </row>
    <row r="47" spans="2:21" x14ac:dyDescent="0.25">
      <c r="B47" s="46" t="str">
        <f t="shared" ca="1" si="8"/>
        <v/>
      </c>
      <c r="C47" s="22" t="str">
        <f t="shared" ca="1" si="5"/>
        <v/>
      </c>
      <c r="D47" s="47" t="str">
        <f t="shared" ca="1" si="9"/>
        <v/>
      </c>
      <c r="E47" s="50" t="str">
        <f t="shared" ca="1" si="10"/>
        <v/>
      </c>
      <c r="F47" s="51" t="str">
        <f t="shared" ca="1" si="12"/>
        <v/>
      </c>
      <c r="G47" s="51" t="str">
        <f t="shared" ca="1" si="12"/>
        <v/>
      </c>
      <c r="I47" s="111">
        <f ca="1">IFERROR((1-(1+$D$10)^-($D$5-$C47))/$D$10,0)</f>
        <v>0</v>
      </c>
      <c r="J47" s="48" t="str">
        <f ca="1">IF($C47="","",
D47*($D$5-$D$9)*((1+F47)/(1+G47))^($D$5-$D$9)/$H$14)</f>
        <v/>
      </c>
      <c r="K47" s="52">
        <f t="shared" ca="1" si="13"/>
        <v>0</v>
      </c>
      <c r="L47" s="49">
        <f t="shared" ca="1" si="6"/>
        <v>0</v>
      </c>
      <c r="M47" s="52">
        <f t="shared" ref="M47:M78" ca="1" si="16">IF($C47="",0,
M46*(1+i)+K47)</f>
        <v>0</v>
      </c>
      <c r="N47" s="53">
        <f ca="1">M47*Assumptions!$B$18</f>
        <v>0</v>
      </c>
      <c r="P47" s="77" t="str">
        <f t="shared" ca="1" si="14"/>
        <v/>
      </c>
      <c r="Q47" s="56" t="str">
        <f t="shared" ca="1" si="15"/>
        <v/>
      </c>
      <c r="S47" s="12" t="str">
        <f ca="1">IFERROR(J47/PUC_Projection!H47,"")</f>
        <v/>
      </c>
      <c r="T47" s="12" t="str">
        <f ca="1">IF($C47="","",($D$5-$D$9)/$H$14*(1+$D$10)^-(C47-$D$9+1))</f>
        <v/>
      </c>
      <c r="U47" s="17" t="str">
        <f ca="1">IFERROR(S47-T47,"")</f>
        <v/>
      </c>
    </row>
    <row r="48" spans="2:21" x14ac:dyDescent="0.25">
      <c r="B48" s="46" t="str">
        <f t="shared" ca="1" si="8"/>
        <v/>
      </c>
      <c r="C48" s="22" t="str">
        <f t="shared" ca="1" si="5"/>
        <v/>
      </c>
      <c r="D48" s="47" t="str">
        <f t="shared" ca="1" si="9"/>
        <v/>
      </c>
      <c r="E48" s="50" t="str">
        <f t="shared" ca="1" si="10"/>
        <v/>
      </c>
      <c r="F48" s="51" t="str">
        <f t="shared" ref="F48:G63" ca="1" si="17">IF($C48="","",F47)</f>
        <v/>
      </c>
      <c r="G48" s="51" t="str">
        <f t="shared" ca="1" si="17"/>
        <v/>
      </c>
      <c r="I48" s="111">
        <f ca="1">IFERROR((1-(1+$D$10)^-($D$5-$C48))/$D$10,0)</f>
        <v>0</v>
      </c>
      <c r="J48" s="48" t="str">
        <f ca="1">IF($C48="","",
D48*($D$5-$D$9)*((1+F48)/(1+G48))^($D$5-$D$9)/$H$14)</f>
        <v/>
      </c>
      <c r="K48" s="52">
        <f t="shared" ca="1" si="13"/>
        <v>0</v>
      </c>
      <c r="L48" s="49">
        <f t="shared" ca="1" si="6"/>
        <v>0</v>
      </c>
      <c r="M48" s="52">
        <f t="shared" ca="1" si="16"/>
        <v>0</v>
      </c>
      <c r="N48" s="53">
        <f ca="1">M48*Assumptions!$B$18</f>
        <v>0</v>
      </c>
      <c r="P48" s="77" t="str">
        <f t="shared" ca="1" si="14"/>
        <v/>
      </c>
      <c r="Q48" s="56" t="str">
        <f t="shared" ca="1" si="15"/>
        <v/>
      </c>
      <c r="S48" s="12" t="str">
        <f ca="1">IFERROR(J48/PUC_Projection!H48,"")</f>
        <v/>
      </c>
      <c r="T48" s="12" t="str">
        <f ca="1">IF($C48="","",($D$5-$D$9)/$H$14*(1+$D$10)^-(C48-$D$9+1))</f>
        <v/>
      </c>
      <c r="U48" s="17" t="str">
        <f ca="1">IFERROR(S48-T48,"")</f>
        <v/>
      </c>
    </row>
    <row r="49" spans="2:21" x14ac:dyDescent="0.25">
      <c r="B49" s="46" t="str">
        <f t="shared" ca="1" si="8"/>
        <v/>
      </c>
      <c r="C49" s="22" t="str">
        <f t="shared" ca="1" si="5"/>
        <v/>
      </c>
      <c r="D49" s="47" t="str">
        <f t="shared" ca="1" si="9"/>
        <v/>
      </c>
      <c r="E49" s="50" t="str">
        <f t="shared" ca="1" si="10"/>
        <v/>
      </c>
      <c r="F49" s="51" t="str">
        <f t="shared" ca="1" si="17"/>
        <v/>
      </c>
      <c r="G49" s="51" t="str">
        <f t="shared" ca="1" si="17"/>
        <v/>
      </c>
      <c r="I49" s="111">
        <f ca="1">IFERROR((1-(1+$D$10)^-($D$5-$C49))/$D$10,0)</f>
        <v>0</v>
      </c>
      <c r="J49" s="48" t="str">
        <f ca="1">IF($C49="","",
D49*($D$5-$D$9)*((1+F49)/(1+G49))^($D$5-$D$9)/$H$14)</f>
        <v/>
      </c>
      <c r="K49" s="52">
        <f t="shared" ca="1" si="13"/>
        <v>0</v>
      </c>
      <c r="L49" s="49">
        <f t="shared" ca="1" si="6"/>
        <v>0</v>
      </c>
      <c r="M49" s="52">
        <f t="shared" ca="1" si="16"/>
        <v>0</v>
      </c>
      <c r="N49" s="53">
        <f ca="1">M49*Assumptions!$B$18</f>
        <v>0</v>
      </c>
      <c r="P49" s="77" t="str">
        <f t="shared" ca="1" si="14"/>
        <v/>
      </c>
      <c r="Q49" s="56" t="str">
        <f t="shared" ca="1" si="15"/>
        <v/>
      </c>
      <c r="S49" s="12" t="str">
        <f ca="1">IFERROR(J49/PUC_Projection!H49,"")</f>
        <v/>
      </c>
      <c r="T49" s="12" t="str">
        <f ca="1">IF($C49="","",($D$5-$D$9)/$H$14*(1+$D$10)^-(C49-$D$9+1))</f>
        <v/>
      </c>
      <c r="U49" s="17" t="str">
        <f ca="1">IFERROR(S49-T49,"")</f>
        <v/>
      </c>
    </row>
    <row r="50" spans="2:21" x14ac:dyDescent="0.25">
      <c r="B50" s="46" t="str">
        <f t="shared" ca="1" si="8"/>
        <v/>
      </c>
      <c r="C50" s="22" t="str">
        <f t="shared" ca="1" si="5"/>
        <v/>
      </c>
      <c r="D50" s="47" t="str">
        <f t="shared" ca="1" si="9"/>
        <v/>
      </c>
      <c r="E50" s="50" t="str">
        <f t="shared" ca="1" si="10"/>
        <v/>
      </c>
      <c r="F50" s="51" t="str">
        <f t="shared" ca="1" si="17"/>
        <v/>
      </c>
      <c r="G50" s="51" t="str">
        <f t="shared" ca="1" si="17"/>
        <v/>
      </c>
      <c r="I50" s="111">
        <f ca="1">IFERROR((1-(1+$D$10)^-($D$5-$C50))/$D$10,0)</f>
        <v>0</v>
      </c>
      <c r="J50" s="48" t="str">
        <f ca="1">IF($C50="","",
D50*($D$5-$D$9)*((1+F50)/(1+G50))^($D$5-$D$9)/$H$14)</f>
        <v/>
      </c>
      <c r="K50" s="52">
        <f t="shared" ca="1" si="13"/>
        <v>0</v>
      </c>
      <c r="L50" s="49">
        <f t="shared" ca="1" si="6"/>
        <v>0</v>
      </c>
      <c r="M50" s="52">
        <f t="shared" ca="1" si="16"/>
        <v>0</v>
      </c>
      <c r="N50" s="53">
        <f ca="1">M50*Assumptions!$B$18</f>
        <v>0</v>
      </c>
      <c r="P50" s="77" t="str">
        <f t="shared" ca="1" si="14"/>
        <v/>
      </c>
      <c r="Q50" s="56" t="str">
        <f t="shared" ca="1" si="15"/>
        <v/>
      </c>
      <c r="S50" s="12" t="str">
        <f ca="1">IFERROR(J50/PUC_Projection!H50,"")</f>
        <v/>
      </c>
      <c r="T50" s="12" t="str">
        <f ca="1">IF($C50="","",($D$5-$D$9)/$H$14*(1+$D$10)^-(C50-$D$9+1))</f>
        <v/>
      </c>
      <c r="U50" s="17" t="str">
        <f ca="1">IFERROR(S50-T50,"")</f>
        <v/>
      </c>
    </row>
    <row r="51" spans="2:21" x14ac:dyDescent="0.25">
      <c r="B51" s="46" t="str">
        <f t="shared" ca="1" si="8"/>
        <v/>
      </c>
      <c r="C51" s="22" t="str">
        <f t="shared" ca="1" si="5"/>
        <v/>
      </c>
      <c r="D51" s="47" t="str">
        <f t="shared" ca="1" si="9"/>
        <v/>
      </c>
      <c r="E51" s="50" t="str">
        <f t="shared" ca="1" si="10"/>
        <v/>
      </c>
      <c r="F51" s="51" t="str">
        <f t="shared" ca="1" si="17"/>
        <v/>
      </c>
      <c r="G51" s="51" t="str">
        <f t="shared" ca="1" si="17"/>
        <v/>
      </c>
      <c r="I51" s="111">
        <f ca="1">IFERROR((1-(1+$D$10)^-($D$5-$C51))/$D$10,0)</f>
        <v>0</v>
      </c>
      <c r="J51" s="48" t="str">
        <f ca="1">IF($C51="","",
D51*($D$5-$D$9)*((1+F51)/(1+G51))^($D$5-$D$9)/$H$14)</f>
        <v/>
      </c>
      <c r="K51" s="52">
        <f t="shared" ca="1" si="13"/>
        <v>0</v>
      </c>
      <c r="L51" s="49">
        <f t="shared" ca="1" si="6"/>
        <v>0</v>
      </c>
      <c r="M51" s="52">
        <f t="shared" ca="1" si="16"/>
        <v>0</v>
      </c>
      <c r="N51" s="53">
        <f ca="1">M51*Assumptions!$B$18</f>
        <v>0</v>
      </c>
      <c r="P51" s="77" t="str">
        <f t="shared" ca="1" si="14"/>
        <v/>
      </c>
      <c r="Q51" s="56" t="str">
        <f t="shared" ca="1" si="15"/>
        <v/>
      </c>
      <c r="S51" s="12" t="str">
        <f ca="1">IFERROR(J51/PUC_Projection!H51,"")</f>
        <v/>
      </c>
      <c r="T51" s="12" t="str">
        <f ca="1">IF($C51="","",($D$5-$D$9)/$H$14*(1+$D$10)^-(C51-$D$9+1))</f>
        <v/>
      </c>
      <c r="U51" s="17" t="str">
        <f ca="1">IFERROR(S51-T51,"")</f>
        <v/>
      </c>
    </row>
    <row r="52" spans="2:21" x14ac:dyDescent="0.25">
      <c r="B52" s="46" t="str">
        <f t="shared" ca="1" si="8"/>
        <v/>
      </c>
      <c r="C52" s="22" t="str">
        <f t="shared" ca="1" si="5"/>
        <v/>
      </c>
      <c r="D52" s="47" t="str">
        <f t="shared" ca="1" si="9"/>
        <v/>
      </c>
      <c r="E52" s="50" t="str">
        <f t="shared" ca="1" si="10"/>
        <v/>
      </c>
      <c r="F52" s="51" t="str">
        <f t="shared" ca="1" si="17"/>
        <v/>
      </c>
      <c r="G52" s="51" t="str">
        <f t="shared" ca="1" si="17"/>
        <v/>
      </c>
      <c r="I52" s="111">
        <f ca="1">IFERROR((1-(1+$D$10)^-($D$5-$C52))/$D$10,0)</f>
        <v>0</v>
      </c>
      <c r="J52" s="48" t="str">
        <f ca="1">IF($C52="","",
D52*($D$5-$D$9)*((1+F52)/(1+G52))^($D$5-$D$9)/$H$14)</f>
        <v/>
      </c>
      <c r="K52" s="52">
        <f t="shared" ca="1" si="13"/>
        <v>0</v>
      </c>
      <c r="L52" s="49">
        <f t="shared" ca="1" si="6"/>
        <v>0</v>
      </c>
      <c r="M52" s="52">
        <f t="shared" ca="1" si="16"/>
        <v>0</v>
      </c>
      <c r="N52" s="53">
        <f ca="1">M52*Assumptions!$B$18</f>
        <v>0</v>
      </c>
      <c r="P52" s="77" t="str">
        <f t="shared" ca="1" si="14"/>
        <v/>
      </c>
      <c r="Q52" s="56" t="str">
        <f t="shared" ca="1" si="15"/>
        <v/>
      </c>
      <c r="S52" s="12" t="str">
        <f ca="1">IFERROR(J52/PUC_Projection!H52,"")</f>
        <v/>
      </c>
      <c r="T52" s="12" t="str">
        <f ca="1">IF($C52="","",($D$5-$D$9)/$H$14*(1+$D$10)^-(C52-$D$9+1))</f>
        <v/>
      </c>
      <c r="U52" s="17" t="str">
        <f ca="1">IFERROR(S52-T52,"")</f>
        <v/>
      </c>
    </row>
    <row r="53" spans="2:21" x14ac:dyDescent="0.25">
      <c r="B53" s="46" t="str">
        <f t="shared" ca="1" si="8"/>
        <v/>
      </c>
      <c r="C53" s="22" t="str">
        <f t="shared" ca="1" si="5"/>
        <v/>
      </c>
      <c r="D53" s="47" t="str">
        <f t="shared" ca="1" si="9"/>
        <v/>
      </c>
      <c r="E53" s="50" t="str">
        <f t="shared" ca="1" si="10"/>
        <v/>
      </c>
      <c r="F53" s="51" t="str">
        <f t="shared" ca="1" si="17"/>
        <v/>
      </c>
      <c r="G53" s="51" t="str">
        <f t="shared" ca="1" si="17"/>
        <v/>
      </c>
      <c r="I53" s="111">
        <f ca="1">IFERROR((1-(1+$D$10)^-($D$5-$C53))/$D$10,0)</f>
        <v>0</v>
      </c>
      <c r="J53" s="48" t="str">
        <f ca="1">IF($C53="","",
D53*($D$5-$D$9)*((1+F53)/(1+G53))^($D$5-$D$9)/$H$14)</f>
        <v/>
      </c>
      <c r="K53" s="52">
        <f t="shared" ca="1" si="13"/>
        <v>0</v>
      </c>
      <c r="L53" s="49">
        <f t="shared" ca="1" si="6"/>
        <v>0</v>
      </c>
      <c r="M53" s="52">
        <f t="shared" ca="1" si="16"/>
        <v>0</v>
      </c>
      <c r="N53" s="53">
        <f ca="1">M53*Assumptions!$B$18</f>
        <v>0</v>
      </c>
      <c r="P53" s="77" t="str">
        <f t="shared" ca="1" si="14"/>
        <v/>
      </c>
      <c r="Q53" s="56" t="str">
        <f t="shared" ca="1" si="15"/>
        <v/>
      </c>
      <c r="S53" s="12" t="str">
        <f ca="1">IFERROR(J53/PUC_Projection!H53,"")</f>
        <v/>
      </c>
      <c r="T53" s="12" t="str">
        <f ca="1">IF($C53="","",($D$5-$D$9)/$H$14*(1+$D$10)^-(C53-$D$9+1))</f>
        <v/>
      </c>
      <c r="U53" s="17" t="str">
        <f ca="1">IFERROR(S53-T53,"")</f>
        <v/>
      </c>
    </row>
    <row r="54" spans="2:21" x14ac:dyDescent="0.25">
      <c r="B54" s="46" t="str">
        <f t="shared" ca="1" si="8"/>
        <v/>
      </c>
      <c r="C54" s="22" t="str">
        <f t="shared" ca="1" si="5"/>
        <v/>
      </c>
      <c r="D54" s="47" t="str">
        <f t="shared" ca="1" si="9"/>
        <v/>
      </c>
      <c r="E54" s="50" t="str">
        <f t="shared" ca="1" si="10"/>
        <v/>
      </c>
      <c r="F54" s="51" t="str">
        <f t="shared" ca="1" si="17"/>
        <v/>
      </c>
      <c r="G54" s="51" t="str">
        <f t="shared" ca="1" si="17"/>
        <v/>
      </c>
      <c r="I54" s="111">
        <f ca="1">IFERROR((1-(1+$D$10)^-($D$5-$C54))/$D$10,0)</f>
        <v>0</v>
      </c>
      <c r="J54" s="48" t="str">
        <f ca="1">IF($C54="","",
D54*($D$5-$D$9)*((1+F54)/(1+G54))^($D$5-$D$9)/$H$14)</f>
        <v/>
      </c>
      <c r="K54" s="52">
        <f t="shared" ca="1" si="13"/>
        <v>0</v>
      </c>
      <c r="L54" s="49">
        <f t="shared" ca="1" si="6"/>
        <v>0</v>
      </c>
      <c r="M54" s="52">
        <f t="shared" ca="1" si="16"/>
        <v>0</v>
      </c>
      <c r="N54" s="53">
        <f ca="1">M54*Assumptions!$B$18</f>
        <v>0</v>
      </c>
      <c r="P54" s="77" t="str">
        <f t="shared" ca="1" si="14"/>
        <v/>
      </c>
      <c r="Q54" s="56" t="str">
        <f t="shared" ca="1" si="15"/>
        <v/>
      </c>
      <c r="S54" s="12" t="str">
        <f ca="1">IFERROR(J54/PUC_Projection!H54,"")</f>
        <v/>
      </c>
      <c r="T54" s="12" t="str">
        <f ca="1">IF($C54="","",($D$5-$D$9)/$H$14*(1+$D$10)^-(C54-$D$9+1))</f>
        <v/>
      </c>
      <c r="U54" s="17" t="str">
        <f ca="1">IFERROR(S54-T54,"")</f>
        <v/>
      </c>
    </row>
    <row r="55" spans="2:21" x14ac:dyDescent="0.25">
      <c r="B55" s="46" t="str">
        <f t="shared" ca="1" si="8"/>
        <v/>
      </c>
      <c r="C55" s="22" t="str">
        <f t="shared" ca="1" si="5"/>
        <v/>
      </c>
      <c r="D55" s="47" t="str">
        <f t="shared" ca="1" si="9"/>
        <v/>
      </c>
      <c r="E55" s="50" t="str">
        <f t="shared" ca="1" si="10"/>
        <v/>
      </c>
      <c r="F55" s="51" t="str">
        <f t="shared" ca="1" si="17"/>
        <v/>
      </c>
      <c r="G55" s="51" t="str">
        <f t="shared" ca="1" si="17"/>
        <v/>
      </c>
      <c r="I55" s="111">
        <f ca="1">IFERROR((1-(1+$D$10)^-($D$5-$C55))/$D$10,0)</f>
        <v>0</v>
      </c>
      <c r="J55" s="48" t="str">
        <f ca="1">IF($C55="","",
D55*($D$5-$D$9)*((1+F55)/(1+G55))^($D$5-$D$9)/$H$14)</f>
        <v/>
      </c>
      <c r="K55" s="52">
        <f t="shared" ca="1" si="13"/>
        <v>0</v>
      </c>
      <c r="L55" s="49">
        <f t="shared" ca="1" si="6"/>
        <v>0</v>
      </c>
      <c r="M55" s="52">
        <f t="shared" ca="1" si="16"/>
        <v>0</v>
      </c>
      <c r="N55" s="53">
        <f ca="1">M55*Assumptions!$B$18</f>
        <v>0</v>
      </c>
      <c r="P55" s="77" t="str">
        <f t="shared" ca="1" si="14"/>
        <v/>
      </c>
      <c r="Q55" s="56" t="str">
        <f t="shared" ca="1" si="15"/>
        <v/>
      </c>
      <c r="S55" s="12" t="str">
        <f ca="1">IFERROR(J55/PUC_Projection!H55,"")</f>
        <v/>
      </c>
      <c r="T55" s="12" t="str">
        <f ca="1">IF($C55="","",($D$5-$D$9)/$H$14*(1+$D$10)^-(C55-$D$9+1))</f>
        <v/>
      </c>
      <c r="U55" s="17" t="str">
        <f ca="1">IFERROR(S55-T55,"")</f>
        <v/>
      </c>
    </row>
    <row r="56" spans="2:21" x14ac:dyDescent="0.25">
      <c r="B56" s="46" t="str">
        <f t="shared" ca="1" si="8"/>
        <v/>
      </c>
      <c r="C56" s="22" t="str">
        <f t="shared" ca="1" si="5"/>
        <v/>
      </c>
      <c r="D56" s="47" t="str">
        <f t="shared" ca="1" si="9"/>
        <v/>
      </c>
      <c r="E56" s="50" t="str">
        <f t="shared" ca="1" si="10"/>
        <v/>
      </c>
      <c r="F56" s="51" t="str">
        <f t="shared" ca="1" si="17"/>
        <v/>
      </c>
      <c r="G56" s="51" t="str">
        <f t="shared" ca="1" si="17"/>
        <v/>
      </c>
      <c r="I56" s="111">
        <f ca="1">IFERROR((1-(1+$D$10)^-($D$5-$C56))/$D$10,0)</f>
        <v>0</v>
      </c>
      <c r="J56" s="48" t="str">
        <f ca="1">IF($C56="","",
D56*($D$5-$D$9)*((1+F56)/(1+G56))^($D$5-$D$9)/$H$14)</f>
        <v/>
      </c>
      <c r="K56" s="52">
        <f t="shared" ca="1" si="13"/>
        <v>0</v>
      </c>
      <c r="L56" s="49">
        <f t="shared" ca="1" si="6"/>
        <v>0</v>
      </c>
      <c r="M56" s="52">
        <f t="shared" ca="1" si="16"/>
        <v>0</v>
      </c>
      <c r="N56" s="53">
        <f ca="1">M56*Assumptions!$B$18</f>
        <v>0</v>
      </c>
      <c r="P56" s="77" t="str">
        <f t="shared" ca="1" si="14"/>
        <v/>
      </c>
      <c r="Q56" s="56" t="str">
        <f t="shared" ca="1" si="15"/>
        <v/>
      </c>
      <c r="S56" s="12" t="str">
        <f ca="1">IFERROR(J56/PUC_Projection!H56,"")</f>
        <v/>
      </c>
      <c r="T56" s="12" t="str">
        <f ca="1">IF($C56="","",($D$5-$D$9)/$H$14*(1+$D$10)^-(C56-$D$9+1))</f>
        <v/>
      </c>
      <c r="U56" s="17" t="str">
        <f ca="1">IFERROR(S56-T56,"")</f>
        <v/>
      </c>
    </row>
    <row r="57" spans="2:21" x14ac:dyDescent="0.25">
      <c r="B57" s="46" t="str">
        <f t="shared" ca="1" si="8"/>
        <v/>
      </c>
      <c r="C57" s="22" t="str">
        <f t="shared" ca="1" si="5"/>
        <v/>
      </c>
      <c r="D57" s="47" t="str">
        <f t="shared" ca="1" si="9"/>
        <v/>
      </c>
      <c r="E57" s="50" t="str">
        <f t="shared" ca="1" si="10"/>
        <v/>
      </c>
      <c r="F57" s="51" t="str">
        <f t="shared" ca="1" si="17"/>
        <v/>
      </c>
      <c r="G57" s="51" t="str">
        <f t="shared" ca="1" si="17"/>
        <v/>
      </c>
      <c r="I57" s="111">
        <f ca="1">IFERROR((1-(1+$D$10)^-($D$5-$C57))/$D$10,0)</f>
        <v>0</v>
      </c>
      <c r="J57" s="48" t="str">
        <f ca="1">IF($C57="","",
D57*($D$5-$D$9)*((1+F57)/(1+G57))^($D$5-$D$9)/$H$14)</f>
        <v/>
      </c>
      <c r="K57" s="52">
        <f t="shared" ca="1" si="13"/>
        <v>0</v>
      </c>
      <c r="L57" s="49">
        <f t="shared" ca="1" si="6"/>
        <v>0</v>
      </c>
      <c r="M57" s="52">
        <f t="shared" ca="1" si="16"/>
        <v>0</v>
      </c>
      <c r="N57" s="53">
        <f ca="1">M57*Assumptions!$B$18</f>
        <v>0</v>
      </c>
      <c r="P57" s="77" t="str">
        <f t="shared" ca="1" si="14"/>
        <v/>
      </c>
      <c r="Q57" s="56" t="str">
        <f t="shared" ca="1" si="15"/>
        <v/>
      </c>
      <c r="S57" s="12" t="str">
        <f ca="1">IFERROR(J57/PUC_Projection!H57,"")</f>
        <v/>
      </c>
      <c r="T57" s="12" t="str">
        <f ca="1">IF($C57="","",($D$5-$D$9)/$H$14*(1+$D$10)^-(C57-$D$9+1))</f>
        <v/>
      </c>
      <c r="U57" s="17" t="str">
        <f ca="1">IFERROR(S57-T57,"")</f>
        <v/>
      </c>
    </row>
    <row r="58" spans="2:21" x14ac:dyDescent="0.25">
      <c r="B58" s="46" t="str">
        <f t="shared" ca="1" si="8"/>
        <v/>
      </c>
      <c r="C58" s="22" t="str">
        <f t="shared" ca="1" si="5"/>
        <v/>
      </c>
      <c r="D58" s="47" t="str">
        <f t="shared" ca="1" si="9"/>
        <v/>
      </c>
      <c r="E58" s="50" t="str">
        <f t="shared" ca="1" si="10"/>
        <v/>
      </c>
      <c r="F58" s="51" t="str">
        <f t="shared" ca="1" si="17"/>
        <v/>
      </c>
      <c r="G58" s="51" t="str">
        <f t="shared" ca="1" si="17"/>
        <v/>
      </c>
      <c r="I58" s="111">
        <f ca="1">IFERROR((1-(1+$D$10)^-($D$5-$C58))/$D$10,0)</f>
        <v>0</v>
      </c>
      <c r="J58" s="48" t="str">
        <f ca="1">IF($C58="","",
D58*($D$5-$D$9)*((1+F58)/(1+G58))^($D$5-$D$9)/$H$14)</f>
        <v/>
      </c>
      <c r="K58" s="52">
        <f t="shared" ca="1" si="13"/>
        <v>0</v>
      </c>
      <c r="L58" s="49">
        <f t="shared" ca="1" si="6"/>
        <v>0</v>
      </c>
      <c r="M58" s="52">
        <f t="shared" ca="1" si="16"/>
        <v>0</v>
      </c>
      <c r="N58" s="53">
        <f ca="1">M58*Assumptions!$B$18</f>
        <v>0</v>
      </c>
      <c r="P58" s="77" t="str">
        <f t="shared" ca="1" si="14"/>
        <v/>
      </c>
      <c r="Q58" s="56" t="str">
        <f t="shared" ca="1" si="15"/>
        <v/>
      </c>
      <c r="S58" s="12" t="str">
        <f ca="1">IFERROR(J58/PUC_Projection!H58,"")</f>
        <v/>
      </c>
      <c r="T58" s="12" t="str">
        <f ca="1">IF($C58="","",($D$5-$D$9)/$H$14*(1+$D$10)^-(C58-$D$9+1))</f>
        <v/>
      </c>
      <c r="U58" s="17" t="str">
        <f ca="1">IFERROR(S58-T58,"")</f>
        <v/>
      </c>
    </row>
    <row r="59" spans="2:21" x14ac:dyDescent="0.25">
      <c r="B59" s="46" t="str">
        <f t="shared" ca="1" si="8"/>
        <v/>
      </c>
      <c r="C59" s="22" t="str">
        <f t="shared" ca="1" si="5"/>
        <v/>
      </c>
      <c r="D59" s="47" t="str">
        <f t="shared" ca="1" si="9"/>
        <v/>
      </c>
      <c r="E59" s="50" t="str">
        <f t="shared" ca="1" si="10"/>
        <v/>
      </c>
      <c r="F59" s="51" t="str">
        <f t="shared" ca="1" si="17"/>
        <v/>
      </c>
      <c r="G59" s="51" t="str">
        <f t="shared" ca="1" si="17"/>
        <v/>
      </c>
      <c r="I59" s="111">
        <f ca="1">IFERROR((1-(1+$D$10)^-($D$5-$C59))/$D$10,0)</f>
        <v>0</v>
      </c>
      <c r="J59" s="48" t="str">
        <f ca="1">IF($C59="","",
D59*($D$5-$D$9)*((1+F59)/(1+G59))^($D$5-$D$9)/$H$14)</f>
        <v/>
      </c>
      <c r="K59" s="52">
        <f t="shared" ca="1" si="13"/>
        <v>0</v>
      </c>
      <c r="L59" s="49">
        <f t="shared" ca="1" si="6"/>
        <v>0</v>
      </c>
      <c r="M59" s="52">
        <f t="shared" ca="1" si="16"/>
        <v>0</v>
      </c>
      <c r="N59" s="53">
        <f ca="1">M59*Assumptions!$B$18</f>
        <v>0</v>
      </c>
      <c r="P59" s="77" t="str">
        <f t="shared" ca="1" si="14"/>
        <v/>
      </c>
      <c r="Q59" s="56" t="str">
        <f t="shared" ca="1" si="15"/>
        <v/>
      </c>
      <c r="S59" s="12" t="str">
        <f ca="1">IFERROR(J59/PUC_Projection!H59,"")</f>
        <v/>
      </c>
      <c r="T59" s="12" t="str">
        <f ca="1">IF($C59="","",($D$5-$D$9)/$H$14*(1+$D$10)^-(C59-$D$9+1))</f>
        <v/>
      </c>
      <c r="U59" s="17" t="str">
        <f ca="1">IFERROR(S59-T59,"")</f>
        <v/>
      </c>
    </row>
    <row r="60" spans="2:21" x14ac:dyDescent="0.25">
      <c r="B60" s="46" t="str">
        <f t="shared" ca="1" si="8"/>
        <v/>
      </c>
      <c r="C60" s="22" t="str">
        <f t="shared" ca="1" si="5"/>
        <v/>
      </c>
      <c r="D60" s="47" t="str">
        <f t="shared" ca="1" si="9"/>
        <v/>
      </c>
      <c r="E60" s="50" t="str">
        <f t="shared" ca="1" si="10"/>
        <v/>
      </c>
      <c r="F60" s="51" t="str">
        <f t="shared" ca="1" si="17"/>
        <v/>
      </c>
      <c r="G60" s="51" t="str">
        <f t="shared" ca="1" si="17"/>
        <v/>
      </c>
      <c r="I60" s="111">
        <f ca="1">IFERROR((1-(1+$D$10)^-($D$5-$C60))/$D$10,0)</f>
        <v>0</v>
      </c>
      <c r="J60" s="48" t="str">
        <f ca="1">IF($C60="","",
D60*($D$5-$D$9)*((1+F60)/(1+G60))^($D$5-$D$9)/$H$14)</f>
        <v/>
      </c>
      <c r="K60" s="52">
        <f t="shared" ca="1" si="13"/>
        <v>0</v>
      </c>
      <c r="L60" s="49">
        <f t="shared" ca="1" si="6"/>
        <v>0</v>
      </c>
      <c r="M60" s="52">
        <f t="shared" ca="1" si="16"/>
        <v>0</v>
      </c>
      <c r="N60" s="53">
        <f ca="1">M60*Assumptions!$B$18</f>
        <v>0</v>
      </c>
      <c r="P60" s="77" t="str">
        <f t="shared" ca="1" si="14"/>
        <v/>
      </c>
      <c r="Q60" s="56" t="str">
        <f t="shared" ca="1" si="15"/>
        <v/>
      </c>
      <c r="S60" s="12" t="str">
        <f ca="1">IFERROR(J60/PUC_Projection!H60,"")</f>
        <v/>
      </c>
      <c r="T60" s="12" t="str">
        <f ca="1">IF($C60="","",($D$5-$D$9)/$H$14*(1+$D$10)^-(C60-$D$9+1))</f>
        <v/>
      </c>
      <c r="U60" s="17" t="str">
        <f ca="1">IFERROR(S60-T60,"")</f>
        <v/>
      </c>
    </row>
    <row r="61" spans="2:21" x14ac:dyDescent="0.25">
      <c r="B61" s="46" t="str">
        <f t="shared" ca="1" si="8"/>
        <v/>
      </c>
      <c r="C61" s="22" t="str">
        <f t="shared" ca="1" si="5"/>
        <v/>
      </c>
      <c r="D61" s="47" t="str">
        <f t="shared" ca="1" si="9"/>
        <v/>
      </c>
      <c r="E61" s="50" t="str">
        <f t="shared" ca="1" si="10"/>
        <v/>
      </c>
      <c r="F61" s="51" t="str">
        <f t="shared" ca="1" si="17"/>
        <v/>
      </c>
      <c r="G61" s="51" t="str">
        <f t="shared" ca="1" si="17"/>
        <v/>
      </c>
      <c r="I61" s="111">
        <f ca="1">IFERROR((1-(1+$D$10)^-($D$5-$C61))/$D$10,0)</f>
        <v>0</v>
      </c>
      <c r="J61" s="48" t="str">
        <f ca="1">IF($C61="","",
D61*($D$5-$D$9)*((1+F61)/(1+G61))^($D$5-$D$9)/$H$14)</f>
        <v/>
      </c>
      <c r="K61" s="52">
        <f t="shared" ca="1" si="13"/>
        <v>0</v>
      </c>
      <c r="L61" s="49">
        <f t="shared" ca="1" si="6"/>
        <v>0</v>
      </c>
      <c r="M61" s="52">
        <f t="shared" ca="1" si="16"/>
        <v>0</v>
      </c>
      <c r="N61" s="53">
        <f ca="1">M61*Assumptions!$B$18</f>
        <v>0</v>
      </c>
      <c r="P61" s="77" t="str">
        <f t="shared" ca="1" si="14"/>
        <v/>
      </c>
      <c r="Q61" s="56" t="str">
        <f t="shared" ca="1" si="15"/>
        <v/>
      </c>
      <c r="S61" s="12" t="str">
        <f ca="1">IFERROR(J61/PUC_Projection!H61,"")</f>
        <v/>
      </c>
      <c r="T61" s="12" t="str">
        <f ca="1">IF($C61="","",($D$5-$D$9)/$H$14*(1+$D$10)^-(C61-$D$9+1))</f>
        <v/>
      </c>
      <c r="U61" s="17" t="str">
        <f ca="1">IFERROR(S61-T61,"")</f>
        <v/>
      </c>
    </row>
    <row r="62" spans="2:21" x14ac:dyDescent="0.25">
      <c r="B62" s="46" t="str">
        <f t="shared" ca="1" si="8"/>
        <v/>
      </c>
      <c r="C62" s="22" t="str">
        <f t="shared" ca="1" si="5"/>
        <v/>
      </c>
      <c r="D62" s="47" t="str">
        <f t="shared" ca="1" si="9"/>
        <v/>
      </c>
      <c r="E62" s="50" t="str">
        <f t="shared" ca="1" si="10"/>
        <v/>
      </c>
      <c r="F62" s="51" t="str">
        <f t="shared" ca="1" si="17"/>
        <v/>
      </c>
      <c r="G62" s="51" t="str">
        <f t="shared" ca="1" si="17"/>
        <v/>
      </c>
      <c r="I62" s="111">
        <f ca="1">IFERROR((1-(1+$D$10)^-($D$5-$C62))/$D$10,0)</f>
        <v>0</v>
      </c>
      <c r="J62" s="48" t="str">
        <f ca="1">IF($C62="","",
D62*($D$5-$D$9)*((1+F62)/(1+G62))^($D$5-$D$9)/$H$14)</f>
        <v/>
      </c>
      <c r="K62" s="52">
        <f t="shared" ca="1" si="13"/>
        <v>0</v>
      </c>
      <c r="L62" s="49">
        <f t="shared" ca="1" si="6"/>
        <v>0</v>
      </c>
      <c r="M62" s="52">
        <f t="shared" ca="1" si="16"/>
        <v>0</v>
      </c>
      <c r="N62" s="53">
        <f ca="1">M62*Assumptions!$B$18</f>
        <v>0</v>
      </c>
      <c r="P62" s="77" t="str">
        <f t="shared" ca="1" si="14"/>
        <v/>
      </c>
      <c r="Q62" s="56" t="str">
        <f t="shared" ca="1" si="15"/>
        <v/>
      </c>
      <c r="S62" s="12" t="str">
        <f ca="1">IFERROR(J62/PUC_Projection!H62,"")</f>
        <v/>
      </c>
      <c r="T62" s="12" t="str">
        <f ca="1">IF($C62="","",($D$5-$D$9)/$H$14*(1+$D$10)^-(C62-$D$9+1))</f>
        <v/>
      </c>
      <c r="U62" s="17" t="str">
        <f ca="1">IFERROR(S62-T62,"")</f>
        <v/>
      </c>
    </row>
    <row r="63" spans="2:21" x14ac:dyDescent="0.25">
      <c r="B63" s="46" t="str">
        <f t="shared" ca="1" si="8"/>
        <v/>
      </c>
      <c r="C63" s="22" t="str">
        <f t="shared" ca="1" si="5"/>
        <v/>
      </c>
      <c r="D63" s="47" t="str">
        <f t="shared" ca="1" si="9"/>
        <v/>
      </c>
      <c r="E63" s="50" t="str">
        <f t="shared" ca="1" si="10"/>
        <v/>
      </c>
      <c r="F63" s="51" t="str">
        <f t="shared" ca="1" si="17"/>
        <v/>
      </c>
      <c r="G63" s="51" t="str">
        <f t="shared" ca="1" si="17"/>
        <v/>
      </c>
      <c r="I63" s="111">
        <f ca="1">IFERROR((1-(1+$D$10)^-($D$5-$C63))/$D$10,0)</f>
        <v>0</v>
      </c>
      <c r="J63" s="48" t="str">
        <f ca="1">IF($C63="","",
D63*($D$5-$D$9)*((1+F63)/(1+G63))^($D$5-$D$9)/$H$14)</f>
        <v/>
      </c>
      <c r="K63" s="52">
        <f t="shared" ca="1" si="13"/>
        <v>0</v>
      </c>
      <c r="L63" s="49">
        <f t="shared" ca="1" si="6"/>
        <v>0</v>
      </c>
      <c r="M63" s="52">
        <f t="shared" ca="1" si="16"/>
        <v>0</v>
      </c>
      <c r="N63" s="53">
        <f ca="1">M63*Assumptions!$B$18</f>
        <v>0</v>
      </c>
      <c r="P63" s="77" t="str">
        <f t="shared" ca="1" si="14"/>
        <v/>
      </c>
      <c r="Q63" s="56" t="str">
        <f t="shared" ca="1" si="15"/>
        <v/>
      </c>
      <c r="S63" s="12" t="str">
        <f ca="1">IFERROR(J63/PUC_Projection!H63,"")</f>
        <v/>
      </c>
      <c r="T63" s="12" t="str">
        <f ca="1">IF($C63="","",($D$5-$D$9)/$H$14*(1+$D$10)^-(C63-$D$9+1))</f>
        <v/>
      </c>
      <c r="U63" s="17" t="str">
        <f ca="1">IFERROR(S63-T63,"")</f>
        <v/>
      </c>
    </row>
    <row r="64" spans="2:21" x14ac:dyDescent="0.25">
      <c r="B64" s="46" t="str">
        <f t="shared" ca="1" si="8"/>
        <v/>
      </c>
      <c r="C64" s="22" t="str">
        <f t="shared" ca="1" si="5"/>
        <v/>
      </c>
      <c r="D64" s="47" t="str">
        <f t="shared" ca="1" si="9"/>
        <v/>
      </c>
      <c r="E64" s="50" t="str">
        <f t="shared" ca="1" si="10"/>
        <v/>
      </c>
      <c r="F64" s="51" t="str">
        <f t="shared" ref="F64:G79" ca="1" si="18">IF($C64="","",F63)</f>
        <v/>
      </c>
      <c r="G64" s="51" t="str">
        <f t="shared" ca="1" si="18"/>
        <v/>
      </c>
      <c r="I64" s="111">
        <f ca="1">IFERROR((1-(1+$D$10)^-($D$5-$C64))/$D$10,0)</f>
        <v>0</v>
      </c>
      <c r="J64" s="48" t="str">
        <f ca="1">IF($C64="","",
D64*($D$5-$D$9)*((1+F64)/(1+G64))^($D$5-$D$9)/$H$14)</f>
        <v/>
      </c>
      <c r="K64" s="52">
        <f t="shared" ca="1" si="13"/>
        <v>0</v>
      </c>
      <c r="L64" s="49">
        <f t="shared" ca="1" si="6"/>
        <v>0</v>
      </c>
      <c r="M64" s="52">
        <f t="shared" ca="1" si="16"/>
        <v>0</v>
      </c>
      <c r="N64" s="53">
        <f ca="1">M64*Assumptions!$B$18</f>
        <v>0</v>
      </c>
      <c r="P64" s="77" t="str">
        <f t="shared" ca="1" si="14"/>
        <v/>
      </c>
      <c r="Q64" s="56" t="str">
        <f t="shared" ca="1" si="15"/>
        <v/>
      </c>
      <c r="S64" s="12" t="str">
        <f ca="1">IFERROR(J64/PUC_Projection!H64,"")</f>
        <v/>
      </c>
      <c r="T64" s="12" t="str">
        <f ca="1">IF($C64="","",($D$5-$D$9)/$H$14*(1+$D$10)^-(C64-$D$9+1))</f>
        <v/>
      </c>
      <c r="U64" s="17" t="str">
        <f ca="1">IFERROR(S64-T64,"")</f>
        <v/>
      </c>
    </row>
    <row r="65" spans="2:21" x14ac:dyDescent="0.25">
      <c r="B65" s="46" t="str">
        <f t="shared" ca="1" si="8"/>
        <v/>
      </c>
      <c r="C65" s="22" t="str">
        <f t="shared" ca="1" si="5"/>
        <v/>
      </c>
      <c r="D65" s="47" t="str">
        <f t="shared" ca="1" si="9"/>
        <v/>
      </c>
      <c r="E65" s="50" t="str">
        <f t="shared" ca="1" si="10"/>
        <v/>
      </c>
      <c r="F65" s="51" t="str">
        <f t="shared" ca="1" si="18"/>
        <v/>
      </c>
      <c r="G65" s="51" t="str">
        <f t="shared" ca="1" si="18"/>
        <v/>
      </c>
      <c r="I65" s="111">
        <f ca="1">IFERROR((1-(1+$D$10)^-($D$5-$C65))/$D$10,0)</f>
        <v>0</v>
      </c>
      <c r="J65" s="48" t="str">
        <f ca="1">IF($C65="","",
D65*($D$5-$D$9)*((1+F65)/(1+G65))^($D$5-$D$9)/$H$14)</f>
        <v/>
      </c>
      <c r="K65" s="52">
        <f t="shared" ca="1" si="13"/>
        <v>0</v>
      </c>
      <c r="L65" s="49">
        <f t="shared" ca="1" si="6"/>
        <v>0</v>
      </c>
      <c r="M65" s="52">
        <f t="shared" ca="1" si="16"/>
        <v>0</v>
      </c>
      <c r="N65" s="53">
        <f ca="1">M65*Assumptions!$B$18</f>
        <v>0</v>
      </c>
      <c r="P65" s="77" t="str">
        <f t="shared" ca="1" si="14"/>
        <v/>
      </c>
      <c r="Q65" s="56" t="str">
        <f t="shared" ca="1" si="15"/>
        <v/>
      </c>
      <c r="S65" s="12" t="str">
        <f ca="1">IFERROR(J65/PUC_Projection!H65,"")</f>
        <v/>
      </c>
      <c r="T65" s="12" t="str">
        <f ca="1">IF($C65="","",($D$5-$D$9)/$H$14*(1+$D$10)^-(C65-$D$9+1))</f>
        <v/>
      </c>
      <c r="U65" s="17" t="str">
        <f ca="1">IFERROR(S65-T65,"")</f>
        <v/>
      </c>
    </row>
    <row r="66" spans="2:21" x14ac:dyDescent="0.25">
      <c r="B66" s="46" t="str">
        <f t="shared" ca="1" si="8"/>
        <v/>
      </c>
      <c r="C66" s="22" t="str">
        <f t="shared" ca="1" si="5"/>
        <v/>
      </c>
      <c r="D66" s="47" t="str">
        <f t="shared" ca="1" si="9"/>
        <v/>
      </c>
      <c r="E66" s="50" t="str">
        <f t="shared" ca="1" si="10"/>
        <v/>
      </c>
      <c r="F66" s="51" t="str">
        <f t="shared" ca="1" si="18"/>
        <v/>
      </c>
      <c r="G66" s="51" t="str">
        <f t="shared" ca="1" si="18"/>
        <v/>
      </c>
      <c r="I66" s="111">
        <f ca="1">IFERROR((1-(1+$D$10)^-($D$5-$C66))/$D$10,0)</f>
        <v>0</v>
      </c>
      <c r="J66" s="48" t="str">
        <f ca="1">IF($C66="","",
D66*($D$5-$D$9)*((1+F66)/(1+G66))^($D$5-$D$9)/$H$14)</f>
        <v/>
      </c>
      <c r="K66" s="52">
        <f t="shared" ca="1" si="13"/>
        <v>0</v>
      </c>
      <c r="L66" s="49">
        <f t="shared" ca="1" si="6"/>
        <v>0</v>
      </c>
      <c r="M66" s="52">
        <f t="shared" ca="1" si="16"/>
        <v>0</v>
      </c>
      <c r="N66" s="53">
        <f ca="1">M66*Assumptions!$B$18</f>
        <v>0</v>
      </c>
      <c r="P66" s="77" t="str">
        <f t="shared" ca="1" si="14"/>
        <v/>
      </c>
      <c r="Q66" s="56" t="str">
        <f t="shared" ca="1" si="15"/>
        <v/>
      </c>
      <c r="S66" s="12" t="str">
        <f ca="1">IFERROR(J66/PUC_Projection!H66,"")</f>
        <v/>
      </c>
      <c r="T66" s="12" t="str">
        <f ca="1">IF($C66="","",($D$5-$D$9)/$H$14*(1+$D$10)^-(C66-$D$9+1))</f>
        <v/>
      </c>
      <c r="U66" s="17" t="str">
        <f ca="1">IFERROR(S66-T66,"")</f>
        <v/>
      </c>
    </row>
    <row r="67" spans="2:21" x14ac:dyDescent="0.25">
      <c r="B67" s="46" t="str">
        <f t="shared" ca="1" si="8"/>
        <v/>
      </c>
      <c r="C67" s="22" t="str">
        <f t="shared" ca="1" si="5"/>
        <v/>
      </c>
      <c r="D67" s="47" t="str">
        <f t="shared" ca="1" si="9"/>
        <v/>
      </c>
      <c r="E67" s="50" t="str">
        <f t="shared" ca="1" si="10"/>
        <v/>
      </c>
      <c r="F67" s="51" t="str">
        <f t="shared" ca="1" si="18"/>
        <v/>
      </c>
      <c r="G67" s="51" t="str">
        <f t="shared" ca="1" si="18"/>
        <v/>
      </c>
      <c r="I67" s="111">
        <f ca="1">IFERROR((1-(1+$D$10)^-($D$5-$C67))/$D$10,0)</f>
        <v>0</v>
      </c>
      <c r="J67" s="48" t="str">
        <f ca="1">IF($C67="","",
D67*($D$5-$D$9)*((1+F67)/(1+G67))^($D$5-$D$9)/$H$14)</f>
        <v/>
      </c>
      <c r="K67" s="52">
        <f t="shared" ca="1" si="13"/>
        <v>0</v>
      </c>
      <c r="L67" s="49">
        <f t="shared" ca="1" si="6"/>
        <v>0</v>
      </c>
      <c r="M67" s="52">
        <f t="shared" ca="1" si="16"/>
        <v>0</v>
      </c>
      <c r="N67" s="53">
        <f ca="1">M67*Assumptions!$B$18</f>
        <v>0</v>
      </c>
      <c r="P67" s="77" t="str">
        <f t="shared" ca="1" si="14"/>
        <v/>
      </c>
      <c r="Q67" s="56" t="str">
        <f t="shared" ca="1" si="15"/>
        <v/>
      </c>
      <c r="S67" s="12" t="str">
        <f ca="1">IFERROR(J67/PUC_Projection!H67,"")</f>
        <v/>
      </c>
      <c r="T67" s="12" t="str">
        <f ca="1">IF($C67="","",($D$5-$D$9)/$H$14*(1+$D$10)^-(C67-$D$9+1))</f>
        <v/>
      </c>
      <c r="U67" s="17" t="str">
        <f ca="1">IFERROR(S67-T67,"")</f>
        <v/>
      </c>
    </row>
    <row r="68" spans="2:21" x14ac:dyDescent="0.25">
      <c r="B68" s="46" t="str">
        <f t="shared" ca="1" si="8"/>
        <v/>
      </c>
      <c r="C68" s="22" t="str">
        <f t="shared" ca="1" si="5"/>
        <v/>
      </c>
      <c r="D68" s="47" t="str">
        <f t="shared" ca="1" si="9"/>
        <v/>
      </c>
      <c r="E68" s="50" t="str">
        <f t="shared" ca="1" si="10"/>
        <v/>
      </c>
      <c r="F68" s="51" t="str">
        <f t="shared" ca="1" si="18"/>
        <v/>
      </c>
      <c r="G68" s="51" t="str">
        <f t="shared" ca="1" si="18"/>
        <v/>
      </c>
      <c r="I68" s="111">
        <f ca="1">IFERROR((1-(1+$D$10)^-($D$5-$C68))/$D$10,0)</f>
        <v>0</v>
      </c>
      <c r="J68" s="48" t="str">
        <f ca="1">IF($C68="","",
D68*($D$5-$D$9)*((1+F68)/(1+G68))^($D$5-$D$9)/$H$14)</f>
        <v/>
      </c>
      <c r="K68" s="52">
        <f t="shared" ca="1" si="13"/>
        <v>0</v>
      </c>
      <c r="L68" s="49">
        <f t="shared" ca="1" si="6"/>
        <v>0</v>
      </c>
      <c r="M68" s="52">
        <f t="shared" ca="1" si="16"/>
        <v>0</v>
      </c>
      <c r="N68" s="53">
        <f ca="1">M68*Assumptions!$B$18</f>
        <v>0</v>
      </c>
      <c r="P68" s="77" t="str">
        <f t="shared" ca="1" si="14"/>
        <v/>
      </c>
      <c r="Q68" s="56" t="str">
        <f t="shared" ca="1" si="15"/>
        <v/>
      </c>
      <c r="S68" s="12" t="str">
        <f ca="1">IFERROR(J68/PUC_Projection!H68,"")</f>
        <v/>
      </c>
      <c r="T68" s="12" t="str">
        <f ca="1">IF($C68="","",($D$5-$D$9)/$H$14*(1+$D$10)^-(C68-$D$9+1))</f>
        <v/>
      </c>
      <c r="U68" s="17" t="str">
        <f ca="1">IFERROR(S68-T68,"")</f>
        <v/>
      </c>
    </row>
    <row r="69" spans="2:21" x14ac:dyDescent="0.25">
      <c r="B69" s="46" t="str">
        <f t="shared" ca="1" si="8"/>
        <v/>
      </c>
      <c r="C69" s="22" t="str">
        <f t="shared" ca="1" si="5"/>
        <v/>
      </c>
      <c r="D69" s="47" t="str">
        <f t="shared" ca="1" si="9"/>
        <v/>
      </c>
      <c r="E69" s="50" t="str">
        <f t="shared" ca="1" si="10"/>
        <v/>
      </c>
      <c r="F69" s="51" t="str">
        <f t="shared" ca="1" si="18"/>
        <v/>
      </c>
      <c r="G69" s="51" t="str">
        <f t="shared" ca="1" si="18"/>
        <v/>
      </c>
      <c r="I69" s="111">
        <f ca="1">IFERROR((1-(1+$D$10)^-($D$5-$C69))/$D$10,0)</f>
        <v>0</v>
      </c>
      <c r="J69" s="48" t="str">
        <f ca="1">IF($C69="","",
D69*($D$5-$D$9)*((1+F69)/(1+G69))^($D$5-$D$9)/$H$14)</f>
        <v/>
      </c>
      <c r="K69" s="52">
        <f t="shared" ca="1" si="13"/>
        <v>0</v>
      </c>
      <c r="L69" s="49">
        <f t="shared" ca="1" si="6"/>
        <v>0</v>
      </c>
      <c r="M69" s="52">
        <f t="shared" ca="1" si="16"/>
        <v>0</v>
      </c>
      <c r="N69" s="53">
        <f ca="1">M69*Assumptions!$B$18</f>
        <v>0</v>
      </c>
      <c r="P69" s="77" t="str">
        <f t="shared" ca="1" si="14"/>
        <v/>
      </c>
      <c r="Q69" s="56" t="str">
        <f t="shared" ca="1" si="15"/>
        <v/>
      </c>
      <c r="S69" s="12" t="str">
        <f ca="1">IFERROR(J69/PUC_Projection!H69,"")</f>
        <v/>
      </c>
      <c r="T69" s="12" t="str">
        <f ca="1">IF($C69="","",($D$5-$D$9)/$H$14*(1+$D$10)^-(C69-$D$9+1))</f>
        <v/>
      </c>
      <c r="U69" s="17" t="str">
        <f ca="1">IFERROR(S69-T69,"")</f>
        <v/>
      </c>
    </row>
    <row r="70" spans="2:21" x14ac:dyDescent="0.25">
      <c r="B70" s="46" t="str">
        <f t="shared" ca="1" si="8"/>
        <v/>
      </c>
      <c r="C70" s="22" t="str">
        <f t="shared" ca="1" si="5"/>
        <v/>
      </c>
      <c r="D70" s="47" t="str">
        <f t="shared" ca="1" si="9"/>
        <v/>
      </c>
      <c r="E70" s="50" t="str">
        <f t="shared" ca="1" si="10"/>
        <v/>
      </c>
      <c r="F70" s="51" t="str">
        <f t="shared" ca="1" si="18"/>
        <v/>
      </c>
      <c r="G70" s="51" t="str">
        <f t="shared" ca="1" si="18"/>
        <v/>
      </c>
      <c r="I70" s="111">
        <f ca="1">IFERROR((1-(1+$D$10)^-($D$5-$C70))/$D$10,0)</f>
        <v>0</v>
      </c>
      <c r="J70" s="48" t="str">
        <f ca="1">IF($C70="","",
D70*($D$5-$D$9)*((1+F70)/(1+G70))^($D$5-$D$9)/$H$14)</f>
        <v/>
      </c>
      <c r="K70" s="52">
        <f t="shared" ca="1" si="13"/>
        <v>0</v>
      </c>
      <c r="L70" s="49">
        <f t="shared" ca="1" si="6"/>
        <v>0</v>
      </c>
      <c r="M70" s="52">
        <f t="shared" ca="1" si="16"/>
        <v>0</v>
      </c>
      <c r="N70" s="53">
        <f ca="1">M70*Assumptions!$B$18</f>
        <v>0</v>
      </c>
      <c r="P70" s="77" t="str">
        <f t="shared" ca="1" si="14"/>
        <v/>
      </c>
      <c r="Q70" s="56" t="str">
        <f t="shared" ca="1" si="15"/>
        <v/>
      </c>
      <c r="S70" s="12" t="str">
        <f ca="1">IFERROR(J70/PUC_Projection!H70,"")</f>
        <v/>
      </c>
      <c r="T70" s="12" t="str">
        <f ca="1">IF($C70="","",($D$5-$D$9)/$H$14*(1+$D$10)^-(C70-$D$9+1))</f>
        <v/>
      </c>
      <c r="U70" s="17" t="str">
        <f ca="1">IFERROR(S70-T70,"")</f>
        <v/>
      </c>
    </row>
    <row r="71" spans="2:21" x14ac:dyDescent="0.25">
      <c r="B71" s="46" t="str">
        <f t="shared" ca="1" si="8"/>
        <v/>
      </c>
      <c r="C71" s="22" t="str">
        <f t="shared" ca="1" si="5"/>
        <v/>
      </c>
      <c r="D71" s="47" t="str">
        <f t="shared" ca="1" si="9"/>
        <v/>
      </c>
      <c r="E71" s="50" t="str">
        <f t="shared" ca="1" si="10"/>
        <v/>
      </c>
      <c r="F71" s="51" t="str">
        <f t="shared" ca="1" si="18"/>
        <v/>
      </c>
      <c r="G71" s="51" t="str">
        <f t="shared" ca="1" si="18"/>
        <v/>
      </c>
      <c r="I71" s="111">
        <f ca="1">IFERROR((1-(1+$D$10)^-($D$5-$C71))/$D$10,0)</f>
        <v>0</v>
      </c>
      <c r="J71" s="48" t="str">
        <f ca="1">IF($C71="","",
D71*($D$5-$D$9)*((1+F71)/(1+G71))^($D$5-$D$9)/$H$14)</f>
        <v/>
      </c>
      <c r="K71" s="52">
        <f t="shared" ca="1" si="13"/>
        <v>0</v>
      </c>
      <c r="L71" s="49">
        <f t="shared" ca="1" si="6"/>
        <v>0</v>
      </c>
      <c r="M71" s="52">
        <f t="shared" ca="1" si="16"/>
        <v>0</v>
      </c>
      <c r="N71" s="53">
        <f ca="1">M71*Assumptions!$B$18</f>
        <v>0</v>
      </c>
      <c r="P71" s="77" t="str">
        <f t="shared" ca="1" si="14"/>
        <v/>
      </c>
      <c r="Q71" s="56" t="str">
        <f t="shared" ca="1" si="15"/>
        <v/>
      </c>
      <c r="S71" s="12" t="str">
        <f ca="1">IFERROR(J71/PUC_Projection!H71,"")</f>
        <v/>
      </c>
      <c r="T71" s="12" t="str">
        <f ca="1">IF($C71="","",($D$5-$D$9)/$H$14*(1+$D$10)^-(C71-$D$9+1))</f>
        <v/>
      </c>
      <c r="U71" s="17" t="str">
        <f ca="1">IFERROR(S71-T71,"")</f>
        <v/>
      </c>
    </row>
    <row r="72" spans="2:21" x14ac:dyDescent="0.25">
      <c r="B72" s="46" t="str">
        <f t="shared" ca="1" si="8"/>
        <v/>
      </c>
      <c r="C72" s="22" t="str">
        <f t="shared" ca="1" si="5"/>
        <v/>
      </c>
      <c r="D72" s="47" t="str">
        <f t="shared" ca="1" si="9"/>
        <v/>
      </c>
      <c r="E72" s="50" t="str">
        <f t="shared" ca="1" si="10"/>
        <v/>
      </c>
      <c r="F72" s="51" t="str">
        <f t="shared" ca="1" si="18"/>
        <v/>
      </c>
      <c r="G72" s="51" t="str">
        <f t="shared" ca="1" si="18"/>
        <v/>
      </c>
      <c r="I72" s="111">
        <f ca="1">IFERROR((1-(1+$D$10)^-($D$5-$C72))/$D$10,0)</f>
        <v>0</v>
      </c>
      <c r="J72" s="48" t="str">
        <f ca="1">IF($C72="","",
D72*($D$5-$D$9)*((1+F72)/(1+G72))^($D$5-$D$9)/$H$14)</f>
        <v/>
      </c>
      <c r="K72" s="52">
        <f t="shared" ca="1" si="13"/>
        <v>0</v>
      </c>
      <c r="L72" s="49">
        <f t="shared" ca="1" si="6"/>
        <v>0</v>
      </c>
      <c r="M72" s="52">
        <f t="shared" ca="1" si="16"/>
        <v>0</v>
      </c>
      <c r="N72" s="53">
        <f ca="1">M72*Assumptions!$B$18</f>
        <v>0</v>
      </c>
      <c r="P72" s="77" t="str">
        <f t="shared" ca="1" si="14"/>
        <v/>
      </c>
      <c r="Q72" s="56" t="str">
        <f t="shared" ca="1" si="15"/>
        <v/>
      </c>
      <c r="S72" s="12" t="str">
        <f ca="1">IFERROR(J72/PUC_Projection!H72,"")</f>
        <v/>
      </c>
      <c r="T72" s="12" t="str">
        <f ca="1">IF($C72="","",($D$5-$D$9)/$H$14*(1+$D$10)^-(C72-$D$9+1))</f>
        <v/>
      </c>
      <c r="U72" s="17" t="str">
        <f ca="1">IFERROR(S72-T72,"")</f>
        <v/>
      </c>
    </row>
    <row r="73" spans="2:21" x14ac:dyDescent="0.25">
      <c r="B73" s="46" t="str">
        <f t="shared" ca="1" si="8"/>
        <v/>
      </c>
      <c r="C73" s="22" t="str">
        <f t="shared" ca="1" si="5"/>
        <v/>
      </c>
      <c r="D73" s="47" t="str">
        <f t="shared" ca="1" si="9"/>
        <v/>
      </c>
      <c r="E73" s="50" t="str">
        <f t="shared" ca="1" si="10"/>
        <v/>
      </c>
      <c r="F73" s="51" t="str">
        <f t="shared" ca="1" si="18"/>
        <v/>
      </c>
      <c r="G73" s="51" t="str">
        <f t="shared" ca="1" si="18"/>
        <v/>
      </c>
      <c r="I73" s="111">
        <f ca="1">IFERROR((1-(1+$D$10)^-($D$5-$C73))/$D$10,0)</f>
        <v>0</v>
      </c>
      <c r="J73" s="48" t="str">
        <f ca="1">IF($C73="","",
D73*($D$5-$D$9)*((1+F73)/(1+G73))^($D$5-$D$9)/$H$14)</f>
        <v/>
      </c>
      <c r="K73" s="52">
        <f t="shared" ca="1" si="13"/>
        <v>0</v>
      </c>
      <c r="L73" s="49">
        <f t="shared" ca="1" si="6"/>
        <v>0</v>
      </c>
      <c r="M73" s="52">
        <f t="shared" ca="1" si="16"/>
        <v>0</v>
      </c>
      <c r="N73" s="53">
        <f ca="1">M73*Assumptions!$B$18</f>
        <v>0</v>
      </c>
      <c r="P73" s="77" t="str">
        <f t="shared" ca="1" si="14"/>
        <v/>
      </c>
      <c r="Q73" s="56" t="str">
        <f t="shared" ca="1" si="15"/>
        <v/>
      </c>
      <c r="S73" s="12" t="str">
        <f ca="1">IFERROR(J73/PUC_Projection!H73,"")</f>
        <v/>
      </c>
      <c r="T73" s="12" t="str">
        <f ca="1">IF($C73="","",($D$5-$D$9)/$H$14*(1+$D$10)^-(C73-$D$9+1))</f>
        <v/>
      </c>
      <c r="U73" s="17" t="str">
        <f ca="1">IFERROR(S73-T73,"")</f>
        <v/>
      </c>
    </row>
    <row r="74" spans="2:21" x14ac:dyDescent="0.25">
      <c r="B74" s="46" t="str">
        <f t="shared" ca="1" si="8"/>
        <v/>
      </c>
      <c r="C74" s="22" t="str">
        <f t="shared" ca="1" si="5"/>
        <v/>
      </c>
      <c r="D74" s="47" t="str">
        <f t="shared" ca="1" si="9"/>
        <v/>
      </c>
      <c r="E74" s="50" t="str">
        <f t="shared" ca="1" si="10"/>
        <v/>
      </c>
      <c r="F74" s="51" t="str">
        <f t="shared" ca="1" si="18"/>
        <v/>
      </c>
      <c r="G74" s="51" t="str">
        <f t="shared" ca="1" si="18"/>
        <v/>
      </c>
      <c r="I74" s="111">
        <f ca="1">IFERROR((1-(1+$D$10)^-($D$5-$C74))/$D$10,0)</f>
        <v>0</v>
      </c>
      <c r="J74" s="48" t="str">
        <f ca="1">IF($C74="","",
D74*($D$5-$D$9)*((1+F74)/(1+G74))^($D$5-$D$9)/$H$14)</f>
        <v/>
      </c>
      <c r="K74" s="52">
        <f t="shared" ca="1" si="13"/>
        <v>0</v>
      </c>
      <c r="L74" s="49">
        <f t="shared" ca="1" si="6"/>
        <v>0</v>
      </c>
      <c r="M74" s="52">
        <f t="shared" ca="1" si="16"/>
        <v>0</v>
      </c>
      <c r="N74" s="53">
        <f ca="1">M74*Assumptions!$B$18</f>
        <v>0</v>
      </c>
      <c r="P74" s="77" t="str">
        <f t="shared" ca="1" si="14"/>
        <v/>
      </c>
      <c r="Q74" s="56" t="str">
        <f t="shared" ca="1" si="15"/>
        <v/>
      </c>
      <c r="S74" s="12" t="str">
        <f ca="1">IFERROR(J74/PUC_Projection!H74,"")</f>
        <v/>
      </c>
      <c r="T74" s="12" t="str">
        <f ca="1">IF($C74="","",($D$5-$D$9)/$H$14*(1+$D$10)^-(C74-$D$9+1))</f>
        <v/>
      </c>
      <c r="U74" s="17" t="str">
        <f ca="1">IFERROR(S74-T74,"")</f>
        <v/>
      </c>
    </row>
    <row r="75" spans="2:21" x14ac:dyDescent="0.25">
      <c r="B75" s="46" t="str">
        <f t="shared" ca="1" si="8"/>
        <v/>
      </c>
      <c r="C75" s="22" t="str">
        <f t="shared" ca="1" si="5"/>
        <v/>
      </c>
      <c r="D75" s="47" t="str">
        <f t="shared" ca="1" si="9"/>
        <v/>
      </c>
      <c r="E75" s="50" t="str">
        <f t="shared" ca="1" si="10"/>
        <v/>
      </c>
      <c r="F75" s="51" t="str">
        <f t="shared" ca="1" si="18"/>
        <v/>
      </c>
      <c r="G75" s="51" t="str">
        <f t="shared" ca="1" si="18"/>
        <v/>
      </c>
      <c r="I75" s="111">
        <f ca="1">IFERROR((1-(1+$D$10)^-($D$5-$C75))/$D$10,0)</f>
        <v>0</v>
      </c>
      <c r="J75" s="48" t="str">
        <f ca="1">IF($C75="","",
D75*($D$5-$D$9)*((1+F75)/(1+G75))^($D$5-$D$9)/$H$14)</f>
        <v/>
      </c>
      <c r="K75" s="52">
        <f t="shared" ca="1" si="13"/>
        <v>0</v>
      </c>
      <c r="L75" s="49">
        <f t="shared" ca="1" si="6"/>
        <v>0</v>
      </c>
      <c r="M75" s="52">
        <f t="shared" ca="1" si="16"/>
        <v>0</v>
      </c>
      <c r="N75" s="53">
        <f ca="1">M75*Assumptions!$B$18</f>
        <v>0</v>
      </c>
      <c r="P75" s="77" t="str">
        <f t="shared" ca="1" si="14"/>
        <v/>
      </c>
      <c r="Q75" s="56" t="str">
        <f t="shared" ca="1" si="15"/>
        <v/>
      </c>
      <c r="S75" s="12" t="str">
        <f ca="1">IFERROR(J75/PUC_Projection!H75,"")</f>
        <v/>
      </c>
      <c r="T75" s="12" t="str">
        <f ca="1">IF($C75="","",($D$5-$D$9)/$H$14*(1+$D$10)^-(C75-$D$9+1))</f>
        <v/>
      </c>
      <c r="U75" s="17" t="str">
        <f ca="1">IFERROR(S75-T75,"")</f>
        <v/>
      </c>
    </row>
    <row r="76" spans="2:21" x14ac:dyDescent="0.25">
      <c r="B76" s="46" t="str">
        <f t="shared" ca="1" si="8"/>
        <v/>
      </c>
      <c r="C76" s="22" t="str">
        <f t="shared" ca="1" si="5"/>
        <v/>
      </c>
      <c r="D76" s="47" t="str">
        <f t="shared" ca="1" si="9"/>
        <v/>
      </c>
      <c r="E76" s="50" t="str">
        <f t="shared" ca="1" si="10"/>
        <v/>
      </c>
      <c r="F76" s="51" t="str">
        <f t="shared" ca="1" si="18"/>
        <v/>
      </c>
      <c r="G76" s="51" t="str">
        <f t="shared" ca="1" si="18"/>
        <v/>
      </c>
      <c r="I76" s="111">
        <f ca="1">IFERROR((1-(1+$D$10)^-($D$5-$C76))/$D$10,0)</f>
        <v>0</v>
      </c>
      <c r="J76" s="48" t="str">
        <f ca="1">IF($C76="","",
D76*($D$5-$D$9)*((1+F76)/(1+G76))^($D$5-$D$9)/$H$14)</f>
        <v/>
      </c>
      <c r="K76" s="52">
        <f t="shared" ca="1" si="13"/>
        <v>0</v>
      </c>
      <c r="L76" s="49">
        <f t="shared" ca="1" si="6"/>
        <v>0</v>
      </c>
      <c r="M76" s="52">
        <f t="shared" ca="1" si="16"/>
        <v>0</v>
      </c>
      <c r="N76" s="53">
        <f ca="1">M76*Assumptions!$B$18</f>
        <v>0</v>
      </c>
      <c r="P76" s="77" t="str">
        <f t="shared" ca="1" si="14"/>
        <v/>
      </c>
      <c r="Q76" s="56" t="str">
        <f t="shared" ca="1" si="15"/>
        <v/>
      </c>
      <c r="S76" s="12" t="str">
        <f ca="1">IFERROR(J76/PUC_Projection!H76,"")</f>
        <v/>
      </c>
      <c r="T76" s="12" t="str">
        <f ca="1">IF($C76="","",($D$5-$D$9)/$H$14*(1+$D$10)^-(C76-$D$9+1))</f>
        <v/>
      </c>
      <c r="U76" s="17" t="str">
        <f ca="1">IFERROR(S76-T76,"")</f>
        <v/>
      </c>
    </row>
    <row r="77" spans="2:21" x14ac:dyDescent="0.25">
      <c r="B77" s="46" t="str">
        <f t="shared" ca="1" si="8"/>
        <v/>
      </c>
      <c r="C77" s="22" t="str">
        <f t="shared" ca="1" si="5"/>
        <v/>
      </c>
      <c r="D77" s="47" t="str">
        <f t="shared" ca="1" si="9"/>
        <v/>
      </c>
      <c r="E77" s="50" t="str">
        <f t="shared" ca="1" si="10"/>
        <v/>
      </c>
      <c r="F77" s="51" t="str">
        <f t="shared" ca="1" si="18"/>
        <v/>
      </c>
      <c r="G77" s="51" t="str">
        <f t="shared" ca="1" si="18"/>
        <v/>
      </c>
      <c r="I77" s="111">
        <f ca="1">IFERROR((1-(1+$D$10)^-($D$5-$C77))/$D$10,0)</f>
        <v>0</v>
      </c>
      <c r="J77" s="48" t="str">
        <f ca="1">IF($C77="","",
D77*($D$5-$D$9)*((1+F77)/(1+G77))^($D$5-$D$9)/$H$14)</f>
        <v/>
      </c>
      <c r="K77" s="52">
        <f t="shared" ca="1" si="13"/>
        <v>0</v>
      </c>
      <c r="L77" s="49">
        <f t="shared" ca="1" si="6"/>
        <v>0</v>
      </c>
      <c r="M77" s="52">
        <f t="shared" ca="1" si="16"/>
        <v>0</v>
      </c>
      <c r="N77" s="53">
        <f ca="1">M77*Assumptions!$B$18</f>
        <v>0</v>
      </c>
      <c r="P77" s="77" t="str">
        <f t="shared" ca="1" si="14"/>
        <v/>
      </c>
      <c r="Q77" s="56" t="str">
        <f t="shared" ca="1" si="15"/>
        <v/>
      </c>
      <c r="S77" s="12" t="str">
        <f ca="1">IFERROR(J77/PUC_Projection!H77,"")</f>
        <v/>
      </c>
      <c r="T77" s="12" t="str">
        <f ca="1">IF($C77="","",($D$5-$D$9)/$H$14*(1+$D$10)^-(C77-$D$9+1))</f>
        <v/>
      </c>
      <c r="U77" s="17" t="str">
        <f ca="1">IFERROR(S77-T77,"")</f>
        <v/>
      </c>
    </row>
    <row r="78" spans="2:21" x14ac:dyDescent="0.25">
      <c r="B78" s="46" t="str">
        <f t="shared" ca="1" si="8"/>
        <v/>
      </c>
      <c r="C78" s="22" t="str">
        <f t="shared" ca="1" si="5"/>
        <v/>
      </c>
      <c r="D78" s="47" t="str">
        <f t="shared" ca="1" si="9"/>
        <v/>
      </c>
      <c r="E78" s="50" t="str">
        <f t="shared" ca="1" si="10"/>
        <v/>
      </c>
      <c r="F78" s="51" t="str">
        <f t="shared" ca="1" si="18"/>
        <v/>
      </c>
      <c r="G78" s="51" t="str">
        <f t="shared" ca="1" si="18"/>
        <v/>
      </c>
      <c r="I78" s="111">
        <f ca="1">IFERROR((1-(1+$D$10)^-($D$5-$C78))/$D$10,0)</f>
        <v>0</v>
      </c>
      <c r="J78" s="48" t="str">
        <f ca="1">IF($C78="","",
D78*($D$5-$D$9)*((1+F78)/(1+G78))^($D$5-$D$9)/$H$14)</f>
        <v/>
      </c>
      <c r="K78" s="52">
        <f t="shared" ref="K78:K84" ca="1" si="19">IF($C79="",0,
J78*E78*(1+F78))</f>
        <v>0</v>
      </c>
      <c r="L78" s="49">
        <f t="shared" ca="1" si="6"/>
        <v>0</v>
      </c>
      <c r="M78" s="52">
        <f t="shared" ca="1" si="16"/>
        <v>0</v>
      </c>
      <c r="N78" s="53">
        <f ca="1">M78*Assumptions!$B$18</f>
        <v>0</v>
      </c>
      <c r="P78" s="77" t="str">
        <f t="shared" ref="P78:P83" ca="1" si="20">IF($C79="","",L79-L78*(1+i))</f>
        <v/>
      </c>
      <c r="Q78" s="56" t="str">
        <f t="shared" ref="Q78:Q84" ca="1" si="21">IFERROR(P78-K78,"")</f>
        <v/>
      </c>
      <c r="S78" s="12" t="str">
        <f ca="1">IFERROR(J78/PUC_Projection!H78,"")</f>
        <v/>
      </c>
      <c r="T78" s="12" t="str">
        <f ca="1">IF($C78="","",($D$5-$D$9)/$H$14*(1+$D$10)^-(C78-$D$9+1))</f>
        <v/>
      </c>
      <c r="U78" s="17" t="str">
        <f ca="1">IFERROR(S78-T78,"")</f>
        <v/>
      </c>
    </row>
    <row r="79" spans="2:21" x14ac:dyDescent="0.25">
      <c r="B79" s="46" t="str">
        <f t="shared" ca="1" si="8"/>
        <v/>
      </c>
      <c r="C79" s="22" t="str">
        <f t="shared" ref="C79:C84" ca="1" si="22">IF(C78="","",IF($D$2="A",C78+1,IF(C78+1&gt;$D$5,"",C78+1)))</f>
        <v/>
      </c>
      <c r="D79" s="47" t="str">
        <f t="shared" ca="1" si="9"/>
        <v/>
      </c>
      <c r="E79" s="50" t="str">
        <f t="shared" ca="1" si="10"/>
        <v/>
      </c>
      <c r="F79" s="51" t="str">
        <f t="shared" ca="1" si="18"/>
        <v/>
      </c>
      <c r="G79" s="51" t="str">
        <f t="shared" ca="1" si="18"/>
        <v/>
      </c>
      <c r="I79" s="111">
        <f ca="1">IFERROR((1-(1+$D$10)^-($D$5-$C79))/$D$10,0)</f>
        <v>0</v>
      </c>
      <c r="J79" s="48" t="str">
        <f ca="1">IF($C79="","",
D79*($D$5-$D$9)*((1+F79)/(1+G79))^($D$5-$D$9)/$H$14)</f>
        <v/>
      </c>
      <c r="K79" s="52">
        <f t="shared" ca="1" si="19"/>
        <v>0</v>
      </c>
      <c r="L79" s="49">
        <f t="shared" ref="L79:L84" ca="1" si="23">IF($C79="",0,
D79*($D$5-$D$4)*E79*((1+F79)/(1+G79))^($D$5-C79)-J79*E79*I79)</f>
        <v>0</v>
      </c>
      <c r="M79" s="52">
        <f t="shared" ref="M79:M84" ca="1" si="24">IF($C79="",0,
M78*(1+i)+K79)</f>
        <v>0</v>
      </c>
      <c r="N79" s="53">
        <f ca="1">M79*Assumptions!$B$18</f>
        <v>0</v>
      </c>
      <c r="P79" s="77" t="str">
        <f t="shared" ca="1" si="20"/>
        <v/>
      </c>
      <c r="Q79" s="56" t="str">
        <f t="shared" ca="1" si="21"/>
        <v/>
      </c>
      <c r="S79" s="12" t="str">
        <f ca="1">IFERROR(J79/PUC_Projection!H79,"")</f>
        <v/>
      </c>
      <c r="T79" s="12" t="str">
        <f ca="1">IF($C79="","",($D$5-$D$9)/$H$14*(1+$D$10)^-(C79-$D$9+1))</f>
        <v/>
      </c>
      <c r="U79" s="17" t="str">
        <f ca="1">IFERROR(S79-T79,"")</f>
        <v/>
      </c>
    </row>
    <row r="80" spans="2:21" x14ac:dyDescent="0.25">
      <c r="B80" s="46" t="str">
        <f t="shared" ref="B80:B84" ca="1" si="25">IF($C80="","",B79+1)</f>
        <v/>
      </c>
      <c r="C80" s="22" t="str">
        <f t="shared" ca="1" si="22"/>
        <v/>
      </c>
      <c r="D80" s="47" t="str">
        <f t="shared" ref="D80:D84" ca="1" si="26">IF($C80="","",D79)</f>
        <v/>
      </c>
      <c r="E80" s="50" t="str">
        <f t="shared" ref="E80:E84" ca="1" si="27">IF($C80="","",E79*(1+F79))</f>
        <v/>
      </c>
      <c r="F80" s="51" t="str">
        <f t="shared" ref="F80:G84" ca="1" si="28">IF($C80="","",F79)</f>
        <v/>
      </c>
      <c r="G80" s="51" t="str">
        <f t="shared" ca="1" si="28"/>
        <v/>
      </c>
      <c r="I80" s="111">
        <f ca="1">IFERROR((1-(1+$D$10)^-($D$5-$C80))/$D$10,0)</f>
        <v>0</v>
      </c>
      <c r="J80" s="48" t="str">
        <f ca="1">IF($C80="","",
D80*($D$5-$D$9)*((1+F80)/(1+G80))^($D$5-$D$9)/$H$14)</f>
        <v/>
      </c>
      <c r="K80" s="52">
        <f t="shared" ca="1" si="19"/>
        <v>0</v>
      </c>
      <c r="L80" s="49">
        <f t="shared" ca="1" si="23"/>
        <v>0</v>
      </c>
      <c r="M80" s="52">
        <f t="shared" ca="1" si="24"/>
        <v>0</v>
      </c>
      <c r="N80" s="53">
        <f ca="1">M80*Assumptions!$B$18</f>
        <v>0</v>
      </c>
      <c r="P80" s="77" t="str">
        <f t="shared" ca="1" si="20"/>
        <v/>
      </c>
      <c r="Q80" s="56" t="str">
        <f t="shared" ca="1" si="21"/>
        <v/>
      </c>
      <c r="S80" s="12" t="str">
        <f ca="1">IFERROR(J80/PUC_Projection!H80,"")</f>
        <v/>
      </c>
      <c r="T80" s="12" t="str">
        <f ca="1">IF($C80="","",($D$5-$D$9)/$H$14*(1+$D$10)^-(C80-$D$9+1))</f>
        <v/>
      </c>
      <c r="U80" s="17" t="str">
        <f ca="1">IFERROR(S80-T80,"")</f>
        <v/>
      </c>
    </row>
    <row r="81" spans="2:21" x14ac:dyDescent="0.25">
      <c r="B81" s="46" t="str">
        <f t="shared" ca="1" si="25"/>
        <v/>
      </c>
      <c r="C81" s="22" t="str">
        <f t="shared" ca="1" si="22"/>
        <v/>
      </c>
      <c r="D81" s="47" t="str">
        <f t="shared" ca="1" si="26"/>
        <v/>
      </c>
      <c r="E81" s="50" t="str">
        <f t="shared" ca="1" si="27"/>
        <v/>
      </c>
      <c r="F81" s="51" t="str">
        <f t="shared" ca="1" si="28"/>
        <v/>
      </c>
      <c r="G81" s="51" t="str">
        <f t="shared" ca="1" si="28"/>
        <v/>
      </c>
      <c r="I81" s="111">
        <f ca="1">IFERROR((1-(1+$D$10)^-($D$5-$C81))/$D$10,0)</f>
        <v>0</v>
      </c>
      <c r="J81" s="48" t="str">
        <f ca="1">IF($C81="","",
D81*($D$5-$D$9)*((1+F81)/(1+G81))^($D$5-$D$9)/$H$14)</f>
        <v/>
      </c>
      <c r="K81" s="52">
        <f t="shared" ca="1" si="19"/>
        <v>0</v>
      </c>
      <c r="L81" s="49">
        <f t="shared" ca="1" si="23"/>
        <v>0</v>
      </c>
      <c r="M81" s="52">
        <f t="shared" ca="1" si="24"/>
        <v>0</v>
      </c>
      <c r="N81" s="53">
        <f ca="1">M81*Assumptions!$B$18</f>
        <v>0</v>
      </c>
      <c r="P81" s="77" t="str">
        <f t="shared" ca="1" si="20"/>
        <v/>
      </c>
      <c r="Q81" s="56" t="str">
        <f t="shared" ca="1" si="21"/>
        <v/>
      </c>
      <c r="S81" s="12" t="str">
        <f ca="1">IFERROR(J81/PUC_Projection!H81,"")</f>
        <v/>
      </c>
      <c r="T81" s="12" t="str">
        <f ca="1">IF($C81="","",($D$5-$D$9)/$H$14*(1+$D$10)^-(C81-$D$9+1))</f>
        <v/>
      </c>
      <c r="U81" s="17" t="str">
        <f ca="1">IFERROR(S81-T81,"")</f>
        <v/>
      </c>
    </row>
    <row r="82" spans="2:21" x14ac:dyDescent="0.25">
      <c r="B82" s="46" t="str">
        <f t="shared" ca="1" si="25"/>
        <v/>
      </c>
      <c r="C82" s="22" t="str">
        <f t="shared" ca="1" si="22"/>
        <v/>
      </c>
      <c r="D82" s="47" t="str">
        <f t="shared" ca="1" si="26"/>
        <v/>
      </c>
      <c r="E82" s="50" t="str">
        <f t="shared" ca="1" si="27"/>
        <v/>
      </c>
      <c r="F82" s="51" t="str">
        <f t="shared" ca="1" si="28"/>
        <v/>
      </c>
      <c r="G82" s="51" t="str">
        <f t="shared" ca="1" si="28"/>
        <v/>
      </c>
      <c r="I82" s="111">
        <f ca="1">IFERROR((1-(1+$D$10)^-($D$5-$C82))/$D$10,0)</f>
        <v>0</v>
      </c>
      <c r="J82" s="48" t="str">
        <f ca="1">IF($C82="","",
D82*($D$5-$D$9)*((1+F82)/(1+G82))^($D$5-$D$9)/$H$14)</f>
        <v/>
      </c>
      <c r="K82" s="52">
        <f t="shared" ca="1" si="19"/>
        <v>0</v>
      </c>
      <c r="L82" s="49">
        <f t="shared" ca="1" si="23"/>
        <v>0</v>
      </c>
      <c r="M82" s="52">
        <f t="shared" ca="1" si="24"/>
        <v>0</v>
      </c>
      <c r="N82" s="53">
        <f ca="1">M82*Assumptions!$B$18</f>
        <v>0</v>
      </c>
      <c r="P82" s="77" t="str">
        <f t="shared" ca="1" si="20"/>
        <v/>
      </c>
      <c r="Q82" s="56" t="str">
        <f t="shared" ca="1" si="21"/>
        <v/>
      </c>
      <c r="S82" s="12" t="str">
        <f ca="1">IFERROR(J82/PUC_Projection!H82,"")</f>
        <v/>
      </c>
      <c r="T82" s="12" t="str">
        <f ca="1">IF($C82="","",($D$5-$D$9)/$H$14*(1+$D$10)^-(C82-$D$9+1))</f>
        <v/>
      </c>
      <c r="U82" s="17" t="str">
        <f ca="1">IFERROR(S82-T82,"")</f>
        <v/>
      </c>
    </row>
    <row r="83" spans="2:21" x14ac:dyDescent="0.25">
      <c r="B83" s="46" t="str">
        <f t="shared" ca="1" si="25"/>
        <v/>
      </c>
      <c r="C83" s="22" t="str">
        <f t="shared" ca="1" si="22"/>
        <v/>
      </c>
      <c r="D83" s="47" t="str">
        <f t="shared" ca="1" si="26"/>
        <v/>
      </c>
      <c r="E83" s="50" t="str">
        <f t="shared" ca="1" si="27"/>
        <v/>
      </c>
      <c r="F83" s="51" t="str">
        <f t="shared" ca="1" si="28"/>
        <v/>
      </c>
      <c r="G83" s="51" t="str">
        <f t="shared" ca="1" si="28"/>
        <v/>
      </c>
      <c r="I83" s="111">
        <f ca="1">IFERROR((1-(1+$D$10)^-($D$5-$C83))/$D$10,0)</f>
        <v>0</v>
      </c>
      <c r="J83" s="48" t="str">
        <f ca="1">IF($C83="","",
D83*($D$5-$D$9)*((1+F83)/(1+G83))^($D$5-$D$9)/$H$14)</f>
        <v/>
      </c>
      <c r="K83" s="52">
        <f t="shared" ca="1" si="19"/>
        <v>0</v>
      </c>
      <c r="L83" s="49">
        <f t="shared" ca="1" si="23"/>
        <v>0</v>
      </c>
      <c r="M83" s="52">
        <f t="shared" ca="1" si="24"/>
        <v>0</v>
      </c>
      <c r="N83" s="53">
        <f ca="1">M83*Assumptions!$B$18</f>
        <v>0</v>
      </c>
      <c r="P83" s="77" t="str">
        <f t="shared" ca="1" si="20"/>
        <v/>
      </c>
      <c r="Q83" s="56" t="str">
        <f t="shared" ca="1" si="21"/>
        <v/>
      </c>
      <c r="S83" s="12" t="str">
        <f ca="1">IFERROR(J83/PUC_Projection!H83,"")</f>
        <v/>
      </c>
      <c r="T83" s="12" t="str">
        <f ca="1">IF($C83="","",($D$5-$D$9)/$H$14*(1+$D$10)^-(C83-$D$9+1))</f>
        <v/>
      </c>
      <c r="U83" s="17" t="str">
        <f ca="1">IFERROR(S83-T83,"")</f>
        <v/>
      </c>
    </row>
    <row r="84" spans="2:21" x14ac:dyDescent="0.25">
      <c r="B84" s="46" t="str">
        <f t="shared" ca="1" si="25"/>
        <v/>
      </c>
      <c r="C84" s="22" t="str">
        <f t="shared" ca="1" si="22"/>
        <v/>
      </c>
      <c r="D84" s="47" t="str">
        <f t="shared" ca="1" si="26"/>
        <v/>
      </c>
      <c r="E84" s="50" t="str">
        <f t="shared" ca="1" si="27"/>
        <v/>
      </c>
      <c r="F84" s="51" t="str">
        <f t="shared" ca="1" si="28"/>
        <v/>
      </c>
      <c r="G84" s="51" t="str">
        <f t="shared" ca="1" si="28"/>
        <v/>
      </c>
      <c r="I84" s="111">
        <f ca="1">IFERROR((1-(1+$D$10)^-($D$5-$C84))/$D$10,0)</f>
        <v>0</v>
      </c>
      <c r="J84" s="48" t="str">
        <f ca="1">IF($C84="","",
D84*($D$5-$D$9)*((1+F84)/(1+G84))^($D$5-$D$9)/$H$14)</f>
        <v/>
      </c>
      <c r="K84" s="52">
        <f t="shared" si="19"/>
        <v>0</v>
      </c>
      <c r="L84" s="49">
        <f t="shared" ca="1" si="23"/>
        <v>0</v>
      </c>
      <c r="M84" s="52">
        <f t="shared" ca="1" si="24"/>
        <v>0</v>
      </c>
      <c r="N84" s="53">
        <f ca="1">M84*Assumptions!$B$18</f>
        <v>0</v>
      </c>
      <c r="P84" s="77" t="str">
        <f>IF($C85="","",J85-L84*(1+i))</f>
        <v/>
      </c>
      <c r="Q84" s="56" t="str">
        <f t="shared" si="21"/>
        <v/>
      </c>
      <c r="S84" s="12" t="str">
        <f ca="1">IFERROR(J84/PUC_Projection!H84,"")</f>
        <v/>
      </c>
      <c r="T84" s="12" t="str">
        <f ca="1">IF($C84="","",($D$5-$D$9)/$H$14*(1+$D$10)^-(C84-$D$9+1))</f>
        <v/>
      </c>
      <c r="U84" s="17" t="str">
        <f ca="1">IFERROR(S84-T84,"")</f>
        <v/>
      </c>
    </row>
  </sheetData>
  <conditionalFormatting sqref="Q13">
    <cfRule type="cellIs" dxfId="7" priority="7" operator="equal">
      <formula>"Pass"</formula>
    </cfRule>
    <cfRule type="cellIs" dxfId="6" priority="8" operator="equal">
      <formula>"Check!"</formula>
    </cfRule>
  </conditionalFormatting>
  <conditionalFormatting sqref="U13">
    <cfRule type="cellIs" dxfId="5" priority="5" operator="equal">
      <formula>"Pass"</formula>
    </cfRule>
    <cfRule type="cellIs" dxfId="4" priority="6" operator="equal">
      <formula>"Check!"</formula>
    </cfRule>
  </conditionalFormatting>
  <conditionalFormatting sqref="H7">
    <cfRule type="cellIs" dxfId="3" priority="3" operator="equal">
      <formula>"Pass"</formula>
    </cfRule>
    <cfRule type="cellIs" dxfId="2" priority="4" operator="equal">
      <formula>"Check!"</formula>
    </cfRule>
  </conditionalFormatting>
  <conditionalFormatting sqref="I7:Q7">
    <cfRule type="cellIs" dxfId="1" priority="1" operator="equal">
      <formula>"Pass"</formula>
    </cfRule>
    <cfRule type="cellIs" dxfId="0" priority="2" operator="equal">
      <formula>"Check!"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 tint="0.59999389629810485"/>
  </sheetPr>
  <dimension ref="A1:Q81"/>
  <sheetViews>
    <sheetView zoomScale="85" zoomScaleNormal="85" workbookViewId="0">
      <selection activeCell="H11" sqref="H11"/>
    </sheetView>
  </sheetViews>
  <sheetFormatPr defaultRowHeight="15" x14ac:dyDescent="0.25"/>
  <cols>
    <col min="2" max="2" width="14.85546875" customWidth="1"/>
    <col min="3" max="3" width="17.85546875" bestFit="1" customWidth="1"/>
    <col min="4" max="4" width="11.140625" customWidth="1"/>
    <col min="5" max="5" width="17.85546875" bestFit="1" customWidth="1"/>
    <col min="6" max="6" width="14.42578125" bestFit="1" customWidth="1"/>
    <col min="7" max="7" width="17.42578125" bestFit="1" customWidth="1"/>
    <col min="8" max="10" width="29" customWidth="1"/>
    <col min="11" max="11" width="13.85546875" customWidth="1"/>
    <col min="12" max="12" width="16.42578125" bestFit="1" customWidth="1"/>
    <col min="13" max="13" width="16.5703125" bestFit="1" customWidth="1"/>
    <col min="14" max="14" width="17" bestFit="1" customWidth="1"/>
    <col min="15" max="15" width="7.85546875" customWidth="1"/>
    <col min="16" max="16" width="9.5703125" bestFit="1" customWidth="1"/>
  </cols>
  <sheetData>
    <row r="1" spans="1:17" x14ac:dyDescent="0.25">
      <c r="A1" s="95" t="s">
        <v>82</v>
      </c>
    </row>
    <row r="2" spans="1:17" ht="18.75" x14ac:dyDescent="0.25">
      <c r="B2" s="45" t="s">
        <v>89</v>
      </c>
      <c r="C2" s="58" t="s">
        <v>44</v>
      </c>
      <c r="D2" s="59" t="str">
        <f>RIGHT($B$2,1)</f>
        <v>A</v>
      </c>
    </row>
    <row r="3" spans="1:17" x14ac:dyDescent="0.25">
      <c r="C3" s="58" t="s">
        <v>62</v>
      </c>
      <c r="D3" s="59">
        <f>VLOOKUP($B$2,'opening demographics'!$A$1:$E$11,3,FALSE)</f>
        <v>30</v>
      </c>
    </row>
    <row r="4" spans="1:17" x14ac:dyDescent="0.25">
      <c r="C4" s="58" t="s">
        <v>45</v>
      </c>
      <c r="D4" s="59">
        <f>VALUE(LEFT($B$2,2))</f>
        <v>45</v>
      </c>
    </row>
    <row r="5" spans="1:17" x14ac:dyDescent="0.25">
      <c r="C5" s="58" t="s">
        <v>46</v>
      </c>
      <c r="D5" s="59">
        <f ca="1">INDIRECT("NRA_"&amp;$D$2)</f>
        <v>50</v>
      </c>
    </row>
    <row r="6" spans="1:17" x14ac:dyDescent="0.25">
      <c r="C6" s="58" t="s">
        <v>47</v>
      </c>
      <c r="D6" s="60">
        <f ca="1">INDIRECT("accrual_rate_"&amp;$D$2)</f>
        <v>0.1</v>
      </c>
    </row>
    <row r="7" spans="1:17" x14ac:dyDescent="0.25">
      <c r="C7" s="58" t="s">
        <v>48</v>
      </c>
      <c r="D7" s="61">
        <f>VLOOKUP($B$2,'opening demographics'!$A$1:$E$11,4,FALSE)</f>
        <v>175000</v>
      </c>
    </row>
    <row r="8" spans="1:17" x14ac:dyDescent="0.25">
      <c r="C8" s="58" t="s">
        <v>49</v>
      </c>
      <c r="D8" s="62">
        <f ca="1">INDIRECT("e_"&amp;$D$2)</f>
        <v>3.6484317092170926E-2</v>
      </c>
    </row>
    <row r="9" spans="1:17" x14ac:dyDescent="0.25">
      <c r="C9" s="58" t="s">
        <v>50</v>
      </c>
      <c r="D9" s="67">
        <v>30</v>
      </c>
      <c r="E9" s="73" t="s">
        <v>69</v>
      </c>
    </row>
    <row r="10" spans="1:17" ht="51.75" customHeight="1" x14ac:dyDescent="0.25">
      <c r="B10" s="57" t="s">
        <v>34</v>
      </c>
      <c r="C10" s="57" t="s">
        <v>38</v>
      </c>
      <c r="D10" s="57" t="s">
        <v>35</v>
      </c>
      <c r="E10" s="57" t="s">
        <v>39</v>
      </c>
      <c r="F10" s="57" t="s">
        <v>36</v>
      </c>
      <c r="G10" s="57" t="s">
        <v>37</v>
      </c>
      <c r="H10" s="57" t="s">
        <v>51</v>
      </c>
      <c r="I10" s="72" t="s">
        <v>71</v>
      </c>
      <c r="J10" s="72" t="s">
        <v>67</v>
      </c>
      <c r="K10" s="57" t="s">
        <v>70</v>
      </c>
      <c r="L10" s="57" t="s">
        <v>83</v>
      </c>
      <c r="M10" s="57" t="s">
        <v>41</v>
      </c>
      <c r="N10" s="57" t="s">
        <v>84</v>
      </c>
      <c r="P10" s="118" t="s">
        <v>40</v>
      </c>
      <c r="Q10" s="118"/>
    </row>
    <row r="11" spans="1:17" x14ac:dyDescent="0.25">
      <c r="B11" s="46">
        <v>0</v>
      </c>
      <c r="C11" s="63">
        <f>D4</f>
        <v>45</v>
      </c>
      <c r="D11" s="64">
        <f ca="1">D6</f>
        <v>0.1</v>
      </c>
      <c r="E11" s="65">
        <f>D7</f>
        <v>175000</v>
      </c>
      <c r="F11" s="66">
        <f ca="1">D8</f>
        <v>3.6484317092170926E-2</v>
      </c>
      <c r="G11" s="51">
        <f t="shared" ref="G11" si="0">i</f>
        <v>0.04</v>
      </c>
      <c r="H11" s="48">
        <f t="shared" ref="H11:H58" ca="1" si="1">D11*((1+F11)/(1+G11))^($D$5-C11-1)</f>
        <v>9.8654655350592993E-2</v>
      </c>
      <c r="I11" s="48"/>
      <c r="J11" s="48"/>
      <c r="K11" s="52">
        <f ca="1">L11</f>
        <v>0</v>
      </c>
      <c r="L11" s="49">
        <f t="shared" ref="L11:L58" ca="1" si="2">IF($C11="",0,D11*E11*B11*((1+F11)/(1+G11))^($D$5-C11))</f>
        <v>0</v>
      </c>
      <c r="M11" s="52">
        <f ca="1">K11</f>
        <v>0</v>
      </c>
      <c r="N11" s="53">
        <f ca="1">M11*Assumptions!$B$18</f>
        <v>0</v>
      </c>
      <c r="P11" s="55"/>
      <c r="Q11" s="56"/>
    </row>
    <row r="12" spans="1:17" x14ac:dyDescent="0.25">
      <c r="B12" s="46">
        <f>IF($C12="","",B11+1)</f>
        <v>1</v>
      </c>
      <c r="C12" s="22">
        <f t="shared" ref="C12:C43" si="3">IF(C11="","",IF($D$2="A",C11+1,IF(C11+1&gt;$D$5,"",C11+1)))</f>
        <v>46</v>
      </c>
      <c r="D12" s="47">
        <f ca="1">IF($C12="","",D11)</f>
        <v>0.1</v>
      </c>
      <c r="E12" s="50">
        <f ca="1">IF($C12="","",E11*(1+F11))</f>
        <v>181384.75549112991</v>
      </c>
      <c r="F12" s="51">
        <f ca="1">IF($C12="","",F11)</f>
        <v>3.6484317092170926E-2</v>
      </c>
      <c r="G12" s="51">
        <f>IF($C12="","",G11)</f>
        <v>0.04</v>
      </c>
      <c r="H12" s="48">
        <f t="shared" ca="1" si="1"/>
        <v>9.8989285098360802E-2</v>
      </c>
      <c r="I12" s="48"/>
      <c r="J12" s="48"/>
      <c r="K12" s="52">
        <f ca="1">IF($C12="","",H11*E12)</f>
        <v>17894.450538829002</v>
      </c>
      <c r="L12" s="49">
        <f t="shared" ca="1" si="2"/>
        <v>17894.450538829002</v>
      </c>
      <c r="M12" s="52">
        <f t="shared" ref="M12:M43" ca="1" si="4">IF($C12="",0,M11*(1+i)+K12)</f>
        <v>17894.450538829002</v>
      </c>
      <c r="N12" s="53">
        <f ca="1">M12*Assumptions!$B$18</f>
        <v>13420.837904121752</v>
      </c>
      <c r="P12" s="55">
        <f t="shared" ref="P12:P43" ca="1" si="5">IF($C12="","",L12-L11*(1+i))</f>
        <v>17894.450538829002</v>
      </c>
      <c r="Q12" s="56">
        <f t="shared" ref="Q12:Q58" ca="1" si="6">IFERROR(P12-K12,"")</f>
        <v>0</v>
      </c>
    </row>
    <row r="13" spans="1:17" x14ac:dyDescent="0.25">
      <c r="B13" s="46">
        <f t="shared" ref="B13:B76" si="7">IF($C13="","",B12+1)</f>
        <v>2</v>
      </c>
      <c r="C13" s="22">
        <f t="shared" si="3"/>
        <v>47</v>
      </c>
      <c r="D13" s="47">
        <f t="shared" ref="D13:D76" ca="1" si="8">IF($C13="","",D12)</f>
        <v>0.1</v>
      </c>
      <c r="E13" s="50">
        <f t="shared" ref="E13:E76" ca="1" si="9">IF($C13="","",E12*(1+F12))</f>
        <v>188002.45442615417</v>
      </c>
      <c r="F13" s="51">
        <f t="shared" ref="F13:G58" ca="1" si="10">IF($C13="","",F12)</f>
        <v>3.6484317092170926E-2</v>
      </c>
      <c r="G13" s="51">
        <f t="shared" si="10"/>
        <v>0.04</v>
      </c>
      <c r="H13" s="48">
        <f t="shared" ca="1" si="1"/>
        <v>9.9325049887021455E-2</v>
      </c>
      <c r="I13" s="48"/>
      <c r="J13" s="48"/>
      <c r="K13" s="52">
        <f t="shared" ref="K13:K76" ca="1" si="11">IF($C13="","",H12*E13)</f>
        <v>18610.228560382158</v>
      </c>
      <c r="L13" s="49">
        <f t="shared" ca="1" si="2"/>
        <v>37220.457120764317</v>
      </c>
      <c r="M13" s="52">
        <f t="shared" ca="1" si="4"/>
        <v>37220.457120764317</v>
      </c>
      <c r="N13" s="53">
        <f ca="1">M13*Assumptions!$B$18</f>
        <v>27915.342840573237</v>
      </c>
      <c r="P13" s="55">
        <f t="shared" ca="1" si="5"/>
        <v>18610.228560382155</v>
      </c>
      <c r="Q13" s="56">
        <f t="shared" ca="1" si="6"/>
        <v>-3.637978807091713E-12</v>
      </c>
    </row>
    <row r="14" spans="1:17" x14ac:dyDescent="0.25">
      <c r="B14" s="46">
        <f t="shared" si="7"/>
        <v>3</v>
      </c>
      <c r="C14" s="22">
        <f t="shared" si="3"/>
        <v>48</v>
      </c>
      <c r="D14" s="47">
        <f t="shared" ca="1" si="8"/>
        <v>0.1</v>
      </c>
      <c r="E14" s="50">
        <f t="shared" ca="1" si="9"/>
        <v>194861.59558754441</v>
      </c>
      <c r="F14" s="51">
        <f t="shared" ca="1" si="10"/>
        <v>3.6484317092170926E-2</v>
      </c>
      <c r="G14" s="51">
        <f t="shared" si="10"/>
        <v>0.04</v>
      </c>
      <c r="H14" s="48">
        <f t="shared" ca="1" si="1"/>
        <v>9.9661953566554898E-2</v>
      </c>
      <c r="I14" s="48"/>
      <c r="J14" s="48"/>
      <c r="K14" s="52">
        <f t="shared" ca="1" si="11"/>
        <v>19354.637702797449</v>
      </c>
      <c r="L14" s="49">
        <f t="shared" ca="1" si="2"/>
        <v>58063.913108392335</v>
      </c>
      <c r="M14" s="52">
        <f t="shared" ca="1" si="4"/>
        <v>58063.913108392342</v>
      </c>
      <c r="N14" s="53">
        <f ca="1">M14*Assumptions!$B$18</f>
        <v>43547.93483129426</v>
      </c>
      <c r="P14" s="55">
        <f t="shared" ca="1" si="5"/>
        <v>19354.637702797445</v>
      </c>
      <c r="Q14" s="56">
        <f t="shared" ca="1" si="6"/>
        <v>-3.637978807091713E-12</v>
      </c>
    </row>
    <row r="15" spans="1:17" x14ac:dyDescent="0.25">
      <c r="B15" s="46">
        <f t="shared" si="7"/>
        <v>4</v>
      </c>
      <c r="C15" s="22">
        <f t="shared" si="3"/>
        <v>49</v>
      </c>
      <c r="D15" s="47">
        <f t="shared" ca="1" si="8"/>
        <v>0.1</v>
      </c>
      <c r="E15" s="50">
        <f t="shared" ca="1" si="9"/>
        <v>201970.98783004674</v>
      </c>
      <c r="F15" s="51">
        <f t="shared" ca="1" si="10"/>
        <v>3.6484317092170926E-2</v>
      </c>
      <c r="G15" s="51">
        <f t="shared" si="10"/>
        <v>0.04</v>
      </c>
      <c r="H15" s="48">
        <f t="shared" ca="1" si="1"/>
        <v>0.1</v>
      </c>
      <c r="I15" s="48"/>
      <c r="J15" s="48"/>
      <c r="K15" s="52">
        <f t="shared" ca="1" si="11"/>
        <v>20128.823210909344</v>
      </c>
      <c r="L15" s="49">
        <f t="shared" ca="1" si="2"/>
        <v>80515.292843637377</v>
      </c>
      <c r="M15" s="52">
        <f t="shared" ca="1" si="4"/>
        <v>80515.292843637377</v>
      </c>
      <c r="N15" s="53">
        <f ca="1">M15*Assumptions!$B$18</f>
        <v>60386.469632728033</v>
      </c>
      <c r="P15" s="55">
        <f t="shared" ca="1" si="5"/>
        <v>20128.823210909344</v>
      </c>
      <c r="Q15" s="56">
        <f t="shared" ca="1" si="6"/>
        <v>0</v>
      </c>
    </row>
    <row r="16" spans="1:17" x14ac:dyDescent="0.25">
      <c r="B16" s="46">
        <f t="shared" si="7"/>
        <v>5</v>
      </c>
      <c r="C16" s="22">
        <f t="shared" si="3"/>
        <v>50</v>
      </c>
      <c r="D16" s="47">
        <f t="shared" ca="1" si="8"/>
        <v>0.1</v>
      </c>
      <c r="E16" s="50">
        <f t="shared" ca="1" si="9"/>
        <v>209339.76139345716</v>
      </c>
      <c r="F16" s="51">
        <f t="shared" ca="1" si="10"/>
        <v>3.6484317092170926E-2</v>
      </c>
      <c r="G16" s="51">
        <f t="shared" si="10"/>
        <v>0.04</v>
      </c>
      <c r="H16" s="48">
        <f t="shared" ca="1" si="1"/>
        <v>0.10033919306349877</v>
      </c>
      <c r="I16" s="48"/>
      <c r="J16" s="48"/>
      <c r="K16" s="52">
        <f t="shared" ca="1" si="11"/>
        <v>20933.976139345716</v>
      </c>
      <c r="L16" s="49">
        <f t="shared" ca="1" si="2"/>
        <v>104669.88069672858</v>
      </c>
      <c r="M16" s="52">
        <f t="shared" ca="1" si="4"/>
        <v>104669.88069672859</v>
      </c>
      <c r="N16" s="53">
        <f ca="1">M16*Assumptions!$B$18</f>
        <v>78502.410522546445</v>
      </c>
      <c r="P16" s="55">
        <f t="shared" ca="1" si="5"/>
        <v>20933.976139345701</v>
      </c>
      <c r="Q16" s="56">
        <f t="shared" ca="1" si="6"/>
        <v>-1.4551915228366852E-11</v>
      </c>
    </row>
    <row r="17" spans="2:17" x14ac:dyDescent="0.25">
      <c r="B17" s="46">
        <f t="shared" si="7"/>
        <v>6</v>
      </c>
      <c r="C17" s="22">
        <f t="shared" si="3"/>
        <v>51</v>
      </c>
      <c r="D17" s="47">
        <f t="shared" ca="1" si="8"/>
        <v>0.1</v>
      </c>
      <c r="E17" s="50">
        <f t="shared" ca="1" si="9"/>
        <v>216977.37962813544</v>
      </c>
      <c r="F17" s="51">
        <f t="shared" ca="1" si="10"/>
        <v>3.6484317092170926E-2</v>
      </c>
      <c r="G17" s="51">
        <f t="shared" si="10"/>
        <v>0.04</v>
      </c>
      <c r="H17" s="48">
        <f t="shared" ca="1" si="1"/>
        <v>0.10067953664634077</v>
      </c>
      <c r="I17" s="48"/>
      <c r="J17" s="48"/>
      <c r="K17" s="52">
        <f t="shared" ca="1" si="11"/>
        <v>21771.335184919546</v>
      </c>
      <c r="L17" s="49">
        <f t="shared" ca="1" si="2"/>
        <v>130628.01110951729</v>
      </c>
      <c r="M17" s="52">
        <f t="shared" ca="1" si="4"/>
        <v>130628.01110951729</v>
      </c>
      <c r="N17" s="53">
        <f ca="1">M17*Assumptions!$B$18</f>
        <v>97971.008332137964</v>
      </c>
      <c r="P17" s="55">
        <f t="shared" ca="1" si="5"/>
        <v>21771.335184919561</v>
      </c>
      <c r="Q17" s="56">
        <f t="shared" ca="1" si="6"/>
        <v>1.4551915228366852E-11</v>
      </c>
    </row>
    <row r="18" spans="2:17" x14ac:dyDescent="0.25">
      <c r="B18" s="46">
        <f t="shared" si="7"/>
        <v>7</v>
      </c>
      <c r="C18" s="22">
        <f t="shared" si="3"/>
        <v>52</v>
      </c>
      <c r="D18" s="47">
        <f t="shared" ca="1" si="8"/>
        <v>0.1</v>
      </c>
      <c r="E18" s="50">
        <f t="shared" ca="1" si="9"/>
        <v>224893.65114831668</v>
      </c>
      <c r="F18" s="51">
        <f t="shared" ca="1" si="10"/>
        <v>3.6484317092170926E-2</v>
      </c>
      <c r="G18" s="51">
        <f t="shared" si="10"/>
        <v>0.04</v>
      </c>
      <c r="H18" s="48">
        <f t="shared" ca="1" si="1"/>
        <v>0.10102103465100783</v>
      </c>
      <c r="I18" s="48"/>
      <c r="J18" s="48"/>
      <c r="K18" s="52">
        <f t="shared" ca="1" si="11"/>
        <v>22642.188592316328</v>
      </c>
      <c r="L18" s="49">
        <f t="shared" ca="1" si="2"/>
        <v>158495.32014621433</v>
      </c>
      <c r="M18" s="52">
        <f t="shared" ca="1" si="4"/>
        <v>158495.3201462143</v>
      </c>
      <c r="N18" s="53">
        <f ca="1">M18*Assumptions!$B$18</f>
        <v>118871.49010966072</v>
      </c>
      <c r="P18" s="55">
        <f t="shared" ca="1" si="5"/>
        <v>22642.18859231635</v>
      </c>
      <c r="Q18" s="56">
        <f t="shared" ca="1" si="6"/>
        <v>2.1827872842550278E-11</v>
      </c>
    </row>
    <row r="19" spans="2:17" x14ac:dyDescent="0.25">
      <c r="B19" s="46">
        <f t="shared" si="7"/>
        <v>8</v>
      </c>
      <c r="C19" s="22">
        <f t="shared" si="3"/>
        <v>53</v>
      </c>
      <c r="D19" s="47">
        <f t="shared" ca="1" si="8"/>
        <v>0.1</v>
      </c>
      <c r="E19" s="50">
        <f t="shared" ca="1" si="9"/>
        <v>233098.74242882794</v>
      </c>
      <c r="F19" s="51">
        <f t="shared" ca="1" si="10"/>
        <v>3.6484317092170926E-2</v>
      </c>
      <c r="G19" s="51">
        <f t="shared" si="10"/>
        <v>0.04</v>
      </c>
      <c r="H19" s="48">
        <f t="shared" ca="1" si="1"/>
        <v>0.10136369099321872</v>
      </c>
      <c r="I19" s="48"/>
      <c r="J19" s="48"/>
      <c r="K19" s="52">
        <f t="shared" ca="1" si="11"/>
        <v>23547.876136008977</v>
      </c>
      <c r="L19" s="49">
        <f t="shared" ca="1" si="2"/>
        <v>188383.00908807182</v>
      </c>
      <c r="M19" s="52">
        <f t="shared" ca="1" si="4"/>
        <v>188383.00908807185</v>
      </c>
      <c r="N19" s="53">
        <f ca="1">M19*Assumptions!$B$18</f>
        <v>141287.25681605388</v>
      </c>
      <c r="P19" s="55">
        <f t="shared" ca="1" si="5"/>
        <v>23547.876136008912</v>
      </c>
      <c r="Q19" s="56">
        <f t="shared" ca="1" si="6"/>
        <v>-6.5483618527650833E-11</v>
      </c>
    </row>
    <row r="20" spans="2:17" x14ac:dyDescent="0.25">
      <c r="B20" s="46">
        <f t="shared" si="7"/>
        <v>9</v>
      </c>
      <c r="C20" s="22">
        <f t="shared" si="3"/>
        <v>54</v>
      </c>
      <c r="D20" s="47">
        <f t="shared" ca="1" si="8"/>
        <v>0.1</v>
      </c>
      <c r="E20" s="50">
        <f t="shared" ca="1" si="9"/>
        <v>241603.19086138759</v>
      </c>
      <c r="F20" s="51">
        <f t="shared" ca="1" si="10"/>
        <v>3.6484317092170926E-2</v>
      </c>
      <c r="G20" s="51">
        <f t="shared" si="10"/>
        <v>0.04</v>
      </c>
      <c r="H20" s="48">
        <f t="shared" ca="1" si="1"/>
        <v>0.10170750960197404</v>
      </c>
      <c r="I20" s="48"/>
      <c r="J20" s="48"/>
      <c r="K20" s="52">
        <f t="shared" ca="1" si="11"/>
        <v>24489.791181449338</v>
      </c>
      <c r="L20" s="49">
        <f t="shared" ca="1" si="2"/>
        <v>220408.12063304402</v>
      </c>
      <c r="M20" s="52">
        <f t="shared" ca="1" si="4"/>
        <v>220408.12063304408</v>
      </c>
      <c r="N20" s="53">
        <f ca="1">M20*Assumptions!$B$18</f>
        <v>165306.09047478306</v>
      </c>
      <c r="P20" s="55">
        <f t="shared" ca="1" si="5"/>
        <v>24489.791181449313</v>
      </c>
      <c r="Q20" s="56">
        <f t="shared" ca="1" si="6"/>
        <v>-2.5465851649641991E-11</v>
      </c>
    </row>
    <row r="21" spans="2:17" x14ac:dyDescent="0.25">
      <c r="B21" s="46">
        <f t="shared" si="7"/>
        <v>10</v>
      </c>
      <c r="C21" s="22">
        <f t="shared" si="3"/>
        <v>55</v>
      </c>
      <c r="D21" s="47">
        <f t="shared" ca="1" si="8"/>
        <v>0.1</v>
      </c>
      <c r="E21" s="50">
        <f t="shared" ca="1" si="9"/>
        <v>250417.91828725475</v>
      </c>
      <c r="F21" s="51">
        <f t="shared" ca="1" si="10"/>
        <v>3.6484317092170926E-2</v>
      </c>
      <c r="G21" s="51">
        <f t="shared" si="10"/>
        <v>0.04</v>
      </c>
      <c r="H21" s="48">
        <f t="shared" ca="1" si="1"/>
        <v>0.10205249441960128</v>
      </c>
      <c r="I21" s="48"/>
      <c r="J21" s="48"/>
      <c r="K21" s="52">
        <f t="shared" ca="1" si="11"/>
        <v>25469.382828707312</v>
      </c>
      <c r="L21" s="49">
        <f t="shared" ca="1" si="2"/>
        <v>254693.82828707312</v>
      </c>
      <c r="M21" s="52">
        <f t="shared" ca="1" si="4"/>
        <v>254693.82828707315</v>
      </c>
      <c r="N21" s="53">
        <f ca="1">M21*Assumptions!$B$18</f>
        <v>191020.37121530485</v>
      </c>
      <c r="P21" s="55">
        <f t="shared" ca="1" si="5"/>
        <v>25469.382828707341</v>
      </c>
      <c r="Q21" s="56">
        <f t="shared" ca="1" si="6"/>
        <v>2.9103830456733704E-11</v>
      </c>
    </row>
    <row r="22" spans="2:17" x14ac:dyDescent="0.25">
      <c r="B22" s="46">
        <f t="shared" si="7"/>
        <v>11</v>
      </c>
      <c r="C22" s="22">
        <f t="shared" si="3"/>
        <v>56</v>
      </c>
      <c r="D22" s="47">
        <f t="shared" ca="1" si="8"/>
        <v>0.1</v>
      </c>
      <c r="E22" s="50">
        <f t="shared" ca="1" si="9"/>
        <v>259554.2450236083</v>
      </c>
      <c r="F22" s="51">
        <f t="shared" ca="1" si="10"/>
        <v>3.6484317092170926E-2</v>
      </c>
      <c r="G22" s="51">
        <f t="shared" si="10"/>
        <v>0.04</v>
      </c>
      <c r="H22" s="48">
        <f t="shared" ca="1" si="1"/>
        <v>0.10239864940179999</v>
      </c>
      <c r="I22" s="48"/>
      <c r="J22" s="48"/>
      <c r="K22" s="52">
        <f t="shared" ca="1" si="11"/>
        <v>26488.158141855609</v>
      </c>
      <c r="L22" s="49">
        <f t="shared" ca="1" si="2"/>
        <v>291369.73956041166</v>
      </c>
      <c r="M22" s="52">
        <f t="shared" ca="1" si="4"/>
        <v>291369.73956041172</v>
      </c>
      <c r="N22" s="53">
        <f ca="1">M22*Assumptions!$B$18</f>
        <v>218527.30467030877</v>
      </c>
      <c r="P22" s="55">
        <f t="shared" ca="1" si="5"/>
        <v>26488.158141855616</v>
      </c>
      <c r="Q22" s="56">
        <f t="shared" ca="1" si="6"/>
        <v>7.2759576141834259E-12</v>
      </c>
    </row>
    <row r="23" spans="2:17" x14ac:dyDescent="0.25">
      <c r="B23" s="46">
        <f t="shared" si="7"/>
        <v>12</v>
      </c>
      <c r="C23" s="22">
        <f t="shared" si="3"/>
        <v>57</v>
      </c>
      <c r="D23" s="47">
        <f t="shared" ca="1" si="8"/>
        <v>0.1</v>
      </c>
      <c r="E23" s="50">
        <f t="shared" ca="1" si="9"/>
        <v>269023.90440166864</v>
      </c>
      <c r="F23" s="51">
        <f t="shared" ca="1" si="10"/>
        <v>3.6484317092170926E-2</v>
      </c>
      <c r="G23" s="51">
        <f t="shared" si="10"/>
        <v>0.04</v>
      </c>
      <c r="H23" s="48">
        <f t="shared" ca="1" si="1"/>
        <v>0.10274597851768733</v>
      </c>
      <c r="I23" s="48"/>
      <c r="J23" s="48"/>
      <c r="K23" s="52">
        <f t="shared" ca="1" si="11"/>
        <v>27547.684467529823</v>
      </c>
      <c r="L23" s="49">
        <f t="shared" ca="1" si="2"/>
        <v>330572.2136103579</v>
      </c>
      <c r="M23" s="52">
        <f t="shared" ca="1" si="4"/>
        <v>330572.21361035801</v>
      </c>
      <c r="N23" s="53">
        <f ca="1">M23*Assumptions!$B$18</f>
        <v>247929.16020776849</v>
      </c>
      <c r="P23" s="55">
        <f t="shared" ca="1" si="5"/>
        <v>27547.684467529762</v>
      </c>
      <c r="Q23" s="56">
        <f t="shared" ca="1" si="6"/>
        <v>-6.184563972055912E-11</v>
      </c>
    </row>
    <row r="24" spans="2:17" x14ac:dyDescent="0.25">
      <c r="B24" s="46">
        <f t="shared" si="7"/>
        <v>13</v>
      </c>
      <c r="C24" s="22">
        <f t="shared" si="3"/>
        <v>58</v>
      </c>
      <c r="D24" s="47">
        <f t="shared" ca="1" si="8"/>
        <v>0.1</v>
      </c>
      <c r="E24" s="50">
        <f t="shared" ca="1" si="9"/>
        <v>278839.05783523299</v>
      </c>
      <c r="F24" s="51">
        <f t="shared" ca="1" si="10"/>
        <v>3.6484317092170926E-2</v>
      </c>
      <c r="G24" s="51">
        <f t="shared" si="10"/>
        <v>0.04</v>
      </c>
      <c r="H24" s="48">
        <f t="shared" ca="1" si="1"/>
        <v>0.10309448574984324</v>
      </c>
      <c r="I24" s="48"/>
      <c r="J24" s="48"/>
      <c r="K24" s="52">
        <f t="shared" ca="1" si="11"/>
        <v>28649.591846231022</v>
      </c>
      <c r="L24" s="49">
        <f t="shared" ca="1" si="2"/>
        <v>372444.69400100328</v>
      </c>
      <c r="M24" s="52">
        <f t="shared" ca="1" si="4"/>
        <v>372444.69400100334</v>
      </c>
      <c r="N24" s="53">
        <f ca="1">M24*Assumptions!$B$18</f>
        <v>279333.52050075249</v>
      </c>
      <c r="P24" s="55">
        <f t="shared" ca="1" si="5"/>
        <v>28649.59184623108</v>
      </c>
      <c r="Q24" s="56">
        <f t="shared" ca="1" si="6"/>
        <v>5.8207660913467407E-11</v>
      </c>
    </row>
    <row r="25" spans="2:17" x14ac:dyDescent="0.25">
      <c r="B25" s="46">
        <f t="shared" si="7"/>
        <v>14</v>
      </c>
      <c r="C25" s="22">
        <f t="shared" si="3"/>
        <v>59</v>
      </c>
      <c r="D25" s="47">
        <f t="shared" ca="1" si="8"/>
        <v>0.1</v>
      </c>
      <c r="E25" s="50">
        <f t="shared" ca="1" si="9"/>
        <v>289012.31043897581</v>
      </c>
      <c r="F25" s="51">
        <f t="shared" ca="1" si="10"/>
        <v>3.6484317092170926E-2</v>
      </c>
      <c r="G25" s="51">
        <f t="shared" si="10"/>
        <v>0.04</v>
      </c>
      <c r="H25" s="48">
        <f t="shared" ca="1" si="1"/>
        <v>0.10344417509435642</v>
      </c>
      <c r="I25" s="48"/>
      <c r="J25" s="48"/>
      <c r="K25" s="52">
        <f t="shared" ca="1" si="11"/>
        <v>29795.575520080263</v>
      </c>
      <c r="L25" s="49">
        <f t="shared" ca="1" si="2"/>
        <v>417138.05728112371</v>
      </c>
      <c r="M25" s="52">
        <f t="shared" ca="1" si="4"/>
        <v>417138.05728112377</v>
      </c>
      <c r="N25" s="53">
        <f ca="1">M25*Assumptions!$B$18</f>
        <v>312853.54296084284</v>
      </c>
      <c r="P25" s="55">
        <f t="shared" ca="1" si="5"/>
        <v>29795.575520080281</v>
      </c>
      <c r="Q25" s="56">
        <f t="shared" ca="1" si="6"/>
        <v>1.8189894035458565E-11</v>
      </c>
    </row>
    <row r="26" spans="2:17" x14ac:dyDescent="0.25">
      <c r="B26" s="46">
        <f t="shared" si="7"/>
        <v>15</v>
      </c>
      <c r="C26" s="22">
        <f t="shared" si="3"/>
        <v>60</v>
      </c>
      <c r="D26" s="47">
        <f t="shared" ca="1" si="8"/>
        <v>0.1</v>
      </c>
      <c r="E26" s="50">
        <f t="shared" ca="1" si="9"/>
        <v>299556.72721657233</v>
      </c>
      <c r="F26" s="51">
        <f t="shared" ca="1" si="10"/>
        <v>3.6484317092170926E-2</v>
      </c>
      <c r="G26" s="51">
        <f t="shared" si="10"/>
        <v>0.04</v>
      </c>
      <c r="H26" s="48">
        <f t="shared" ca="1" si="1"/>
        <v>0.10379505056086996</v>
      </c>
      <c r="I26" s="48"/>
      <c r="J26" s="48"/>
      <c r="K26" s="52">
        <f t="shared" ca="1" si="11"/>
        <v>30987.398540883474</v>
      </c>
      <c r="L26" s="49">
        <f t="shared" ca="1" si="2"/>
        <v>464810.97811325209</v>
      </c>
      <c r="M26" s="52">
        <f t="shared" ca="1" si="4"/>
        <v>464810.9781132522</v>
      </c>
      <c r="N26" s="53">
        <f ca="1">M26*Assumptions!$B$18</f>
        <v>348608.23358493915</v>
      </c>
      <c r="P26" s="55">
        <f t="shared" ca="1" si="5"/>
        <v>30987.398540883441</v>
      </c>
      <c r="Q26" s="56">
        <f t="shared" ca="1" si="6"/>
        <v>-3.2741809263825417E-11</v>
      </c>
    </row>
    <row r="27" spans="2:17" x14ac:dyDescent="0.25">
      <c r="B27" s="46">
        <f t="shared" si="7"/>
        <v>16</v>
      </c>
      <c r="C27" s="22">
        <f t="shared" si="3"/>
        <v>61</v>
      </c>
      <c r="D27" s="47">
        <f t="shared" ca="1" si="8"/>
        <v>0.1</v>
      </c>
      <c r="E27" s="50">
        <f t="shared" ca="1" si="9"/>
        <v>310485.84983943473</v>
      </c>
      <c r="F27" s="51">
        <f t="shared" ca="1" si="10"/>
        <v>3.6484317092170926E-2</v>
      </c>
      <c r="G27" s="51">
        <f t="shared" si="10"/>
        <v>0.04</v>
      </c>
      <c r="H27" s="48">
        <f t="shared" ca="1" si="1"/>
        <v>0.10414711617262747</v>
      </c>
      <c r="I27" s="48"/>
      <c r="J27" s="48"/>
      <c r="K27" s="52">
        <f t="shared" ca="1" si="11"/>
        <v>32226.894482518805</v>
      </c>
      <c r="L27" s="49">
        <f t="shared" ca="1" si="2"/>
        <v>515630.31172030087</v>
      </c>
      <c r="M27" s="52">
        <f t="shared" ca="1" si="4"/>
        <v>515630.31172030111</v>
      </c>
      <c r="N27" s="53">
        <f ca="1">M27*Assumptions!$B$18</f>
        <v>386722.73379022582</v>
      </c>
      <c r="P27" s="55">
        <f t="shared" ca="1" si="5"/>
        <v>32226.894482518663</v>
      </c>
      <c r="Q27" s="56">
        <f t="shared" ca="1" si="6"/>
        <v>-1.4188117347657681E-10</v>
      </c>
    </row>
    <row r="28" spans="2:17" x14ac:dyDescent="0.25">
      <c r="B28" s="46">
        <f t="shared" si="7"/>
        <v>17</v>
      </c>
      <c r="C28" s="22">
        <f t="shared" si="3"/>
        <v>62</v>
      </c>
      <c r="D28" s="47">
        <f t="shared" ca="1" si="8"/>
        <v>0.1</v>
      </c>
      <c r="E28" s="50">
        <f t="shared" ca="1" si="9"/>
        <v>321813.71403760882</v>
      </c>
      <c r="F28" s="51">
        <f t="shared" ca="1" si="10"/>
        <v>3.6484317092170926E-2</v>
      </c>
      <c r="G28" s="51">
        <f t="shared" si="10"/>
        <v>0.04</v>
      </c>
      <c r="H28" s="48">
        <f t="shared" ca="1" si="1"/>
        <v>0.10450037596651901</v>
      </c>
      <c r="I28" s="48"/>
      <c r="J28" s="48"/>
      <c r="K28" s="52">
        <f t="shared" ca="1" si="11"/>
        <v>33515.970261819559</v>
      </c>
      <c r="L28" s="49">
        <f t="shared" ca="1" si="2"/>
        <v>569771.4944509326</v>
      </c>
      <c r="M28" s="52">
        <f t="shared" ca="1" si="4"/>
        <v>569771.49445093272</v>
      </c>
      <c r="N28" s="53">
        <f ca="1">M28*Assumptions!$B$18</f>
        <v>427328.62083819951</v>
      </c>
      <c r="P28" s="55">
        <f t="shared" ca="1" si="5"/>
        <v>33515.970261819661</v>
      </c>
      <c r="Q28" s="56">
        <f t="shared" ca="1" si="6"/>
        <v>1.0186340659856796E-10</v>
      </c>
    </row>
    <row r="29" spans="2:17" x14ac:dyDescent="0.25">
      <c r="B29" s="46">
        <f t="shared" si="7"/>
        <v>18</v>
      </c>
      <c r="C29" s="22">
        <f t="shared" si="3"/>
        <v>63</v>
      </c>
      <c r="D29" s="47">
        <f t="shared" ca="1" si="8"/>
        <v>0.1</v>
      </c>
      <c r="E29" s="50">
        <f t="shared" ca="1" si="9"/>
        <v>333554.86762516614</v>
      </c>
      <c r="F29" s="51">
        <f t="shared" ca="1" si="10"/>
        <v>3.6484317092170926E-2</v>
      </c>
      <c r="G29" s="51">
        <f t="shared" si="10"/>
        <v>0.04</v>
      </c>
      <c r="H29" s="48">
        <f t="shared" ca="1" si="1"/>
        <v>0.10485483399312755</v>
      </c>
      <c r="I29" s="48"/>
      <c r="J29" s="48"/>
      <c r="K29" s="52">
        <f t="shared" ca="1" si="11"/>
        <v>34856.60907229234</v>
      </c>
      <c r="L29" s="49">
        <f t="shared" ca="1" si="2"/>
        <v>627418.96330126212</v>
      </c>
      <c r="M29" s="52">
        <f t="shared" ca="1" si="4"/>
        <v>627418.96330126235</v>
      </c>
      <c r="N29" s="53">
        <f ca="1">M29*Assumptions!$B$18</f>
        <v>470564.22247594676</v>
      </c>
      <c r="P29" s="55">
        <f t="shared" ca="1" si="5"/>
        <v>34856.609072292224</v>
      </c>
      <c r="Q29" s="56">
        <f t="shared" ca="1" si="6"/>
        <v>-1.1641532182693481E-10</v>
      </c>
    </row>
    <row r="30" spans="2:17" x14ac:dyDescent="0.25">
      <c r="B30" s="46">
        <f t="shared" si="7"/>
        <v>19</v>
      </c>
      <c r="C30" s="22">
        <f t="shared" si="3"/>
        <v>64</v>
      </c>
      <c r="D30" s="47">
        <f t="shared" ca="1" si="8"/>
        <v>0.1</v>
      </c>
      <c r="E30" s="50">
        <f t="shared" ca="1" si="9"/>
        <v>345724.38918323978</v>
      </c>
      <c r="F30" s="51">
        <f t="shared" ca="1" si="10"/>
        <v>3.6484317092170926E-2</v>
      </c>
      <c r="G30" s="51">
        <f t="shared" si="10"/>
        <v>0.04</v>
      </c>
      <c r="H30" s="48">
        <f t="shared" ca="1" si="1"/>
        <v>0.10521049431677537</v>
      </c>
      <c r="I30" s="48"/>
      <c r="J30" s="48"/>
      <c r="K30" s="52">
        <f t="shared" ca="1" si="11"/>
        <v>36250.873435184025</v>
      </c>
      <c r="L30" s="49">
        <f t="shared" ca="1" si="2"/>
        <v>688766.59526849655</v>
      </c>
      <c r="M30" s="52">
        <f t="shared" ca="1" si="4"/>
        <v>688766.59526849689</v>
      </c>
      <c r="N30" s="53">
        <f ca="1">M30*Assumptions!$B$18</f>
        <v>516574.9464513727</v>
      </c>
      <c r="P30" s="55">
        <f t="shared" ca="1" si="5"/>
        <v>36250.873435183894</v>
      </c>
      <c r="Q30" s="56">
        <f t="shared" ca="1" si="6"/>
        <v>-1.3096723705530167E-10</v>
      </c>
    </row>
    <row r="31" spans="2:17" x14ac:dyDescent="0.25">
      <c r="B31" s="46">
        <f t="shared" si="7"/>
        <v>20</v>
      </c>
      <c r="C31" s="22">
        <f t="shared" si="3"/>
        <v>65</v>
      </c>
      <c r="D31" s="47">
        <f t="shared" ca="1" si="8"/>
        <v>0.1</v>
      </c>
      <c r="E31" s="50">
        <f t="shared" ca="1" si="9"/>
        <v>358337.90742469823</v>
      </c>
      <c r="F31" s="51">
        <f t="shared" ca="1" si="10"/>
        <v>3.6484317092170926E-2</v>
      </c>
      <c r="G31" s="51">
        <f t="shared" si="10"/>
        <v>0.04</v>
      </c>
      <c r="H31" s="48">
        <f t="shared" ca="1" si="1"/>
        <v>0.10556736101557063</v>
      </c>
      <c r="I31" s="48"/>
      <c r="J31" s="48"/>
      <c r="K31" s="52">
        <f t="shared" ca="1" si="11"/>
        <v>37700.908372591395</v>
      </c>
      <c r="L31" s="49">
        <f t="shared" ca="1" si="2"/>
        <v>754018.1674518279</v>
      </c>
      <c r="M31" s="52">
        <f t="shared" ca="1" si="4"/>
        <v>754018.16745182814</v>
      </c>
      <c r="N31" s="53">
        <f ca="1">M31*Assumptions!$B$18</f>
        <v>565513.62558887107</v>
      </c>
      <c r="P31" s="55">
        <f t="shared" ca="1" si="5"/>
        <v>37700.908372591482</v>
      </c>
      <c r="Q31" s="56">
        <f t="shared" ca="1" si="6"/>
        <v>8.7311491370201111E-11</v>
      </c>
    </row>
    <row r="32" spans="2:17" x14ac:dyDescent="0.25">
      <c r="B32" s="46">
        <f t="shared" si="7"/>
        <v>21</v>
      </c>
      <c r="C32" s="22">
        <f t="shared" si="3"/>
        <v>66</v>
      </c>
      <c r="D32" s="47">
        <f t="shared" ca="1" si="8"/>
        <v>0.1</v>
      </c>
      <c r="E32" s="50">
        <f t="shared" ca="1" si="9"/>
        <v>371411.62126532593</v>
      </c>
      <c r="F32" s="51">
        <f t="shared" ca="1" si="10"/>
        <v>3.6484317092170926E-2</v>
      </c>
      <c r="G32" s="51">
        <f t="shared" si="10"/>
        <v>0.04</v>
      </c>
      <c r="H32" s="48">
        <f t="shared" ca="1" si="1"/>
        <v>0.10592543818145413</v>
      </c>
      <c r="I32" s="48"/>
      <c r="J32" s="48"/>
      <c r="K32" s="52">
        <f t="shared" ca="1" si="11"/>
        <v>39208.944707495051</v>
      </c>
      <c r="L32" s="49">
        <f t="shared" ca="1" si="2"/>
        <v>823387.83885739616</v>
      </c>
      <c r="M32" s="52">
        <f t="shared" ca="1" si="4"/>
        <v>823387.83885739639</v>
      </c>
      <c r="N32" s="53">
        <f ca="1">M32*Assumptions!$B$18</f>
        <v>617540.87914304726</v>
      </c>
      <c r="P32" s="55">
        <f t="shared" ca="1" si="5"/>
        <v>39208.94470749516</v>
      </c>
      <c r="Q32" s="56">
        <f t="shared" ca="1" si="6"/>
        <v>1.0913936421275139E-10</v>
      </c>
    </row>
    <row r="33" spans="2:17" x14ac:dyDescent="0.25">
      <c r="B33" s="46">
        <f t="shared" si="7"/>
        <v>22</v>
      </c>
      <c r="C33" s="22">
        <f t="shared" si="3"/>
        <v>67</v>
      </c>
      <c r="D33" s="47">
        <f t="shared" ca="1" si="8"/>
        <v>0.1</v>
      </c>
      <c r="E33" s="50">
        <f t="shared" ca="1" si="9"/>
        <v>384962.32062728738</v>
      </c>
      <c r="F33" s="51">
        <f t="shared" ca="1" si="10"/>
        <v>3.6484317092170926E-2</v>
      </c>
      <c r="G33" s="51">
        <f t="shared" si="10"/>
        <v>0.04</v>
      </c>
      <c r="H33" s="48">
        <f t="shared" ca="1" si="1"/>
        <v>0.10628472992024628</v>
      </c>
      <c r="I33" s="48"/>
      <c r="J33" s="48"/>
      <c r="K33" s="52">
        <f t="shared" ca="1" si="11"/>
        <v>40777.302495794851</v>
      </c>
      <c r="L33" s="49">
        <f t="shared" ca="1" si="2"/>
        <v>897100.65490748687</v>
      </c>
      <c r="M33" s="52">
        <f t="shared" ca="1" si="4"/>
        <v>897100.6549074871</v>
      </c>
      <c r="N33" s="53">
        <f ca="1">M33*Assumptions!$B$18</f>
        <v>672825.49118061527</v>
      </c>
      <c r="P33" s="55">
        <f t="shared" ca="1" si="5"/>
        <v>40777.302495794836</v>
      </c>
      <c r="Q33" s="56">
        <f t="shared" ca="1" si="6"/>
        <v>-1.4551915228366852E-11</v>
      </c>
    </row>
    <row r="34" spans="2:17" x14ac:dyDescent="0.25">
      <c r="B34" s="46">
        <f t="shared" si="7"/>
        <v>23</v>
      </c>
      <c r="C34" s="22">
        <f t="shared" si="3"/>
        <v>68</v>
      </c>
      <c r="D34" s="47">
        <f t="shared" ca="1" si="8"/>
        <v>0.1</v>
      </c>
      <c r="E34" s="50">
        <f t="shared" ca="1" si="9"/>
        <v>399007.40800159128</v>
      </c>
      <c r="F34" s="51">
        <f t="shared" ca="1" si="10"/>
        <v>3.6484317092170926E-2</v>
      </c>
      <c r="G34" s="51">
        <f t="shared" si="10"/>
        <v>0.04</v>
      </c>
      <c r="H34" s="48">
        <f t="shared" ca="1" si="1"/>
        <v>0.10664524035169415</v>
      </c>
      <c r="I34" s="48"/>
      <c r="J34" s="48"/>
      <c r="K34" s="52">
        <f t="shared" ca="1" si="11"/>
        <v>42408.39459562664</v>
      </c>
      <c r="L34" s="49">
        <f t="shared" ca="1" si="2"/>
        <v>975393.07569941285</v>
      </c>
      <c r="M34" s="52">
        <f t="shared" ca="1" si="4"/>
        <v>975393.0756994132</v>
      </c>
      <c r="N34" s="53">
        <f ca="1">M34*Assumptions!$B$18</f>
        <v>731544.8067745599</v>
      </c>
      <c r="P34" s="55">
        <f t="shared" ca="1" si="5"/>
        <v>42408.394595626509</v>
      </c>
      <c r="Q34" s="56">
        <f t="shared" ca="1" si="6"/>
        <v>-1.3096723705530167E-10</v>
      </c>
    </row>
    <row r="35" spans="2:17" x14ac:dyDescent="0.25">
      <c r="B35" s="46">
        <f t="shared" si="7"/>
        <v>24</v>
      </c>
      <c r="C35" s="22">
        <f t="shared" si="3"/>
        <v>69</v>
      </c>
      <c r="D35" s="47">
        <f t="shared" ca="1" si="8"/>
        <v>0.1</v>
      </c>
      <c r="E35" s="50">
        <f t="shared" ca="1" si="9"/>
        <v>413564.92079724657</v>
      </c>
      <c r="F35" s="51">
        <f t="shared" ca="1" si="10"/>
        <v>3.6484317092170926E-2</v>
      </c>
      <c r="G35" s="51">
        <f t="shared" si="10"/>
        <v>0.04</v>
      </c>
      <c r="H35" s="48">
        <f t="shared" ca="1" si="1"/>
        <v>0.10700697360951866</v>
      </c>
      <c r="I35" s="48"/>
      <c r="J35" s="48"/>
      <c r="K35" s="52">
        <f t="shared" ca="1" si="11"/>
        <v>44104.730379451714</v>
      </c>
      <c r="L35" s="49">
        <f t="shared" ca="1" si="2"/>
        <v>1058513.5291068412</v>
      </c>
      <c r="M35" s="52">
        <f t="shared" ca="1" si="4"/>
        <v>1058513.5291068414</v>
      </c>
      <c r="N35" s="53">
        <f ca="1">M35*Assumptions!$B$18</f>
        <v>793885.14683013107</v>
      </c>
      <c r="P35" s="55">
        <f t="shared" ca="1" si="5"/>
        <v>44104.730379451765</v>
      </c>
      <c r="Q35" s="56">
        <f t="shared" ca="1" si="6"/>
        <v>5.0931703299283981E-11</v>
      </c>
    </row>
    <row r="36" spans="2:17" x14ac:dyDescent="0.25">
      <c r="B36" s="46">
        <f t="shared" si="7"/>
        <v>25</v>
      </c>
      <c r="C36" s="22">
        <f t="shared" si="3"/>
        <v>70</v>
      </c>
      <c r="D36" s="47">
        <f t="shared" ca="1" si="8"/>
        <v>0.1</v>
      </c>
      <c r="E36" s="50">
        <f t="shared" ca="1" si="9"/>
        <v>428653.55450581189</v>
      </c>
      <c r="F36" s="51">
        <f t="shared" ca="1" si="10"/>
        <v>3.6484317092170926E-2</v>
      </c>
      <c r="G36" s="51">
        <f t="shared" si="10"/>
        <v>0.04</v>
      </c>
      <c r="H36" s="48">
        <f t="shared" ca="1" si="1"/>
        <v>0.10736993384146208</v>
      </c>
      <c r="I36" s="48"/>
      <c r="J36" s="48"/>
      <c r="K36" s="52">
        <f t="shared" ca="1" si="11"/>
        <v>45868.919594629784</v>
      </c>
      <c r="L36" s="49">
        <f t="shared" ca="1" si="2"/>
        <v>1146722.9898657445</v>
      </c>
      <c r="M36" s="52">
        <f t="shared" ca="1" si="4"/>
        <v>1146722.989865745</v>
      </c>
      <c r="N36" s="53">
        <f ca="1">M36*Assumptions!$B$18</f>
        <v>860042.24239930871</v>
      </c>
      <c r="P36" s="55">
        <f t="shared" ca="1" si="5"/>
        <v>45868.919594629668</v>
      </c>
      <c r="Q36" s="56">
        <f t="shared" ca="1" si="6"/>
        <v>-1.1641532182693481E-10</v>
      </c>
    </row>
    <row r="37" spans="2:17" x14ac:dyDescent="0.25">
      <c r="B37" s="46">
        <f t="shared" si="7"/>
        <v>26</v>
      </c>
      <c r="C37" s="22">
        <f t="shared" si="3"/>
        <v>71</v>
      </c>
      <c r="D37" s="47">
        <f t="shared" ca="1" si="8"/>
        <v>0.1</v>
      </c>
      <c r="E37" s="50">
        <f t="shared" ca="1" si="9"/>
        <v>444292.68671108811</v>
      </c>
      <c r="F37" s="51">
        <f t="shared" ca="1" si="10"/>
        <v>3.6484317092170926E-2</v>
      </c>
      <c r="G37" s="51">
        <f t="shared" si="10"/>
        <v>0.04</v>
      </c>
      <c r="H37" s="48">
        <f t="shared" ca="1" si="1"/>
        <v>0.10773412520933552</v>
      </c>
      <c r="I37" s="48"/>
      <c r="J37" s="48"/>
      <c r="K37" s="52">
        <f t="shared" ca="1" si="11"/>
        <v>47703.676378414973</v>
      </c>
      <c r="L37" s="49">
        <f t="shared" ca="1" si="2"/>
        <v>1240295.5858387894</v>
      </c>
      <c r="M37" s="52">
        <f t="shared" ca="1" si="4"/>
        <v>1240295.5858387898</v>
      </c>
      <c r="N37" s="53">
        <f ca="1">M37*Assumptions!$B$18</f>
        <v>930221.68937909231</v>
      </c>
      <c r="P37" s="55">
        <f t="shared" ca="1" si="5"/>
        <v>47703.676378414966</v>
      </c>
      <c r="Q37" s="56">
        <f t="shared" ca="1" si="6"/>
        <v>-7.2759576141834259E-12</v>
      </c>
    </row>
    <row r="38" spans="2:17" x14ac:dyDescent="0.25">
      <c r="B38" s="46">
        <f t="shared" si="7"/>
        <v>27</v>
      </c>
      <c r="C38" s="22">
        <f t="shared" si="3"/>
        <v>72</v>
      </c>
      <c r="D38" s="47">
        <f t="shared" ca="1" si="8"/>
        <v>0.1</v>
      </c>
      <c r="E38" s="50">
        <f t="shared" ca="1" si="9"/>
        <v>460502.40197478799</v>
      </c>
      <c r="F38" s="51">
        <f t="shared" ca="1" si="10"/>
        <v>3.6484317092170926E-2</v>
      </c>
      <c r="G38" s="51">
        <f t="shared" si="10"/>
        <v>0.04</v>
      </c>
      <c r="H38" s="48">
        <f t="shared" ca="1" si="1"/>
        <v>0.10809955188906667</v>
      </c>
      <c r="I38" s="48"/>
      <c r="J38" s="48"/>
      <c r="K38" s="52">
        <f t="shared" ca="1" si="11"/>
        <v>49611.823433551566</v>
      </c>
      <c r="L38" s="49">
        <f t="shared" ca="1" si="2"/>
        <v>1339519.2327058923</v>
      </c>
      <c r="M38" s="52">
        <f t="shared" ca="1" si="4"/>
        <v>1339519.232705893</v>
      </c>
      <c r="N38" s="53">
        <f ca="1">M38*Assumptions!$B$18</f>
        <v>1004639.4245294197</v>
      </c>
      <c r="P38" s="55">
        <f t="shared" ca="1" si="5"/>
        <v>49611.823433551239</v>
      </c>
      <c r="Q38" s="56">
        <f t="shared" ca="1" si="6"/>
        <v>-3.2741809263825417E-10</v>
      </c>
    </row>
    <row r="39" spans="2:17" x14ac:dyDescent="0.25">
      <c r="B39" s="46">
        <f t="shared" si="7"/>
        <v>28</v>
      </c>
      <c r="C39" s="22">
        <f t="shared" si="3"/>
        <v>73</v>
      </c>
      <c r="D39" s="47">
        <f t="shared" ca="1" si="8"/>
        <v>0.1</v>
      </c>
      <c r="E39" s="50">
        <f t="shared" ca="1" si="9"/>
        <v>477303.51763014251</v>
      </c>
      <c r="F39" s="51">
        <f t="shared" ca="1" si="10"/>
        <v>3.6484317092170926E-2</v>
      </c>
      <c r="G39" s="51">
        <f t="shared" si="10"/>
        <v>0.04</v>
      </c>
      <c r="H39" s="48">
        <f t="shared" ca="1" si="1"/>
        <v>0.10846621807074762</v>
      </c>
      <c r="I39" s="48"/>
      <c r="J39" s="48"/>
      <c r="K39" s="52">
        <f t="shared" ca="1" si="11"/>
        <v>51596.296370893637</v>
      </c>
      <c r="L39" s="49">
        <f t="shared" ca="1" si="2"/>
        <v>1444696.2983850217</v>
      </c>
      <c r="M39" s="52">
        <f t="shared" ca="1" si="4"/>
        <v>1444696.2983850224</v>
      </c>
      <c r="N39" s="53">
        <f ca="1">M39*Assumptions!$B$18</f>
        <v>1083522.2237887669</v>
      </c>
      <c r="P39" s="55">
        <f t="shared" ca="1" si="5"/>
        <v>51596.296370893717</v>
      </c>
      <c r="Q39" s="56">
        <f t="shared" ca="1" si="6"/>
        <v>8.0035533756017685E-11</v>
      </c>
    </row>
    <row r="40" spans="2:17" x14ac:dyDescent="0.25">
      <c r="B40" s="46">
        <f t="shared" si="7"/>
        <v>29</v>
      </c>
      <c r="C40" s="22">
        <f t="shared" si="3"/>
        <v>74</v>
      </c>
      <c r="D40" s="47">
        <f t="shared" ca="1" si="8"/>
        <v>0.1</v>
      </c>
      <c r="E40" s="50">
        <f t="shared" ca="1" si="9"/>
        <v>494717.61051656923</v>
      </c>
      <c r="F40" s="51">
        <f t="shared" ca="1" si="10"/>
        <v>3.6484317092170926E-2</v>
      </c>
      <c r="G40" s="51">
        <f t="shared" si="10"/>
        <v>0.04</v>
      </c>
      <c r="H40" s="48">
        <f t="shared" ca="1" si="1"/>
        <v>0.10883412795868302</v>
      </c>
      <c r="I40" s="48"/>
      <c r="J40" s="48"/>
      <c r="K40" s="52">
        <f t="shared" ca="1" si="11"/>
        <v>53660.148225729383</v>
      </c>
      <c r="L40" s="49">
        <f t="shared" ca="1" si="2"/>
        <v>1556144.2985461522</v>
      </c>
      <c r="M40" s="52">
        <f t="shared" ca="1" si="4"/>
        <v>1556144.2985461527</v>
      </c>
      <c r="N40" s="53">
        <f ca="1">M40*Assumptions!$B$18</f>
        <v>1167108.2239096146</v>
      </c>
      <c r="P40" s="55">
        <f t="shared" ca="1" si="5"/>
        <v>53660.148225729587</v>
      </c>
      <c r="Q40" s="56">
        <f t="shared" ca="1" si="6"/>
        <v>2.0372681319713593E-10</v>
      </c>
    </row>
    <row r="41" spans="2:17" x14ac:dyDescent="0.25">
      <c r="B41" s="46">
        <f t="shared" si="7"/>
        <v>30</v>
      </c>
      <c r="C41" s="22">
        <f t="shared" si="3"/>
        <v>75</v>
      </c>
      <c r="D41" s="47">
        <f t="shared" ca="1" si="8"/>
        <v>0.1</v>
      </c>
      <c r="E41" s="50">
        <f t="shared" ca="1" si="9"/>
        <v>512767.04468973685</v>
      </c>
      <c r="F41" s="51">
        <f t="shared" ca="1" si="10"/>
        <v>3.6484317092170926E-2</v>
      </c>
      <c r="G41" s="51">
        <f t="shared" si="10"/>
        <v>0.04</v>
      </c>
      <c r="H41" s="48">
        <f t="shared" ca="1" si="1"/>
        <v>0.10920328577143823</v>
      </c>
      <c r="I41" s="48"/>
      <c r="J41" s="48"/>
      <c r="K41" s="52">
        <f t="shared" ca="1" si="11"/>
        <v>55806.55415475856</v>
      </c>
      <c r="L41" s="49">
        <f t="shared" ca="1" si="2"/>
        <v>1674196.6246427565</v>
      </c>
      <c r="M41" s="52">
        <f t="shared" ca="1" si="4"/>
        <v>1674196.6246427575</v>
      </c>
      <c r="N41" s="53">
        <f ca="1">M41*Assumptions!$B$18</f>
        <v>1255647.468482068</v>
      </c>
      <c r="P41" s="55">
        <f t="shared" ca="1" si="5"/>
        <v>55806.554154758109</v>
      </c>
      <c r="Q41" s="56">
        <f t="shared" ca="1" si="6"/>
        <v>-4.5110937207937241E-10</v>
      </c>
    </row>
    <row r="42" spans="2:17" x14ac:dyDescent="0.25">
      <c r="B42" s="46">
        <f t="shared" si="7"/>
        <v>31</v>
      </c>
      <c r="C42" s="22">
        <f t="shared" si="3"/>
        <v>76</v>
      </c>
      <c r="D42" s="47">
        <f t="shared" ca="1" si="8"/>
        <v>0.1</v>
      </c>
      <c r="E42" s="50">
        <f t="shared" ca="1" si="9"/>
        <v>531475.00014261261</v>
      </c>
      <c r="F42" s="51">
        <f t="shared" ca="1" si="10"/>
        <v>3.6484317092170926E-2</v>
      </c>
      <c r="G42" s="51">
        <f t="shared" si="10"/>
        <v>0.04</v>
      </c>
      <c r="H42" s="48">
        <f t="shared" ca="1" si="1"/>
        <v>0.10957369574188765</v>
      </c>
      <c r="I42" s="48"/>
      <c r="J42" s="48"/>
      <c r="K42" s="52">
        <f t="shared" ca="1" si="11"/>
        <v>58038.816320948899</v>
      </c>
      <c r="L42" s="49">
        <f t="shared" ca="1" si="2"/>
        <v>1799203.3059494158</v>
      </c>
      <c r="M42" s="52">
        <f t="shared" ca="1" si="4"/>
        <v>1799203.3059494167</v>
      </c>
      <c r="N42" s="53">
        <f ca="1">M42*Assumptions!$B$18</f>
        <v>1349402.4794620625</v>
      </c>
      <c r="P42" s="55">
        <f t="shared" ca="1" si="5"/>
        <v>58038.816320949001</v>
      </c>
      <c r="Q42" s="56">
        <f t="shared" ca="1" si="6"/>
        <v>1.0186340659856796E-10</v>
      </c>
    </row>
    <row r="43" spans="2:17" x14ac:dyDescent="0.25">
      <c r="B43" s="46">
        <f t="shared" si="7"/>
        <v>32</v>
      </c>
      <c r="C43" s="22">
        <f t="shared" si="3"/>
        <v>77</v>
      </c>
      <c r="D43" s="47">
        <f t="shared" ca="1" si="8"/>
        <v>0.1</v>
      </c>
      <c r="E43" s="50">
        <f t="shared" ca="1" si="9"/>
        <v>550865.50257437723</v>
      </c>
      <c r="F43" s="51">
        <f t="shared" ca="1" si="10"/>
        <v>3.6484317092170926E-2</v>
      </c>
      <c r="G43" s="51">
        <f t="shared" si="10"/>
        <v>0.04</v>
      </c>
      <c r="H43" s="48">
        <f t="shared" ca="1" si="1"/>
        <v>0.10994536211726338</v>
      </c>
      <c r="I43" s="48"/>
      <c r="J43" s="48"/>
      <c r="K43" s="52">
        <f t="shared" ca="1" si="11"/>
        <v>60360.368973786834</v>
      </c>
      <c r="L43" s="49">
        <f t="shared" ca="1" si="2"/>
        <v>1931531.8071611787</v>
      </c>
      <c r="M43" s="52">
        <f t="shared" ca="1" si="4"/>
        <v>1931531.8071611803</v>
      </c>
      <c r="N43" s="53">
        <f ca="1">M43*Assumptions!$B$18</f>
        <v>1448648.8553708852</v>
      </c>
      <c r="P43" s="55">
        <f t="shared" ca="1" si="5"/>
        <v>60360.368973786244</v>
      </c>
      <c r="Q43" s="56">
        <f t="shared" ca="1" si="6"/>
        <v>-5.893525667488575E-10</v>
      </c>
    </row>
    <row r="44" spans="2:17" x14ac:dyDescent="0.25">
      <c r="B44" s="46">
        <f t="shared" si="7"/>
        <v>33</v>
      </c>
      <c r="C44" s="22">
        <f t="shared" ref="C44:C75" si="12">IF(C43="","",IF($D$2="A",C43+1,IF(C43+1&gt;$D$5,"",C43+1)))</f>
        <v>78</v>
      </c>
      <c r="D44" s="47">
        <f t="shared" ca="1" si="8"/>
        <v>0.1</v>
      </c>
      <c r="E44" s="50">
        <f t="shared" ca="1" si="9"/>
        <v>570963.45424543892</v>
      </c>
      <c r="F44" s="51">
        <f t="shared" ca="1" si="10"/>
        <v>3.6484317092170926E-2</v>
      </c>
      <c r="G44" s="51">
        <f t="shared" si="10"/>
        <v>0.04</v>
      </c>
      <c r="H44" s="48">
        <f t="shared" ca="1" si="1"/>
        <v>0.11031828915920372</v>
      </c>
      <c r="I44" s="48"/>
      <c r="J44" s="48"/>
      <c r="K44" s="52">
        <f t="shared" ca="1" si="11"/>
        <v>62774.783732738324</v>
      </c>
      <c r="L44" s="49">
        <f t="shared" ca="1" si="2"/>
        <v>2071567.8631803645</v>
      </c>
      <c r="M44" s="52">
        <f t="shared" ref="M44:M75" ca="1" si="13">IF($C44="",0,M43*(1+i)+K44)</f>
        <v>2071567.8631803659</v>
      </c>
      <c r="N44" s="53">
        <f ca="1">M44*Assumptions!$B$18</f>
        <v>1553675.8973852745</v>
      </c>
      <c r="P44" s="55">
        <f t="shared" ref="P44:P75" ca="1" si="14">IF($C44="","",L44-L43*(1+i))</f>
        <v>62774.783732738579</v>
      </c>
      <c r="Q44" s="56">
        <f t="shared" ca="1" si="6"/>
        <v>2.5465851649641991E-10</v>
      </c>
    </row>
    <row r="45" spans="2:17" x14ac:dyDescent="0.25">
      <c r="B45" s="46">
        <f t="shared" si="7"/>
        <v>34</v>
      </c>
      <c r="C45" s="22">
        <f t="shared" si="12"/>
        <v>79</v>
      </c>
      <c r="D45" s="47">
        <f t="shared" ca="1" si="8"/>
        <v>0.1</v>
      </c>
      <c r="E45" s="50">
        <f t="shared" ca="1" si="9"/>
        <v>591794.66595817078</v>
      </c>
      <c r="F45" s="51">
        <f t="shared" ca="1" si="10"/>
        <v>3.6484317092170926E-2</v>
      </c>
      <c r="G45" s="51">
        <f t="shared" si="10"/>
        <v>0.04</v>
      </c>
      <c r="H45" s="48">
        <f t="shared" ca="1" si="1"/>
        <v>0.11069248114380222</v>
      </c>
      <c r="I45" s="48"/>
      <c r="J45" s="48"/>
      <c r="K45" s="52">
        <f t="shared" ca="1" si="11"/>
        <v>65285.775082047861</v>
      </c>
      <c r="L45" s="49">
        <f t="shared" ca="1" si="2"/>
        <v>2219716.3527896274</v>
      </c>
      <c r="M45" s="52">
        <f t="shared" ca="1" si="13"/>
        <v>2219716.3527896288</v>
      </c>
      <c r="N45" s="53">
        <f ca="1">M45*Assumptions!$B$18</f>
        <v>1664787.2645922215</v>
      </c>
      <c r="P45" s="55">
        <f t="shared" ca="1" si="14"/>
        <v>65285.775082048029</v>
      </c>
      <c r="Q45" s="56">
        <f t="shared" ca="1" si="6"/>
        <v>1.673470251262188E-10</v>
      </c>
    </row>
    <row r="46" spans="2:17" x14ac:dyDescent="0.25">
      <c r="B46" s="46">
        <f t="shared" si="7"/>
        <v>35</v>
      </c>
      <c r="C46" s="22">
        <f t="shared" si="12"/>
        <v>80</v>
      </c>
      <c r="D46" s="47">
        <f t="shared" ca="1" si="8"/>
        <v>0.1</v>
      </c>
      <c r="E46" s="50">
        <f t="shared" ca="1" si="9"/>
        <v>613385.89020444406</v>
      </c>
      <c r="F46" s="51">
        <f t="shared" ca="1" si="10"/>
        <v>3.6484317092170926E-2</v>
      </c>
      <c r="G46" s="51">
        <f t="shared" si="10"/>
        <v>0.04</v>
      </c>
      <c r="H46" s="48">
        <f t="shared" ca="1" si="1"/>
        <v>0.11106794236165668</v>
      </c>
      <c r="I46" s="48"/>
      <c r="J46" s="48"/>
      <c r="K46" s="52">
        <f t="shared" ca="1" si="11"/>
        <v>67897.206085329759</v>
      </c>
      <c r="L46" s="49">
        <f t="shared" ca="1" si="2"/>
        <v>2376402.2129865419</v>
      </c>
      <c r="M46" s="52">
        <f t="shared" ca="1" si="13"/>
        <v>2376402.2129865438</v>
      </c>
      <c r="N46" s="53">
        <f ca="1">M46*Assumptions!$B$18</f>
        <v>1782301.6597399078</v>
      </c>
      <c r="P46" s="55">
        <f t="shared" ca="1" si="14"/>
        <v>67897.20608532941</v>
      </c>
      <c r="Q46" s="56">
        <f t="shared" ca="1" si="6"/>
        <v>-3.4924596548080444E-10</v>
      </c>
    </row>
    <row r="47" spans="2:17" x14ac:dyDescent="0.25">
      <c r="B47" s="46">
        <f t="shared" si="7"/>
        <v>36</v>
      </c>
      <c r="C47" s="22">
        <f t="shared" si="12"/>
        <v>81</v>
      </c>
      <c r="D47" s="47">
        <f t="shared" ca="1" si="8"/>
        <v>0.1</v>
      </c>
      <c r="E47" s="50">
        <f t="shared" ca="1" si="9"/>
        <v>635764.85552252654</v>
      </c>
      <c r="F47" s="51">
        <f t="shared" ca="1" si="10"/>
        <v>3.6484317092170926E-2</v>
      </c>
      <c r="G47" s="51">
        <f t="shared" si="10"/>
        <v>0.04</v>
      </c>
      <c r="H47" s="48">
        <f t="shared" ca="1" si="1"/>
        <v>0.11144467711791819</v>
      </c>
      <c r="I47" s="48"/>
      <c r="J47" s="48"/>
      <c r="K47" s="52">
        <f t="shared" ca="1" si="11"/>
        <v>70613.094328742969</v>
      </c>
      <c r="L47" s="49">
        <f t="shared" ca="1" si="2"/>
        <v>2542071.3958347468</v>
      </c>
      <c r="M47" s="52">
        <f t="shared" ca="1" si="13"/>
        <v>2542071.3958347486</v>
      </c>
      <c r="N47" s="53">
        <f ca="1">M47*Assumptions!$B$18</f>
        <v>1906553.5468760615</v>
      </c>
      <c r="P47" s="55">
        <f t="shared" ca="1" si="14"/>
        <v>70613.09432874294</v>
      </c>
      <c r="Q47" s="56">
        <f t="shared" ca="1" si="6"/>
        <v>-2.9103830456733704E-11</v>
      </c>
    </row>
    <row r="48" spans="2:17" x14ac:dyDescent="0.25">
      <c r="B48" s="46">
        <f t="shared" si="7"/>
        <v>37</v>
      </c>
      <c r="C48" s="22">
        <f t="shared" si="12"/>
        <v>82</v>
      </c>
      <c r="D48" s="47">
        <f t="shared" ca="1" si="8"/>
        <v>0.1</v>
      </c>
      <c r="E48" s="50">
        <f t="shared" ca="1" si="9"/>
        <v>658960.3021074686</v>
      </c>
      <c r="F48" s="51">
        <f t="shared" ca="1" si="10"/>
        <v>3.6484317092170926E-2</v>
      </c>
      <c r="G48" s="51">
        <f t="shared" si="10"/>
        <v>0.04</v>
      </c>
      <c r="H48" s="48">
        <f t="shared" ca="1" si="1"/>
        <v>0.11182268973234077</v>
      </c>
      <c r="I48" s="48"/>
      <c r="J48" s="48"/>
      <c r="K48" s="52">
        <f t="shared" ca="1" si="11"/>
        <v>73437.618101892673</v>
      </c>
      <c r="L48" s="49">
        <f t="shared" ca="1" si="2"/>
        <v>2717191.8697700282</v>
      </c>
      <c r="M48" s="52">
        <f t="shared" ca="1" si="13"/>
        <v>2717191.8697700314</v>
      </c>
      <c r="N48" s="53">
        <f ca="1">M48*Assumptions!$B$18</f>
        <v>2037893.9023275236</v>
      </c>
      <c r="P48" s="55">
        <f t="shared" ca="1" si="14"/>
        <v>73437.618101891596</v>
      </c>
      <c r="Q48" s="56">
        <f t="shared" ca="1" si="6"/>
        <v>-1.076841726899147E-9</v>
      </c>
    </row>
    <row r="49" spans="2:17" x14ac:dyDescent="0.25">
      <c r="B49" s="46">
        <f t="shared" si="7"/>
        <v>38</v>
      </c>
      <c r="C49" s="22">
        <f t="shared" si="12"/>
        <v>83</v>
      </c>
      <c r="D49" s="47">
        <f t="shared" ca="1" si="8"/>
        <v>0.1</v>
      </c>
      <c r="E49" s="50">
        <f t="shared" ca="1" si="9"/>
        <v>683002.01872071018</v>
      </c>
      <c r="F49" s="51">
        <f t="shared" ca="1" si="10"/>
        <v>3.6484317092170926E-2</v>
      </c>
      <c r="G49" s="51">
        <f t="shared" si="10"/>
        <v>0.04</v>
      </c>
      <c r="H49" s="48">
        <f t="shared" ca="1" si="1"/>
        <v>0.1122019845393306</v>
      </c>
      <c r="I49" s="48"/>
      <c r="J49" s="48"/>
      <c r="K49" s="52">
        <f t="shared" ca="1" si="11"/>
        <v>76375.122825968385</v>
      </c>
      <c r="L49" s="49">
        <f t="shared" ca="1" si="2"/>
        <v>2902254.6673867987</v>
      </c>
      <c r="M49" s="52">
        <f t="shared" ca="1" si="13"/>
        <v>2902254.6673868014</v>
      </c>
      <c r="N49" s="53">
        <f ca="1">M49*Assumptions!$B$18</f>
        <v>2176691.000540101</v>
      </c>
      <c r="P49" s="55">
        <f t="shared" ca="1" si="14"/>
        <v>76375.122825969476</v>
      </c>
      <c r="Q49" s="56">
        <f t="shared" ca="1" si="6"/>
        <v>1.0913936421275139E-9</v>
      </c>
    </row>
    <row r="50" spans="2:17" x14ac:dyDescent="0.25">
      <c r="B50" s="46">
        <f t="shared" si="7"/>
        <v>39</v>
      </c>
      <c r="C50" s="22">
        <f t="shared" si="12"/>
        <v>84</v>
      </c>
      <c r="D50" s="47">
        <f t="shared" ca="1" si="8"/>
        <v>0.1</v>
      </c>
      <c r="E50" s="50">
        <f t="shared" ca="1" si="9"/>
        <v>707920.88094630942</v>
      </c>
      <c r="F50" s="51">
        <f t="shared" ca="1" si="10"/>
        <v>3.6484317092170926E-2</v>
      </c>
      <c r="G50" s="51">
        <f t="shared" si="10"/>
        <v>0.04</v>
      </c>
      <c r="H50" s="48">
        <f t="shared" ca="1" si="1"/>
        <v>0.11258256588799594</v>
      </c>
      <c r="I50" s="48"/>
      <c r="J50" s="48"/>
      <c r="K50" s="52">
        <f t="shared" ca="1" si="11"/>
        <v>79430.127739007105</v>
      </c>
      <c r="L50" s="49">
        <f t="shared" ca="1" si="2"/>
        <v>3097774.9818212772</v>
      </c>
      <c r="M50" s="52">
        <f t="shared" ca="1" si="13"/>
        <v>3097774.9818212809</v>
      </c>
      <c r="N50" s="53">
        <f ca="1">M50*Assumptions!$B$18</f>
        <v>2323331.2363659609</v>
      </c>
      <c r="P50" s="55">
        <f t="shared" ca="1" si="14"/>
        <v>79430.127739006653</v>
      </c>
      <c r="Q50" s="56">
        <f t="shared" ca="1" si="6"/>
        <v>-4.5110937207937241E-10</v>
      </c>
    </row>
    <row r="51" spans="2:17" x14ac:dyDescent="0.25">
      <c r="B51" s="46">
        <f t="shared" si="7"/>
        <v>40</v>
      </c>
      <c r="C51" s="22">
        <f t="shared" si="12"/>
        <v>85</v>
      </c>
      <c r="D51" s="47">
        <f t="shared" ca="1" si="8"/>
        <v>0.1</v>
      </c>
      <c r="E51" s="50">
        <f t="shared" ca="1" si="9"/>
        <v>733748.89084292355</v>
      </c>
      <c r="F51" s="51">
        <f t="shared" ca="1" si="10"/>
        <v>3.6484317092170926E-2</v>
      </c>
      <c r="G51" s="51">
        <f t="shared" si="10"/>
        <v>0.04</v>
      </c>
      <c r="H51" s="48">
        <f t="shared" ca="1" si="1"/>
        <v>0.11296443814219695</v>
      </c>
      <c r="I51" s="48"/>
      <c r="J51" s="48"/>
      <c r="K51" s="52">
        <f t="shared" ca="1" si="11"/>
        <v>82607.332848567385</v>
      </c>
      <c r="L51" s="49">
        <f t="shared" ca="1" si="2"/>
        <v>3304293.313942695</v>
      </c>
      <c r="M51" s="52">
        <f t="shared" ca="1" si="13"/>
        <v>3304293.3139426997</v>
      </c>
      <c r="N51" s="53">
        <f ca="1">M51*Assumptions!$B$18</f>
        <v>2478219.9854570245</v>
      </c>
      <c r="P51" s="55">
        <f t="shared" ca="1" si="14"/>
        <v>82607.332848566584</v>
      </c>
      <c r="Q51" s="56">
        <f t="shared" ca="1" si="6"/>
        <v>-8.0035533756017685E-10</v>
      </c>
    </row>
    <row r="52" spans="2:17" x14ac:dyDescent="0.25">
      <c r="B52" s="46">
        <f t="shared" si="7"/>
        <v>41</v>
      </c>
      <c r="C52" s="22">
        <f t="shared" si="12"/>
        <v>86</v>
      </c>
      <c r="D52" s="47">
        <f t="shared" ca="1" si="8"/>
        <v>0.1</v>
      </c>
      <c r="E52" s="50">
        <f t="shared" ca="1" si="9"/>
        <v>760519.21804246551</v>
      </c>
      <c r="F52" s="51">
        <f t="shared" ca="1" si="10"/>
        <v>3.6484317092170926E-2</v>
      </c>
      <c r="G52" s="51">
        <f t="shared" si="10"/>
        <v>0.04</v>
      </c>
      <c r="H52" s="48">
        <f t="shared" ca="1" si="1"/>
        <v>0.11334760568059561</v>
      </c>
      <c r="I52" s="48"/>
      <c r="J52" s="48"/>
      <c r="K52" s="52">
        <f t="shared" ca="1" si="11"/>
        <v>85911.626162510089</v>
      </c>
      <c r="L52" s="49">
        <f t="shared" ca="1" si="2"/>
        <v>3522376.6726629133</v>
      </c>
      <c r="M52" s="52">
        <f t="shared" ca="1" si="13"/>
        <v>3522376.6726629175</v>
      </c>
      <c r="N52" s="53">
        <f ca="1">M52*Assumptions!$B$18</f>
        <v>2641782.5044971881</v>
      </c>
      <c r="P52" s="55">
        <f t="shared" ca="1" si="14"/>
        <v>85911.626162510365</v>
      </c>
      <c r="Q52" s="56">
        <f t="shared" ca="1" si="6"/>
        <v>2.7648638933897018E-10</v>
      </c>
    </row>
    <row r="53" spans="2:17" x14ac:dyDescent="0.25">
      <c r="B53" s="46">
        <f t="shared" si="7"/>
        <v>42</v>
      </c>
      <c r="C53" s="22">
        <f t="shared" si="12"/>
        <v>87</v>
      </c>
      <c r="D53" s="47">
        <f t="shared" ca="1" si="8"/>
        <v>0.1</v>
      </c>
      <c r="E53" s="50">
        <f t="shared" ca="1" si="9"/>
        <v>788266.24234821671</v>
      </c>
      <c r="F53" s="51">
        <f t="shared" ca="1" si="10"/>
        <v>3.6484317092170926E-2</v>
      </c>
      <c r="G53" s="51">
        <f t="shared" si="10"/>
        <v>0.04</v>
      </c>
      <c r="H53" s="48">
        <f t="shared" ca="1" si="1"/>
        <v>0.11373207289670613</v>
      </c>
      <c r="I53" s="48"/>
      <c r="J53" s="48"/>
      <c r="K53" s="52">
        <f t="shared" ca="1" si="11"/>
        <v>89348.091209010483</v>
      </c>
      <c r="L53" s="49">
        <f t="shared" ca="1" si="2"/>
        <v>3752619.8307784409</v>
      </c>
      <c r="M53" s="52">
        <f t="shared" ca="1" si="13"/>
        <v>3752619.8307784451</v>
      </c>
      <c r="N53" s="53">
        <f ca="1">M53*Assumptions!$B$18</f>
        <v>2814464.8730838336</v>
      </c>
      <c r="P53" s="55">
        <f t="shared" ca="1" si="14"/>
        <v>89348.091209011152</v>
      </c>
      <c r="Q53" s="56">
        <f t="shared" ca="1" si="6"/>
        <v>6.6938810050487518E-10</v>
      </c>
    </row>
    <row r="54" spans="2:17" x14ac:dyDescent="0.25">
      <c r="B54" s="46">
        <f t="shared" si="7"/>
        <v>43</v>
      </c>
      <c r="C54" s="22">
        <f t="shared" si="12"/>
        <v>88</v>
      </c>
      <c r="D54" s="47">
        <f t="shared" ca="1" si="8"/>
        <v>0.1</v>
      </c>
      <c r="E54" s="50">
        <f t="shared" ca="1" si="9"/>
        <v>817025.5978871031</v>
      </c>
      <c r="F54" s="51">
        <f t="shared" ca="1" si="10"/>
        <v>3.6484317092170926E-2</v>
      </c>
      <c r="G54" s="51">
        <f t="shared" si="10"/>
        <v>0.04</v>
      </c>
      <c r="H54" s="48">
        <f t="shared" ca="1" si="1"/>
        <v>0.11411784419894509</v>
      </c>
      <c r="I54" s="48"/>
      <c r="J54" s="48"/>
      <c r="K54" s="52">
        <f t="shared" ca="1" si="11"/>
        <v>92922.014857370916</v>
      </c>
      <c r="L54" s="49">
        <f t="shared" ca="1" si="2"/>
        <v>3995646.6388669498</v>
      </c>
      <c r="M54" s="52">
        <f t="shared" ca="1" si="13"/>
        <v>3995646.638866954</v>
      </c>
      <c r="N54" s="53">
        <f ca="1">M54*Assumptions!$B$18</f>
        <v>2996734.9791502156</v>
      </c>
      <c r="P54" s="55">
        <f t="shared" ca="1" si="14"/>
        <v>92922.014857371338</v>
      </c>
      <c r="Q54" s="56">
        <f t="shared" ca="1" si="6"/>
        <v>4.220055416226387E-10</v>
      </c>
    </row>
    <row r="55" spans="2:17" x14ac:dyDescent="0.25">
      <c r="B55" s="46">
        <f t="shared" si="7"/>
        <v>44</v>
      </c>
      <c r="C55" s="22">
        <f t="shared" si="12"/>
        <v>89</v>
      </c>
      <c r="D55" s="47">
        <f t="shared" ca="1" si="8"/>
        <v>0.1</v>
      </c>
      <c r="E55" s="50">
        <f t="shared" ca="1" si="9"/>
        <v>846834.21887283667</v>
      </c>
      <c r="F55" s="51">
        <f t="shared" ca="1" si="10"/>
        <v>3.6484317092170926E-2</v>
      </c>
      <c r="G55" s="51">
        <f t="shared" si="10"/>
        <v>0.04</v>
      </c>
      <c r="H55" s="48">
        <f t="shared" ca="1" si="1"/>
        <v>0.11450492401068223</v>
      </c>
      <c r="I55" s="48"/>
      <c r="J55" s="48"/>
      <c r="K55" s="52">
        <f t="shared" ca="1" si="11"/>
        <v>96638.89545166574</v>
      </c>
      <c r="L55" s="49">
        <f t="shared" ca="1" si="2"/>
        <v>4252111.399873293</v>
      </c>
      <c r="M55" s="52">
        <f t="shared" ca="1" si="13"/>
        <v>4252111.3998732977</v>
      </c>
      <c r="N55" s="53">
        <f ca="1">M55*Assumptions!$B$18</f>
        <v>3189083.5499049732</v>
      </c>
      <c r="P55" s="55">
        <f t="shared" ca="1" si="14"/>
        <v>96638.895451664925</v>
      </c>
      <c r="Q55" s="56">
        <f t="shared" ca="1" si="6"/>
        <v>-8.149072527885437E-10</v>
      </c>
    </row>
    <row r="56" spans="2:17" x14ac:dyDescent="0.25">
      <c r="B56" s="46">
        <f t="shared" si="7"/>
        <v>45</v>
      </c>
      <c r="C56" s="22">
        <f t="shared" si="12"/>
        <v>90</v>
      </c>
      <c r="D56" s="47">
        <f t="shared" ca="1" si="8"/>
        <v>0.1</v>
      </c>
      <c r="E56" s="50">
        <f t="shared" ca="1" si="9"/>
        <v>877730.38703869411</v>
      </c>
      <c r="F56" s="51">
        <f t="shared" ca="1" si="10"/>
        <v>3.6484317092170926E-2</v>
      </c>
      <c r="G56" s="51">
        <f t="shared" si="10"/>
        <v>0.04</v>
      </c>
      <c r="H56" s="48">
        <f t="shared" ca="1" si="1"/>
        <v>0.11489331677029098</v>
      </c>
      <c r="I56" s="48"/>
      <c r="J56" s="48"/>
      <c r="K56" s="52">
        <f t="shared" ca="1" si="11"/>
        <v>100504.45126973237</v>
      </c>
      <c r="L56" s="49">
        <f t="shared" ca="1" si="2"/>
        <v>4522700.3071379568</v>
      </c>
      <c r="M56" s="52">
        <f t="shared" ca="1" si="13"/>
        <v>4522700.3071379624</v>
      </c>
      <c r="N56" s="53">
        <f ca="1">M56*Assumptions!$B$18</f>
        <v>3392025.2303534718</v>
      </c>
      <c r="P56" s="55">
        <f t="shared" ca="1" si="14"/>
        <v>100504.45126973186</v>
      </c>
      <c r="Q56" s="56">
        <f t="shared" ca="1" si="6"/>
        <v>-5.0931703299283981E-10</v>
      </c>
    </row>
    <row r="57" spans="2:17" x14ac:dyDescent="0.25">
      <c r="B57" s="46">
        <f t="shared" si="7"/>
        <v>46</v>
      </c>
      <c r="C57" s="22">
        <f t="shared" si="12"/>
        <v>91</v>
      </c>
      <c r="D57" s="47">
        <f t="shared" ca="1" si="8"/>
        <v>0.1</v>
      </c>
      <c r="E57" s="50">
        <f t="shared" ca="1" si="9"/>
        <v>909753.78080084769</v>
      </c>
      <c r="F57" s="51">
        <f t="shared" ca="1" si="10"/>
        <v>3.6484317092170926E-2</v>
      </c>
      <c r="G57" s="51">
        <f t="shared" si="10"/>
        <v>0.04</v>
      </c>
      <c r="H57" s="48">
        <f t="shared" ca="1" si="1"/>
        <v>0.11528302693119946</v>
      </c>
      <c r="I57" s="48"/>
      <c r="J57" s="48"/>
      <c r="K57" s="52">
        <f t="shared" ca="1" si="11"/>
        <v>104524.62932052165</v>
      </c>
      <c r="L57" s="49">
        <f t="shared" ca="1" si="2"/>
        <v>4808132.9487439962</v>
      </c>
      <c r="M57" s="52">
        <f t="shared" ca="1" si="13"/>
        <v>4808132.9487440027</v>
      </c>
      <c r="N57" s="53">
        <f ca="1">M57*Assumptions!$B$18</f>
        <v>3606099.711558002</v>
      </c>
      <c r="P57" s="55">
        <f t="shared" ca="1" si="14"/>
        <v>104524.62932052091</v>
      </c>
      <c r="Q57" s="56">
        <f t="shared" ca="1" si="6"/>
        <v>-7.4214767664670944E-10</v>
      </c>
    </row>
    <row r="58" spans="2:17" x14ac:dyDescent="0.25">
      <c r="B58" s="46">
        <f t="shared" si="7"/>
        <v>47</v>
      </c>
      <c r="C58" s="22">
        <f t="shared" si="12"/>
        <v>92</v>
      </c>
      <c r="D58" s="47">
        <f t="shared" ca="1" si="8"/>
        <v>0.1</v>
      </c>
      <c r="E58" s="50">
        <f t="shared" ca="1" si="9"/>
        <v>942945.52621538716</v>
      </c>
      <c r="F58" s="51">
        <f t="shared" ca="1" si="10"/>
        <v>3.6484317092170926E-2</v>
      </c>
      <c r="G58" s="51">
        <f t="shared" si="10"/>
        <v>0.04</v>
      </c>
      <c r="H58" s="48">
        <f t="shared" ca="1" si="1"/>
        <v>0.11567405896194148</v>
      </c>
      <c r="I58" s="48"/>
      <c r="J58" s="48"/>
      <c r="K58" s="52">
        <f t="shared" ca="1" si="11"/>
        <v>108705.61449334252</v>
      </c>
      <c r="L58" s="49">
        <f t="shared" ca="1" si="2"/>
        <v>5109163.881187099</v>
      </c>
      <c r="M58" s="52">
        <f t="shared" ca="1" si="13"/>
        <v>5109163.8811871056</v>
      </c>
      <c r="N58" s="53">
        <f ca="1">M58*Assumptions!$B$18</f>
        <v>3831872.9108903292</v>
      </c>
      <c r="P58" s="55">
        <f t="shared" ca="1" si="14"/>
        <v>108705.61449334305</v>
      </c>
      <c r="Q58" s="56">
        <f t="shared" ca="1" si="6"/>
        <v>5.2386894822120667E-10</v>
      </c>
    </row>
    <row r="59" spans="2:17" x14ac:dyDescent="0.25">
      <c r="B59" s="46">
        <f t="shared" si="7"/>
        <v>48</v>
      </c>
      <c r="C59" s="22">
        <f t="shared" si="12"/>
        <v>93</v>
      </c>
      <c r="D59" s="47">
        <f t="shared" ca="1" si="8"/>
        <v>0.1</v>
      </c>
      <c r="E59" s="50">
        <f t="shared" ca="1" si="9"/>
        <v>977348.24979447329</v>
      </c>
      <c r="F59" s="51">
        <f t="shared" ref="F59:G74" ca="1" si="15">IF($C59="","",F58)</f>
        <v>3.6484317092170926E-2</v>
      </c>
      <c r="G59" s="51">
        <f t="shared" si="15"/>
        <v>0.04</v>
      </c>
      <c r="H59" s="48">
        <f t="shared" ref="H59:H75" ca="1" si="16">D59*((1+F59)/(1+G59))^($D$5-C59-1)</f>
        <v>0.11606641734620785</v>
      </c>
      <c r="I59" s="48"/>
      <c r="J59" s="48"/>
      <c r="K59" s="52">
        <f t="shared" ca="1" si="11"/>
        <v>113053.83907307622</v>
      </c>
      <c r="L59" s="49">
        <f t="shared" ref="L59:L75" ca="1" si="17">IF($C59="",0,D59*E59*B59*((1+F59)/(1+G59))^($D$5-C59))</f>
        <v>5426584.2755076578</v>
      </c>
      <c r="M59" s="52">
        <f t="shared" ca="1" si="13"/>
        <v>5426584.2755076662</v>
      </c>
      <c r="N59" s="53">
        <f ca="1">M59*Assumptions!$B$18</f>
        <v>4069938.2066307496</v>
      </c>
      <c r="P59" s="55">
        <f t="shared" ca="1" si="14"/>
        <v>113053.83907307498</v>
      </c>
      <c r="Q59" s="56">
        <f t="shared" ref="Q59:Q75" ca="1" si="18">IFERROR(P59-K59,"")</f>
        <v>-1.2369127944111824E-9</v>
      </c>
    </row>
    <row r="60" spans="2:17" x14ac:dyDescent="0.25">
      <c r="B60" s="46">
        <f t="shared" si="7"/>
        <v>49</v>
      </c>
      <c r="C60" s="22">
        <f t="shared" si="12"/>
        <v>94</v>
      </c>
      <c r="D60" s="47">
        <f t="shared" ca="1" si="8"/>
        <v>0.1</v>
      </c>
      <c r="E60" s="50">
        <f t="shared" ca="1" si="9"/>
        <v>1013006.1332494532</v>
      </c>
      <c r="F60" s="51">
        <f t="shared" ca="1" si="15"/>
        <v>3.6484317092170926E-2</v>
      </c>
      <c r="G60" s="51">
        <f t="shared" si="15"/>
        <v>0.04</v>
      </c>
      <c r="H60" s="48">
        <f t="shared" ca="1" si="16"/>
        <v>0.1164601065828977</v>
      </c>
      <c r="I60" s="48"/>
      <c r="J60" s="48"/>
      <c r="K60" s="52">
        <f t="shared" ca="1" si="11"/>
        <v>117575.99263599927</v>
      </c>
      <c r="L60" s="49">
        <f t="shared" ca="1" si="17"/>
        <v>5761223.6391639654</v>
      </c>
      <c r="M60" s="52">
        <f t="shared" ca="1" si="13"/>
        <v>5761223.6391639719</v>
      </c>
      <c r="N60" s="53">
        <f ca="1">M60*Assumptions!$B$18</f>
        <v>4320917.7293729791</v>
      </c>
      <c r="P60" s="55">
        <f t="shared" ca="1" si="14"/>
        <v>117575.99263600074</v>
      </c>
      <c r="Q60" s="56">
        <f t="shared" ca="1" si="18"/>
        <v>1.469743438065052E-9</v>
      </c>
    </row>
    <row r="61" spans="2:17" x14ac:dyDescent="0.25">
      <c r="B61" s="46">
        <f t="shared" si="7"/>
        <v>50</v>
      </c>
      <c r="C61" s="22">
        <f t="shared" si="12"/>
        <v>95</v>
      </c>
      <c r="D61" s="47">
        <f t="shared" ca="1" si="8"/>
        <v>0.1</v>
      </c>
      <c r="E61" s="50">
        <f t="shared" ca="1" si="9"/>
        <v>1049964.9702312401</v>
      </c>
      <c r="F61" s="51">
        <f t="shared" ca="1" si="15"/>
        <v>3.6484317092170926E-2</v>
      </c>
      <c r="G61" s="51">
        <f t="shared" si="15"/>
        <v>0.04</v>
      </c>
      <c r="H61" s="48">
        <f t="shared" ca="1" si="16"/>
        <v>0.11685513118617014</v>
      </c>
      <c r="I61" s="48"/>
      <c r="J61" s="48"/>
      <c r="K61" s="52">
        <f t="shared" ca="1" si="11"/>
        <v>122279.03234143923</v>
      </c>
      <c r="L61" s="49">
        <f t="shared" ca="1" si="17"/>
        <v>6113951.617071962</v>
      </c>
      <c r="M61" s="52">
        <f t="shared" ca="1" si="13"/>
        <v>6113951.6170719704</v>
      </c>
      <c r="N61" s="53">
        <f ca="1">M61*Assumptions!$B$18</f>
        <v>4585463.7128039775</v>
      </c>
      <c r="P61" s="55">
        <f t="shared" ca="1" si="14"/>
        <v>122279.03234143741</v>
      </c>
      <c r="Q61" s="56">
        <f t="shared" ca="1" si="18"/>
        <v>-1.8189894035458565E-9</v>
      </c>
    </row>
    <row r="62" spans="2:17" x14ac:dyDescent="0.25">
      <c r="B62" s="46">
        <f t="shared" si="7"/>
        <v>51</v>
      </c>
      <c r="C62" s="22">
        <f t="shared" si="12"/>
        <v>96</v>
      </c>
      <c r="D62" s="47">
        <f t="shared" ca="1" si="8"/>
        <v>0.1</v>
      </c>
      <c r="E62" s="50">
        <f t="shared" ca="1" si="9"/>
        <v>1088272.2251408284</v>
      </c>
      <c r="F62" s="51">
        <f t="shared" ca="1" si="15"/>
        <v>3.6484317092170926E-2</v>
      </c>
      <c r="G62" s="51">
        <f t="shared" si="15"/>
        <v>0.04</v>
      </c>
      <c r="H62" s="48">
        <f t="shared" ca="1" si="16"/>
        <v>0.11725149568549598</v>
      </c>
      <c r="I62" s="48"/>
      <c r="J62" s="48"/>
      <c r="K62" s="52">
        <f t="shared" ca="1" si="11"/>
        <v>127170.19363509679</v>
      </c>
      <c r="L62" s="49">
        <f t="shared" ca="1" si="17"/>
        <v>6485679.8753899364</v>
      </c>
      <c r="M62" s="52">
        <f t="shared" ca="1" si="13"/>
        <v>6485679.8753899466</v>
      </c>
      <c r="N62" s="53">
        <f ca="1">M62*Assumptions!$B$18</f>
        <v>4864259.9065424595</v>
      </c>
      <c r="P62" s="55">
        <f t="shared" ca="1" si="14"/>
        <v>127170.19363509584</v>
      </c>
      <c r="Q62" s="56">
        <f t="shared" ca="1" si="18"/>
        <v>-9.4587448984384537E-10</v>
      </c>
    </row>
    <row r="63" spans="2:17" x14ac:dyDescent="0.25">
      <c r="B63" s="46">
        <f t="shared" si="7"/>
        <v>52</v>
      </c>
      <c r="C63" s="22">
        <f t="shared" si="12"/>
        <v>97</v>
      </c>
      <c r="D63" s="47">
        <f t="shared" ca="1" si="8"/>
        <v>0.1</v>
      </c>
      <c r="E63" s="50">
        <f t="shared" ca="1" si="9"/>
        <v>1127977.0940854689</v>
      </c>
      <c r="F63" s="51">
        <f t="shared" ca="1" si="15"/>
        <v>3.6484317092170926E-2</v>
      </c>
      <c r="G63" s="51">
        <f t="shared" si="15"/>
        <v>0.04</v>
      </c>
      <c r="H63" s="48">
        <f t="shared" ca="1" si="16"/>
        <v>0.11764920462570974</v>
      </c>
      <c r="I63" s="48"/>
      <c r="J63" s="48"/>
      <c r="K63" s="52">
        <f t="shared" ca="1" si="11"/>
        <v>132257.00138050065</v>
      </c>
      <c r="L63" s="49">
        <f t="shared" ca="1" si="17"/>
        <v>6877364.0717860349</v>
      </c>
      <c r="M63" s="52">
        <f t="shared" ca="1" si="13"/>
        <v>6877364.0717860451</v>
      </c>
      <c r="N63" s="53">
        <f ca="1">M63*Assumptions!$B$18</f>
        <v>5158023.0538395336</v>
      </c>
      <c r="P63" s="55">
        <f t="shared" ca="1" si="14"/>
        <v>132257.00138050038</v>
      </c>
      <c r="Q63" s="56">
        <f t="shared" ca="1" si="18"/>
        <v>-2.6193447411060333E-10</v>
      </c>
    </row>
    <row r="64" spans="2:17" x14ac:dyDescent="0.25">
      <c r="B64" s="46">
        <f t="shared" si="7"/>
        <v>53</v>
      </c>
      <c r="C64" s="22">
        <f t="shared" si="12"/>
        <v>98</v>
      </c>
      <c r="D64" s="47">
        <f t="shared" ca="1" si="8"/>
        <v>0.1</v>
      </c>
      <c r="E64" s="50">
        <f t="shared" ca="1" si="9"/>
        <v>1169130.5680587888</v>
      </c>
      <c r="F64" s="51">
        <f t="shared" ca="1" si="15"/>
        <v>3.6484317092170926E-2</v>
      </c>
      <c r="G64" s="51">
        <f t="shared" si="15"/>
        <v>0.04</v>
      </c>
      <c r="H64" s="48">
        <f t="shared" ca="1" si="16"/>
        <v>0.11804826256706161</v>
      </c>
      <c r="I64" s="48"/>
      <c r="J64" s="48"/>
      <c r="K64" s="52">
        <f t="shared" ca="1" si="11"/>
        <v>137547.28143572071</v>
      </c>
      <c r="L64" s="49">
        <f t="shared" ca="1" si="17"/>
        <v>7290005.9160931977</v>
      </c>
      <c r="M64" s="52">
        <f t="shared" ca="1" si="13"/>
        <v>7290005.9160932079</v>
      </c>
      <c r="N64" s="53">
        <f ca="1">M64*Assumptions!$B$18</f>
        <v>5467504.4370699059</v>
      </c>
      <c r="P64" s="55">
        <f t="shared" ca="1" si="14"/>
        <v>137547.28143572155</v>
      </c>
      <c r="Q64" s="56">
        <f t="shared" ca="1" si="18"/>
        <v>8.440110832452774E-10</v>
      </c>
    </row>
    <row r="65" spans="2:17" x14ac:dyDescent="0.25">
      <c r="B65" s="46">
        <f t="shared" si="7"/>
        <v>54</v>
      </c>
      <c r="C65" s="22">
        <f t="shared" si="12"/>
        <v>99</v>
      </c>
      <c r="D65" s="47">
        <f t="shared" ca="1" si="8"/>
        <v>0.1</v>
      </c>
      <c r="E65" s="50">
        <f t="shared" ca="1" si="9"/>
        <v>1211785.4984259955</v>
      </c>
      <c r="F65" s="51">
        <f t="shared" ca="1" si="15"/>
        <v>3.6484317092170926E-2</v>
      </c>
      <c r="G65" s="51">
        <f t="shared" si="15"/>
        <v>0.04</v>
      </c>
      <c r="H65" s="48">
        <f t="shared" ca="1" si="16"/>
        <v>0.11844867408526988</v>
      </c>
      <c r="I65" s="48"/>
      <c r="J65" s="48"/>
      <c r="K65" s="52">
        <f t="shared" ca="1" si="11"/>
        <v>143049.17269314954</v>
      </c>
      <c r="L65" s="49">
        <f t="shared" ca="1" si="17"/>
        <v>7724655.3254300738</v>
      </c>
      <c r="M65" s="52">
        <f t="shared" ca="1" si="13"/>
        <v>7724655.3254300859</v>
      </c>
      <c r="N65" s="53">
        <f ca="1">M65*Assumptions!$B$18</f>
        <v>5793491.4940725639</v>
      </c>
      <c r="P65" s="55">
        <f t="shared" ca="1" si="14"/>
        <v>143049.17269314826</v>
      </c>
      <c r="Q65" s="56">
        <f t="shared" ca="1" si="18"/>
        <v>-1.280568540096283E-9</v>
      </c>
    </row>
    <row r="66" spans="2:17" x14ac:dyDescent="0.25">
      <c r="B66" s="46">
        <f t="shared" si="7"/>
        <v>55</v>
      </c>
      <c r="C66" s="22">
        <f t="shared" si="12"/>
        <v>100</v>
      </c>
      <c r="D66" s="47">
        <f t="shared" ca="1" si="8"/>
        <v>0.1</v>
      </c>
      <c r="E66" s="50">
        <f t="shared" ca="1" si="9"/>
        <v>1255996.6647982639</v>
      </c>
      <c r="F66" s="51">
        <f t="shared" ca="1" si="15"/>
        <v>3.6484317092170926E-2</v>
      </c>
      <c r="G66" s="51">
        <f t="shared" si="15"/>
        <v>0.04</v>
      </c>
      <c r="H66" s="48">
        <f t="shared" ca="1" si="16"/>
        <v>0.11885044377157335</v>
      </c>
      <c r="I66" s="48"/>
      <c r="J66" s="48"/>
      <c r="K66" s="52">
        <f t="shared" ca="1" si="11"/>
        <v>148771.13960087553</v>
      </c>
      <c r="L66" s="49">
        <f t="shared" ca="1" si="17"/>
        <v>8182412.6780481534</v>
      </c>
      <c r="M66" s="52">
        <f t="shared" ca="1" si="13"/>
        <v>8182412.6780481655</v>
      </c>
      <c r="N66" s="53">
        <f ca="1">M66*Assumptions!$B$18</f>
        <v>6136809.5085361246</v>
      </c>
      <c r="P66" s="55">
        <f t="shared" ca="1" si="14"/>
        <v>148771.13960087672</v>
      </c>
      <c r="Q66" s="56">
        <f t="shared" ca="1" si="18"/>
        <v>1.1932570487260818E-9</v>
      </c>
    </row>
    <row r="67" spans="2:17" x14ac:dyDescent="0.25">
      <c r="B67" s="46">
        <f t="shared" si="7"/>
        <v>56</v>
      </c>
      <c r="C67" s="22">
        <f t="shared" si="12"/>
        <v>101</v>
      </c>
      <c r="D67" s="47">
        <f t="shared" ca="1" si="8"/>
        <v>0.1</v>
      </c>
      <c r="E67" s="50">
        <f t="shared" ca="1" si="9"/>
        <v>1301820.845383473</v>
      </c>
      <c r="F67" s="51">
        <f t="shared" ca="1" si="15"/>
        <v>3.6484317092170926E-2</v>
      </c>
      <c r="G67" s="51">
        <f t="shared" si="15"/>
        <v>0.04</v>
      </c>
      <c r="H67" s="48">
        <f t="shared" ca="1" si="16"/>
        <v>0.11925357623278401</v>
      </c>
      <c r="I67" s="48"/>
      <c r="J67" s="48"/>
      <c r="K67" s="52">
        <f t="shared" ca="1" si="11"/>
        <v>154721.98518491053</v>
      </c>
      <c r="L67" s="49">
        <f t="shared" ca="1" si="17"/>
        <v>8664431.1703549903</v>
      </c>
      <c r="M67" s="52">
        <f t="shared" ca="1" si="13"/>
        <v>8664431.1703550015</v>
      </c>
      <c r="N67" s="53">
        <f ca="1">M67*Assumptions!$B$18</f>
        <v>6498323.3777662516</v>
      </c>
      <c r="P67" s="55">
        <f t="shared" ca="1" si="14"/>
        <v>154721.98518490978</v>
      </c>
      <c r="Q67" s="56">
        <f t="shared" ca="1" si="18"/>
        <v>-7.5669959187507629E-10</v>
      </c>
    </row>
    <row r="68" spans="2:17" x14ac:dyDescent="0.25">
      <c r="B68" s="46">
        <f t="shared" si="7"/>
        <v>57</v>
      </c>
      <c r="C68" s="22">
        <f t="shared" si="12"/>
        <v>102</v>
      </c>
      <c r="D68" s="47">
        <f t="shared" ca="1" si="8"/>
        <v>0.1</v>
      </c>
      <c r="E68" s="50">
        <f t="shared" ca="1" si="9"/>
        <v>1349316.8899036415</v>
      </c>
      <c r="F68" s="51">
        <f t="shared" ca="1" si="15"/>
        <v>3.6484317092170926E-2</v>
      </c>
      <c r="G68" s="51">
        <f t="shared" si="15"/>
        <v>0.04</v>
      </c>
      <c r="H68" s="48">
        <f t="shared" ca="1" si="16"/>
        <v>0.11965807609133981</v>
      </c>
      <c r="I68" s="48"/>
      <c r="J68" s="48"/>
      <c r="K68" s="52">
        <f t="shared" ca="1" si="11"/>
        <v>160910.86459230696</v>
      </c>
      <c r="L68" s="49">
        <f t="shared" ca="1" si="17"/>
        <v>9171919.2817614973</v>
      </c>
      <c r="M68" s="52">
        <f t="shared" ca="1" si="13"/>
        <v>9171919.2817615084</v>
      </c>
      <c r="N68" s="53">
        <f ca="1">M68*Assumptions!$B$18</f>
        <v>6878939.4613211313</v>
      </c>
      <c r="P68" s="55">
        <f t="shared" ca="1" si="14"/>
        <v>160910.86459230632</v>
      </c>
      <c r="Q68" s="56">
        <f t="shared" ca="1" si="18"/>
        <v>-6.4028427004814148E-10</v>
      </c>
    </row>
    <row r="69" spans="2:17" x14ac:dyDescent="0.25">
      <c r="B69" s="46">
        <f t="shared" si="7"/>
        <v>58</v>
      </c>
      <c r="C69" s="22">
        <f t="shared" si="12"/>
        <v>103</v>
      </c>
      <c r="D69" s="47">
        <f t="shared" ca="1" si="8"/>
        <v>0.1</v>
      </c>
      <c r="E69" s="50">
        <f t="shared" ca="1" si="9"/>
        <v>1398545.7951727079</v>
      </c>
      <c r="F69" s="51">
        <f t="shared" ca="1" si="15"/>
        <v>3.6484317092170926E-2</v>
      </c>
      <c r="G69" s="51">
        <f t="shared" si="15"/>
        <v>0.04</v>
      </c>
      <c r="H69" s="48">
        <f t="shared" ca="1" si="16"/>
        <v>0.12006394798535769</v>
      </c>
      <c r="I69" s="48"/>
      <c r="J69" s="48"/>
      <c r="K69" s="52">
        <f t="shared" ca="1" si="11"/>
        <v>167347.29917599921</v>
      </c>
      <c r="L69" s="49">
        <f t="shared" ca="1" si="17"/>
        <v>9706143.352207955</v>
      </c>
      <c r="M69" s="52">
        <f t="shared" ca="1" si="13"/>
        <v>9706143.3522079699</v>
      </c>
      <c r="N69" s="53">
        <f ca="1">M69*Assumptions!$B$18</f>
        <v>7279607.5141559774</v>
      </c>
      <c r="P69" s="55">
        <f t="shared" ca="1" si="14"/>
        <v>167347.2991759982</v>
      </c>
      <c r="Q69" s="56">
        <f t="shared" ca="1" si="18"/>
        <v>-1.0186340659856796E-9</v>
      </c>
    </row>
    <row r="70" spans="2:17" x14ac:dyDescent="0.25">
      <c r="B70" s="46">
        <f t="shared" si="7"/>
        <v>59</v>
      </c>
      <c r="C70" s="22">
        <f t="shared" si="12"/>
        <v>104</v>
      </c>
      <c r="D70" s="47">
        <f t="shared" ca="1" si="8"/>
        <v>0.1</v>
      </c>
      <c r="E70" s="50">
        <f t="shared" ca="1" si="9"/>
        <v>1449570.7834317114</v>
      </c>
      <c r="F70" s="51">
        <f t="shared" ca="1" si="15"/>
        <v>3.6484317092170926E-2</v>
      </c>
      <c r="G70" s="51">
        <f t="shared" si="15"/>
        <v>0.04</v>
      </c>
      <c r="H70" s="48">
        <f t="shared" ca="1" si="16"/>
        <v>0.12047119656868679</v>
      </c>
      <c r="I70" s="48"/>
      <c r="J70" s="48"/>
      <c r="K70" s="52">
        <f t="shared" ca="1" si="11"/>
        <v>174041.19114303918</v>
      </c>
      <c r="L70" s="49">
        <f t="shared" ca="1" si="17"/>
        <v>10268430.277439311</v>
      </c>
      <c r="M70" s="52">
        <f t="shared" ca="1" si="13"/>
        <v>10268430.277439328</v>
      </c>
      <c r="N70" s="53">
        <f ca="1">M70*Assumptions!$B$18</f>
        <v>7701322.7080794964</v>
      </c>
      <c r="P70" s="55">
        <f t="shared" ca="1" si="14"/>
        <v>174041.19114303775</v>
      </c>
      <c r="Q70" s="56">
        <f t="shared" ca="1" si="18"/>
        <v>-1.4260876923799515E-9</v>
      </c>
    </row>
    <row r="71" spans="2:17" x14ac:dyDescent="0.25">
      <c r="B71" s="46">
        <f t="shared" si="7"/>
        <v>60</v>
      </c>
      <c r="C71" s="22">
        <f t="shared" si="12"/>
        <v>105</v>
      </c>
      <c r="D71" s="47">
        <f t="shared" ca="1" si="8"/>
        <v>0.1</v>
      </c>
      <c r="E71" s="50">
        <f t="shared" ca="1" si="9"/>
        <v>1502457.3835419805</v>
      </c>
      <c r="F71" s="51">
        <f t="shared" ca="1" si="15"/>
        <v>3.6484317092170926E-2</v>
      </c>
      <c r="G71" s="51">
        <f t="shared" si="15"/>
        <v>0.04</v>
      </c>
      <c r="H71" s="48">
        <f t="shared" ca="1" si="16"/>
        <v>0.12087982651096173</v>
      </c>
      <c r="I71" s="48"/>
      <c r="J71" s="48"/>
      <c r="K71" s="52">
        <f t="shared" ca="1" si="11"/>
        <v>181002.8387887608</v>
      </c>
      <c r="L71" s="49">
        <f t="shared" ca="1" si="17"/>
        <v>10860170.327325646</v>
      </c>
      <c r="M71" s="52">
        <f t="shared" ca="1" si="13"/>
        <v>10860170.327325663</v>
      </c>
      <c r="N71" s="53">
        <f ca="1">M71*Assumptions!$B$18</f>
        <v>8145127.7454942465</v>
      </c>
      <c r="P71" s="55">
        <f t="shared" ca="1" si="14"/>
        <v>181002.83878876269</v>
      </c>
      <c r="Q71" s="56">
        <f t="shared" ca="1" si="18"/>
        <v>1.8917489796876907E-9</v>
      </c>
    </row>
    <row r="72" spans="2:17" x14ac:dyDescent="0.25">
      <c r="B72" s="46">
        <f t="shared" si="7"/>
        <v>61</v>
      </c>
      <c r="C72" s="22">
        <f t="shared" si="12"/>
        <v>106</v>
      </c>
      <c r="D72" s="47">
        <f t="shared" ca="1" si="8"/>
        <v>0.1</v>
      </c>
      <c r="E72" s="50">
        <f t="shared" ca="1" si="9"/>
        <v>1557273.5151405996</v>
      </c>
      <c r="F72" s="51">
        <f t="shared" ca="1" si="15"/>
        <v>3.6484317092170926E-2</v>
      </c>
      <c r="G72" s="51">
        <f t="shared" si="15"/>
        <v>0.04</v>
      </c>
      <c r="H72" s="48">
        <f t="shared" ca="1" si="16"/>
        <v>0.12128984249765623</v>
      </c>
      <c r="I72" s="48"/>
      <c r="J72" s="48"/>
      <c r="K72" s="52">
        <f t="shared" ca="1" si="11"/>
        <v>188242.9523403112</v>
      </c>
      <c r="L72" s="49">
        <f t="shared" ca="1" si="17"/>
        <v>11482820.092758983</v>
      </c>
      <c r="M72" s="52">
        <f t="shared" ca="1" si="13"/>
        <v>11482820.092759</v>
      </c>
      <c r="N72" s="53">
        <f ca="1">M72*Assumptions!$B$18</f>
        <v>8612115.0695692506</v>
      </c>
      <c r="P72" s="55">
        <f t="shared" ca="1" si="14"/>
        <v>188242.95234031044</v>
      </c>
      <c r="Q72" s="56">
        <f t="shared" ca="1" si="18"/>
        <v>-7.5669959187507629E-10</v>
      </c>
    </row>
    <row r="73" spans="2:17" x14ac:dyDescent="0.25">
      <c r="B73" s="46">
        <f t="shared" si="7"/>
        <v>62</v>
      </c>
      <c r="C73" s="22">
        <f t="shared" si="12"/>
        <v>107</v>
      </c>
      <c r="D73" s="47">
        <f t="shared" ca="1" si="8"/>
        <v>0.1</v>
      </c>
      <c r="E73" s="50">
        <f t="shared" ca="1" si="9"/>
        <v>1614089.5758662289</v>
      </c>
      <c r="F73" s="51">
        <f t="shared" ca="1" si="15"/>
        <v>3.6484317092170926E-2</v>
      </c>
      <c r="G73" s="51">
        <f t="shared" si="15"/>
        <v>0.04</v>
      </c>
      <c r="H73" s="48">
        <f t="shared" ca="1" si="16"/>
        <v>0.12170124923013684</v>
      </c>
      <c r="I73" s="48"/>
      <c r="J73" s="48"/>
      <c r="K73" s="52">
        <f t="shared" ca="1" si="11"/>
        <v>195772.67043392366</v>
      </c>
      <c r="L73" s="49">
        <f t="shared" ca="1" si="17"/>
        <v>12137905.566903267</v>
      </c>
      <c r="M73" s="52">
        <f t="shared" ca="1" si="13"/>
        <v>12137905.566903284</v>
      </c>
      <c r="N73" s="53">
        <f ca="1">M73*Assumptions!$B$18</f>
        <v>9103429.1751774624</v>
      </c>
      <c r="P73" s="55">
        <f t="shared" ca="1" si="14"/>
        <v>195772.6704339236</v>
      </c>
      <c r="Q73" s="56">
        <f t="shared" ca="1" si="18"/>
        <v>-5.8207660913467407E-11</v>
      </c>
    </row>
    <row r="74" spans="2:17" x14ac:dyDescent="0.25">
      <c r="B74" s="46">
        <f t="shared" si="7"/>
        <v>63</v>
      </c>
      <c r="C74" s="22">
        <f t="shared" si="12"/>
        <v>108</v>
      </c>
      <c r="D74" s="47">
        <f t="shared" ca="1" si="8"/>
        <v>0.1</v>
      </c>
      <c r="E74" s="50">
        <f t="shared" ca="1" si="9"/>
        <v>1672978.5317673001</v>
      </c>
      <c r="F74" s="51">
        <f t="shared" ca="1" si="15"/>
        <v>3.6484317092170926E-2</v>
      </c>
      <c r="G74" s="51">
        <f t="shared" si="15"/>
        <v>0.04</v>
      </c>
      <c r="H74" s="48">
        <f t="shared" ca="1" si="16"/>
        <v>0.12211405142571677</v>
      </c>
      <c r="I74" s="48"/>
      <c r="J74" s="48"/>
      <c r="K74" s="52">
        <f t="shared" ca="1" si="11"/>
        <v>203603.5772512806</v>
      </c>
      <c r="L74" s="49">
        <f t="shared" ca="1" si="17"/>
        <v>12827025.366830677</v>
      </c>
      <c r="M74" s="52">
        <f t="shared" ca="1" si="13"/>
        <v>12827025.366830695</v>
      </c>
      <c r="N74" s="53">
        <f ca="1">M74*Assumptions!$B$18</f>
        <v>9620269.0251230225</v>
      </c>
      <c r="P74" s="55">
        <f t="shared" ca="1" si="14"/>
        <v>203603.57725127786</v>
      </c>
      <c r="Q74" s="56">
        <f t="shared" ca="1" si="18"/>
        <v>-2.7357600629329681E-9</v>
      </c>
    </row>
    <row r="75" spans="2:17" x14ac:dyDescent="0.25">
      <c r="B75" s="46">
        <f t="shared" si="7"/>
        <v>64</v>
      </c>
      <c r="C75" s="22">
        <f t="shared" si="12"/>
        <v>109</v>
      </c>
      <c r="D75" s="47">
        <f t="shared" ca="1" si="8"/>
        <v>0.1</v>
      </c>
      <c r="E75" s="50">
        <f t="shared" ca="1" si="9"/>
        <v>1734016.0110086929</v>
      </c>
      <c r="F75" s="51">
        <f t="shared" ref="F75:G81" ca="1" si="19">IF($C75="","",F74)</f>
        <v>3.6484317092170926E-2</v>
      </c>
      <c r="G75" s="51">
        <f t="shared" si="19"/>
        <v>0.04</v>
      </c>
      <c r="H75" s="48">
        <f t="shared" ca="1" si="16"/>
        <v>0.12252825381771011</v>
      </c>
      <c r="I75" s="48"/>
      <c r="J75" s="48"/>
      <c r="K75" s="52">
        <f t="shared" ca="1" si="11"/>
        <v>211747.72034133179</v>
      </c>
      <c r="L75" s="49">
        <f t="shared" ca="1" si="17"/>
        <v>13551854.101845235</v>
      </c>
      <c r="M75" s="52">
        <f t="shared" ca="1" si="13"/>
        <v>13551854.101845255</v>
      </c>
      <c r="N75" s="53">
        <f ca="1">M75*Assumptions!$B$18</f>
        <v>10163890.576383941</v>
      </c>
      <c r="P75" s="55">
        <f t="shared" ca="1" si="14"/>
        <v>211747.72034133039</v>
      </c>
      <c r="Q75" s="56">
        <f t="shared" ca="1" si="18"/>
        <v>-1.3969838619232178E-9</v>
      </c>
    </row>
    <row r="76" spans="2:17" x14ac:dyDescent="0.25">
      <c r="B76" s="46">
        <f t="shared" si="7"/>
        <v>65</v>
      </c>
      <c r="C76" s="22">
        <f t="shared" ref="C76:C81" si="20">IF(C75="","",IF($D$2="A",C75+1,IF(C75+1&gt;$D$5,"",C75+1)))</f>
        <v>110</v>
      </c>
      <c r="D76" s="47">
        <f t="shared" ca="1" si="8"/>
        <v>0.1</v>
      </c>
      <c r="E76" s="50">
        <f t="shared" ca="1" si="9"/>
        <v>1797280.4009972354</v>
      </c>
      <c r="F76" s="51">
        <f t="shared" ca="1" si="19"/>
        <v>3.6484317092170926E-2</v>
      </c>
      <c r="G76" s="51">
        <f t="shared" si="19"/>
        <v>0.04</v>
      </c>
      <c r="H76" s="48">
        <f ca="1">D76*((1+F76)/(1+G76))^($D$5-C76-1)</f>
        <v>0.12294386115548593</v>
      </c>
      <c r="I76" s="48"/>
      <c r="J76" s="48"/>
      <c r="K76" s="52">
        <f t="shared" ca="1" si="11"/>
        <v>220217.62915498507</v>
      </c>
      <c r="L76" s="49">
        <f ca="1">IF($C76="",0,D76*E76*B76*((1+F76)/(1+G76))^($D$5-C76))</f>
        <v>14314145.89507403</v>
      </c>
      <c r="M76" s="52">
        <f t="shared" ref="M76:M81" ca="1" si="21">IF($C76="",0,M75*(1+i)+K76)</f>
        <v>14314145.895074051</v>
      </c>
      <c r="N76" s="53">
        <f ca="1">M76*Assumptions!$B$18</f>
        <v>10735609.421305537</v>
      </c>
      <c r="P76" s="55">
        <f t="shared" ref="P76:P81" ca="1" si="22">IF($C76="","",L76-L75*(1+i))</f>
        <v>220217.62915498577</v>
      </c>
      <c r="Q76" s="56">
        <f ca="1">IFERROR(P76-K76,"")</f>
        <v>6.9849193096160889E-10</v>
      </c>
    </row>
    <row r="77" spans="2:17" x14ac:dyDescent="0.25">
      <c r="B77" s="46">
        <f t="shared" ref="B77:B81" si="23">IF($C77="","",B76+1)</f>
        <v>66</v>
      </c>
      <c r="C77" s="22">
        <f t="shared" si="20"/>
        <v>111</v>
      </c>
      <c r="D77" s="47">
        <f t="shared" ref="D77:D81" ca="1" si="24">IF($C77="","",D76)</f>
        <v>0.1</v>
      </c>
      <c r="E77" s="50">
        <f t="shared" ref="E77:E81" ca="1" si="25">IF($C77="","",E76*(1+F76))</f>
        <v>1862852.9490507627</v>
      </c>
      <c r="F77" s="51">
        <f t="shared" ca="1" si="19"/>
        <v>3.6484317092170926E-2</v>
      </c>
      <c r="G77" s="51">
        <f t="shared" si="19"/>
        <v>0.04</v>
      </c>
      <c r="H77" s="48">
        <f t="shared" ref="H77:H81" ca="1" si="26">D77*((1+F77)/(1+G77))^($D$5-C77-1)</f>
        <v>0.12336087820452286</v>
      </c>
      <c r="I77" s="48"/>
      <c r="J77" s="48"/>
      <c r="K77" s="52">
        <f t="shared" ref="K77:K81" ca="1" si="27">IF($C77="","",H76*E77)</f>
        <v>229026.33432118446</v>
      </c>
      <c r="L77" s="49">
        <f t="shared" ref="L77:L81" ca="1" si="28">IF($C77="",0,D77*E77*B77*((1+F77)/(1+G77))^($D$5-C77))</f>
        <v>15115738.065198174</v>
      </c>
      <c r="M77" s="52">
        <f t="shared" ca="1" si="21"/>
        <v>15115738.065198198</v>
      </c>
      <c r="N77" s="53">
        <f ca="1">M77*Assumptions!$B$18</f>
        <v>11336803.548898648</v>
      </c>
      <c r="P77" s="55">
        <f t="shared" ca="1" si="22"/>
        <v>229026.33432118222</v>
      </c>
      <c r="Q77" s="56">
        <f t="shared" ref="Q77:Q81" ca="1" si="29">IFERROR(P77-K77,"")</f>
        <v>-2.2409949451684952E-9</v>
      </c>
    </row>
    <row r="78" spans="2:17" x14ac:dyDescent="0.25">
      <c r="B78" s="46">
        <f t="shared" si="23"/>
        <v>67</v>
      </c>
      <c r="C78" s="22">
        <f t="shared" si="20"/>
        <v>112</v>
      </c>
      <c r="D78" s="47">
        <f t="shared" ca="1" si="24"/>
        <v>0.1</v>
      </c>
      <c r="E78" s="50">
        <f t="shared" ca="1" si="25"/>
        <v>1930817.8667400165</v>
      </c>
      <c r="F78" s="51">
        <f t="shared" ca="1" si="19"/>
        <v>3.6484317092170926E-2</v>
      </c>
      <c r="G78" s="51">
        <f t="shared" si="19"/>
        <v>0.04</v>
      </c>
      <c r="H78" s="48">
        <f t="shared" ca="1" si="26"/>
        <v>0.12377930974646377</v>
      </c>
      <c r="I78" s="48"/>
      <c r="J78" s="48"/>
      <c r="K78" s="52">
        <f t="shared" ca="1" si="27"/>
        <v>238187.38769403184</v>
      </c>
      <c r="L78" s="49">
        <f t="shared" ca="1" si="28"/>
        <v>15958554.975500133</v>
      </c>
      <c r="M78" s="52">
        <f t="shared" ca="1" si="21"/>
        <v>15958554.975500157</v>
      </c>
      <c r="N78" s="53">
        <f ca="1">M78*Assumptions!$B$18</f>
        <v>11968916.231625117</v>
      </c>
      <c r="P78" s="55">
        <f t="shared" ca="1" si="22"/>
        <v>238187.387694031</v>
      </c>
      <c r="Q78" s="56">
        <f t="shared" ca="1" si="29"/>
        <v>-8.440110832452774E-10</v>
      </c>
    </row>
    <row r="79" spans="2:17" x14ac:dyDescent="0.25">
      <c r="B79" s="46">
        <f t="shared" si="23"/>
        <v>68</v>
      </c>
      <c r="C79" s="22">
        <f t="shared" si="20"/>
        <v>113</v>
      </c>
      <c r="D79" s="47">
        <f t="shared" ca="1" si="24"/>
        <v>0.1</v>
      </c>
      <c r="E79" s="50">
        <f t="shared" ca="1" si="25"/>
        <v>2001262.4380373883</v>
      </c>
      <c r="F79" s="51">
        <f t="shared" ca="1" si="19"/>
        <v>3.6484317092170926E-2</v>
      </c>
      <c r="G79" s="51">
        <f t="shared" si="19"/>
        <v>0.04</v>
      </c>
      <c r="H79" s="48">
        <f t="shared" ca="1" si="26"/>
        <v>0.12419916057917042</v>
      </c>
      <c r="I79" s="48"/>
      <c r="J79" s="48"/>
      <c r="K79" s="52">
        <f t="shared" ca="1" si="27"/>
        <v>247714.88320179313</v>
      </c>
      <c r="L79" s="49">
        <f t="shared" ca="1" si="28"/>
        <v>16844612.057721931</v>
      </c>
      <c r="M79" s="52">
        <f t="shared" ca="1" si="21"/>
        <v>16844612.057721958</v>
      </c>
      <c r="N79" s="53">
        <f ca="1">M79*Assumptions!$B$18</f>
        <v>12633459.043291468</v>
      </c>
      <c r="P79" s="55">
        <f t="shared" ca="1" si="22"/>
        <v>247714.88320179284</v>
      </c>
      <c r="Q79" s="56">
        <f t="shared" ca="1" si="29"/>
        <v>-2.9103830456733704E-10</v>
      </c>
    </row>
    <row r="80" spans="2:17" x14ac:dyDescent="0.25">
      <c r="B80" s="46">
        <f t="shared" si="23"/>
        <v>69</v>
      </c>
      <c r="C80" s="22">
        <f t="shared" si="20"/>
        <v>114</v>
      </c>
      <c r="D80" s="47">
        <f t="shared" ca="1" si="24"/>
        <v>0.1</v>
      </c>
      <c r="E80" s="50">
        <f t="shared" ca="1" si="25"/>
        <v>2074277.1314113955</v>
      </c>
      <c r="F80" s="51">
        <f t="shared" ca="1" si="19"/>
        <v>3.6484317092170926E-2</v>
      </c>
      <c r="G80" s="51">
        <f t="shared" si="19"/>
        <v>0.04</v>
      </c>
      <c r="H80" s="48">
        <f t="shared" ca="1" si="26"/>
        <v>0.12462043551677865</v>
      </c>
      <c r="I80" s="48"/>
      <c r="J80" s="48"/>
      <c r="K80" s="52">
        <f t="shared" ca="1" si="27"/>
        <v>257623.47852986489</v>
      </c>
      <c r="L80" s="49">
        <f t="shared" ca="1" si="28"/>
        <v>17776020.018560678</v>
      </c>
      <c r="M80" s="52">
        <f t="shared" ca="1" si="21"/>
        <v>17776020.0185607</v>
      </c>
      <c r="N80" s="53">
        <f ca="1">M80*Assumptions!$B$18</f>
        <v>13332015.013920525</v>
      </c>
      <c r="P80" s="55">
        <f t="shared" ca="1" si="22"/>
        <v>257623.47852986678</v>
      </c>
      <c r="Q80" s="56">
        <f t="shared" ca="1" si="29"/>
        <v>1.8917489796876907E-9</v>
      </c>
    </row>
    <row r="81" spans="2:17" x14ac:dyDescent="0.25">
      <c r="B81" s="46">
        <f t="shared" si="23"/>
        <v>70</v>
      </c>
      <c r="C81" s="22">
        <f t="shared" si="20"/>
        <v>115</v>
      </c>
      <c r="D81" s="47">
        <f t="shared" ca="1" si="24"/>
        <v>0.1</v>
      </c>
      <c r="E81" s="50">
        <f t="shared" ca="1" si="25"/>
        <v>2149955.7160108476</v>
      </c>
      <c r="F81" s="51">
        <f t="shared" ca="1" si="19"/>
        <v>3.6484317092170926E-2</v>
      </c>
      <c r="G81" s="51">
        <f t="shared" si="19"/>
        <v>0.04</v>
      </c>
      <c r="H81" s="48">
        <f t="shared" ca="1" si="26"/>
        <v>0.1250431393897535</v>
      </c>
      <c r="I81" s="48"/>
      <c r="J81" s="48"/>
      <c r="K81" s="52">
        <f t="shared" ca="1" si="27"/>
        <v>267928.41767105949</v>
      </c>
      <c r="L81" s="49">
        <f t="shared" ca="1" si="28"/>
        <v>18754989.236974165</v>
      </c>
      <c r="M81" s="52">
        <f t="shared" ca="1" si="21"/>
        <v>18754989.236974187</v>
      </c>
      <c r="N81" s="53">
        <f ca="1">M81*Assumptions!$B$18</f>
        <v>14066241.92773064</v>
      </c>
      <c r="P81" s="55">
        <f t="shared" ca="1" si="22"/>
        <v>267928.41767105833</v>
      </c>
      <c r="Q81" s="56">
        <f t="shared" ca="1" si="29"/>
        <v>-1.1641532182693481E-9</v>
      </c>
    </row>
  </sheetData>
  <mergeCells count="1">
    <mergeCell ref="P10:Q10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H13"/>
  <sheetViews>
    <sheetView workbookViewId="0"/>
  </sheetViews>
  <sheetFormatPr defaultRowHeight="15" x14ac:dyDescent="0.25"/>
  <cols>
    <col min="3" max="3" width="11" customWidth="1"/>
    <col min="6" max="6" width="9.140625" customWidth="1"/>
  </cols>
  <sheetData>
    <row r="1" spans="1:8" ht="41.25" thickBot="1" x14ac:dyDescent="0.3">
      <c r="A1" s="29" t="s">
        <v>32</v>
      </c>
      <c r="B1" s="1" t="s">
        <v>7</v>
      </c>
      <c r="C1" s="1" t="s">
        <v>8</v>
      </c>
      <c r="D1" s="1" t="s">
        <v>9</v>
      </c>
      <c r="E1" s="1" t="s">
        <v>10</v>
      </c>
      <c r="F1" s="37" t="s">
        <v>12</v>
      </c>
      <c r="G1" s="38" t="s">
        <v>11</v>
      </c>
    </row>
    <row r="2" spans="1:8" ht="15.75" thickBot="1" x14ac:dyDescent="0.3">
      <c r="A2" s="2" t="str">
        <f>B2&amp;E2</f>
        <v>30B</v>
      </c>
      <c r="B2" s="2">
        <v>30</v>
      </c>
      <c r="C2" s="3">
        <v>210</v>
      </c>
      <c r="D2" s="4">
        <v>78000</v>
      </c>
      <c r="E2" s="35" t="s">
        <v>11</v>
      </c>
      <c r="F2" s="31"/>
      <c r="G2" s="39"/>
    </row>
    <row r="3" spans="1:8" ht="15.75" thickBot="1" x14ac:dyDescent="0.3">
      <c r="A3" s="5" t="str">
        <f t="shared" ref="A3:A13" si="0">B3&amp;E3</f>
        <v>30A</v>
      </c>
      <c r="B3" s="5">
        <v>30</v>
      </c>
      <c r="C3" s="6">
        <v>20</v>
      </c>
      <c r="D3" s="7">
        <v>100000</v>
      </c>
      <c r="E3" s="36" t="s">
        <v>12</v>
      </c>
      <c r="F3" s="30"/>
      <c r="G3" s="40"/>
    </row>
    <row r="4" spans="1:8" ht="15.75" thickBot="1" x14ac:dyDescent="0.3">
      <c r="A4" s="5" t="str">
        <f t="shared" si="0"/>
        <v>40B</v>
      </c>
      <c r="B4" s="5">
        <v>40</v>
      </c>
      <c r="C4" s="6">
        <v>220</v>
      </c>
      <c r="D4" s="7">
        <v>87000</v>
      </c>
      <c r="E4" s="36" t="s">
        <v>11</v>
      </c>
      <c r="F4" s="31"/>
      <c r="G4" s="39">
        <f>($D4/$D2)^(1/($B4-$B2))</f>
        <v>1.0109797692413225</v>
      </c>
    </row>
    <row r="5" spans="1:8" ht="15.75" thickBot="1" x14ac:dyDescent="0.3">
      <c r="A5" s="5" t="str">
        <f t="shared" si="0"/>
        <v>40A</v>
      </c>
      <c r="B5" s="5">
        <v>40</v>
      </c>
      <c r="C5" s="6">
        <v>15</v>
      </c>
      <c r="D5" s="7">
        <v>150000</v>
      </c>
      <c r="E5" s="36" t="s">
        <v>12</v>
      </c>
      <c r="F5" s="30">
        <f>($D5/$D3)^(1/($B5-$B3))</f>
        <v>1.0413797439924106</v>
      </c>
      <c r="G5" s="40"/>
    </row>
    <row r="6" spans="1:8" ht="15.75" thickBot="1" x14ac:dyDescent="0.3">
      <c r="A6" s="5" t="str">
        <f t="shared" si="0"/>
        <v>45B</v>
      </c>
      <c r="B6" s="5">
        <v>45</v>
      </c>
      <c r="C6" s="6">
        <v>240</v>
      </c>
      <c r="D6" s="7">
        <v>95000</v>
      </c>
      <c r="E6" s="36" t="s">
        <v>11</v>
      </c>
      <c r="F6" s="31"/>
      <c r="G6" s="39">
        <f>($D6/$D4)^(1/($B6-$B4))</f>
        <v>1.0177494363582376</v>
      </c>
    </row>
    <row r="7" spans="1:8" ht="15.75" thickBot="1" x14ac:dyDescent="0.3">
      <c r="A7" s="5" t="str">
        <f t="shared" si="0"/>
        <v>45A</v>
      </c>
      <c r="B7" s="5">
        <v>45</v>
      </c>
      <c r="C7" s="6">
        <v>30</v>
      </c>
      <c r="D7" s="7">
        <v>175000</v>
      </c>
      <c r="E7" s="36" t="s">
        <v>12</v>
      </c>
      <c r="F7" s="30">
        <f>($D7/$D5)^(1/($B7-$B5))</f>
        <v>1.0313103064775451</v>
      </c>
      <c r="G7" s="40"/>
    </row>
    <row r="8" spans="1:8" ht="15.75" thickBot="1" x14ac:dyDescent="0.3">
      <c r="A8" s="5" t="str">
        <f t="shared" si="0"/>
        <v>50B</v>
      </c>
      <c r="B8" s="5">
        <v>50</v>
      </c>
      <c r="C8" s="6">
        <v>180</v>
      </c>
      <c r="D8" s="7">
        <v>103000</v>
      </c>
      <c r="E8" s="36" t="s">
        <v>11</v>
      </c>
      <c r="F8" s="31"/>
      <c r="G8" s="39">
        <f>($D8/$D6)^(1/($B8-$B6))</f>
        <v>1.0163018681280294</v>
      </c>
    </row>
    <row r="9" spans="1:8" ht="15.75" thickBot="1" x14ac:dyDescent="0.3">
      <c r="A9" s="5" t="str">
        <f t="shared" si="0"/>
        <v>50A</v>
      </c>
      <c r="B9" s="5">
        <v>50</v>
      </c>
      <c r="C9" s="6">
        <v>25</v>
      </c>
      <c r="D9" s="7">
        <v>185000</v>
      </c>
      <c r="E9" s="36" t="s">
        <v>12</v>
      </c>
      <c r="F9" s="30">
        <f>($D9/$D7)^(1/($B9-$B7))</f>
        <v>1.0111759598354646</v>
      </c>
      <c r="G9" s="40"/>
    </row>
    <row r="10" spans="1:8" ht="15.75" thickBot="1" x14ac:dyDescent="0.3">
      <c r="A10" s="5" t="str">
        <f t="shared" si="0"/>
        <v>55B</v>
      </c>
      <c r="B10" s="5">
        <v>55</v>
      </c>
      <c r="C10" s="6">
        <v>50</v>
      </c>
      <c r="D10" s="7">
        <v>103000</v>
      </c>
      <c r="E10" s="36" t="s">
        <v>11</v>
      </c>
      <c r="F10" s="31"/>
      <c r="G10" s="39">
        <f>($D10/$D8)^(1/($B10-$B8))</f>
        <v>1</v>
      </c>
    </row>
    <row r="11" spans="1:8" ht="15.75" thickBot="1" x14ac:dyDescent="0.3">
      <c r="A11" s="5" t="str">
        <f t="shared" si="0"/>
        <v>55A</v>
      </c>
      <c r="B11" s="5">
        <v>55</v>
      </c>
      <c r="C11" s="6">
        <v>10</v>
      </c>
      <c r="D11" s="7">
        <v>250000</v>
      </c>
      <c r="E11" s="36" t="s">
        <v>12</v>
      </c>
      <c r="F11" s="41">
        <f>($D11/$D9)^(1/($B11-$B9))</f>
        <v>1.062071258063263</v>
      </c>
      <c r="G11" s="42"/>
      <c r="H11" s="32"/>
    </row>
    <row r="12" spans="1:8" x14ac:dyDescent="0.25">
      <c r="A12" t="str">
        <f t="shared" si="0"/>
        <v/>
      </c>
      <c r="F12" s="119">
        <f>AVERAGE(F2:F11)-1</f>
        <v>3.6484317092170926E-2</v>
      </c>
      <c r="G12" s="43">
        <f>AVERAGE(G2:G9)-1</f>
        <v>1.501035790919647E-2</v>
      </c>
      <c r="H12" s="33" t="s">
        <v>31</v>
      </c>
    </row>
    <row r="13" spans="1:8" x14ac:dyDescent="0.25">
      <c r="A13" t="str">
        <f t="shared" si="0"/>
        <v/>
      </c>
      <c r="F13" s="120"/>
      <c r="G13" s="44">
        <v>0</v>
      </c>
      <c r="H13" s="34" t="s">
        <v>30</v>
      </c>
    </row>
  </sheetData>
  <autoFilter ref="B2:B11"/>
  <mergeCells count="1">
    <mergeCell ref="F12:F13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38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7" sqref="M7"/>
    </sheetView>
  </sheetViews>
  <sheetFormatPr defaultRowHeight="15" x14ac:dyDescent="0.25"/>
  <cols>
    <col min="1" max="1" width="3" bestFit="1" customWidth="1"/>
    <col min="3" max="3" width="11.5703125" bestFit="1" customWidth="1"/>
    <col min="4" max="6" width="6.7109375" customWidth="1"/>
    <col min="7" max="7" width="9.42578125" customWidth="1"/>
    <col min="8" max="8" width="17" customWidth="1"/>
    <col min="9" max="9" width="13.28515625" customWidth="1"/>
    <col min="10" max="10" width="13.7109375" bestFit="1" customWidth="1"/>
    <col min="11" max="11" width="12" bestFit="1" customWidth="1"/>
    <col min="12" max="12" width="12" customWidth="1"/>
    <col min="13" max="13" width="12.5703125" bestFit="1" customWidth="1"/>
    <col min="14" max="14" width="2.28515625" customWidth="1"/>
    <col min="17" max="19" width="6.7109375" customWidth="1"/>
    <col min="20" max="20" width="7.140625" bestFit="1" customWidth="1"/>
    <col min="21" max="21" width="14.85546875" customWidth="1"/>
    <col min="22" max="22" width="10.5703125" bestFit="1" customWidth="1"/>
    <col min="24" max="24" width="2.85546875" customWidth="1"/>
    <col min="27" max="29" width="6.7109375" customWidth="1"/>
    <col min="30" max="30" width="7.140625" bestFit="1" customWidth="1"/>
    <col min="31" max="31" width="14.5703125" customWidth="1"/>
    <col min="32" max="32" width="10.5703125" bestFit="1" customWidth="1"/>
  </cols>
  <sheetData>
    <row r="1" spans="1:33" ht="45" x14ac:dyDescent="0.25">
      <c r="A1" s="22"/>
      <c r="B1" s="22" t="s">
        <v>20</v>
      </c>
      <c r="C1" s="22" t="s">
        <v>21</v>
      </c>
      <c r="D1" s="22" t="s">
        <v>22</v>
      </c>
      <c r="E1" s="22" t="s">
        <v>23</v>
      </c>
      <c r="F1" s="22" t="s">
        <v>17</v>
      </c>
      <c r="G1" s="22" t="s">
        <v>19</v>
      </c>
      <c r="H1" s="23" t="s">
        <v>52</v>
      </c>
      <c r="I1" s="27" t="s">
        <v>27</v>
      </c>
      <c r="J1" s="21" t="s">
        <v>24</v>
      </c>
      <c r="K1" s="21" t="s">
        <v>25</v>
      </c>
      <c r="L1" s="21" t="s">
        <v>24</v>
      </c>
      <c r="M1" s="23" t="s">
        <v>28</v>
      </c>
      <c r="O1" t="s">
        <v>20</v>
      </c>
      <c r="P1" t="s">
        <v>21</v>
      </c>
      <c r="Q1" t="s">
        <v>22</v>
      </c>
      <c r="R1" t="s">
        <v>23</v>
      </c>
      <c r="S1" t="s">
        <v>17</v>
      </c>
      <c r="T1" t="s">
        <v>19</v>
      </c>
      <c r="U1" s="23" t="s">
        <v>52</v>
      </c>
      <c r="V1" t="s">
        <v>24</v>
      </c>
      <c r="W1" s="23" t="s">
        <v>26</v>
      </c>
      <c r="Y1" t="s">
        <v>20</v>
      </c>
      <c r="Z1" t="s">
        <v>21</v>
      </c>
      <c r="AA1" t="s">
        <v>22</v>
      </c>
      <c r="AB1" t="s">
        <v>23</v>
      </c>
      <c r="AC1" t="s">
        <v>17</v>
      </c>
      <c r="AD1" t="s">
        <v>19</v>
      </c>
      <c r="AE1" s="23" t="s">
        <v>52</v>
      </c>
      <c r="AF1" t="s">
        <v>24</v>
      </c>
      <c r="AG1" s="23" t="s">
        <v>26</v>
      </c>
    </row>
    <row r="2" spans="1:33" x14ac:dyDescent="0.25">
      <c r="A2">
        <v>1</v>
      </c>
      <c r="B2">
        <v>35</v>
      </c>
      <c r="C2" s="11">
        <v>100000</v>
      </c>
      <c r="D2" s="8">
        <v>0.03</v>
      </c>
      <c r="E2" s="8">
        <v>0.08</v>
      </c>
      <c r="F2">
        <v>12</v>
      </c>
      <c r="G2" s="17">
        <v>9.9996943426144277E-2</v>
      </c>
      <c r="H2" s="16">
        <f>C2*$G$2*(1+$E$2)</f>
        <v>10799.669890023582</v>
      </c>
      <c r="I2" s="25">
        <f>H2/$F$2</f>
        <v>899.97249083529857</v>
      </c>
      <c r="J2" s="19">
        <f>NPV($E$2,$H$2:H2)*(1+$E$2)^(A2)</f>
        <v>10799.669890023582</v>
      </c>
      <c r="K2" s="11">
        <f>H2</f>
        <v>10799.669890023582</v>
      </c>
      <c r="L2" s="19">
        <f>K2</f>
        <v>10799.669890023582</v>
      </c>
      <c r="M2" s="18">
        <f>J32/F2</f>
        <v>150612.00000000003</v>
      </c>
      <c r="O2" s="15">
        <v>35</v>
      </c>
      <c r="P2" s="11">
        <v>100000</v>
      </c>
      <c r="Q2" s="8">
        <v>0.03</v>
      </c>
      <c r="R2" s="8">
        <v>0.08</v>
      </c>
      <c r="S2">
        <v>12</v>
      </c>
      <c r="T2" s="17">
        <v>0.12</v>
      </c>
      <c r="U2" s="16">
        <f t="shared" ref="U2:U16" si="0">P2*$T$2*(1+$R$2)</f>
        <v>12960</v>
      </c>
      <c r="V2" s="19">
        <f>NPV($R$2,U$2:U2)*(1+$R$2)^($A2)</f>
        <v>12960</v>
      </c>
      <c r="W2" s="14">
        <f>V32/12</f>
        <v>147746.32719874696</v>
      </c>
      <c r="Y2" s="15">
        <v>35</v>
      </c>
      <c r="Z2" s="11">
        <v>100000</v>
      </c>
      <c r="AA2" s="8">
        <v>0.03</v>
      </c>
      <c r="AB2" s="8">
        <v>0.08</v>
      </c>
      <c r="AC2">
        <v>12</v>
      </c>
      <c r="AD2" s="17">
        <v>5.5399999999999998E-2</v>
      </c>
      <c r="AE2" s="16">
        <f t="shared" ref="AE2:AE16" si="1">Z2*$AD$2*(1+$AB$2)</f>
        <v>5983.2000000000007</v>
      </c>
      <c r="AF2" s="19">
        <f>NPV($R$2,AE$2:AE2)*(1+$R$2)^($A2)</f>
        <v>5983.2000000000007</v>
      </c>
      <c r="AG2" s="14">
        <f>AF32/12</f>
        <v>150654.5612740496</v>
      </c>
    </row>
    <row r="3" spans="1:33" x14ac:dyDescent="0.25">
      <c r="A3">
        <f>A2+1</f>
        <v>2</v>
      </c>
      <c r="B3">
        <f>B2+1</f>
        <v>36</v>
      </c>
      <c r="C3" s="11">
        <f>C2*(1+$D$2)</f>
        <v>103000</v>
      </c>
      <c r="H3" s="16">
        <f t="shared" ref="H3:H32" si="2">C3*$G$2*(1+$E$2)</f>
        <v>11123.659986724291</v>
      </c>
      <c r="I3" s="25">
        <f t="shared" ref="I3:I32" si="3">H3/$F$2</f>
        <v>926.97166556035756</v>
      </c>
      <c r="J3" s="19">
        <f>NPV($E$2,$H$2:H3)*(1+$E$2)^(A3)</f>
        <v>22787.303467949761</v>
      </c>
      <c r="K3" s="11">
        <f t="shared" ref="K3:K32" si="4">K2*(1+$E$2)+H3</f>
        <v>22787.303467949761</v>
      </c>
      <c r="L3" s="19">
        <f t="shared" ref="L3:L32" si="5">K3</f>
        <v>22787.303467949761</v>
      </c>
      <c r="M3" s="26">
        <f>NPV($E$2,I2:I32)*(1+$E$2)^A32</f>
        <v>150612.00000000003</v>
      </c>
      <c r="O3" s="15">
        <f>O2+1</f>
        <v>36</v>
      </c>
      <c r="P3" s="11">
        <f>P2*(1+$D$2)</f>
        <v>103000</v>
      </c>
      <c r="U3" s="16">
        <f t="shared" si="0"/>
        <v>13348.800000000001</v>
      </c>
      <c r="V3" s="19">
        <f>NPV($R$2,U$2:U3)*(1+$R$2)^($A3)</f>
        <v>27345.599999999999</v>
      </c>
      <c r="Y3" s="15">
        <f>Y2+1</f>
        <v>36</v>
      </c>
      <c r="Z3" s="11">
        <f>Z2*(1+$D$2)</f>
        <v>103000</v>
      </c>
      <c r="AE3" s="16">
        <f t="shared" si="1"/>
        <v>6162.6959999999999</v>
      </c>
      <c r="AF3" s="19">
        <f>NPV($R$2,AE$2:AE3)*(1+$R$2)^($A3)</f>
        <v>12624.552000000001</v>
      </c>
    </row>
    <row r="4" spans="1:33" x14ac:dyDescent="0.25">
      <c r="A4">
        <f t="shared" ref="A4:A17" si="6">A3+1</f>
        <v>3</v>
      </c>
      <c r="B4">
        <f t="shared" ref="B4:B17" si="7">B3+1</f>
        <v>37</v>
      </c>
      <c r="C4" s="11">
        <f t="shared" ref="C4:C31" si="8">C3*(1+$D$2)</f>
        <v>106090</v>
      </c>
      <c r="H4" s="16">
        <f t="shared" si="2"/>
        <v>11457.369786326019</v>
      </c>
      <c r="I4" s="25">
        <f t="shared" si="3"/>
        <v>954.78081552716822</v>
      </c>
      <c r="J4" s="19">
        <f>NPV($E$2,$H$2:H4)*(1+$E$2)^(A4)</f>
        <v>36067.65753171176</v>
      </c>
      <c r="K4" s="11">
        <f t="shared" si="4"/>
        <v>36067.65753171176</v>
      </c>
      <c r="L4" s="19">
        <f t="shared" si="5"/>
        <v>36067.65753171176</v>
      </c>
      <c r="M4" s="18">
        <v>150612</v>
      </c>
      <c r="O4" s="15">
        <f t="shared" ref="O4:O31" si="9">O3+1</f>
        <v>37</v>
      </c>
      <c r="P4" s="11">
        <f t="shared" ref="P4:P31" si="10">P3*(1+$D$2)</f>
        <v>106090</v>
      </c>
      <c r="U4" s="16">
        <f t="shared" si="0"/>
        <v>13749.263999999999</v>
      </c>
      <c r="V4" s="19">
        <f>NPV($R$2,U$2:U4)*(1+$R$2)^($A4)</f>
        <v>43282.512000000002</v>
      </c>
      <c r="Y4" s="15">
        <f t="shared" ref="Y4:Y31" si="11">Y3+1</f>
        <v>37</v>
      </c>
      <c r="Z4" s="11">
        <f t="shared" ref="Z4:Z31" si="12">Z3*(1+$D$2)</f>
        <v>106090</v>
      </c>
      <c r="AE4" s="16">
        <f t="shared" si="1"/>
        <v>6347.5768799999996</v>
      </c>
      <c r="AF4" s="19">
        <f>NPV($R$2,AE$2:AE4)*(1+$R$2)^($A4)</f>
        <v>19982.093040000003</v>
      </c>
    </row>
    <row r="5" spans="1:33" x14ac:dyDescent="0.25">
      <c r="A5">
        <f t="shared" si="6"/>
        <v>4</v>
      </c>
      <c r="B5">
        <f t="shared" si="7"/>
        <v>38</v>
      </c>
      <c r="C5" s="11">
        <f t="shared" si="8"/>
        <v>109272.7</v>
      </c>
      <c r="H5" s="16">
        <f t="shared" si="2"/>
        <v>11801.090879915801</v>
      </c>
      <c r="I5" s="25">
        <f t="shared" si="3"/>
        <v>983.42423999298342</v>
      </c>
      <c r="J5" s="19">
        <f>NPV($E$2,$H$2:H5)*(1+$E$2)^(A5)</f>
        <v>50754.1610141645</v>
      </c>
      <c r="K5" s="11">
        <f t="shared" si="4"/>
        <v>50754.1610141645</v>
      </c>
      <c r="L5" s="19">
        <f t="shared" si="5"/>
        <v>50754.1610141645</v>
      </c>
      <c r="M5" s="28">
        <f>$M$4/M2</f>
        <v>0.99999999999999978</v>
      </c>
      <c r="O5" s="15">
        <f t="shared" si="9"/>
        <v>38</v>
      </c>
      <c r="P5" s="11">
        <f t="shared" si="10"/>
        <v>109272.7</v>
      </c>
      <c r="U5" s="16">
        <f t="shared" si="0"/>
        <v>14161.741919999999</v>
      </c>
      <c r="V5" s="19">
        <f>NPV($R$2,U$2:U5)*(1+$R$2)^($A5)</f>
        <v>60906.854880000006</v>
      </c>
      <c r="W5" s="12">
        <f>$M$4/W2</f>
        <v>1.0193958987379643</v>
      </c>
      <c r="Y5" s="15">
        <f t="shared" si="11"/>
        <v>38</v>
      </c>
      <c r="Z5" s="11">
        <f t="shared" si="12"/>
        <v>109272.7</v>
      </c>
      <c r="AE5" s="16">
        <f t="shared" si="1"/>
        <v>6538.0041863999995</v>
      </c>
      <c r="AF5" s="19">
        <f>NPV($R$2,AE$2:AE5)*(1+$R$2)^($A5)</f>
        <v>28118.664669600006</v>
      </c>
      <c r="AG5" s="12">
        <f>$M$4/AG2</f>
        <v>0.99971749096947571</v>
      </c>
    </row>
    <row r="6" spans="1:33" x14ac:dyDescent="0.25">
      <c r="A6">
        <f t="shared" si="6"/>
        <v>5</v>
      </c>
      <c r="B6">
        <f t="shared" si="7"/>
        <v>39</v>
      </c>
      <c r="C6" s="11">
        <f t="shared" si="8"/>
        <v>112550.88099999999</v>
      </c>
      <c r="H6" s="16">
        <f t="shared" si="2"/>
        <v>12155.123606313273</v>
      </c>
      <c r="I6" s="25">
        <f t="shared" si="3"/>
        <v>1012.9269671927727</v>
      </c>
      <c r="J6" s="19">
        <f>NPV($E$2,$H$2:H6)*(1+$E$2)^(A6)</f>
        <v>66969.617501610934</v>
      </c>
      <c r="K6" s="11">
        <f t="shared" si="4"/>
        <v>66969.617501610934</v>
      </c>
      <c r="L6" s="19">
        <f t="shared" si="5"/>
        <v>66969.617501610934</v>
      </c>
      <c r="O6" s="15">
        <f t="shared" si="9"/>
        <v>39</v>
      </c>
      <c r="P6" s="11">
        <f t="shared" si="10"/>
        <v>112550.88099999999</v>
      </c>
      <c r="U6" s="16">
        <f t="shared" si="0"/>
        <v>14586.5941776</v>
      </c>
      <c r="V6" s="19">
        <f>NPV($R$2,U$2:U6)*(1+$R$2)^($A6)</f>
        <v>80365.997448000009</v>
      </c>
      <c r="Y6" s="15">
        <f t="shared" si="11"/>
        <v>39</v>
      </c>
      <c r="Z6" s="11">
        <f t="shared" si="12"/>
        <v>112550.88099999999</v>
      </c>
      <c r="AE6" s="16">
        <f t="shared" si="1"/>
        <v>6734.1443119919995</v>
      </c>
      <c r="AF6" s="19">
        <f>NPV($R$2,AE$2:AE6)*(1+$R$2)^($A6)</f>
        <v>37102.302155160003</v>
      </c>
    </row>
    <row r="7" spans="1:33" x14ac:dyDescent="0.25">
      <c r="A7">
        <f t="shared" si="6"/>
        <v>6</v>
      </c>
      <c r="B7">
        <f t="shared" si="7"/>
        <v>40</v>
      </c>
      <c r="C7" s="11">
        <f t="shared" si="8"/>
        <v>115927.40742999999</v>
      </c>
      <c r="H7" s="16">
        <f t="shared" si="2"/>
        <v>12519.777314502669</v>
      </c>
      <c r="I7" s="25">
        <f>H7/$F$2</f>
        <v>1043.3147762085557</v>
      </c>
      <c r="J7" s="19">
        <f>NPV($E$2,$H$2:H7)*(1+$E$2)^(A7)</f>
        <v>84846.964216242486</v>
      </c>
      <c r="K7" s="11">
        <f t="shared" si="4"/>
        <v>84846.964216242486</v>
      </c>
      <c r="L7" s="19">
        <f t="shared" si="5"/>
        <v>84846.964216242486</v>
      </c>
      <c r="O7" s="15">
        <f t="shared" si="9"/>
        <v>40</v>
      </c>
      <c r="P7" s="11">
        <f t="shared" si="10"/>
        <v>115927.40742999999</v>
      </c>
      <c r="U7" s="16">
        <f t="shared" si="0"/>
        <v>15024.192002928001</v>
      </c>
      <c r="V7" s="19">
        <f>NPV($R$2,U$2:U7)*(1+$R$2)^($A7)</f>
        <v>101819.46924676803</v>
      </c>
      <c r="Y7" s="15">
        <f t="shared" si="11"/>
        <v>40</v>
      </c>
      <c r="Z7" s="11">
        <f t="shared" si="12"/>
        <v>115927.40742999999</v>
      </c>
      <c r="AE7" s="16">
        <f t="shared" si="1"/>
        <v>6936.16864135176</v>
      </c>
      <c r="AF7" s="19">
        <f>NPV($R$2,AE$2:AE7)*(1+$R$2)^($A7)</f>
        <v>47006.654968924566</v>
      </c>
    </row>
    <row r="8" spans="1:33" x14ac:dyDescent="0.25">
      <c r="A8">
        <f t="shared" si="6"/>
        <v>7</v>
      </c>
      <c r="B8">
        <f t="shared" si="7"/>
        <v>41</v>
      </c>
      <c r="C8" s="11">
        <f t="shared" si="8"/>
        <v>119405.2296529</v>
      </c>
      <c r="H8" s="16">
        <f t="shared" si="2"/>
        <v>12895.370633937753</v>
      </c>
      <c r="I8" s="25">
        <f t="shared" si="3"/>
        <v>1074.6142194948127</v>
      </c>
      <c r="J8" s="19">
        <f>NPV($E$2,$H$2:H8)*(1+$E$2)^(A8)</f>
        <v>104530.09198747967</v>
      </c>
      <c r="K8" s="11">
        <f t="shared" si="4"/>
        <v>104530.09198747964</v>
      </c>
      <c r="L8" s="19">
        <f t="shared" si="5"/>
        <v>104530.09198747964</v>
      </c>
      <c r="O8" s="15">
        <f t="shared" si="9"/>
        <v>41</v>
      </c>
      <c r="P8" s="11">
        <f t="shared" si="10"/>
        <v>119405.2296529</v>
      </c>
      <c r="U8" s="16">
        <f t="shared" si="0"/>
        <v>15474.917763015841</v>
      </c>
      <c r="V8" s="19">
        <f>NPV($R$2,U$2:U8)*(1+$R$2)^($A8)</f>
        <v>125439.94454952532</v>
      </c>
      <c r="Y8" s="15">
        <f t="shared" si="11"/>
        <v>41</v>
      </c>
      <c r="Z8" s="11">
        <f t="shared" si="12"/>
        <v>119405.2296529</v>
      </c>
      <c r="AE8" s="16">
        <f t="shared" si="1"/>
        <v>7144.2537005923132</v>
      </c>
      <c r="AF8" s="19">
        <f>NPV($R$2,AE$2:AE8)*(1+$R$2)^($A8)</f>
        <v>57911.44106703085</v>
      </c>
    </row>
    <row r="9" spans="1:33" x14ac:dyDescent="0.25">
      <c r="A9">
        <f t="shared" si="6"/>
        <v>8</v>
      </c>
      <c r="B9">
        <f t="shared" si="7"/>
        <v>42</v>
      </c>
      <c r="C9" s="11">
        <f t="shared" si="8"/>
        <v>122987.386542487</v>
      </c>
      <c r="H9" s="16">
        <f t="shared" si="2"/>
        <v>13282.231752955884</v>
      </c>
      <c r="I9" s="25">
        <f t="shared" si="3"/>
        <v>1106.852646079657</v>
      </c>
      <c r="J9" s="19">
        <f>NPV($E$2,$H$2:H9)*(1+$E$2)^(A9)</f>
        <v>126174.73109943392</v>
      </c>
      <c r="K9" s="11">
        <f t="shared" si="4"/>
        <v>126174.73109943389</v>
      </c>
      <c r="L9" s="19">
        <f t="shared" si="5"/>
        <v>126174.73109943389</v>
      </c>
      <c r="O9" s="15">
        <f t="shared" si="9"/>
        <v>42</v>
      </c>
      <c r="P9" s="11">
        <f t="shared" si="10"/>
        <v>122987.386542487</v>
      </c>
      <c r="U9" s="16">
        <f t="shared" si="0"/>
        <v>15939.165295906316</v>
      </c>
      <c r="V9" s="19">
        <f>NPV($R$2,U$2:U9)*(1+$R$2)^($A9)</f>
        <v>151414.30540939365</v>
      </c>
      <c r="Y9" s="15">
        <f t="shared" si="11"/>
        <v>42</v>
      </c>
      <c r="Z9" s="11">
        <f t="shared" si="12"/>
        <v>122987.386542487</v>
      </c>
      <c r="AE9" s="16">
        <f t="shared" si="1"/>
        <v>7358.5813116100826</v>
      </c>
      <c r="AF9" s="19">
        <f>NPV($R$2,AE$2:AE9)*(1+$R$2)^($A9)</f>
        <v>69902.937664003402</v>
      </c>
    </row>
    <row r="10" spans="1:33" x14ac:dyDescent="0.25">
      <c r="A10">
        <f t="shared" si="6"/>
        <v>9</v>
      </c>
      <c r="B10">
        <f t="shared" si="7"/>
        <v>43</v>
      </c>
      <c r="C10" s="11">
        <f t="shared" si="8"/>
        <v>126677.00813876161</v>
      </c>
      <c r="H10" s="16">
        <f t="shared" si="2"/>
        <v>13680.698705544561</v>
      </c>
      <c r="I10" s="25">
        <f t="shared" si="3"/>
        <v>1140.0582254620467</v>
      </c>
      <c r="J10" s="19">
        <f>NPV($E$2,$H$2:H10)*(1+$E$2)^(A10)</f>
        <v>149949.40829293319</v>
      </c>
      <c r="K10" s="11">
        <f t="shared" si="4"/>
        <v>149949.40829293316</v>
      </c>
      <c r="L10" s="19">
        <f t="shared" si="5"/>
        <v>149949.40829293316</v>
      </c>
      <c r="O10" s="15">
        <f t="shared" si="9"/>
        <v>43</v>
      </c>
      <c r="P10" s="11">
        <f t="shared" si="10"/>
        <v>126677.00813876161</v>
      </c>
      <c r="U10" s="16">
        <f t="shared" si="0"/>
        <v>16417.340254783503</v>
      </c>
      <c r="V10" s="19">
        <f>NPV($R$2,U$2:U10)*(1+$R$2)^($A10)</f>
        <v>179944.79009692866</v>
      </c>
      <c r="Y10" s="15">
        <f t="shared" si="11"/>
        <v>43</v>
      </c>
      <c r="Z10" s="11">
        <f t="shared" si="12"/>
        <v>126677.00813876161</v>
      </c>
      <c r="AE10" s="16">
        <f t="shared" si="1"/>
        <v>7579.3387509583854</v>
      </c>
      <c r="AF10" s="19">
        <f>NPV($R$2,AE$2:AE10)*(1+$R$2)^($A10)</f>
        <v>83074.511428082071</v>
      </c>
    </row>
    <row r="11" spans="1:33" x14ac:dyDescent="0.25">
      <c r="A11">
        <f t="shared" si="6"/>
        <v>10</v>
      </c>
      <c r="B11">
        <f t="shared" si="7"/>
        <v>44</v>
      </c>
      <c r="C11" s="11">
        <f t="shared" si="8"/>
        <v>130477.31838292447</v>
      </c>
      <c r="H11" s="16">
        <f t="shared" si="2"/>
        <v>14091.119666710898</v>
      </c>
      <c r="I11" s="25">
        <f t="shared" si="3"/>
        <v>1174.2599722259081</v>
      </c>
      <c r="J11" s="19">
        <f>NPV($E$2,$H$2:H11)*(1+$E$2)^(A11)</f>
        <v>176036.48062307877</v>
      </c>
      <c r="K11" s="11">
        <f t="shared" si="4"/>
        <v>176036.48062307874</v>
      </c>
      <c r="L11" s="19">
        <f t="shared" si="5"/>
        <v>176036.48062307874</v>
      </c>
      <c r="O11" s="15">
        <f t="shared" si="9"/>
        <v>44</v>
      </c>
      <c r="P11" s="11">
        <f t="shared" si="10"/>
        <v>130477.31838292447</v>
      </c>
      <c r="U11" s="16">
        <f t="shared" si="0"/>
        <v>16909.860462427012</v>
      </c>
      <c r="V11" s="19">
        <f>NPV($R$2,U$2:U11)*(1+$R$2)^($A11)</f>
        <v>211250.23376710998</v>
      </c>
      <c r="Y11" s="15">
        <f t="shared" si="11"/>
        <v>44</v>
      </c>
      <c r="Z11" s="11">
        <f t="shared" si="12"/>
        <v>130477.31838292447</v>
      </c>
      <c r="AE11" s="16">
        <f t="shared" si="1"/>
        <v>7806.7189134871369</v>
      </c>
      <c r="AF11" s="19">
        <f>NPV($R$2,AE$2:AE11)*(1+$R$2)^($A11)</f>
        <v>97527.191255815778</v>
      </c>
    </row>
    <row r="12" spans="1:33" x14ac:dyDescent="0.25">
      <c r="A12">
        <f t="shared" si="6"/>
        <v>11</v>
      </c>
      <c r="B12">
        <f t="shared" si="7"/>
        <v>45</v>
      </c>
      <c r="C12" s="11">
        <f t="shared" si="8"/>
        <v>134391.6379344122</v>
      </c>
      <c r="H12" s="16">
        <f t="shared" si="2"/>
        <v>14513.853256712226</v>
      </c>
      <c r="I12" s="25">
        <f t="shared" si="3"/>
        <v>1209.4877713926855</v>
      </c>
      <c r="J12" s="19">
        <f>NPV($E$2,$H$2:H12)*(1+$E$2)^(A12)</f>
        <v>204633.25232963727</v>
      </c>
      <c r="K12" s="11">
        <f t="shared" si="4"/>
        <v>204633.25232963727</v>
      </c>
      <c r="L12" s="19">
        <f t="shared" si="5"/>
        <v>204633.25232963727</v>
      </c>
      <c r="O12" s="15">
        <f t="shared" si="9"/>
        <v>45</v>
      </c>
      <c r="P12" s="11">
        <f t="shared" si="10"/>
        <v>134391.6379344122</v>
      </c>
      <c r="U12" s="16">
        <f t="shared" si="0"/>
        <v>17417.156276299822</v>
      </c>
      <c r="V12" s="19">
        <f>NPV($R$2,U$2:U12)*(1+$R$2)^($A12)</f>
        <v>245567.40874477857</v>
      </c>
      <c r="Y12" s="15">
        <f t="shared" si="11"/>
        <v>45</v>
      </c>
      <c r="Z12" s="11">
        <f t="shared" si="12"/>
        <v>134391.6379344122</v>
      </c>
      <c r="AE12" s="16">
        <f t="shared" si="1"/>
        <v>8040.9204808917502</v>
      </c>
      <c r="AF12" s="19">
        <f>NPV($R$2,AE$2:AE12)*(1+$R$2)^($A12)</f>
        <v>113370.28703717278</v>
      </c>
    </row>
    <row r="13" spans="1:33" x14ac:dyDescent="0.25">
      <c r="A13">
        <f t="shared" si="6"/>
        <v>12</v>
      </c>
      <c r="B13">
        <f t="shared" si="7"/>
        <v>46</v>
      </c>
      <c r="C13" s="11">
        <f t="shared" si="8"/>
        <v>138423.38707244457</v>
      </c>
      <c r="H13" s="16">
        <f t="shared" si="2"/>
        <v>14949.268854413593</v>
      </c>
      <c r="I13" s="25">
        <f t="shared" si="3"/>
        <v>1245.772404534466</v>
      </c>
      <c r="J13" s="19">
        <f>NPV($E$2,$H$2:H13)*(1+$E$2)^(A13)</f>
        <v>235953.18137042187</v>
      </c>
      <c r="K13" s="11">
        <f t="shared" si="4"/>
        <v>235953.18137042187</v>
      </c>
      <c r="L13" s="19">
        <f t="shared" si="5"/>
        <v>235953.18137042187</v>
      </c>
      <c r="O13" s="15">
        <f t="shared" si="9"/>
        <v>46</v>
      </c>
      <c r="P13" s="11">
        <f t="shared" si="10"/>
        <v>138423.38707244457</v>
      </c>
      <c r="U13" s="16">
        <f t="shared" si="0"/>
        <v>17939.670964588815</v>
      </c>
      <c r="V13" s="19">
        <f>NPV($R$2,U$2:U13)*(1+$R$2)^($A13)</f>
        <v>283152.47240894969</v>
      </c>
      <c r="Y13" s="15">
        <f t="shared" si="11"/>
        <v>46</v>
      </c>
      <c r="Z13" s="11">
        <f t="shared" si="12"/>
        <v>138423.38707244457</v>
      </c>
      <c r="AE13" s="16">
        <f t="shared" si="1"/>
        <v>8282.1480953185037</v>
      </c>
      <c r="AF13" s="19">
        <f>NPV($R$2,AE$2:AE13)*(1+$R$2)^($A13)</f>
        <v>130722.05809546511</v>
      </c>
    </row>
    <row r="14" spans="1:33" x14ac:dyDescent="0.25">
      <c r="A14">
        <f t="shared" si="6"/>
        <v>13</v>
      </c>
      <c r="B14">
        <f t="shared" si="7"/>
        <v>47</v>
      </c>
      <c r="C14" s="11">
        <f t="shared" si="8"/>
        <v>142576.08868461792</v>
      </c>
      <c r="H14" s="16">
        <f t="shared" si="2"/>
        <v>15397.746920046002</v>
      </c>
      <c r="I14" s="25">
        <f t="shared" si="3"/>
        <v>1283.1455766705001</v>
      </c>
      <c r="J14" s="19">
        <f>NPV($E$2,$H$2:H14)*(1+$E$2)^(A14)</f>
        <v>270227.18280010164</v>
      </c>
      <c r="K14" s="11">
        <f t="shared" si="4"/>
        <v>270227.18280010164</v>
      </c>
      <c r="L14" s="19">
        <f t="shared" si="5"/>
        <v>270227.18280010164</v>
      </c>
      <c r="O14" s="15">
        <f t="shared" si="9"/>
        <v>47</v>
      </c>
      <c r="P14" s="11">
        <f t="shared" si="10"/>
        <v>142576.08868461792</v>
      </c>
      <c r="U14" s="16">
        <f t="shared" si="0"/>
        <v>18477.861093526481</v>
      </c>
      <c r="V14" s="19">
        <f>NPV($R$2,U$2:U14)*(1+$R$2)^($A14)</f>
        <v>324282.53129519214</v>
      </c>
      <c r="Y14" s="15">
        <f t="shared" si="11"/>
        <v>47</v>
      </c>
      <c r="Z14" s="11">
        <f t="shared" si="12"/>
        <v>142576.08868461792</v>
      </c>
      <c r="AE14" s="16">
        <f t="shared" si="1"/>
        <v>8530.6125381780603</v>
      </c>
      <c r="AF14" s="19">
        <f>NPV($R$2,AE$2:AE14)*(1+$R$2)^($A14)</f>
        <v>149710.43528128037</v>
      </c>
    </row>
    <row r="15" spans="1:33" x14ac:dyDescent="0.25">
      <c r="A15">
        <f t="shared" si="6"/>
        <v>14</v>
      </c>
      <c r="B15">
        <f t="shared" si="7"/>
        <v>48</v>
      </c>
      <c r="C15" s="11">
        <f t="shared" si="8"/>
        <v>146853.37134515645</v>
      </c>
      <c r="H15" s="16">
        <f t="shared" si="2"/>
        <v>15859.679327647382</v>
      </c>
      <c r="I15" s="25">
        <f t="shared" si="3"/>
        <v>1321.6399439706151</v>
      </c>
      <c r="J15" s="19">
        <f>NPV($E$2,$H$2:H15)*(1+$E$2)^(A15)</f>
        <v>307705.0367517572</v>
      </c>
      <c r="K15" s="11">
        <f t="shared" si="4"/>
        <v>307705.03675175714</v>
      </c>
      <c r="L15" s="19">
        <f t="shared" si="5"/>
        <v>307705.03675175714</v>
      </c>
      <c r="O15" s="15">
        <f t="shared" si="9"/>
        <v>48</v>
      </c>
      <c r="P15" s="11">
        <f t="shared" si="10"/>
        <v>146853.37134515645</v>
      </c>
      <c r="U15" s="16">
        <f t="shared" si="0"/>
        <v>19032.196926332279</v>
      </c>
      <c r="V15" s="19">
        <f>NPV($R$2,U$2:U15)*(1+$R$2)^($A15)</f>
        <v>369257.33072513988</v>
      </c>
      <c r="Y15" s="15">
        <f t="shared" si="11"/>
        <v>48</v>
      </c>
      <c r="Z15" s="11">
        <f t="shared" si="12"/>
        <v>146853.37134515645</v>
      </c>
      <c r="AE15" s="16">
        <f t="shared" si="1"/>
        <v>8786.5309143234008</v>
      </c>
      <c r="AF15" s="19">
        <f>NPV($R$2,AE$2:AE15)*(1+$R$2)^($A15)</f>
        <v>170473.80101810626</v>
      </c>
    </row>
    <row r="16" spans="1:33" x14ac:dyDescent="0.25">
      <c r="A16">
        <f t="shared" si="6"/>
        <v>15</v>
      </c>
      <c r="B16">
        <f t="shared" si="7"/>
        <v>49</v>
      </c>
      <c r="C16" s="11">
        <f t="shared" si="8"/>
        <v>151258.97248551116</v>
      </c>
      <c r="H16" s="16">
        <f t="shared" si="2"/>
        <v>16335.469707476805</v>
      </c>
      <c r="I16" s="25">
        <f t="shared" si="3"/>
        <v>1361.2891422897337</v>
      </c>
      <c r="J16" s="19">
        <f>NPV($E$2,$H$2:H16)*(1+$E$2)^(A16)</f>
        <v>348656.90939937456</v>
      </c>
      <c r="K16" s="11">
        <f t="shared" si="4"/>
        <v>348656.9093993745</v>
      </c>
      <c r="L16" s="19">
        <f t="shared" si="5"/>
        <v>348656.9093993745</v>
      </c>
      <c r="O16" s="15">
        <f t="shared" si="9"/>
        <v>49</v>
      </c>
      <c r="P16" s="11">
        <f t="shared" si="10"/>
        <v>151258.97248551116</v>
      </c>
      <c r="U16" s="16">
        <f t="shared" si="0"/>
        <v>19603.162834122246</v>
      </c>
      <c r="V16" s="19">
        <f>NPV($R$2,U$2:U16)*(1+$R$2)^($A16)</f>
        <v>418401.08001727331</v>
      </c>
      <c r="Y16" s="15">
        <f t="shared" si="11"/>
        <v>49</v>
      </c>
      <c r="Z16" s="11">
        <f t="shared" si="12"/>
        <v>151258.97248551116</v>
      </c>
      <c r="AE16" s="16">
        <f t="shared" si="1"/>
        <v>9050.1268417531046</v>
      </c>
      <c r="AF16" s="19">
        <f>NPV($R$2,AE$2:AE16)*(1+$R$2)^($A16)</f>
        <v>193161.83194130784</v>
      </c>
    </row>
    <row r="17" spans="1:32" x14ac:dyDescent="0.25">
      <c r="A17">
        <f t="shared" si="6"/>
        <v>16</v>
      </c>
      <c r="B17">
        <f t="shared" si="7"/>
        <v>50</v>
      </c>
      <c r="C17" s="11">
        <f t="shared" si="8"/>
        <v>155796.74166007648</v>
      </c>
      <c r="H17" s="16">
        <f t="shared" si="2"/>
        <v>16825.533798701108</v>
      </c>
      <c r="I17" s="25">
        <f t="shared" si="3"/>
        <v>1402.1278165584256</v>
      </c>
      <c r="J17" s="19">
        <f>NPV($E$2,$H$2:H17)*(1+$E$2)^(A17)</f>
        <v>393374.99595002568</v>
      </c>
      <c r="K17" s="11">
        <f t="shared" si="4"/>
        <v>393374.99595002562</v>
      </c>
      <c r="L17" s="19">
        <f t="shared" si="5"/>
        <v>393374.99595002562</v>
      </c>
      <c r="O17">
        <f t="shared" si="9"/>
        <v>50</v>
      </c>
      <c r="P17" s="11">
        <f t="shared" si="10"/>
        <v>155796.74166007648</v>
      </c>
      <c r="T17" s="17">
        <v>5.5399999999999998E-2</v>
      </c>
      <c r="U17" s="16">
        <f>P17*$T$17*(1+$R$2)</f>
        <v>9321.630647005697</v>
      </c>
      <c r="V17" s="19">
        <f>NPV($R$2,U$2:U17)*(1+$R$2)^($A17)</f>
        <v>461194.79706566088</v>
      </c>
      <c r="Y17">
        <f t="shared" si="11"/>
        <v>50</v>
      </c>
      <c r="Z17" s="11">
        <f t="shared" si="12"/>
        <v>155796.74166007648</v>
      </c>
      <c r="AD17" s="17">
        <v>0.187</v>
      </c>
      <c r="AE17" s="16">
        <f>Z17*$AD$17*(1+$AB$2)</f>
        <v>31464.709945669052</v>
      </c>
      <c r="AF17" s="19">
        <f>NPV($R$2,AE$2:AE17)*(1+$R$2)^($A17)</f>
        <v>240079.48844228152</v>
      </c>
    </row>
    <row r="18" spans="1:32" x14ac:dyDescent="0.25">
      <c r="A18">
        <f t="shared" ref="A18:A28" si="13">A17+1</f>
        <v>17</v>
      </c>
      <c r="B18">
        <f t="shared" ref="B18:B28" si="14">B17+1</f>
        <v>51</v>
      </c>
      <c r="C18" s="11">
        <f t="shared" si="8"/>
        <v>160470.6439098788</v>
      </c>
      <c r="H18" s="16">
        <f t="shared" si="2"/>
        <v>17330.299812662142</v>
      </c>
      <c r="I18" s="25">
        <f t="shared" si="3"/>
        <v>1444.1916510551785</v>
      </c>
      <c r="J18" s="19">
        <f>NPV($E$2,$H$2:H18)*(1+$E$2)^(A18)</f>
        <v>442175.29543868982</v>
      </c>
      <c r="K18" s="11">
        <f t="shared" si="4"/>
        <v>442175.29543868982</v>
      </c>
      <c r="L18" s="19">
        <f t="shared" si="5"/>
        <v>442175.29543868982</v>
      </c>
      <c r="O18">
        <f t="shared" si="9"/>
        <v>51</v>
      </c>
      <c r="P18" s="11">
        <f t="shared" si="10"/>
        <v>160470.6439098788</v>
      </c>
      <c r="U18" s="16">
        <f t="shared" ref="U18:U31" si="15">P18*$T$17*(1+$R$2)</f>
        <v>9601.2795664158675</v>
      </c>
      <c r="V18" s="19">
        <f>NPV($R$2,U$2:U18)*(1+$R$2)^($A18)</f>
        <v>507691.66039732966</v>
      </c>
      <c r="Y18">
        <f t="shared" si="11"/>
        <v>51</v>
      </c>
      <c r="Z18" s="11">
        <f t="shared" si="12"/>
        <v>160470.6439098788</v>
      </c>
      <c r="AE18" s="16">
        <f t="shared" ref="AE18:AE32" si="16">Z18*$AD$17*(1+$AB$2)</f>
        <v>32408.651244039123</v>
      </c>
      <c r="AF18" s="19">
        <f>NPV($R$2,AE$2:AE18)*(1+$R$2)^($A18)</f>
        <v>291694.4987617032</v>
      </c>
    </row>
    <row r="19" spans="1:32" x14ac:dyDescent="0.25">
      <c r="A19">
        <f t="shared" si="13"/>
        <v>18</v>
      </c>
      <c r="B19">
        <f t="shared" si="14"/>
        <v>52</v>
      </c>
      <c r="C19" s="11">
        <f t="shared" si="8"/>
        <v>165284.76322717516</v>
      </c>
      <c r="H19" s="16">
        <f t="shared" si="2"/>
        <v>17850.20880704201</v>
      </c>
      <c r="I19" s="25">
        <f t="shared" si="3"/>
        <v>1487.5174005868341</v>
      </c>
      <c r="J19" s="19">
        <f>NPV($E$2,$H$2:H19)*(1+$E$2)^(A19)</f>
        <v>495399.52788082708</v>
      </c>
      <c r="K19" s="11">
        <f t="shared" si="4"/>
        <v>495399.52788082702</v>
      </c>
      <c r="L19" s="19">
        <f t="shared" si="5"/>
        <v>495399.52788082702</v>
      </c>
      <c r="O19">
        <f t="shared" si="9"/>
        <v>52</v>
      </c>
      <c r="P19" s="11">
        <f t="shared" si="10"/>
        <v>165284.76322717516</v>
      </c>
      <c r="U19" s="16">
        <f t="shared" si="15"/>
        <v>9889.3179534083447</v>
      </c>
      <c r="V19" s="19">
        <f>NPV($R$2,U$2:U19)*(1+$R$2)^($A19)</f>
        <v>558196.31118252431</v>
      </c>
      <c r="Y19">
        <f t="shared" si="11"/>
        <v>52</v>
      </c>
      <c r="Z19" s="11">
        <f t="shared" si="12"/>
        <v>165284.76322717516</v>
      </c>
      <c r="AE19" s="16">
        <f t="shared" si="16"/>
        <v>33380.910781360297</v>
      </c>
      <c r="AF19" s="19">
        <f>NPV($R$2,AE$2:AE19)*(1+$R$2)^($A19)</f>
        <v>348410.96944399975</v>
      </c>
    </row>
    <row r="20" spans="1:32" x14ac:dyDescent="0.25">
      <c r="A20">
        <f t="shared" si="13"/>
        <v>19</v>
      </c>
      <c r="B20">
        <f t="shared" si="14"/>
        <v>53</v>
      </c>
      <c r="C20" s="11">
        <f t="shared" si="8"/>
        <v>170243.30612399042</v>
      </c>
      <c r="H20" s="16">
        <f t="shared" si="2"/>
        <v>18385.715071253268</v>
      </c>
      <c r="I20" s="25">
        <f t="shared" si="3"/>
        <v>1532.142922604439</v>
      </c>
      <c r="J20" s="19">
        <f>NPV($E$2,$H$2:H20)*(1+$E$2)^(A20)</f>
        <v>553417.20518254652</v>
      </c>
      <c r="K20" s="11">
        <f t="shared" si="4"/>
        <v>553417.20518254652</v>
      </c>
      <c r="L20" s="19">
        <f t="shared" si="5"/>
        <v>553417.20518254652</v>
      </c>
      <c r="O20">
        <f t="shared" si="9"/>
        <v>53</v>
      </c>
      <c r="P20" s="11">
        <f t="shared" si="10"/>
        <v>170243.30612399042</v>
      </c>
      <c r="U20" s="16">
        <f t="shared" si="15"/>
        <v>10185.997492010596</v>
      </c>
      <c r="V20" s="19">
        <f>NPV($R$2,U$2:U20)*(1+$R$2)^($A20)</f>
        <v>613038.01356913697</v>
      </c>
      <c r="Y20">
        <f t="shared" si="11"/>
        <v>53</v>
      </c>
      <c r="Z20" s="11">
        <f t="shared" si="12"/>
        <v>170243.30612399042</v>
      </c>
      <c r="AE20" s="16">
        <f t="shared" si="16"/>
        <v>34382.338104801107</v>
      </c>
      <c r="AF20" s="19">
        <f>NPV($R$2,AE$2:AE20)*(1+$R$2)^($A20)</f>
        <v>410666.18510432082</v>
      </c>
    </row>
    <row r="21" spans="1:32" x14ac:dyDescent="0.25">
      <c r="A21">
        <f t="shared" si="13"/>
        <v>20</v>
      </c>
      <c r="B21">
        <f t="shared" si="14"/>
        <v>54</v>
      </c>
      <c r="C21" s="11">
        <f t="shared" si="8"/>
        <v>175350.60530771012</v>
      </c>
      <c r="H21" s="16">
        <f t="shared" si="2"/>
        <v>18937.286523390863</v>
      </c>
      <c r="I21" s="25">
        <f t="shared" si="3"/>
        <v>1578.1072102825719</v>
      </c>
      <c r="J21" s="19">
        <f>NPV($E$2,$H$2:H21)*(1+$E$2)^(A21)</f>
        <v>616627.8681205411</v>
      </c>
      <c r="K21" s="11">
        <f t="shared" si="4"/>
        <v>616627.86812054121</v>
      </c>
      <c r="L21" s="19">
        <f t="shared" si="5"/>
        <v>616627.86812054121</v>
      </c>
      <c r="O21">
        <f t="shared" si="9"/>
        <v>54</v>
      </c>
      <c r="P21" s="11">
        <f t="shared" si="10"/>
        <v>175350.60530771012</v>
      </c>
      <c r="U21" s="16">
        <f t="shared" si="15"/>
        <v>10491.577416770913</v>
      </c>
      <c r="V21" s="19">
        <f>NPV($R$2,U$2:U21)*(1+$R$2)^($A21)</f>
        <v>672572.63207143883</v>
      </c>
      <c r="Y21">
        <f t="shared" si="11"/>
        <v>54</v>
      </c>
      <c r="Z21" s="11">
        <f t="shared" si="12"/>
        <v>175350.60530771012</v>
      </c>
      <c r="AE21" s="16">
        <f t="shared" si="16"/>
        <v>35413.808247945133</v>
      </c>
      <c r="AF21" s="19">
        <f>NPV($R$2,AE$2:AE21)*(1+$R$2)^($A21)</f>
        <v>478933.28816061158</v>
      </c>
    </row>
    <row r="22" spans="1:32" x14ac:dyDescent="0.25">
      <c r="A22">
        <f t="shared" si="13"/>
        <v>21</v>
      </c>
      <c r="B22">
        <f t="shared" si="14"/>
        <v>55</v>
      </c>
      <c r="C22" s="11">
        <f t="shared" si="8"/>
        <v>180611.12346694144</v>
      </c>
      <c r="H22" s="16">
        <f t="shared" si="2"/>
        <v>19505.405119092593</v>
      </c>
      <c r="I22" s="25">
        <f t="shared" si="3"/>
        <v>1625.4504265910493</v>
      </c>
      <c r="J22" s="19">
        <f>NPV($E$2,$H$2:H22)*(1+$E$2)^(A22)</f>
        <v>685463.50268927705</v>
      </c>
      <c r="K22" s="11">
        <f t="shared" si="4"/>
        <v>685463.50268927705</v>
      </c>
      <c r="L22" s="19">
        <f t="shared" si="5"/>
        <v>685463.50268927705</v>
      </c>
      <c r="O22">
        <f t="shared" si="9"/>
        <v>55</v>
      </c>
      <c r="P22" s="11">
        <f t="shared" si="10"/>
        <v>180611.12346694144</v>
      </c>
      <c r="U22" s="16">
        <f t="shared" si="15"/>
        <v>10806.32473927404</v>
      </c>
      <c r="V22" s="19">
        <f>NPV($R$2,U$2:U22)*(1+$R$2)^($A22)</f>
        <v>737184.76737642812</v>
      </c>
      <c r="Y22">
        <f t="shared" si="11"/>
        <v>55</v>
      </c>
      <c r="Z22" s="11">
        <f t="shared" si="12"/>
        <v>180611.12346694144</v>
      </c>
      <c r="AE22" s="16">
        <f t="shared" si="16"/>
        <v>36476.222495383496</v>
      </c>
      <c r="AF22" s="19">
        <f>NPV($R$2,AE$2:AE22)*(1+$R$2)^($A22)</f>
        <v>553724.173708844</v>
      </c>
    </row>
    <row r="23" spans="1:32" x14ac:dyDescent="0.25">
      <c r="A23">
        <f t="shared" si="13"/>
        <v>22</v>
      </c>
      <c r="B23">
        <f t="shared" si="14"/>
        <v>56</v>
      </c>
      <c r="C23" s="11">
        <f t="shared" si="8"/>
        <v>186029.4571709497</v>
      </c>
      <c r="H23" s="16">
        <f t="shared" si="2"/>
        <v>20090.567272665368</v>
      </c>
      <c r="I23" s="25">
        <f t="shared" si="3"/>
        <v>1674.2139393887808</v>
      </c>
      <c r="J23" s="19">
        <f>NPV($E$2,$H$2:H23)*(1+$E$2)^(A23)</f>
        <v>760391.15017708461</v>
      </c>
      <c r="K23" s="11">
        <f t="shared" si="4"/>
        <v>760391.15017708461</v>
      </c>
      <c r="L23" s="19">
        <f t="shared" si="5"/>
        <v>760391.15017708461</v>
      </c>
      <c r="O23">
        <f t="shared" si="9"/>
        <v>56</v>
      </c>
      <c r="P23" s="11">
        <f t="shared" si="10"/>
        <v>186029.4571709497</v>
      </c>
      <c r="U23" s="16">
        <f t="shared" si="15"/>
        <v>11130.514481452263</v>
      </c>
      <c r="V23" s="19">
        <f>NPV($R$2,U$2:U23)*(1+$R$2)^($A23)</f>
        <v>807290.06324799475</v>
      </c>
      <c r="Y23">
        <f t="shared" si="11"/>
        <v>56</v>
      </c>
      <c r="Z23" s="11">
        <f t="shared" si="12"/>
        <v>186029.4571709497</v>
      </c>
      <c r="AE23" s="16">
        <f t="shared" si="16"/>
        <v>37570.509170245001</v>
      </c>
      <c r="AF23" s="19">
        <f>NPV($R$2,AE$2:AE23)*(1+$R$2)^($A23)</f>
        <v>635592.61677579663</v>
      </c>
    </row>
    <row r="24" spans="1:32" x14ac:dyDescent="0.25">
      <c r="A24">
        <f t="shared" si="13"/>
        <v>23</v>
      </c>
      <c r="B24">
        <f t="shared" si="14"/>
        <v>57</v>
      </c>
      <c r="C24" s="11">
        <f t="shared" si="8"/>
        <v>191610.34088607819</v>
      </c>
      <c r="H24" s="16">
        <f t="shared" si="2"/>
        <v>20693.284290845331</v>
      </c>
      <c r="I24" s="25">
        <f t="shared" si="3"/>
        <v>1724.4403575704443</v>
      </c>
      <c r="J24" s="19">
        <f>NPV($E$2,$H$2:H24)*(1+$E$2)^(A24)</f>
        <v>841915.72648209671</v>
      </c>
      <c r="K24" s="11">
        <f t="shared" si="4"/>
        <v>841915.72648209683</v>
      </c>
      <c r="L24" s="19">
        <f t="shared" si="5"/>
        <v>841915.72648209683</v>
      </c>
      <c r="O24">
        <f t="shared" si="9"/>
        <v>57</v>
      </c>
      <c r="P24" s="11">
        <f t="shared" si="10"/>
        <v>191610.34088607819</v>
      </c>
      <c r="U24" s="16">
        <f t="shared" si="15"/>
        <v>11464.429915895831</v>
      </c>
      <c r="V24" s="19">
        <f>NPV($R$2,U$2:U24)*(1+$R$2)^($A24)</f>
        <v>883337.69822372997</v>
      </c>
      <c r="Y24">
        <f t="shared" si="11"/>
        <v>57</v>
      </c>
      <c r="Z24" s="11">
        <f t="shared" si="12"/>
        <v>191610.34088607819</v>
      </c>
      <c r="AE24" s="16">
        <f t="shared" si="16"/>
        <v>38697.624445352354</v>
      </c>
      <c r="AF24" s="19">
        <f>NPV($R$2,AE$2:AE24)*(1+$R$2)^($A24)</f>
        <v>725137.65056321269</v>
      </c>
    </row>
    <row r="25" spans="1:32" x14ac:dyDescent="0.25">
      <c r="A25">
        <f t="shared" si="13"/>
        <v>24</v>
      </c>
      <c r="B25">
        <f t="shared" si="14"/>
        <v>58</v>
      </c>
      <c r="C25" s="11">
        <f t="shared" si="8"/>
        <v>197358.65111266053</v>
      </c>
      <c r="H25" s="16">
        <f t="shared" si="2"/>
        <v>21314.082819570693</v>
      </c>
      <c r="I25" s="25">
        <f t="shared" si="3"/>
        <v>1776.1735682975577</v>
      </c>
      <c r="J25" s="19">
        <f>NPV($E$2,$H$2:H25)*(1+$E$2)^(A25)</f>
        <v>930583.06742023514</v>
      </c>
      <c r="K25" s="11">
        <f t="shared" si="4"/>
        <v>930583.06742023525</v>
      </c>
      <c r="L25" s="19">
        <f t="shared" si="5"/>
        <v>930583.06742023525</v>
      </c>
      <c r="O25">
        <f t="shared" si="9"/>
        <v>58</v>
      </c>
      <c r="P25" s="11">
        <f t="shared" si="10"/>
        <v>197358.65111266053</v>
      </c>
      <c r="U25" s="16">
        <f t="shared" si="15"/>
        <v>11808.362813372705</v>
      </c>
      <c r="V25" s="19">
        <f>NPV($R$2,U$2:U25)*(1+$R$2)^($A25)</f>
        <v>965813.07689500134</v>
      </c>
      <c r="Y25">
        <f t="shared" si="11"/>
        <v>58</v>
      </c>
      <c r="Z25" s="11">
        <f t="shared" si="12"/>
        <v>197358.65111266053</v>
      </c>
      <c r="AE25" s="16">
        <f t="shared" si="16"/>
        <v>39858.553178712922</v>
      </c>
      <c r="AF25" s="19">
        <f>NPV($R$2,AE$2:AE25)*(1+$R$2)^($A25)</f>
        <v>823007.21578698256</v>
      </c>
    </row>
    <row r="26" spans="1:32" x14ac:dyDescent="0.25">
      <c r="A26">
        <f t="shared" si="13"/>
        <v>25</v>
      </c>
      <c r="B26">
        <f t="shared" si="14"/>
        <v>59</v>
      </c>
      <c r="C26" s="11">
        <f t="shared" si="8"/>
        <v>203279.41064604034</v>
      </c>
      <c r="H26" s="16">
        <f t="shared" si="2"/>
        <v>21953.505304157814</v>
      </c>
      <c r="I26" s="25">
        <f t="shared" si="3"/>
        <v>1829.4587753464846</v>
      </c>
      <c r="J26" s="19">
        <f>NPV($E$2,$H$2:H26)*(1+$E$2)^(A26)</f>
        <v>1026983.218118012</v>
      </c>
      <c r="K26" s="11">
        <f t="shared" si="4"/>
        <v>1026983.218118012</v>
      </c>
      <c r="L26" s="19">
        <f t="shared" si="5"/>
        <v>1026983.218118012</v>
      </c>
      <c r="O26">
        <f t="shared" si="9"/>
        <v>59</v>
      </c>
      <c r="P26" s="11">
        <f t="shared" si="10"/>
        <v>203279.41064604034</v>
      </c>
      <c r="U26" s="16">
        <f t="shared" si="15"/>
        <v>12162.613697773886</v>
      </c>
      <c r="V26" s="19">
        <f>NPV($R$2,U$2:U26)*(1+$R$2)^($A26)</f>
        <v>1055240.7367443757</v>
      </c>
      <c r="Y26">
        <f t="shared" si="11"/>
        <v>59</v>
      </c>
      <c r="Z26" s="11">
        <f t="shared" si="12"/>
        <v>203279.41064604034</v>
      </c>
      <c r="AE26" s="16">
        <f t="shared" si="16"/>
        <v>41054.309774074311</v>
      </c>
      <c r="AF26" s="19">
        <f>NPV($R$2,AE$2:AE26)*(1+$R$2)^($A26)</f>
        <v>929902.10282401566</v>
      </c>
    </row>
    <row r="27" spans="1:32" x14ac:dyDescent="0.25">
      <c r="A27">
        <f t="shared" si="13"/>
        <v>26</v>
      </c>
      <c r="B27">
        <f t="shared" si="14"/>
        <v>60</v>
      </c>
      <c r="C27" s="11">
        <f t="shared" si="8"/>
        <v>209377.79296542157</v>
      </c>
      <c r="H27" s="16">
        <f t="shared" si="2"/>
        <v>22612.110463282548</v>
      </c>
      <c r="I27" s="25">
        <f t="shared" si="3"/>
        <v>1884.3425386068791</v>
      </c>
      <c r="J27" s="19">
        <f>NPV($E$2,$H$2:H27)*(1+$E$2)^(A27)</f>
        <v>1131753.9860307353</v>
      </c>
      <c r="K27" s="11">
        <f t="shared" si="4"/>
        <v>1131753.9860307355</v>
      </c>
      <c r="L27" s="19">
        <f t="shared" si="5"/>
        <v>1131753.9860307355</v>
      </c>
      <c r="O27">
        <f t="shared" si="9"/>
        <v>60</v>
      </c>
      <c r="P27" s="11">
        <f t="shared" si="10"/>
        <v>209377.79296542157</v>
      </c>
      <c r="U27" s="16">
        <f t="shared" si="15"/>
        <v>12527.492108707103</v>
      </c>
      <c r="V27" s="19">
        <f>NPV($R$2,U$2:U27)*(1+$R$2)^($A27)</f>
        <v>1152187.4877926323</v>
      </c>
      <c r="Y27">
        <f t="shared" si="11"/>
        <v>60</v>
      </c>
      <c r="Z27" s="11">
        <f t="shared" si="12"/>
        <v>209377.79296542157</v>
      </c>
      <c r="AE27" s="16">
        <f t="shared" si="16"/>
        <v>42285.939067296546</v>
      </c>
      <c r="AF27" s="19">
        <f>NPV($R$2,AE$2:AE27)*(1+$R$2)^($A27)</f>
        <v>1046580.2101172333</v>
      </c>
    </row>
    <row r="28" spans="1:32" x14ac:dyDescent="0.25">
      <c r="A28">
        <f t="shared" si="13"/>
        <v>27</v>
      </c>
      <c r="B28">
        <f t="shared" si="14"/>
        <v>61</v>
      </c>
      <c r="C28" s="11">
        <f t="shared" si="8"/>
        <v>215659.12675438423</v>
      </c>
      <c r="H28" s="16">
        <f t="shared" si="2"/>
        <v>23290.473777181025</v>
      </c>
      <c r="I28" s="25">
        <f t="shared" si="3"/>
        <v>1940.8728147650854</v>
      </c>
      <c r="J28" s="19">
        <f>NPV($E$2,$H$2:H28)*(1+$E$2)^(A28)</f>
        <v>1245584.7786903752</v>
      </c>
      <c r="K28" s="11">
        <f t="shared" si="4"/>
        <v>1245584.7786903754</v>
      </c>
      <c r="L28" s="19">
        <f t="shared" si="5"/>
        <v>1245584.7786903754</v>
      </c>
      <c r="O28">
        <f t="shared" si="9"/>
        <v>61</v>
      </c>
      <c r="P28" s="11">
        <f t="shared" si="10"/>
        <v>215659.12675438423</v>
      </c>
      <c r="U28" s="16">
        <f t="shared" si="15"/>
        <v>12903.316871968318</v>
      </c>
      <c r="V28" s="19">
        <f>NPV($R$2,U$2:U28)*(1+$R$2)^($A28)</f>
        <v>1257265.8036880114</v>
      </c>
      <c r="Y28">
        <f t="shared" si="11"/>
        <v>61</v>
      </c>
      <c r="Z28" s="11">
        <f t="shared" si="12"/>
        <v>215659.12675438423</v>
      </c>
      <c r="AE28" s="16">
        <f t="shared" si="16"/>
        <v>43554.517239315443</v>
      </c>
      <c r="AF28" s="19">
        <f>NPV($R$2,AE$2:AE28)*(1+$R$2)^($A28)</f>
        <v>1173861.1441659275</v>
      </c>
    </row>
    <row r="29" spans="1:32" x14ac:dyDescent="0.25">
      <c r="A29">
        <f t="shared" ref="A29:A31" si="17">A28+1</f>
        <v>28</v>
      </c>
      <c r="B29">
        <f t="shared" ref="B29:B31" si="18">B28+1</f>
        <v>62</v>
      </c>
      <c r="C29" s="11">
        <f t="shared" si="8"/>
        <v>222128.90055701576</v>
      </c>
      <c r="H29" s="16">
        <f t="shared" si="2"/>
        <v>23989.187990496455</v>
      </c>
      <c r="I29" s="25">
        <f t="shared" si="3"/>
        <v>1999.0989992080379</v>
      </c>
      <c r="J29" s="19">
        <f>NPV($E$2,$H$2:H29)*(1+$E$2)^(A29)</f>
        <v>1369220.7489761016</v>
      </c>
      <c r="K29" s="11">
        <f t="shared" si="4"/>
        <v>1369220.7489761019</v>
      </c>
      <c r="L29" s="19">
        <f t="shared" si="5"/>
        <v>1369220.7489761019</v>
      </c>
      <c r="O29">
        <f t="shared" si="9"/>
        <v>62</v>
      </c>
      <c r="P29" s="11">
        <f t="shared" si="10"/>
        <v>222128.90055701576</v>
      </c>
      <c r="U29" s="16">
        <f t="shared" si="15"/>
        <v>13290.416378127367</v>
      </c>
      <c r="V29" s="19">
        <f>NPV($R$2,U$2:U29)*(1+$R$2)^($A29)</f>
        <v>1371137.4843611796</v>
      </c>
      <c r="Y29">
        <f t="shared" si="11"/>
        <v>62</v>
      </c>
      <c r="Z29" s="11">
        <f t="shared" si="12"/>
        <v>222128.90055701576</v>
      </c>
      <c r="AE29" s="16">
        <f t="shared" si="16"/>
        <v>44861.152756494906</v>
      </c>
      <c r="AF29" s="19">
        <f>NPV($R$2,AE$2:AE29)*(1+$R$2)^($A29)</f>
        <v>1312631.1884556967</v>
      </c>
    </row>
    <row r="30" spans="1:32" x14ac:dyDescent="0.25">
      <c r="A30">
        <f t="shared" si="17"/>
        <v>29</v>
      </c>
      <c r="B30">
        <f t="shared" si="18"/>
        <v>63</v>
      </c>
      <c r="C30" s="11">
        <f t="shared" si="8"/>
        <v>228792.76757372625</v>
      </c>
      <c r="H30" s="16">
        <f t="shared" si="2"/>
        <v>24708.863630211352</v>
      </c>
      <c r="I30" s="25">
        <f t="shared" si="3"/>
        <v>2059.0719691842792</v>
      </c>
      <c r="J30" s="19">
        <f>NPV($E$2,$H$2:H30)*(1+$E$2)^(A30)</f>
        <v>1503467.2725244013</v>
      </c>
      <c r="K30" s="11">
        <f t="shared" si="4"/>
        <v>1503467.2725244015</v>
      </c>
      <c r="L30" s="19">
        <f t="shared" si="5"/>
        <v>1503467.2725244015</v>
      </c>
      <c r="O30">
        <f t="shared" si="9"/>
        <v>63</v>
      </c>
      <c r="P30" s="11">
        <f t="shared" si="10"/>
        <v>228792.76757372625</v>
      </c>
      <c r="U30" s="16">
        <f t="shared" si="15"/>
        <v>13689.128869471189</v>
      </c>
      <c r="V30" s="19">
        <f>NPV($R$2,U$2:U30)*(1+$R$2)^($A30)</f>
        <v>1494517.6119795453</v>
      </c>
      <c r="Y30">
        <f t="shared" si="11"/>
        <v>63</v>
      </c>
      <c r="Z30" s="11">
        <f t="shared" si="12"/>
        <v>228792.76757372625</v>
      </c>
      <c r="AE30" s="16">
        <f t="shared" si="16"/>
        <v>46206.987339189756</v>
      </c>
      <c r="AF30" s="19">
        <f>NPV($R$2,AE$2:AE30)*(1+$R$2)^($A30)</f>
        <v>1463848.6708713423</v>
      </c>
    </row>
    <row r="31" spans="1:32" x14ac:dyDescent="0.25">
      <c r="A31">
        <f t="shared" si="17"/>
        <v>30</v>
      </c>
      <c r="B31">
        <f t="shared" si="18"/>
        <v>64</v>
      </c>
      <c r="C31" s="11">
        <f t="shared" si="8"/>
        <v>235656.55060093803</v>
      </c>
      <c r="H31" s="16">
        <f t="shared" si="2"/>
        <v>25450.129539117694</v>
      </c>
      <c r="I31" s="25">
        <f t="shared" si="3"/>
        <v>2120.8441282598078</v>
      </c>
      <c r="J31" s="19">
        <f>NPV($E$2,$H$2:H31)*(1+$E$2)^(A31)</f>
        <v>1649194.7838654709</v>
      </c>
      <c r="K31" s="11">
        <f t="shared" si="4"/>
        <v>1649194.7838654714</v>
      </c>
      <c r="L31" s="19">
        <f t="shared" si="5"/>
        <v>1649194.7838654714</v>
      </c>
      <c r="O31">
        <f t="shared" si="9"/>
        <v>64</v>
      </c>
      <c r="P31" s="11">
        <f t="shared" si="10"/>
        <v>235656.55060093803</v>
      </c>
      <c r="U31" s="16">
        <f t="shared" si="15"/>
        <v>14099.802735555326</v>
      </c>
      <c r="V31" s="19">
        <f>NPV($R$2,U$2:U31)*(1+$R$2)^($A31)</f>
        <v>1628178.8236734644</v>
      </c>
      <c r="Y31">
        <f t="shared" si="11"/>
        <v>64</v>
      </c>
      <c r="Z31" s="11">
        <f t="shared" si="12"/>
        <v>235656.55060093803</v>
      </c>
      <c r="AE31" s="16">
        <f t="shared" si="16"/>
        <v>47593.19695936545</v>
      </c>
      <c r="AF31" s="19">
        <f>NPV($R$2,AE$2:AE31)*(1+$R$2)^($A31)</f>
        <v>1628549.7615004152</v>
      </c>
    </row>
    <row r="32" spans="1:32" ht="17.25" x14ac:dyDescent="0.4">
      <c r="A32">
        <f t="shared" ref="A32" si="19">A31+1</f>
        <v>31</v>
      </c>
      <c r="B32">
        <f t="shared" ref="B32" si="20">B31+1</f>
        <v>65</v>
      </c>
      <c r="C32" s="11">
        <f t="shared" ref="C32" si="21">C31*(1+$D$2)</f>
        <v>242726.24711896619</v>
      </c>
      <c r="H32" s="16">
        <f t="shared" si="2"/>
        <v>26213.633425291224</v>
      </c>
      <c r="I32" s="25">
        <f t="shared" si="3"/>
        <v>2184.4694521076021</v>
      </c>
      <c r="J32" s="24">
        <f>NPV($E$2,$H$2:H32)*(1+$E$2)^(A32)</f>
        <v>1807344.0000000002</v>
      </c>
      <c r="K32" s="11">
        <f t="shared" si="4"/>
        <v>1807344.0000000005</v>
      </c>
      <c r="L32" s="19">
        <f t="shared" si="5"/>
        <v>1807344.0000000005</v>
      </c>
      <c r="O32">
        <f t="shared" ref="O32" si="22">O31+1</f>
        <v>65</v>
      </c>
      <c r="P32" s="11">
        <f t="shared" ref="P32" si="23">P31*(1+$D$2)</f>
        <v>242726.24711896619</v>
      </c>
      <c r="U32" s="16">
        <f t="shared" ref="U32" si="24">P32*$T$17*(1+$R$2)</f>
        <v>14522.796817621986</v>
      </c>
      <c r="V32" s="19">
        <f>NPV($R$2,U$2:U32)*(1+$R$2)^($A32)</f>
        <v>1772955.9263849636</v>
      </c>
      <c r="Y32">
        <f t="shared" ref="Y32" si="25">Y31+1</f>
        <v>65</v>
      </c>
      <c r="Z32" s="11">
        <f t="shared" ref="Z32" si="26">Z31*(1+$D$2)</f>
        <v>242726.24711896619</v>
      </c>
      <c r="AE32" s="16">
        <f t="shared" si="16"/>
        <v>49020.992868146415</v>
      </c>
      <c r="AF32" s="19">
        <f>NPV($R$2,AE$2:AE32)*(1+$R$2)^($A32)</f>
        <v>1807854.7352885951</v>
      </c>
    </row>
    <row r="33" spans="9:12" x14ac:dyDescent="0.25">
      <c r="I33" s="16"/>
      <c r="J33" s="20">
        <f>$M$2</f>
        <v>150612.00000000003</v>
      </c>
      <c r="L33" s="13"/>
    </row>
    <row r="34" spans="9:12" x14ac:dyDescent="0.25">
      <c r="I34" s="16"/>
      <c r="J34" s="20">
        <f t="shared" ref="J34:J38" si="27">$M$2</f>
        <v>150612.00000000003</v>
      </c>
      <c r="L34" s="13"/>
    </row>
    <row r="35" spans="9:12" x14ac:dyDescent="0.25">
      <c r="I35" s="16"/>
      <c r="J35" s="20">
        <f t="shared" si="27"/>
        <v>150612.00000000003</v>
      </c>
      <c r="L35" s="13"/>
    </row>
    <row r="36" spans="9:12" x14ac:dyDescent="0.25">
      <c r="I36" s="16"/>
      <c r="J36" s="20">
        <f t="shared" si="27"/>
        <v>150612.00000000003</v>
      </c>
      <c r="L36" s="13"/>
    </row>
    <row r="37" spans="9:12" x14ac:dyDescent="0.25">
      <c r="I37" s="16"/>
      <c r="J37" s="20">
        <f t="shared" si="27"/>
        <v>150612.00000000003</v>
      </c>
      <c r="L37" s="13"/>
    </row>
    <row r="38" spans="9:12" x14ac:dyDescent="0.25">
      <c r="I38" s="16"/>
      <c r="J38" s="20">
        <f t="shared" si="27"/>
        <v>150612.00000000003</v>
      </c>
      <c r="L38" s="1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Note</vt:lpstr>
      <vt:lpstr>Assumptions</vt:lpstr>
      <vt:lpstr>Calculation --&gt;</vt:lpstr>
      <vt:lpstr>Decrements</vt:lpstr>
      <vt:lpstr>PUC_Projection</vt:lpstr>
      <vt:lpstr>EAN_Projection</vt:lpstr>
      <vt:lpstr>EAN_Projection_archive</vt:lpstr>
      <vt:lpstr>Input --&gt;</vt:lpstr>
      <vt:lpstr>opening demographics</vt:lpstr>
      <vt:lpstr>Figure 9.1</vt:lpstr>
      <vt:lpstr>accrual_rate_A</vt:lpstr>
      <vt:lpstr>accrual_rate_B</vt:lpstr>
      <vt:lpstr>e_A</vt:lpstr>
      <vt:lpstr>e_B</vt:lpstr>
      <vt:lpstr>i</vt:lpstr>
      <vt:lpstr>mort_rate_A</vt:lpstr>
      <vt:lpstr>NRA_A</vt:lpstr>
      <vt:lpstr>NRA_B</vt:lpstr>
      <vt:lpstr>retire_rate_A</vt:lpstr>
      <vt:lpstr>withdraw_rate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Zhu, Vincent</cp:lastModifiedBy>
  <dcterms:created xsi:type="dcterms:W3CDTF">2006-09-16T00:00:00Z</dcterms:created>
  <dcterms:modified xsi:type="dcterms:W3CDTF">2020-02-16T13:40:51Z</dcterms:modified>
</cp:coreProperties>
</file>