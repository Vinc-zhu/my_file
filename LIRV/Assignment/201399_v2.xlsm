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izhu\Desktop\LIRV\Assignment\"/>
    </mc:Choice>
  </mc:AlternateContent>
  <bookViews>
    <workbookView xWindow="240" yWindow="105" windowWidth="14805" windowHeight="8010" tabRatio="703" activeTab="1"/>
  </bookViews>
  <sheets>
    <sheet name="Note" sheetId="9" r:id="rId1"/>
    <sheet name="Assumptions" sheetId="1" r:id="rId2"/>
    <sheet name="Calculation --&gt;" sheetId="6" r:id="rId3"/>
    <sheet name="Decrements" sheetId="8" r:id="rId4"/>
    <sheet name="PUC_Projection" sheetId="2" r:id="rId5"/>
    <sheet name="EAN_Projection" sheetId="10" r:id="rId6"/>
    <sheet name="Input --&gt;" sheetId="7" r:id="rId7"/>
    <sheet name="opening demographics" sheetId="3" r:id="rId8"/>
    <sheet name="Figure 9.1" sheetId="4" r:id="rId9"/>
  </sheets>
  <definedNames>
    <definedName name="_xlnm._FilterDatabase" localSheetId="7" hidden="1">'opening demographics'!$B$2:$B$11</definedName>
    <definedName name="accrual_rate_A">Assumptions!$C$6</definedName>
    <definedName name="accrual_rate_B">Assumptions!$C$7</definedName>
    <definedName name="e_A">Assumptions!$C$20</definedName>
    <definedName name="e_B">Assumptions!$C$21</definedName>
    <definedName name="i">Assumptions!$B$23</definedName>
    <definedName name="mort_rate_A">Assumptions!$B$27</definedName>
    <definedName name="NRA_A">Assumptions!$C$9</definedName>
    <definedName name="NRA_B">Assumptions!$C$10</definedName>
    <definedName name="retire_rate_A">Assumptions!$B$25</definedName>
    <definedName name="withdraw_rate">Assumptions!$B$18</definedName>
  </definedNames>
  <calcPr calcId="152511"/>
</workbook>
</file>

<file path=xl/calcChain.xml><?xml version="1.0" encoding="utf-8"?>
<calcChain xmlns="http://schemas.openxmlformats.org/spreadsheetml/2006/main">
  <c r="B3" i="2" l="1"/>
  <c r="I84" i="2" l="1"/>
  <c r="Q8" i="10"/>
  <c r="P8" i="10"/>
  <c r="O8" i="10"/>
  <c r="N8" i="10"/>
  <c r="M8" i="10"/>
  <c r="L8" i="10"/>
  <c r="K8" i="10"/>
  <c r="J8" i="10"/>
  <c r="I8" i="10"/>
  <c r="H8" i="10"/>
  <c r="J10" i="2"/>
  <c r="I10" i="2"/>
  <c r="D3" i="10" l="1"/>
  <c r="G4" i="10" s="1"/>
  <c r="K84" i="10"/>
  <c r="P84" i="10"/>
  <c r="G14" i="10"/>
  <c r="G3" i="10" l="1"/>
  <c r="D4" i="10"/>
  <c r="C14" i="10" s="1"/>
  <c r="D2" i="10"/>
  <c r="D7" i="10"/>
  <c r="E14" i="10" s="1"/>
  <c r="G3" i="2"/>
  <c r="J9" i="2"/>
  <c r="I9" i="2"/>
  <c r="N84" i="2"/>
  <c r="D6" i="10"/>
  <c r="D5" i="10"/>
  <c r="C15" i="10" l="1"/>
  <c r="D14" i="10"/>
  <c r="I11" i="2"/>
  <c r="J11" i="2"/>
  <c r="D3" i="8"/>
  <c r="D7" i="2"/>
  <c r="E14" i="2" s="1"/>
  <c r="D4" i="8"/>
  <c r="C11" i="8" s="1"/>
  <c r="D7" i="8"/>
  <c r="D2" i="8"/>
  <c r="C21" i="1"/>
  <c r="C20" i="1"/>
  <c r="A3" i="3"/>
  <c r="A4" i="3"/>
  <c r="A5" i="3"/>
  <c r="A6" i="3"/>
  <c r="A7" i="3"/>
  <c r="A8" i="3"/>
  <c r="A9" i="3"/>
  <c r="A10" i="3"/>
  <c r="A11" i="3"/>
  <c r="A12" i="3"/>
  <c r="A13" i="3"/>
  <c r="A2" i="3"/>
  <c r="G12" i="3"/>
  <c r="F12" i="3"/>
  <c r="G4" i="3"/>
  <c r="G6" i="3"/>
  <c r="G8" i="3"/>
  <c r="G10" i="3"/>
  <c r="F11" i="3"/>
  <c r="F9" i="3"/>
  <c r="F7" i="3"/>
  <c r="F5" i="3"/>
  <c r="D8" i="10"/>
  <c r="D6" i="8"/>
  <c r="D8" i="8"/>
  <c r="D10" i="10" l="1"/>
  <c r="I14" i="10" s="1"/>
  <c r="F14" i="10"/>
  <c r="E15" i="10" s="1"/>
  <c r="G15" i="10"/>
  <c r="C16" i="10"/>
  <c r="B15" i="10"/>
  <c r="D15" i="10"/>
  <c r="D3" i="2"/>
  <c r="G4" i="2" s="1"/>
  <c r="D2" i="2"/>
  <c r="D4" i="2"/>
  <c r="C14" i="2" s="1"/>
  <c r="M2" i="4"/>
  <c r="J34" i="4" s="1"/>
  <c r="M3" i="4"/>
  <c r="I7" i="4"/>
  <c r="I3" i="4"/>
  <c r="I4" i="4"/>
  <c r="I5" i="4"/>
  <c r="I6" i="4"/>
  <c r="I8" i="4"/>
  <c r="I9" i="4"/>
  <c r="I10" i="4"/>
  <c r="I11" i="4"/>
  <c r="I12" i="4"/>
  <c r="I13" i="4"/>
  <c r="I14" i="4"/>
  <c r="I15" i="4"/>
  <c r="I16" i="4"/>
  <c r="I17" i="4"/>
  <c r="I18" i="4"/>
  <c r="I19" i="4"/>
  <c r="I20" i="4"/>
  <c r="I21" i="4"/>
  <c r="I22" i="4"/>
  <c r="I23" i="4"/>
  <c r="I24" i="4"/>
  <c r="I25" i="4"/>
  <c r="I26" i="4"/>
  <c r="I27" i="4"/>
  <c r="I28" i="4"/>
  <c r="I29" i="4"/>
  <c r="I30" i="4"/>
  <c r="I31" i="4"/>
  <c r="I32" i="4"/>
  <c r="I2" i="4"/>
  <c r="J35" i="4"/>
  <c r="J36" i="4"/>
  <c r="J37" i="4"/>
  <c r="J38" i="4"/>
  <c r="J33" i="4"/>
  <c r="AF2" i="4"/>
  <c r="Z32" i="4"/>
  <c r="Y32" i="4"/>
  <c r="AE18" i="4"/>
  <c r="AE19" i="4"/>
  <c r="AE20" i="4"/>
  <c r="AE21" i="4"/>
  <c r="AE22" i="4"/>
  <c r="AE23" i="4"/>
  <c r="AE24" i="4"/>
  <c r="AE25" i="4"/>
  <c r="AE26" i="4"/>
  <c r="AE27" i="4"/>
  <c r="AE28" i="4"/>
  <c r="AE29" i="4"/>
  <c r="AE30" i="4"/>
  <c r="AE31" i="4"/>
  <c r="AE32" i="4"/>
  <c r="AE17" i="4"/>
  <c r="AE3" i="4"/>
  <c r="AF3" i="4" s="1"/>
  <c r="AE4" i="4"/>
  <c r="AE5" i="4"/>
  <c r="AE6" i="4"/>
  <c r="AE7" i="4"/>
  <c r="AE8" i="4"/>
  <c r="AE9" i="4"/>
  <c r="AE10" i="4"/>
  <c r="AE11" i="4"/>
  <c r="AE12" i="4"/>
  <c r="AE13" i="4"/>
  <c r="AE14" i="4"/>
  <c r="AE15" i="4"/>
  <c r="AE16" i="4"/>
  <c r="AE2" i="4"/>
  <c r="V2" i="4"/>
  <c r="P32" i="4"/>
  <c r="U32" i="4" s="1"/>
  <c r="O32" i="4"/>
  <c r="U18" i="4"/>
  <c r="U19" i="4"/>
  <c r="U20" i="4"/>
  <c r="U21" i="4"/>
  <c r="U22" i="4"/>
  <c r="U23" i="4"/>
  <c r="U24" i="4"/>
  <c r="U25" i="4"/>
  <c r="U26" i="4"/>
  <c r="U27" i="4"/>
  <c r="U28" i="4"/>
  <c r="U29" i="4"/>
  <c r="U30" i="4"/>
  <c r="U31" i="4"/>
  <c r="U17" i="4"/>
  <c r="U3" i="4"/>
  <c r="V6" i="4" s="1"/>
  <c r="U4" i="4"/>
  <c r="U5" i="4"/>
  <c r="U6" i="4"/>
  <c r="U7" i="4"/>
  <c r="U8" i="4"/>
  <c r="U9" i="4"/>
  <c r="U10" i="4"/>
  <c r="U11" i="4"/>
  <c r="U12" i="4"/>
  <c r="U13" i="4"/>
  <c r="U14" i="4"/>
  <c r="U15" i="4"/>
  <c r="U16" i="4"/>
  <c r="U2" i="4"/>
  <c r="H2" i="4"/>
  <c r="Z3" i="4"/>
  <c r="Y3" i="4"/>
  <c r="Y4" i="4" s="1"/>
  <c r="Y5" i="4" s="1"/>
  <c r="Y6" i="4" s="1"/>
  <c r="Y7" i="4" s="1"/>
  <c r="Y8" i="4" s="1"/>
  <c r="Y9" i="4" s="1"/>
  <c r="Y10" i="4" s="1"/>
  <c r="Y11" i="4" s="1"/>
  <c r="Y12" i="4" s="1"/>
  <c r="Y13" i="4" s="1"/>
  <c r="Y14" i="4" s="1"/>
  <c r="Y15" i="4" s="1"/>
  <c r="Y16" i="4" s="1"/>
  <c r="Y17" i="4" s="1"/>
  <c r="Y18" i="4" s="1"/>
  <c r="Y19" i="4" s="1"/>
  <c r="Y20" i="4" s="1"/>
  <c r="Y21" i="4" s="1"/>
  <c r="Y22" i="4" s="1"/>
  <c r="Y23" i="4" s="1"/>
  <c r="Y24" i="4" s="1"/>
  <c r="Y25" i="4" s="1"/>
  <c r="Y26" i="4" s="1"/>
  <c r="Y27" i="4" s="1"/>
  <c r="Y28" i="4" s="1"/>
  <c r="Y29" i="4" s="1"/>
  <c r="Y30" i="4" s="1"/>
  <c r="Y31" i="4" s="1"/>
  <c r="P3" i="4"/>
  <c r="O3" i="4"/>
  <c r="O4" i="4" s="1"/>
  <c r="O5" i="4" s="1"/>
  <c r="O6" i="4" s="1"/>
  <c r="O7" i="4" s="1"/>
  <c r="O8" i="4" s="1"/>
  <c r="O9" i="4" s="1"/>
  <c r="O10" i="4" s="1"/>
  <c r="O11" i="4" s="1"/>
  <c r="O12" i="4" s="1"/>
  <c r="O13" i="4" s="1"/>
  <c r="O14" i="4" s="1"/>
  <c r="O15" i="4" s="1"/>
  <c r="O16" i="4" s="1"/>
  <c r="O17" i="4" s="1"/>
  <c r="O18" i="4" s="1"/>
  <c r="O19" i="4" s="1"/>
  <c r="O20" i="4" s="1"/>
  <c r="O21" i="4" s="1"/>
  <c r="O22" i="4" s="1"/>
  <c r="O23" i="4" s="1"/>
  <c r="O24" i="4" s="1"/>
  <c r="O25" i="4" s="1"/>
  <c r="O26" i="4" s="1"/>
  <c r="O27" i="4" s="1"/>
  <c r="O28" i="4" s="1"/>
  <c r="O29" i="4" s="1"/>
  <c r="O30" i="4" s="1"/>
  <c r="O31" i="4" s="1"/>
  <c r="C3" i="4"/>
  <c r="H3"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G14" i="2"/>
  <c r="D6" i="2"/>
  <c r="D5" i="8"/>
  <c r="D5" i="2"/>
  <c r="D8" i="2"/>
  <c r="M14" i="10" l="1"/>
  <c r="F15" i="10"/>
  <c r="E16" i="10" s="1"/>
  <c r="H14" i="10"/>
  <c r="T15" i="10" s="1"/>
  <c r="I15" i="10"/>
  <c r="G6" i="10"/>
  <c r="G16" i="10"/>
  <c r="I16" i="10"/>
  <c r="C17" i="10"/>
  <c r="B16" i="10"/>
  <c r="D16" i="10"/>
  <c r="C15" i="2"/>
  <c r="F14" i="2"/>
  <c r="D14" i="2"/>
  <c r="G11" i="8"/>
  <c r="C12" i="8"/>
  <c r="AF30" i="4"/>
  <c r="AF26" i="4"/>
  <c r="AF22" i="4"/>
  <c r="AF18" i="4"/>
  <c r="AF14" i="4"/>
  <c r="AF10" i="4"/>
  <c r="AF6" i="4"/>
  <c r="AF29" i="4"/>
  <c r="AF25" i="4"/>
  <c r="AF21" i="4"/>
  <c r="AF17" i="4"/>
  <c r="AF13" i="4"/>
  <c r="AF9" i="4"/>
  <c r="AF5" i="4"/>
  <c r="AF32" i="4"/>
  <c r="AG2" i="4" s="1"/>
  <c r="AF28" i="4"/>
  <c r="AF24" i="4"/>
  <c r="AF20" i="4"/>
  <c r="AF16" i="4"/>
  <c r="AF12" i="4"/>
  <c r="AF8" i="4"/>
  <c r="AF4" i="4"/>
  <c r="AF31" i="4"/>
  <c r="AF27" i="4"/>
  <c r="AF23" i="4"/>
  <c r="AF19" i="4"/>
  <c r="AF15" i="4"/>
  <c r="AF11" i="4"/>
  <c r="AF7" i="4"/>
  <c r="V29" i="4"/>
  <c r="V25" i="4"/>
  <c r="V21" i="4"/>
  <c r="V17" i="4"/>
  <c r="V13" i="4"/>
  <c r="V9" i="4"/>
  <c r="V5" i="4"/>
  <c r="V32" i="4"/>
  <c r="W2" i="4" s="1"/>
  <c r="V28" i="4"/>
  <c r="V24" i="4"/>
  <c r="V20" i="4"/>
  <c r="V16" i="4"/>
  <c r="V12" i="4"/>
  <c r="V8" i="4"/>
  <c r="V4" i="4"/>
  <c r="V31" i="4"/>
  <c r="V27" i="4"/>
  <c r="V23" i="4"/>
  <c r="V19" i="4"/>
  <c r="V15" i="4"/>
  <c r="V11" i="4"/>
  <c r="V7" i="4"/>
  <c r="V3" i="4"/>
  <c r="V30" i="4"/>
  <c r="V26" i="4"/>
  <c r="V22" i="4"/>
  <c r="V18" i="4"/>
  <c r="V14" i="4"/>
  <c r="V10" i="4"/>
  <c r="J3" i="4"/>
  <c r="J2" i="4"/>
  <c r="K2" i="4"/>
  <c r="L2" i="4" s="1"/>
  <c r="C4" i="4"/>
  <c r="H4" i="4" s="1"/>
  <c r="J4" i="4" s="1"/>
  <c r="Z4" i="4"/>
  <c r="P4" i="4"/>
  <c r="M15" i="10" l="1"/>
  <c r="J15" i="10"/>
  <c r="L15" i="10" s="1"/>
  <c r="F16" i="10"/>
  <c r="F17" i="10" s="1"/>
  <c r="J14" i="10"/>
  <c r="K14" i="10" s="1"/>
  <c r="G5" i="10" s="1"/>
  <c r="T14" i="10"/>
  <c r="T16" i="10"/>
  <c r="T17" i="10"/>
  <c r="I17" i="10"/>
  <c r="C18" i="10"/>
  <c r="B17" i="10"/>
  <c r="G17" i="10"/>
  <c r="D17" i="10"/>
  <c r="H14" i="2"/>
  <c r="J14" i="2"/>
  <c r="K14" i="2" s="1"/>
  <c r="B15" i="2"/>
  <c r="E15" i="2"/>
  <c r="E11" i="8"/>
  <c r="F11" i="8"/>
  <c r="C16" i="2"/>
  <c r="G15" i="2"/>
  <c r="D15" i="2"/>
  <c r="F15" i="2"/>
  <c r="B12" i="8"/>
  <c r="C13" i="8"/>
  <c r="M16" i="10" l="1"/>
  <c r="E17" i="10"/>
  <c r="E18" i="10" s="1"/>
  <c r="L14" i="10"/>
  <c r="P14" i="10" s="1"/>
  <c r="Q14" i="10" s="1"/>
  <c r="J16" i="10"/>
  <c r="L16" i="10" s="1"/>
  <c r="K15" i="10"/>
  <c r="S14" i="10"/>
  <c r="U14" i="10" s="1"/>
  <c r="N14" i="10"/>
  <c r="G6" i="2"/>
  <c r="T18" i="10"/>
  <c r="G18" i="10"/>
  <c r="I18" i="10"/>
  <c r="C19" i="10"/>
  <c r="B18" i="10"/>
  <c r="F18" i="10"/>
  <c r="I14" i="2"/>
  <c r="G5" i="2" s="1"/>
  <c r="J17" i="10"/>
  <c r="D18" i="10"/>
  <c r="H15" i="2"/>
  <c r="S15" i="10" s="1"/>
  <c r="U15" i="10" s="1"/>
  <c r="J15" i="2"/>
  <c r="K15" i="2" s="1"/>
  <c r="B16" i="2"/>
  <c r="E16" i="2"/>
  <c r="C17" i="2"/>
  <c r="H11" i="8"/>
  <c r="D12" i="8" s="1"/>
  <c r="G12" i="8" s="1"/>
  <c r="F12" i="8" s="1"/>
  <c r="F16" i="2"/>
  <c r="D16" i="2"/>
  <c r="C14" i="8"/>
  <c r="B13" i="8"/>
  <c r="G16" i="2"/>
  <c r="K3" i="4"/>
  <c r="L3" i="4" s="1"/>
  <c r="C5" i="4"/>
  <c r="H5" i="4" s="1"/>
  <c r="Z5" i="4"/>
  <c r="P5" i="4"/>
  <c r="L17" i="10" l="1"/>
  <c r="O14" i="10"/>
  <c r="M18" i="10"/>
  <c r="M17" i="10"/>
  <c r="P15" i="10"/>
  <c r="Q15" i="10" s="1"/>
  <c r="N15" i="10"/>
  <c r="O15" i="10" s="1"/>
  <c r="K16" i="10"/>
  <c r="N14" i="2"/>
  <c r="O14" i="2" s="1"/>
  <c r="T19" i="10"/>
  <c r="C20" i="10"/>
  <c r="G19" i="10"/>
  <c r="I19" i="10"/>
  <c r="F19" i="10"/>
  <c r="B19" i="10"/>
  <c r="L14" i="2"/>
  <c r="M14" i="2" s="1"/>
  <c r="E19" i="10"/>
  <c r="K17" i="10"/>
  <c r="I15" i="2"/>
  <c r="J18" i="10"/>
  <c r="L18" i="10" s="1"/>
  <c r="D19" i="10"/>
  <c r="H16" i="2"/>
  <c r="S16" i="10" s="1"/>
  <c r="U16" i="10" s="1"/>
  <c r="J16" i="2"/>
  <c r="K16" i="2" s="1"/>
  <c r="B17" i="2"/>
  <c r="G17" i="2"/>
  <c r="D17" i="2"/>
  <c r="E17" i="2"/>
  <c r="C18" i="2"/>
  <c r="E12" i="8"/>
  <c r="H12" i="8" s="1"/>
  <c r="D13" i="8" s="1"/>
  <c r="F17" i="2"/>
  <c r="C15" i="8"/>
  <c r="B14" i="8"/>
  <c r="J5" i="4"/>
  <c r="K4" i="4"/>
  <c r="L4" i="4" s="1"/>
  <c r="C6" i="4"/>
  <c r="H6" i="4" s="1"/>
  <c r="Z6" i="4"/>
  <c r="P6" i="4"/>
  <c r="M19" i="10" l="1"/>
  <c r="P16" i="10"/>
  <c r="Q16" i="10" s="1"/>
  <c r="N16" i="10"/>
  <c r="O16" i="10" s="1"/>
  <c r="N15" i="2"/>
  <c r="O15" i="2" s="1"/>
  <c r="T20" i="10"/>
  <c r="F20" i="10"/>
  <c r="C21" i="10"/>
  <c r="I20" i="10"/>
  <c r="B20" i="10"/>
  <c r="G20" i="10"/>
  <c r="D20" i="10"/>
  <c r="E20" i="10"/>
  <c r="L15" i="2"/>
  <c r="M15" i="2" s="1"/>
  <c r="K18" i="10"/>
  <c r="I16" i="2"/>
  <c r="J19" i="10"/>
  <c r="L19" i="10" s="1"/>
  <c r="H17" i="2"/>
  <c r="S17" i="10" s="1"/>
  <c r="U17" i="10" s="1"/>
  <c r="J17" i="2"/>
  <c r="K17" i="2" s="1"/>
  <c r="G18" i="2"/>
  <c r="B18" i="2"/>
  <c r="D18" i="2"/>
  <c r="E18" i="2"/>
  <c r="C19" i="2"/>
  <c r="G13" i="8"/>
  <c r="F13" i="8" s="1"/>
  <c r="F18" i="2"/>
  <c r="B15" i="8"/>
  <c r="C16" i="8"/>
  <c r="J6" i="4"/>
  <c r="K5" i="4"/>
  <c r="L5" i="4" s="1"/>
  <c r="C7" i="4"/>
  <c r="H7" i="4" s="1"/>
  <c r="Z7" i="4"/>
  <c r="P7" i="4"/>
  <c r="M20" i="10" l="1"/>
  <c r="P17" i="10"/>
  <c r="Q17" i="10" s="1"/>
  <c r="N17" i="10"/>
  <c r="O17" i="10" s="1"/>
  <c r="N16" i="2"/>
  <c r="O16" i="2" s="1"/>
  <c r="T21" i="10"/>
  <c r="F21" i="10"/>
  <c r="I21" i="10"/>
  <c r="E21" i="10"/>
  <c r="G21" i="10"/>
  <c r="C22" i="10"/>
  <c r="B21" i="10"/>
  <c r="J20" i="10"/>
  <c r="L20" i="10" s="1"/>
  <c r="D21" i="10"/>
  <c r="L16" i="2"/>
  <c r="M16" i="2" s="1"/>
  <c r="K19" i="10"/>
  <c r="I17" i="2"/>
  <c r="H18" i="2"/>
  <c r="S18" i="10" s="1"/>
  <c r="U18" i="10" s="1"/>
  <c r="J18" i="2"/>
  <c r="K18" i="2" s="1"/>
  <c r="G19" i="2"/>
  <c r="B19" i="2"/>
  <c r="D19" i="2"/>
  <c r="C20" i="2"/>
  <c r="E19" i="2"/>
  <c r="E13" i="8"/>
  <c r="H13" i="8" s="1"/>
  <c r="D14" i="8" s="1"/>
  <c r="F19" i="2"/>
  <c r="B16" i="8"/>
  <c r="C17" i="8"/>
  <c r="J7" i="4"/>
  <c r="K6" i="4"/>
  <c r="L6" i="4" s="1"/>
  <c r="C8" i="4"/>
  <c r="H8" i="4" s="1"/>
  <c r="J8" i="4" s="1"/>
  <c r="Z8" i="4"/>
  <c r="P8" i="4"/>
  <c r="M21" i="10" l="1"/>
  <c r="P18" i="10"/>
  <c r="Q18" i="10" s="1"/>
  <c r="N18" i="10"/>
  <c r="O18" i="10" s="1"/>
  <c r="N17" i="2"/>
  <c r="O17" i="2" s="1"/>
  <c r="T22" i="10"/>
  <c r="K20" i="10"/>
  <c r="J21" i="10"/>
  <c r="L21" i="10" s="1"/>
  <c r="D22" i="10"/>
  <c r="I22" i="10"/>
  <c r="F22" i="10"/>
  <c r="C23" i="10"/>
  <c r="G22" i="10"/>
  <c r="E22" i="10"/>
  <c r="B22" i="10"/>
  <c r="L17" i="2"/>
  <c r="M17" i="2" s="1"/>
  <c r="I18" i="2"/>
  <c r="H19" i="2"/>
  <c r="S19" i="10" s="1"/>
  <c r="U19" i="10" s="1"/>
  <c r="F20" i="2"/>
  <c r="G20" i="2"/>
  <c r="J19" i="2"/>
  <c r="K19" i="2" s="1"/>
  <c r="D20" i="2"/>
  <c r="B20" i="2"/>
  <c r="C21" i="2"/>
  <c r="E20" i="2"/>
  <c r="G14" i="8"/>
  <c r="F14" i="8" s="1"/>
  <c r="C18" i="8"/>
  <c r="B17" i="8"/>
  <c r="K7" i="4"/>
  <c r="L7" i="4" s="1"/>
  <c r="C9" i="4"/>
  <c r="H9" i="4" s="1"/>
  <c r="Z9" i="4"/>
  <c r="P9" i="4"/>
  <c r="M22" i="10" l="1"/>
  <c r="P19" i="10"/>
  <c r="Q19" i="10" s="1"/>
  <c r="N18" i="2"/>
  <c r="O18" i="2" s="1"/>
  <c r="T23" i="10"/>
  <c r="K21" i="10"/>
  <c r="J22" i="10"/>
  <c r="D23" i="10"/>
  <c r="F23" i="10"/>
  <c r="C24" i="10"/>
  <c r="B23" i="10"/>
  <c r="G23" i="10"/>
  <c r="I23" i="10"/>
  <c r="E23" i="10"/>
  <c r="L18" i="2"/>
  <c r="M18" i="2" s="1"/>
  <c r="I19" i="2"/>
  <c r="H20" i="2"/>
  <c r="S20" i="10" s="1"/>
  <c r="U20" i="10" s="1"/>
  <c r="J20" i="2"/>
  <c r="K20" i="2" s="1"/>
  <c r="F21" i="2"/>
  <c r="D21" i="2"/>
  <c r="B21" i="2"/>
  <c r="G21" i="2"/>
  <c r="E21" i="2"/>
  <c r="C22" i="2"/>
  <c r="E14" i="8"/>
  <c r="H14" i="8" s="1"/>
  <c r="D15" i="8" s="1"/>
  <c r="C19" i="8"/>
  <c r="B18" i="8"/>
  <c r="J9" i="4"/>
  <c r="K8" i="4"/>
  <c r="L8" i="4" s="1"/>
  <c r="C10" i="4"/>
  <c r="H10" i="4" s="1"/>
  <c r="J10" i="4" s="1"/>
  <c r="Z10" i="4"/>
  <c r="P10" i="4"/>
  <c r="M23" i="10" l="1"/>
  <c r="P20" i="10"/>
  <c r="Q20" i="10" s="1"/>
  <c r="N20" i="10"/>
  <c r="O20" i="10" s="1"/>
  <c r="N19" i="2"/>
  <c r="O19" i="2" s="1"/>
  <c r="N19" i="10"/>
  <c r="O19" i="10" s="1"/>
  <c r="T24" i="10"/>
  <c r="K22" i="10"/>
  <c r="F24" i="10"/>
  <c r="I24" i="10"/>
  <c r="L22" i="10"/>
  <c r="J23" i="10"/>
  <c r="D24" i="10"/>
  <c r="E24" i="10"/>
  <c r="C25" i="10"/>
  <c r="B24" i="10"/>
  <c r="G24" i="10"/>
  <c r="L19" i="2"/>
  <c r="M19" i="2" s="1"/>
  <c r="I20" i="2"/>
  <c r="H21" i="2"/>
  <c r="S21" i="10" s="1"/>
  <c r="U21" i="10" s="1"/>
  <c r="F22" i="2"/>
  <c r="J21" i="2"/>
  <c r="K21" i="2" s="1"/>
  <c r="E22" i="2"/>
  <c r="B22" i="2"/>
  <c r="D22" i="2"/>
  <c r="G22" i="2"/>
  <c r="C23" i="2"/>
  <c r="G15" i="8"/>
  <c r="E15" i="8" s="1"/>
  <c r="B19" i="8"/>
  <c r="C20" i="8"/>
  <c r="K9" i="4"/>
  <c r="L9" i="4" s="1"/>
  <c r="C11" i="4"/>
  <c r="H11" i="4" s="1"/>
  <c r="Z11" i="4"/>
  <c r="P11" i="4"/>
  <c r="M24" i="10" l="1"/>
  <c r="P21" i="10"/>
  <c r="Q21" i="10" s="1"/>
  <c r="N21" i="10"/>
  <c r="O21" i="10" s="1"/>
  <c r="N20" i="2"/>
  <c r="T25" i="10"/>
  <c r="K23" i="10"/>
  <c r="J24" i="10"/>
  <c r="L23" i="10"/>
  <c r="F25" i="10"/>
  <c r="I25" i="10"/>
  <c r="C26" i="10"/>
  <c r="D25" i="10"/>
  <c r="E25" i="10"/>
  <c r="G25" i="10"/>
  <c r="B25" i="10"/>
  <c r="L20" i="2"/>
  <c r="M20" i="2" s="1"/>
  <c r="I21" i="2"/>
  <c r="H22" i="2"/>
  <c r="S22" i="10" s="1"/>
  <c r="U22" i="10" s="1"/>
  <c r="J22" i="2"/>
  <c r="K22" i="2" s="1"/>
  <c r="F23" i="2"/>
  <c r="D23" i="2"/>
  <c r="B23" i="2"/>
  <c r="G23" i="2"/>
  <c r="E23" i="2"/>
  <c r="C24" i="2"/>
  <c r="F15" i="8"/>
  <c r="H15" i="8" s="1"/>
  <c r="D16" i="8" s="1"/>
  <c r="B20" i="8"/>
  <c r="C21" i="8"/>
  <c r="J11" i="4"/>
  <c r="K10" i="4"/>
  <c r="L10" i="4" s="1"/>
  <c r="C12" i="4"/>
  <c r="H12" i="4" s="1"/>
  <c r="J12" i="4" s="1"/>
  <c r="Z12" i="4"/>
  <c r="P12" i="4"/>
  <c r="M25" i="10" l="1"/>
  <c r="P22" i="10"/>
  <c r="Q22" i="10" s="1"/>
  <c r="N22" i="10"/>
  <c r="O22" i="10" s="1"/>
  <c r="N21" i="2"/>
  <c r="O21" i="2" s="1"/>
  <c r="T26" i="10"/>
  <c r="L24" i="10"/>
  <c r="C27" i="10"/>
  <c r="K24" i="10"/>
  <c r="F26" i="10"/>
  <c r="G26" i="10"/>
  <c r="I26" i="10"/>
  <c r="J25" i="10"/>
  <c r="B26" i="10"/>
  <c r="E26" i="10"/>
  <c r="D26" i="10"/>
  <c r="L21" i="2"/>
  <c r="M21" i="2" s="1"/>
  <c r="I22" i="2"/>
  <c r="H23" i="2"/>
  <c r="S23" i="10" s="1"/>
  <c r="U23" i="10" s="1"/>
  <c r="J23" i="2"/>
  <c r="K23" i="2" s="1"/>
  <c r="E24" i="2"/>
  <c r="G24" i="2"/>
  <c r="B24" i="2"/>
  <c r="D24" i="2"/>
  <c r="C25" i="2"/>
  <c r="F24" i="2"/>
  <c r="O20" i="2"/>
  <c r="G16" i="8"/>
  <c r="E16" i="8" s="1"/>
  <c r="C22" i="8"/>
  <c r="B21" i="8"/>
  <c r="K11" i="4"/>
  <c r="L11" i="4" s="1"/>
  <c r="C13" i="4"/>
  <c r="H13" i="4" s="1"/>
  <c r="J13" i="4" s="1"/>
  <c r="Z13" i="4"/>
  <c r="P13" i="4"/>
  <c r="M26" i="10" l="1"/>
  <c r="P23" i="10"/>
  <c r="Q23" i="10" s="1"/>
  <c r="N23" i="10"/>
  <c r="O23" i="10" s="1"/>
  <c r="N22" i="2"/>
  <c r="O22" i="2" s="1"/>
  <c r="T27" i="10"/>
  <c r="L25" i="10"/>
  <c r="I27" i="10"/>
  <c r="C28" i="10"/>
  <c r="G27" i="10"/>
  <c r="B27" i="10"/>
  <c r="F27" i="10"/>
  <c r="K25" i="10"/>
  <c r="J26" i="10"/>
  <c r="E27" i="10"/>
  <c r="D27" i="10"/>
  <c r="L22" i="2"/>
  <c r="M22" i="2" s="1"/>
  <c r="I23" i="2"/>
  <c r="H24" i="2"/>
  <c r="S24" i="10" s="1"/>
  <c r="U24" i="10" s="1"/>
  <c r="J24" i="2"/>
  <c r="K24" i="2" s="1"/>
  <c r="B25" i="2"/>
  <c r="E25" i="2"/>
  <c r="D25" i="2"/>
  <c r="G25" i="2"/>
  <c r="F25" i="2"/>
  <c r="C26" i="2"/>
  <c r="F16" i="8"/>
  <c r="H16" i="8" s="1"/>
  <c r="D17" i="8" s="1"/>
  <c r="C23" i="8"/>
  <c r="B22" i="8"/>
  <c r="K12" i="4"/>
  <c r="L12" i="4" s="1"/>
  <c r="C14" i="4"/>
  <c r="H14" i="4" s="1"/>
  <c r="J14" i="4" s="1"/>
  <c r="Z14" i="4"/>
  <c r="P14" i="4"/>
  <c r="M27" i="10" l="1"/>
  <c r="P24" i="10"/>
  <c r="Q24" i="10" s="1"/>
  <c r="N24" i="10"/>
  <c r="O24" i="10" s="1"/>
  <c r="N23" i="2"/>
  <c r="T28" i="10"/>
  <c r="K26" i="10"/>
  <c r="C29" i="10"/>
  <c r="B28" i="10"/>
  <c r="I28" i="10"/>
  <c r="G28" i="10"/>
  <c r="F28" i="10"/>
  <c r="J27" i="10"/>
  <c r="E28" i="10"/>
  <c r="L26" i="10"/>
  <c r="D28" i="10"/>
  <c r="L23" i="2"/>
  <c r="M23" i="2" s="1"/>
  <c r="I24" i="2"/>
  <c r="H25" i="2"/>
  <c r="S25" i="10" s="1"/>
  <c r="U25" i="10" s="1"/>
  <c r="J25" i="2"/>
  <c r="K25" i="2" s="1"/>
  <c r="B26" i="2"/>
  <c r="G26" i="2"/>
  <c r="D26" i="2"/>
  <c r="F26" i="2"/>
  <c r="E26" i="2"/>
  <c r="C27" i="2"/>
  <c r="G17" i="8"/>
  <c r="E17" i="8" s="1"/>
  <c r="B23" i="8"/>
  <c r="C24" i="8"/>
  <c r="K13" i="4"/>
  <c r="L13" i="4" s="1"/>
  <c r="C15" i="4"/>
  <c r="H15" i="4" s="1"/>
  <c r="J15" i="4" s="1"/>
  <c r="Z15" i="4"/>
  <c r="P15" i="4"/>
  <c r="M28" i="10" l="1"/>
  <c r="P25" i="10"/>
  <c r="Q25" i="10" s="1"/>
  <c r="N25" i="10"/>
  <c r="O25" i="10" s="1"/>
  <c r="N24" i="2"/>
  <c r="O24" i="2" s="1"/>
  <c r="T29" i="10"/>
  <c r="F29" i="10"/>
  <c r="K27" i="10"/>
  <c r="I29" i="10"/>
  <c r="L27" i="10"/>
  <c r="G29" i="10"/>
  <c r="C30" i="10"/>
  <c r="D29" i="10"/>
  <c r="B29" i="10"/>
  <c r="E29" i="10"/>
  <c r="J28" i="10"/>
  <c r="L24" i="2"/>
  <c r="M24" i="2" s="1"/>
  <c r="I25" i="2"/>
  <c r="H26" i="2"/>
  <c r="S26" i="10" s="1"/>
  <c r="U26" i="10" s="1"/>
  <c r="B27" i="2"/>
  <c r="F27" i="2"/>
  <c r="J26" i="2"/>
  <c r="K26" i="2" s="1"/>
  <c r="E27" i="2"/>
  <c r="D27" i="2"/>
  <c r="G27" i="2"/>
  <c r="C28" i="2"/>
  <c r="O23" i="2"/>
  <c r="F17" i="8"/>
  <c r="H17" i="8" s="1"/>
  <c r="D18" i="8" s="1"/>
  <c r="B24" i="8"/>
  <c r="C25" i="8"/>
  <c r="K14" i="4"/>
  <c r="L14" i="4" s="1"/>
  <c r="C16" i="4"/>
  <c r="H16" i="4" s="1"/>
  <c r="J16" i="4" s="1"/>
  <c r="Z16" i="4"/>
  <c r="P16" i="4"/>
  <c r="M29" i="10" l="1"/>
  <c r="P26" i="10"/>
  <c r="Q26" i="10" s="1"/>
  <c r="N26" i="10"/>
  <c r="O26" i="10" s="1"/>
  <c r="N25" i="2"/>
  <c r="T30" i="10"/>
  <c r="L28" i="10"/>
  <c r="J29" i="10"/>
  <c r="C31" i="10"/>
  <c r="B30" i="10"/>
  <c r="G30" i="10"/>
  <c r="D30" i="10"/>
  <c r="F30" i="10"/>
  <c r="E30" i="10"/>
  <c r="I30" i="10"/>
  <c r="K28" i="10"/>
  <c r="L25" i="2"/>
  <c r="M25" i="2" s="1"/>
  <c r="I26" i="2"/>
  <c r="H27" i="2"/>
  <c r="S27" i="10" s="1"/>
  <c r="U27" i="10" s="1"/>
  <c r="J27" i="2"/>
  <c r="K27" i="2" s="1"/>
  <c r="G28" i="2"/>
  <c r="B28" i="2"/>
  <c r="C29" i="2"/>
  <c r="D28" i="2"/>
  <c r="E28" i="2"/>
  <c r="F28" i="2"/>
  <c r="G18" i="8"/>
  <c r="F18" i="8" s="1"/>
  <c r="B25" i="8"/>
  <c r="C26" i="8"/>
  <c r="K15" i="4"/>
  <c r="L15" i="4" s="1"/>
  <c r="C17" i="4"/>
  <c r="H17" i="4" s="1"/>
  <c r="J17" i="4" s="1"/>
  <c r="Z17" i="4"/>
  <c r="P17" i="4"/>
  <c r="M30" i="10" l="1"/>
  <c r="P27" i="10"/>
  <c r="Q27" i="10" s="1"/>
  <c r="N27" i="10"/>
  <c r="O27" i="10" s="1"/>
  <c r="N26" i="2"/>
  <c r="T31" i="10"/>
  <c r="D31" i="10"/>
  <c r="K29" i="10"/>
  <c r="I31" i="10"/>
  <c r="C32" i="10"/>
  <c r="L29" i="10"/>
  <c r="G31" i="10"/>
  <c r="B31" i="10"/>
  <c r="E31" i="10"/>
  <c r="J30" i="10"/>
  <c r="F31" i="10"/>
  <c r="I27" i="2"/>
  <c r="H28" i="2"/>
  <c r="S28" i="10" s="1"/>
  <c r="U28" i="10" s="1"/>
  <c r="G29" i="2"/>
  <c r="J28" i="2"/>
  <c r="K28" i="2" s="1"/>
  <c r="D29" i="2"/>
  <c r="F29" i="2"/>
  <c r="B29" i="2"/>
  <c r="E29" i="2"/>
  <c r="C30" i="2"/>
  <c r="O25" i="2"/>
  <c r="E18" i="8"/>
  <c r="H18" i="8" s="1"/>
  <c r="D19" i="8" s="1"/>
  <c r="B26" i="8"/>
  <c r="C27" i="8"/>
  <c r="K16" i="4"/>
  <c r="L16" i="4" s="1"/>
  <c r="C18" i="4"/>
  <c r="H18" i="4" s="1"/>
  <c r="J18" i="4" s="1"/>
  <c r="Z18" i="4"/>
  <c r="P18" i="4"/>
  <c r="M31" i="10" l="1"/>
  <c r="P28" i="10"/>
  <c r="Q28" i="10" s="1"/>
  <c r="N28" i="10"/>
  <c r="O28" i="10" s="1"/>
  <c r="N27" i="2"/>
  <c r="O27" i="2" s="1"/>
  <c r="T32" i="10"/>
  <c r="G32" i="10"/>
  <c r="D32" i="10"/>
  <c r="C33" i="10"/>
  <c r="L30" i="10"/>
  <c r="B32" i="10"/>
  <c r="I32" i="10"/>
  <c r="E32" i="10"/>
  <c r="F32" i="10"/>
  <c r="J31" i="10"/>
  <c r="K30" i="10"/>
  <c r="I28" i="2"/>
  <c r="H29" i="2"/>
  <c r="S29" i="10" s="1"/>
  <c r="U29" i="10" s="1"/>
  <c r="J29" i="2"/>
  <c r="K29" i="2" s="1"/>
  <c r="D30" i="2"/>
  <c r="B30" i="2"/>
  <c r="G30" i="2"/>
  <c r="E30" i="2"/>
  <c r="F30" i="2"/>
  <c r="C31" i="2"/>
  <c r="O26" i="2"/>
  <c r="L26" i="2"/>
  <c r="M26" i="2" s="1"/>
  <c r="G19" i="8"/>
  <c r="E19" i="8" s="1"/>
  <c r="B27" i="8"/>
  <c r="C28" i="8"/>
  <c r="K17" i="4"/>
  <c r="L17" i="4" s="1"/>
  <c r="C19" i="4"/>
  <c r="H19" i="4" s="1"/>
  <c r="J19" i="4" s="1"/>
  <c r="Z19" i="4"/>
  <c r="P19" i="4"/>
  <c r="M32" i="10" l="1"/>
  <c r="P29" i="10"/>
  <c r="Q29" i="10" s="1"/>
  <c r="N29" i="10"/>
  <c r="O29" i="10" s="1"/>
  <c r="N28" i="2"/>
  <c r="O28" i="2" s="1"/>
  <c r="T33" i="10"/>
  <c r="G33" i="10"/>
  <c r="D33" i="10"/>
  <c r="B33" i="10"/>
  <c r="L31" i="10"/>
  <c r="C34" i="10"/>
  <c r="I33" i="10"/>
  <c r="E33" i="10"/>
  <c r="F33" i="10"/>
  <c r="J32" i="10"/>
  <c r="L32" i="10" s="1"/>
  <c r="K31" i="10"/>
  <c r="I29" i="2"/>
  <c r="H30" i="2"/>
  <c r="S30" i="10" s="1"/>
  <c r="U30" i="10" s="1"/>
  <c r="J30" i="2"/>
  <c r="K30" i="2" s="1"/>
  <c r="F31" i="2"/>
  <c r="B31" i="2"/>
  <c r="D31" i="2"/>
  <c r="G31" i="2"/>
  <c r="E31" i="2"/>
  <c r="C32" i="2"/>
  <c r="L27" i="2"/>
  <c r="M27" i="2" s="1"/>
  <c r="F19" i="8"/>
  <c r="H19" i="8" s="1"/>
  <c r="D20" i="8" s="1"/>
  <c r="C29" i="8"/>
  <c r="B28" i="8"/>
  <c r="K18" i="4"/>
  <c r="L18" i="4" s="1"/>
  <c r="C20" i="4"/>
  <c r="H20" i="4" s="1"/>
  <c r="J20" i="4" s="1"/>
  <c r="Z20" i="4"/>
  <c r="P20" i="4"/>
  <c r="M33" i="10" l="1"/>
  <c r="P30" i="10"/>
  <c r="Q30" i="10" s="1"/>
  <c r="N30" i="10"/>
  <c r="O30" i="10" s="1"/>
  <c r="T34" i="10"/>
  <c r="N31" i="10"/>
  <c r="O31" i="10" s="1"/>
  <c r="G34" i="10"/>
  <c r="I34" i="10"/>
  <c r="J33" i="10"/>
  <c r="L33" i="10" s="1"/>
  <c r="C35" i="10"/>
  <c r="P31" i="10"/>
  <c r="Q31" i="10" s="1"/>
  <c r="D34" i="10"/>
  <c r="K32" i="10"/>
  <c r="B34" i="10"/>
  <c r="F34" i="10"/>
  <c r="E34" i="10"/>
  <c r="I30" i="2"/>
  <c r="H31" i="2"/>
  <c r="S31" i="10" s="1"/>
  <c r="U31" i="10" s="1"/>
  <c r="N29" i="2"/>
  <c r="O29" i="2" s="1"/>
  <c r="F32" i="2"/>
  <c r="J31" i="2"/>
  <c r="K31" i="2" s="1"/>
  <c r="E32" i="2"/>
  <c r="G32" i="2"/>
  <c r="B32" i="2"/>
  <c r="D32" i="2"/>
  <c r="L28" i="2"/>
  <c r="M28" i="2" s="1"/>
  <c r="C33" i="2"/>
  <c r="G20" i="8"/>
  <c r="E20" i="8" s="1"/>
  <c r="B29" i="8"/>
  <c r="C30" i="8"/>
  <c r="K19" i="4"/>
  <c r="L19" i="4" s="1"/>
  <c r="C21" i="4"/>
  <c r="H21" i="4" s="1"/>
  <c r="J21" i="4" s="1"/>
  <c r="Z21" i="4"/>
  <c r="P21" i="4"/>
  <c r="M34" i="10" l="1"/>
  <c r="P32" i="10"/>
  <c r="Q32" i="10" s="1"/>
  <c r="N32" i="10"/>
  <c r="O32" i="10" s="1"/>
  <c r="T35" i="10"/>
  <c r="B35" i="10"/>
  <c r="K33" i="10"/>
  <c r="D35" i="10"/>
  <c r="C36" i="10"/>
  <c r="I35" i="10"/>
  <c r="G35" i="10"/>
  <c r="J34" i="10"/>
  <c r="K34" i="10" s="1"/>
  <c r="F35" i="10"/>
  <c r="E35" i="10"/>
  <c r="I31" i="2"/>
  <c r="H32" i="2"/>
  <c r="S32" i="10" s="1"/>
  <c r="U32" i="10" s="1"/>
  <c r="N30" i="2"/>
  <c r="O30" i="2" s="1"/>
  <c r="F33" i="2"/>
  <c r="J32" i="2"/>
  <c r="K32" i="2" s="1"/>
  <c r="G33" i="2"/>
  <c r="B33" i="2"/>
  <c r="D33" i="2"/>
  <c r="L29" i="2"/>
  <c r="M29" i="2" s="1"/>
  <c r="E33" i="2"/>
  <c r="C34" i="2"/>
  <c r="F20" i="8"/>
  <c r="H20" i="8" s="1"/>
  <c r="D21" i="8" s="1"/>
  <c r="B30" i="8"/>
  <c r="C31" i="8"/>
  <c r="K20" i="4"/>
  <c r="L20" i="4" s="1"/>
  <c r="C22" i="4"/>
  <c r="H22" i="4" s="1"/>
  <c r="J22" i="4" s="1"/>
  <c r="Z22" i="4"/>
  <c r="P22" i="4"/>
  <c r="M35" i="10" l="1"/>
  <c r="T36" i="10"/>
  <c r="L34" i="10"/>
  <c r="B36" i="10"/>
  <c r="D36" i="10"/>
  <c r="F36" i="10"/>
  <c r="C37" i="10"/>
  <c r="G36" i="10"/>
  <c r="E36" i="10"/>
  <c r="I36" i="10"/>
  <c r="J35" i="10"/>
  <c r="L35" i="10" s="1"/>
  <c r="H33" i="2"/>
  <c r="S33" i="10" s="1"/>
  <c r="U33" i="10" s="1"/>
  <c r="I32" i="2"/>
  <c r="B34" i="2"/>
  <c r="N31" i="2"/>
  <c r="O31" i="2" s="1"/>
  <c r="J33" i="2"/>
  <c r="K33" i="2" s="1"/>
  <c r="F34" i="2"/>
  <c r="G34" i="2"/>
  <c r="L30" i="2"/>
  <c r="M30" i="2" s="1"/>
  <c r="D34" i="2"/>
  <c r="E34" i="2"/>
  <c r="C35" i="2"/>
  <c r="G21" i="8"/>
  <c r="E21" i="8" s="1"/>
  <c r="B31" i="8"/>
  <c r="C32" i="8"/>
  <c r="K21" i="4"/>
  <c r="L21" i="4" s="1"/>
  <c r="C23" i="4"/>
  <c r="H23" i="4" s="1"/>
  <c r="J23" i="4" s="1"/>
  <c r="Z23" i="4"/>
  <c r="P23" i="4"/>
  <c r="M36" i="10" l="1"/>
  <c r="P33" i="10"/>
  <c r="Q33" i="10" s="1"/>
  <c r="N33" i="10"/>
  <c r="O33" i="10" s="1"/>
  <c r="P34" i="10"/>
  <c r="Q34" i="10" s="1"/>
  <c r="N32" i="2"/>
  <c r="O32" i="2" s="1"/>
  <c r="N34" i="10"/>
  <c r="O34" i="10" s="1"/>
  <c r="T37" i="10"/>
  <c r="E37" i="10"/>
  <c r="J36" i="10"/>
  <c r="K36" i="10" s="1"/>
  <c r="I37" i="10"/>
  <c r="D37" i="10"/>
  <c r="K35" i="10"/>
  <c r="C38" i="10"/>
  <c r="B37" i="10"/>
  <c r="G37" i="10"/>
  <c r="F37" i="10"/>
  <c r="L32" i="2"/>
  <c r="M32" i="2" s="1"/>
  <c r="H34" i="2"/>
  <c r="I33" i="2"/>
  <c r="J34" i="2"/>
  <c r="K34" i="2" s="1"/>
  <c r="D35" i="2"/>
  <c r="L31" i="2"/>
  <c r="M31" i="2" s="1"/>
  <c r="F35" i="2"/>
  <c r="E35" i="2"/>
  <c r="C36" i="2"/>
  <c r="G35" i="2"/>
  <c r="B35" i="2"/>
  <c r="F21" i="8"/>
  <c r="H21" i="8" s="1"/>
  <c r="D22" i="8" s="1"/>
  <c r="C33" i="8"/>
  <c r="B32" i="8"/>
  <c r="K22" i="4"/>
  <c r="L22" i="4" s="1"/>
  <c r="C24" i="4"/>
  <c r="H24" i="4" s="1"/>
  <c r="J24" i="4" s="1"/>
  <c r="Z24" i="4"/>
  <c r="P24" i="4"/>
  <c r="M37" i="10" l="1"/>
  <c r="S34" i="10"/>
  <c r="U34" i="10" s="1"/>
  <c r="I34" i="2"/>
  <c r="T38" i="10"/>
  <c r="L36" i="10"/>
  <c r="J37" i="10"/>
  <c r="K37" i="10" s="1"/>
  <c r="C39" i="10"/>
  <c r="F38" i="10"/>
  <c r="E38" i="10"/>
  <c r="B38" i="10"/>
  <c r="G38" i="10"/>
  <c r="D38" i="10"/>
  <c r="I38" i="10"/>
  <c r="L33" i="2"/>
  <c r="M33" i="2" s="1"/>
  <c r="H35" i="2"/>
  <c r="N33" i="2"/>
  <c r="O33" i="2" s="1"/>
  <c r="J35" i="2"/>
  <c r="K35" i="2" s="1"/>
  <c r="E36" i="2"/>
  <c r="F36" i="2"/>
  <c r="B36" i="2"/>
  <c r="D36" i="2"/>
  <c r="G36" i="2"/>
  <c r="C37" i="2"/>
  <c r="G22" i="8"/>
  <c r="E22" i="8" s="1"/>
  <c r="C34" i="8"/>
  <c r="B33" i="8"/>
  <c r="K23" i="4"/>
  <c r="L23" i="4" s="1"/>
  <c r="C25" i="4"/>
  <c r="H25" i="4" s="1"/>
  <c r="J25" i="4" s="1"/>
  <c r="Z25" i="4"/>
  <c r="P25" i="4"/>
  <c r="M38" i="10" l="1"/>
  <c r="P35" i="10"/>
  <c r="Q35" i="10" s="1"/>
  <c r="N35" i="10"/>
  <c r="O35" i="10" s="1"/>
  <c r="S35" i="10"/>
  <c r="U35" i="10" s="1"/>
  <c r="I35" i="2"/>
  <c r="T39" i="10"/>
  <c r="C40" i="10"/>
  <c r="F39" i="10"/>
  <c r="B39" i="10"/>
  <c r="D39" i="10"/>
  <c r="J38" i="10"/>
  <c r="K38" i="10" s="1"/>
  <c r="L37" i="10"/>
  <c r="G39" i="10"/>
  <c r="I39" i="10"/>
  <c r="E39" i="10"/>
  <c r="L34" i="2"/>
  <c r="M34" i="2" s="1"/>
  <c r="H36" i="2"/>
  <c r="N34" i="2"/>
  <c r="O34" i="2" s="1"/>
  <c r="J36" i="2"/>
  <c r="K36" i="2" s="1"/>
  <c r="B37" i="2"/>
  <c r="F37" i="2"/>
  <c r="G37" i="2"/>
  <c r="E37" i="2"/>
  <c r="D37" i="2"/>
  <c r="C38" i="2"/>
  <c r="F22" i="8"/>
  <c r="H22" i="8" s="1"/>
  <c r="D23" i="8" s="1"/>
  <c r="C35" i="8"/>
  <c r="B34" i="8"/>
  <c r="K24" i="4"/>
  <c r="L24" i="4" s="1"/>
  <c r="C26" i="4"/>
  <c r="H26" i="4" s="1"/>
  <c r="J26" i="4" s="1"/>
  <c r="Z26" i="4"/>
  <c r="P26" i="4"/>
  <c r="M39" i="10" l="1"/>
  <c r="P36" i="10"/>
  <c r="Q36" i="10" s="1"/>
  <c r="N36" i="10"/>
  <c r="O36" i="10" s="1"/>
  <c r="S36" i="10"/>
  <c r="U36" i="10" s="1"/>
  <c r="I36" i="2"/>
  <c r="N35" i="2"/>
  <c r="O35" i="2" s="1"/>
  <c r="T40" i="10"/>
  <c r="I40" i="10"/>
  <c r="D40" i="10"/>
  <c r="C41" i="10"/>
  <c r="G40" i="10"/>
  <c r="B40" i="10"/>
  <c r="F40" i="10"/>
  <c r="E40" i="10"/>
  <c r="J39" i="10"/>
  <c r="L39" i="10" s="1"/>
  <c r="L38" i="10"/>
  <c r="L35" i="2"/>
  <c r="M35" i="2" s="1"/>
  <c r="H37" i="2"/>
  <c r="F38" i="2"/>
  <c r="G38" i="2"/>
  <c r="D38" i="2"/>
  <c r="J37" i="2"/>
  <c r="K37" i="2" s="1"/>
  <c r="B38" i="2"/>
  <c r="E38" i="2"/>
  <c r="C39" i="2"/>
  <c r="G23" i="8"/>
  <c r="E23" i="8" s="1"/>
  <c r="B35" i="8"/>
  <c r="C36" i="8"/>
  <c r="K25" i="4"/>
  <c r="L25" i="4" s="1"/>
  <c r="C27" i="4"/>
  <c r="H27" i="4" s="1"/>
  <c r="J27" i="4" s="1"/>
  <c r="Z27" i="4"/>
  <c r="P27" i="4"/>
  <c r="M40" i="10" l="1"/>
  <c r="P37" i="10"/>
  <c r="Q37" i="10" s="1"/>
  <c r="N37" i="10"/>
  <c r="O37" i="10" s="1"/>
  <c r="S37" i="10"/>
  <c r="U37" i="10" s="1"/>
  <c r="I37" i="2"/>
  <c r="N38" i="10"/>
  <c r="O38" i="10" s="1"/>
  <c r="T41" i="10"/>
  <c r="C42" i="10"/>
  <c r="D41" i="10"/>
  <c r="G41" i="10"/>
  <c r="I41" i="10"/>
  <c r="B41" i="10"/>
  <c r="J40" i="10"/>
  <c r="K40" i="10" s="1"/>
  <c r="F41" i="10"/>
  <c r="E41" i="10"/>
  <c r="P38" i="10"/>
  <c r="Q38" i="10" s="1"/>
  <c r="K39" i="10"/>
  <c r="L36" i="2"/>
  <c r="M36" i="2" s="1"/>
  <c r="H38" i="2"/>
  <c r="N36" i="2"/>
  <c r="O36" i="2" s="1"/>
  <c r="J38" i="2"/>
  <c r="K38" i="2" s="1"/>
  <c r="G39" i="2"/>
  <c r="F39" i="2"/>
  <c r="D39" i="2"/>
  <c r="E39" i="2"/>
  <c r="C40" i="2"/>
  <c r="B39" i="2"/>
  <c r="F23" i="8"/>
  <c r="H23" i="8" s="1"/>
  <c r="D24" i="8" s="1"/>
  <c r="B36" i="8"/>
  <c r="C37" i="8"/>
  <c r="K26" i="4"/>
  <c r="L26" i="4" s="1"/>
  <c r="C28" i="4"/>
  <c r="H28" i="4" s="1"/>
  <c r="J28" i="4" s="1"/>
  <c r="Z28" i="4"/>
  <c r="P28" i="4"/>
  <c r="M41" i="10" l="1"/>
  <c r="S38" i="10"/>
  <c r="U38" i="10" s="1"/>
  <c r="I38" i="2"/>
  <c r="T42" i="10"/>
  <c r="I42" i="10"/>
  <c r="C43" i="10"/>
  <c r="G42" i="10"/>
  <c r="D42" i="10"/>
  <c r="B42" i="10"/>
  <c r="J41" i="10"/>
  <c r="K41" i="10" s="1"/>
  <c r="F42" i="10"/>
  <c r="E42" i="10"/>
  <c r="L40" i="10"/>
  <c r="L37" i="2"/>
  <c r="M37" i="2" s="1"/>
  <c r="H39" i="2"/>
  <c r="N37" i="2"/>
  <c r="O37" i="2" s="1"/>
  <c r="J39" i="2"/>
  <c r="K39" i="2" s="1"/>
  <c r="E40" i="2"/>
  <c r="G40" i="2"/>
  <c r="D40" i="2"/>
  <c r="B40" i="2"/>
  <c r="F40" i="2"/>
  <c r="C41" i="2"/>
  <c r="G24" i="8"/>
  <c r="E24" i="8" s="1"/>
  <c r="C38" i="8"/>
  <c r="B37" i="8"/>
  <c r="K27" i="4"/>
  <c r="L27" i="4" s="1"/>
  <c r="C29" i="4"/>
  <c r="H29" i="4" s="1"/>
  <c r="J29" i="4" s="1"/>
  <c r="Z29" i="4"/>
  <c r="P29" i="4"/>
  <c r="M42" i="10" l="1"/>
  <c r="P39" i="10"/>
  <c r="Q39" i="10" s="1"/>
  <c r="S39" i="10"/>
  <c r="U39" i="10" s="1"/>
  <c r="I39" i="2"/>
  <c r="N38" i="2"/>
  <c r="O38" i="2" s="1"/>
  <c r="N39" i="10"/>
  <c r="O39" i="10" s="1"/>
  <c r="T43" i="10"/>
  <c r="I43" i="10"/>
  <c r="L41" i="10"/>
  <c r="C44" i="10"/>
  <c r="F43" i="10"/>
  <c r="J42" i="10"/>
  <c r="L42" i="10" s="1"/>
  <c r="G43" i="10"/>
  <c r="D43" i="10"/>
  <c r="B43" i="10"/>
  <c r="E43" i="10"/>
  <c r="L38" i="2"/>
  <c r="M38" i="2" s="1"/>
  <c r="H40" i="2"/>
  <c r="J40" i="2"/>
  <c r="K40" i="2" s="1"/>
  <c r="D41" i="2"/>
  <c r="G41" i="2"/>
  <c r="F41" i="2"/>
  <c r="B41" i="2"/>
  <c r="E41" i="2"/>
  <c r="C42" i="2"/>
  <c r="F24" i="8"/>
  <c r="H24" i="8" s="1"/>
  <c r="D25" i="8" s="1"/>
  <c r="C39" i="8"/>
  <c r="B38" i="8"/>
  <c r="K28" i="4"/>
  <c r="L28" i="4" s="1"/>
  <c r="C30" i="4"/>
  <c r="H30" i="4" s="1"/>
  <c r="J30" i="4" s="1"/>
  <c r="Z30" i="4"/>
  <c r="P30" i="4"/>
  <c r="M43" i="10" l="1"/>
  <c r="P40" i="10"/>
  <c r="Q40" i="10" s="1"/>
  <c r="N40" i="10"/>
  <c r="O40" i="10" s="1"/>
  <c r="S40" i="10"/>
  <c r="U40" i="10" s="1"/>
  <c r="I40" i="2"/>
  <c r="T44" i="10"/>
  <c r="K42" i="10"/>
  <c r="I44" i="10"/>
  <c r="P41" i="10"/>
  <c r="Q41" i="10" s="1"/>
  <c r="D44" i="10"/>
  <c r="F44" i="10"/>
  <c r="E44" i="10"/>
  <c r="B44" i="10"/>
  <c r="C45" i="10"/>
  <c r="M45" i="10" s="1"/>
  <c r="G44" i="10"/>
  <c r="J43" i="10"/>
  <c r="K43" i="10" s="1"/>
  <c r="L39" i="2"/>
  <c r="M39" i="2" s="1"/>
  <c r="H41" i="2"/>
  <c r="N41" i="10"/>
  <c r="O41" i="10" s="1"/>
  <c r="N39" i="2"/>
  <c r="O39" i="2" s="1"/>
  <c r="G42" i="2"/>
  <c r="J41" i="2"/>
  <c r="K41" i="2" s="1"/>
  <c r="F42" i="2"/>
  <c r="D42" i="2"/>
  <c r="B42" i="2"/>
  <c r="E42" i="2"/>
  <c r="C43" i="2"/>
  <c r="G25" i="8"/>
  <c r="F25" i="8" s="1"/>
  <c r="B39" i="8"/>
  <c r="C40" i="8"/>
  <c r="K29" i="4"/>
  <c r="L29" i="4" s="1"/>
  <c r="C31" i="4"/>
  <c r="Z31" i="4"/>
  <c r="P31" i="4"/>
  <c r="M44" i="10" l="1"/>
  <c r="S41" i="10"/>
  <c r="U41" i="10" s="1"/>
  <c r="I41" i="2"/>
  <c r="N40" i="2"/>
  <c r="O40" i="2" s="1"/>
  <c r="D45" i="10"/>
  <c r="T45" i="10"/>
  <c r="L43" i="10"/>
  <c r="E45" i="10"/>
  <c r="F45" i="10"/>
  <c r="I45" i="10"/>
  <c r="B45" i="10"/>
  <c r="C46" i="10"/>
  <c r="M46" i="10" s="1"/>
  <c r="G45" i="10"/>
  <c r="J44" i="10"/>
  <c r="L44" i="10" s="1"/>
  <c r="L40" i="2"/>
  <c r="M40" i="2" s="1"/>
  <c r="H42" i="2"/>
  <c r="G43" i="2"/>
  <c r="J42" i="2"/>
  <c r="K42" i="2" s="1"/>
  <c r="D43" i="2"/>
  <c r="B43" i="2"/>
  <c r="C44" i="2"/>
  <c r="F43" i="2"/>
  <c r="E43" i="2"/>
  <c r="E25" i="8"/>
  <c r="H25" i="8" s="1"/>
  <c r="D26" i="8" s="1"/>
  <c r="B40" i="8"/>
  <c r="C41" i="8"/>
  <c r="H31" i="4"/>
  <c r="C32" i="4"/>
  <c r="H32" i="4" s="1"/>
  <c r="J32" i="4" s="1"/>
  <c r="M5" i="4" s="1"/>
  <c r="K30" i="4"/>
  <c r="L30" i="4" s="1"/>
  <c r="W5" i="4"/>
  <c r="AG5" i="4"/>
  <c r="P42" i="10" l="1"/>
  <c r="Q42" i="10" s="1"/>
  <c r="N42" i="10"/>
  <c r="O42" i="10" s="1"/>
  <c r="S42" i="10"/>
  <c r="U42" i="10" s="1"/>
  <c r="I42" i="2"/>
  <c r="J45" i="10"/>
  <c r="L45" i="10" s="1"/>
  <c r="K44" i="10"/>
  <c r="E46" i="10"/>
  <c r="T46" i="10"/>
  <c r="P43" i="10"/>
  <c r="Q43" i="10" s="1"/>
  <c r="I46" i="10"/>
  <c r="B46" i="10"/>
  <c r="D46" i="10"/>
  <c r="F46" i="10"/>
  <c r="C47" i="10"/>
  <c r="M47" i="10" s="1"/>
  <c r="G46" i="10"/>
  <c r="L41" i="2"/>
  <c r="M41" i="2" s="1"/>
  <c r="H43" i="2"/>
  <c r="N43" i="10"/>
  <c r="O43" i="10" s="1"/>
  <c r="N41" i="2"/>
  <c r="O41" i="2" s="1"/>
  <c r="J43" i="2"/>
  <c r="K43" i="2" s="1"/>
  <c r="B44" i="2"/>
  <c r="G44" i="2"/>
  <c r="D44" i="2"/>
  <c r="E44" i="2"/>
  <c r="F44" i="2"/>
  <c r="C45" i="2"/>
  <c r="G26" i="8"/>
  <c r="E26" i="8" s="1"/>
  <c r="C42" i="8"/>
  <c r="B41" i="8"/>
  <c r="J31" i="4"/>
  <c r="K31" i="4"/>
  <c r="L31" i="4" s="1"/>
  <c r="P44" i="10" l="1"/>
  <c r="Q44" i="10" s="1"/>
  <c r="N44" i="10"/>
  <c r="O44" i="10" s="1"/>
  <c r="S43" i="10"/>
  <c r="U43" i="10" s="1"/>
  <c r="I43" i="2"/>
  <c r="N42" i="2"/>
  <c r="O42" i="2" s="1"/>
  <c r="K45" i="10"/>
  <c r="J46" i="10"/>
  <c r="L46" i="10" s="1"/>
  <c r="T47" i="10"/>
  <c r="C48" i="10"/>
  <c r="M48" i="10" s="1"/>
  <c r="E47" i="10"/>
  <c r="G47" i="10"/>
  <c r="B47" i="10"/>
  <c r="I47" i="10"/>
  <c r="D47" i="10"/>
  <c r="F47" i="10"/>
  <c r="L42" i="2"/>
  <c r="M42" i="2" s="1"/>
  <c r="H44" i="2"/>
  <c r="J44" i="2"/>
  <c r="K44" i="2" s="1"/>
  <c r="E45" i="2"/>
  <c r="B45" i="2"/>
  <c r="D45" i="2"/>
  <c r="G45" i="2"/>
  <c r="F45" i="2"/>
  <c r="C46" i="2"/>
  <c r="F26" i="8"/>
  <c r="H26" i="8" s="1"/>
  <c r="D27" i="8" s="1"/>
  <c r="B42" i="8"/>
  <c r="C43" i="8"/>
  <c r="K32" i="4"/>
  <c r="L32" i="4" s="1"/>
  <c r="P45" i="10" l="1"/>
  <c r="Q45" i="10" s="1"/>
  <c r="S44" i="10"/>
  <c r="U44" i="10" s="1"/>
  <c r="I44" i="2"/>
  <c r="K46" i="10"/>
  <c r="J47" i="10"/>
  <c r="L47" i="10" s="1"/>
  <c r="G48" i="10"/>
  <c r="T48" i="10"/>
  <c r="I48" i="10"/>
  <c r="E48" i="10"/>
  <c r="F48" i="10"/>
  <c r="D48" i="10"/>
  <c r="B48" i="10"/>
  <c r="C49" i="10"/>
  <c r="M49" i="10" s="1"/>
  <c r="L43" i="2"/>
  <c r="M43" i="2" s="1"/>
  <c r="H45" i="2"/>
  <c r="N45" i="10"/>
  <c r="O45" i="10" s="1"/>
  <c r="J45" i="2"/>
  <c r="K45" i="2" s="1"/>
  <c r="N43" i="2"/>
  <c r="O43" i="2" s="1"/>
  <c r="F46" i="2"/>
  <c r="B46" i="2"/>
  <c r="D46" i="2"/>
  <c r="G46" i="2"/>
  <c r="C47" i="2"/>
  <c r="E46" i="2"/>
  <c r="G27" i="8"/>
  <c r="F27" i="8" s="1"/>
  <c r="B43" i="8"/>
  <c r="C44" i="8"/>
  <c r="P46" i="10" l="1"/>
  <c r="Q46" i="10" s="1"/>
  <c r="N46" i="10"/>
  <c r="O46" i="10" s="1"/>
  <c r="S45" i="10"/>
  <c r="U45" i="10" s="1"/>
  <c r="I45" i="2"/>
  <c r="N44" i="2"/>
  <c r="O44" i="2" s="1"/>
  <c r="K47" i="10"/>
  <c r="J48" i="10"/>
  <c r="L48" i="10" s="1"/>
  <c r="T49" i="10"/>
  <c r="E49" i="10"/>
  <c r="D49" i="10"/>
  <c r="F49" i="10"/>
  <c r="I49" i="10"/>
  <c r="B49" i="10"/>
  <c r="C50" i="10"/>
  <c r="M50" i="10" s="1"/>
  <c r="G49" i="10"/>
  <c r="L44" i="2"/>
  <c r="M44" i="2" s="1"/>
  <c r="H46" i="2"/>
  <c r="G47" i="2"/>
  <c r="J46" i="2"/>
  <c r="K46" i="2" s="1"/>
  <c r="D47" i="2"/>
  <c r="C48" i="2"/>
  <c r="F47" i="2"/>
  <c r="E47" i="2"/>
  <c r="B47" i="2"/>
  <c r="E27" i="8"/>
  <c r="H27" i="8" s="1"/>
  <c r="D28" i="8" s="1"/>
  <c r="G28" i="8" s="1"/>
  <c r="B44" i="8"/>
  <c r="C45" i="8"/>
  <c r="P47" i="10" l="1"/>
  <c r="Q47" i="10" s="1"/>
  <c r="S46" i="10"/>
  <c r="U46" i="10" s="1"/>
  <c r="I46" i="2"/>
  <c r="N45" i="2"/>
  <c r="O45" i="2" s="1"/>
  <c r="D50" i="10"/>
  <c r="K48" i="10"/>
  <c r="J49" i="10"/>
  <c r="L49" i="10" s="1"/>
  <c r="L45" i="2"/>
  <c r="M45" i="2" s="1"/>
  <c r="T50" i="10"/>
  <c r="F50" i="10"/>
  <c r="C51" i="10"/>
  <c r="M51" i="10" s="1"/>
  <c r="G50" i="10"/>
  <c r="I50" i="10"/>
  <c r="E50" i="10"/>
  <c r="B50" i="10"/>
  <c r="H47" i="2"/>
  <c r="N47" i="10"/>
  <c r="O47" i="10" s="1"/>
  <c r="J47" i="2"/>
  <c r="K47" i="2" s="1"/>
  <c r="B48" i="2"/>
  <c r="F48" i="2"/>
  <c r="D48" i="2"/>
  <c r="E48" i="2"/>
  <c r="C49" i="2"/>
  <c r="G48" i="2"/>
  <c r="E28" i="8"/>
  <c r="F28" i="8"/>
  <c r="C46" i="8"/>
  <c r="B45" i="8"/>
  <c r="P48" i="10" l="1"/>
  <c r="Q48" i="10" s="1"/>
  <c r="S47" i="10"/>
  <c r="U47" i="10" s="1"/>
  <c r="I47" i="2"/>
  <c r="N46" i="2"/>
  <c r="O46" i="2" s="1"/>
  <c r="K49" i="10"/>
  <c r="L46" i="2"/>
  <c r="M46" i="2" s="1"/>
  <c r="J50" i="10"/>
  <c r="L50" i="10" s="1"/>
  <c r="B51" i="10"/>
  <c r="C52" i="10"/>
  <c r="M52" i="10" s="1"/>
  <c r="T51" i="10"/>
  <c r="G51" i="10"/>
  <c r="E51" i="10"/>
  <c r="I51" i="10"/>
  <c r="D51" i="10"/>
  <c r="F51" i="10"/>
  <c r="H48" i="2"/>
  <c r="N48" i="10"/>
  <c r="O48" i="10" s="1"/>
  <c r="D49" i="2"/>
  <c r="J48" i="2"/>
  <c r="K48" i="2" s="1"/>
  <c r="B49" i="2"/>
  <c r="F49" i="2"/>
  <c r="G49" i="2"/>
  <c r="E49" i="2"/>
  <c r="C50" i="2"/>
  <c r="H28" i="8"/>
  <c r="D29" i="8" s="1"/>
  <c r="G29" i="8" s="1"/>
  <c r="F29" i="8" s="1"/>
  <c r="B46" i="8"/>
  <c r="C47" i="8"/>
  <c r="P49" i="10" l="1"/>
  <c r="Q49" i="10" s="1"/>
  <c r="S48" i="10"/>
  <c r="U48" i="10" s="1"/>
  <c r="I48" i="2"/>
  <c r="N47" i="2"/>
  <c r="O47" i="2" s="1"/>
  <c r="L47" i="2"/>
  <c r="M47" i="2" s="1"/>
  <c r="J51" i="10"/>
  <c r="L51" i="10" s="1"/>
  <c r="K50" i="10"/>
  <c r="H49" i="2"/>
  <c r="G52" i="10"/>
  <c r="D52" i="10"/>
  <c r="I52" i="10"/>
  <c r="E52" i="10"/>
  <c r="B52" i="10"/>
  <c r="F52" i="10"/>
  <c r="C53" i="10"/>
  <c r="M53" i="10" s="1"/>
  <c r="T52" i="10"/>
  <c r="N49" i="10"/>
  <c r="O49" i="10" s="1"/>
  <c r="D50" i="2"/>
  <c r="J49" i="2"/>
  <c r="K49" i="2" s="1"/>
  <c r="F50" i="2"/>
  <c r="B50" i="2"/>
  <c r="G50" i="2"/>
  <c r="C51" i="2"/>
  <c r="E50" i="2"/>
  <c r="E29" i="8"/>
  <c r="H29" i="8" s="1"/>
  <c r="D30" i="8" s="1"/>
  <c r="B47" i="8"/>
  <c r="C48" i="8"/>
  <c r="P50" i="10" l="1"/>
  <c r="Q50" i="10" s="1"/>
  <c r="S49" i="10"/>
  <c r="U49" i="10" s="1"/>
  <c r="I49" i="2"/>
  <c r="N48" i="2"/>
  <c r="O48" i="2" s="1"/>
  <c r="L48" i="2"/>
  <c r="M48" i="2" s="1"/>
  <c r="K51" i="10"/>
  <c r="J52" i="10"/>
  <c r="L52" i="10" s="1"/>
  <c r="F53" i="10"/>
  <c r="I53" i="10"/>
  <c r="G53" i="10"/>
  <c r="E53" i="10"/>
  <c r="D53" i="10"/>
  <c r="T53" i="10"/>
  <c r="B53" i="10"/>
  <c r="C54" i="10"/>
  <c r="H50" i="2"/>
  <c r="N50" i="10"/>
  <c r="O50" i="10" s="1"/>
  <c r="F51" i="2"/>
  <c r="B51" i="2"/>
  <c r="J50" i="2"/>
  <c r="K50" i="2" s="1"/>
  <c r="D51" i="2"/>
  <c r="G51" i="2"/>
  <c r="C52" i="2"/>
  <c r="E51" i="2"/>
  <c r="G30" i="8"/>
  <c r="F30" i="8" s="1"/>
  <c r="B48" i="8"/>
  <c r="C49" i="8"/>
  <c r="T54" i="10" l="1"/>
  <c r="M54" i="10"/>
  <c r="P51" i="10"/>
  <c r="Q51" i="10" s="1"/>
  <c r="N51" i="10"/>
  <c r="O51" i="10" s="1"/>
  <c r="S50" i="10"/>
  <c r="U50" i="10" s="1"/>
  <c r="I50" i="2"/>
  <c r="N49" i="2"/>
  <c r="O49" i="2" s="1"/>
  <c r="K52" i="10"/>
  <c r="J53" i="10"/>
  <c r="L53" i="10" s="1"/>
  <c r="F54" i="10"/>
  <c r="C55" i="10"/>
  <c r="M55" i="10" s="1"/>
  <c r="B54" i="10"/>
  <c r="D54" i="10"/>
  <c r="G54" i="10"/>
  <c r="E54" i="10"/>
  <c r="I54" i="10"/>
  <c r="H51" i="2"/>
  <c r="J51" i="2"/>
  <c r="K51" i="2" s="1"/>
  <c r="D52" i="2"/>
  <c r="B52" i="2"/>
  <c r="G52" i="2"/>
  <c r="F52" i="2"/>
  <c r="E52" i="2"/>
  <c r="C53" i="2"/>
  <c r="E30" i="8"/>
  <c r="H30" i="8" s="1"/>
  <c r="D31" i="8" s="1"/>
  <c r="C50" i="8"/>
  <c r="B49" i="8"/>
  <c r="P52" i="10" l="1"/>
  <c r="Q52" i="10" s="1"/>
  <c r="N52" i="10"/>
  <c r="O52" i="10" s="1"/>
  <c r="S51" i="10"/>
  <c r="U51" i="10" s="1"/>
  <c r="I51" i="2"/>
  <c r="N50" i="2"/>
  <c r="O50" i="2" s="1"/>
  <c r="K53" i="10"/>
  <c r="J54" i="10"/>
  <c r="L54" i="10" s="1"/>
  <c r="E55" i="10"/>
  <c r="C56" i="10"/>
  <c r="T55" i="10"/>
  <c r="D55" i="10"/>
  <c r="G55" i="10"/>
  <c r="B55" i="10"/>
  <c r="I55" i="10"/>
  <c r="F55" i="10"/>
  <c r="H52" i="2"/>
  <c r="B53" i="2"/>
  <c r="J52" i="2"/>
  <c r="K52" i="2" s="1"/>
  <c r="D53" i="2"/>
  <c r="F53" i="2"/>
  <c r="G53" i="2"/>
  <c r="E53" i="2"/>
  <c r="C54" i="2"/>
  <c r="L49" i="2"/>
  <c r="M49" i="2" s="1"/>
  <c r="G31" i="8"/>
  <c r="F31" i="8" s="1"/>
  <c r="C51" i="8"/>
  <c r="B50" i="8"/>
  <c r="I56" i="10" l="1"/>
  <c r="M56" i="10"/>
  <c r="P53" i="10"/>
  <c r="Q53" i="10" s="1"/>
  <c r="N53" i="10"/>
  <c r="O53" i="10" s="1"/>
  <c r="S52" i="10"/>
  <c r="U52" i="10" s="1"/>
  <c r="I52" i="2"/>
  <c r="N51" i="2"/>
  <c r="O51" i="2" s="1"/>
  <c r="K54" i="10"/>
  <c r="J55" i="10"/>
  <c r="L55" i="10" s="1"/>
  <c r="D56" i="10"/>
  <c r="F56" i="10"/>
  <c r="C57" i="10"/>
  <c r="B56" i="10"/>
  <c r="E56" i="10"/>
  <c r="T56" i="10"/>
  <c r="G56" i="10"/>
  <c r="H53" i="2"/>
  <c r="J53" i="2"/>
  <c r="K53" i="2" s="1"/>
  <c r="G54" i="2"/>
  <c r="D54" i="2"/>
  <c r="F54" i="2"/>
  <c r="B54" i="2"/>
  <c r="C55" i="2"/>
  <c r="E54" i="2"/>
  <c r="L50" i="2"/>
  <c r="M50" i="2" s="1"/>
  <c r="E31" i="8"/>
  <c r="H31" i="8" s="1"/>
  <c r="D32" i="8" s="1"/>
  <c r="B51" i="8"/>
  <c r="C52" i="8"/>
  <c r="T57" i="10" l="1"/>
  <c r="M57" i="10"/>
  <c r="P54" i="10"/>
  <c r="Q54" i="10" s="1"/>
  <c r="N54" i="10"/>
  <c r="O54" i="10" s="1"/>
  <c r="S53" i="10"/>
  <c r="U53" i="10" s="1"/>
  <c r="I53" i="2"/>
  <c r="N52" i="2"/>
  <c r="O52" i="2" s="1"/>
  <c r="K55" i="10"/>
  <c r="J56" i="10"/>
  <c r="L56" i="10" s="1"/>
  <c r="E57" i="10"/>
  <c r="C58" i="10"/>
  <c r="M58" i="10" s="1"/>
  <c r="B57" i="10"/>
  <c r="D57" i="10"/>
  <c r="G57" i="10"/>
  <c r="F57" i="10"/>
  <c r="I57" i="10"/>
  <c r="H54" i="2"/>
  <c r="J54" i="2"/>
  <c r="K54" i="2" s="1"/>
  <c r="F55" i="2"/>
  <c r="D55" i="2"/>
  <c r="B55" i="2"/>
  <c r="G55" i="2"/>
  <c r="C56" i="2"/>
  <c r="E55" i="2"/>
  <c r="L51" i="2"/>
  <c r="M51" i="2" s="1"/>
  <c r="G32" i="8"/>
  <c r="F32" i="8" s="1"/>
  <c r="C53" i="8"/>
  <c r="B52" i="8"/>
  <c r="P55" i="10" l="1"/>
  <c r="Q55" i="10" s="1"/>
  <c r="N55" i="10"/>
  <c r="O55" i="10" s="1"/>
  <c r="S54" i="10"/>
  <c r="U54" i="10" s="1"/>
  <c r="I54" i="2"/>
  <c r="N53" i="2"/>
  <c r="O53" i="2" s="1"/>
  <c r="K56" i="10"/>
  <c r="J57" i="10"/>
  <c r="L57" i="10" s="1"/>
  <c r="E58" i="10"/>
  <c r="B58" i="10"/>
  <c r="G58" i="10"/>
  <c r="F58" i="10"/>
  <c r="T58" i="10"/>
  <c r="D58" i="10"/>
  <c r="C59" i="10"/>
  <c r="I58" i="10"/>
  <c r="H55" i="2"/>
  <c r="J55" i="2"/>
  <c r="K55" i="2" s="1"/>
  <c r="G56" i="2"/>
  <c r="C57" i="2"/>
  <c r="F56" i="2"/>
  <c r="E56" i="2"/>
  <c r="D56" i="2"/>
  <c r="B56" i="2"/>
  <c r="L52" i="2"/>
  <c r="M52" i="2" s="1"/>
  <c r="E32" i="8"/>
  <c r="H32" i="8" s="1"/>
  <c r="D33" i="8" s="1"/>
  <c r="C54" i="8"/>
  <c r="B53" i="8"/>
  <c r="T59" i="10" l="1"/>
  <c r="M59" i="10"/>
  <c r="P56" i="10"/>
  <c r="Q56" i="10" s="1"/>
  <c r="N56" i="10"/>
  <c r="O56" i="10" s="1"/>
  <c r="S55" i="10"/>
  <c r="U55" i="10" s="1"/>
  <c r="I55" i="2"/>
  <c r="N54" i="2"/>
  <c r="O54" i="2" s="1"/>
  <c r="K57" i="10"/>
  <c r="J58" i="10"/>
  <c r="L58" i="10" s="1"/>
  <c r="G59" i="10"/>
  <c r="E59" i="10"/>
  <c r="B59" i="10"/>
  <c r="C60" i="10"/>
  <c r="I59" i="10"/>
  <c r="D59" i="10"/>
  <c r="F59" i="10"/>
  <c r="H56" i="2"/>
  <c r="J56" i="2"/>
  <c r="K56" i="2" s="1"/>
  <c r="F57" i="2"/>
  <c r="D57" i="2"/>
  <c r="G57" i="2"/>
  <c r="B57" i="2"/>
  <c r="E57" i="2"/>
  <c r="C58" i="2"/>
  <c r="L53" i="2"/>
  <c r="M53" i="2" s="1"/>
  <c r="G33" i="8"/>
  <c r="F33" i="8" s="1"/>
  <c r="C55" i="8"/>
  <c r="B54" i="8"/>
  <c r="T60" i="10" l="1"/>
  <c r="M60" i="10"/>
  <c r="S56" i="10"/>
  <c r="U56" i="10" s="1"/>
  <c r="I56" i="2"/>
  <c r="N55" i="2"/>
  <c r="O55" i="2" s="1"/>
  <c r="K58" i="10"/>
  <c r="J59" i="10"/>
  <c r="L59" i="10" s="1"/>
  <c r="P57" i="10"/>
  <c r="Q57" i="10" s="1"/>
  <c r="F60" i="10"/>
  <c r="E60" i="10"/>
  <c r="G60" i="10"/>
  <c r="C61" i="10"/>
  <c r="B60" i="10"/>
  <c r="I60" i="10"/>
  <c r="D60" i="10"/>
  <c r="H57" i="2"/>
  <c r="N57" i="10"/>
  <c r="O57" i="10" s="1"/>
  <c r="J57" i="2"/>
  <c r="K57" i="2" s="1"/>
  <c r="D58" i="2"/>
  <c r="B58" i="2"/>
  <c r="G58" i="2"/>
  <c r="C59" i="2"/>
  <c r="F58" i="2"/>
  <c r="E58" i="2"/>
  <c r="L54" i="2"/>
  <c r="M54" i="2" s="1"/>
  <c r="E33" i="8"/>
  <c r="H33" i="8" s="1"/>
  <c r="D34" i="8" s="1"/>
  <c r="B55" i="8"/>
  <c r="C56" i="8"/>
  <c r="T61" i="10" l="1"/>
  <c r="M61" i="10"/>
  <c r="P58" i="10"/>
  <c r="Q58" i="10" s="1"/>
  <c r="N58" i="10"/>
  <c r="O58" i="10" s="1"/>
  <c r="S57" i="10"/>
  <c r="U57" i="10" s="1"/>
  <c r="I57" i="2"/>
  <c r="N56" i="2"/>
  <c r="O56" i="2" s="1"/>
  <c r="K59" i="10"/>
  <c r="J60" i="10"/>
  <c r="L60" i="10" s="1"/>
  <c r="F61" i="10"/>
  <c r="B61" i="10"/>
  <c r="G61" i="10"/>
  <c r="C62" i="10"/>
  <c r="M62" i="10" s="1"/>
  <c r="D61" i="10"/>
  <c r="E61" i="10"/>
  <c r="I61" i="10"/>
  <c r="H58" i="2"/>
  <c r="E59" i="2"/>
  <c r="J58" i="2"/>
  <c r="K58" i="2" s="1"/>
  <c r="G59" i="2"/>
  <c r="F59" i="2"/>
  <c r="D59" i="2"/>
  <c r="B59" i="2"/>
  <c r="C60" i="2"/>
  <c r="L55" i="2"/>
  <c r="M55" i="2" s="1"/>
  <c r="G34" i="8"/>
  <c r="E34" i="8" s="1"/>
  <c r="B56" i="8"/>
  <c r="C57" i="8"/>
  <c r="P59" i="10" l="1"/>
  <c r="Q59" i="10" s="1"/>
  <c r="N59" i="10"/>
  <c r="O59" i="10" s="1"/>
  <c r="S58" i="10"/>
  <c r="U58" i="10" s="1"/>
  <c r="I58" i="2"/>
  <c r="N57" i="2"/>
  <c r="O57" i="2" s="1"/>
  <c r="K60" i="10"/>
  <c r="J61" i="10"/>
  <c r="L61" i="10" s="1"/>
  <c r="C63" i="10"/>
  <c r="F62" i="10"/>
  <c r="E62" i="10"/>
  <c r="B62" i="10"/>
  <c r="I62" i="10"/>
  <c r="T62" i="10"/>
  <c r="G62" i="10"/>
  <c r="D62" i="10"/>
  <c r="H59" i="2"/>
  <c r="J59" i="2"/>
  <c r="K59" i="2" s="1"/>
  <c r="F60" i="2"/>
  <c r="G60" i="2"/>
  <c r="B60" i="2"/>
  <c r="E60" i="2"/>
  <c r="C61" i="2"/>
  <c r="D60" i="2"/>
  <c r="L56" i="2"/>
  <c r="M56" i="2" s="1"/>
  <c r="F34" i="8"/>
  <c r="H34" i="8" s="1"/>
  <c r="D35" i="8" s="1"/>
  <c r="B57" i="8"/>
  <c r="C58" i="8"/>
  <c r="T63" i="10" l="1"/>
  <c r="M63" i="10"/>
  <c r="P60" i="10"/>
  <c r="Q60" i="10" s="1"/>
  <c r="N60" i="10"/>
  <c r="O60" i="10" s="1"/>
  <c r="S59" i="10"/>
  <c r="U59" i="10" s="1"/>
  <c r="I59" i="2"/>
  <c r="N58" i="2"/>
  <c r="O58" i="2" s="1"/>
  <c r="K61" i="10"/>
  <c r="J62" i="10"/>
  <c r="L62" i="10" s="1"/>
  <c r="G63" i="10"/>
  <c r="B63" i="10"/>
  <c r="F63" i="10"/>
  <c r="C64" i="10"/>
  <c r="M64" i="10" s="1"/>
  <c r="I63" i="10"/>
  <c r="E63" i="10"/>
  <c r="D63" i="10"/>
  <c r="H60" i="2"/>
  <c r="G61" i="2"/>
  <c r="J60" i="2"/>
  <c r="K60" i="2" s="1"/>
  <c r="F61" i="2"/>
  <c r="E61" i="2"/>
  <c r="D61" i="2"/>
  <c r="C62" i="2"/>
  <c r="B61" i="2"/>
  <c r="L57" i="2"/>
  <c r="M57" i="2" s="1"/>
  <c r="G35" i="8"/>
  <c r="F35" i="8" s="1"/>
  <c r="C59" i="8"/>
  <c r="B58" i="8"/>
  <c r="P61" i="10" l="1"/>
  <c r="Q61" i="10" s="1"/>
  <c r="N61" i="10"/>
  <c r="O61" i="10" s="1"/>
  <c r="S60" i="10"/>
  <c r="U60" i="10" s="1"/>
  <c r="I60" i="2"/>
  <c r="N59" i="2"/>
  <c r="O59" i="2" s="1"/>
  <c r="J63" i="10"/>
  <c r="L63" i="10" s="1"/>
  <c r="K62" i="10"/>
  <c r="D64" i="10"/>
  <c r="C65" i="10"/>
  <c r="T64" i="10"/>
  <c r="F64" i="10"/>
  <c r="I64" i="10"/>
  <c r="G64" i="10"/>
  <c r="E64" i="10"/>
  <c r="B64" i="10"/>
  <c r="H61" i="2"/>
  <c r="J61" i="2"/>
  <c r="K61" i="2" s="1"/>
  <c r="C63" i="2"/>
  <c r="E62" i="2"/>
  <c r="D62" i="2"/>
  <c r="B62" i="2"/>
  <c r="F62" i="2"/>
  <c r="G62" i="2"/>
  <c r="L58" i="2"/>
  <c r="M58" i="2" s="1"/>
  <c r="E35" i="8"/>
  <c r="H35" i="8" s="1"/>
  <c r="D36" i="8" s="1"/>
  <c r="C60" i="8"/>
  <c r="B59" i="8"/>
  <c r="I65" i="10" l="1"/>
  <c r="M65" i="10"/>
  <c r="P62" i="10"/>
  <c r="Q62" i="10" s="1"/>
  <c r="N62" i="10"/>
  <c r="O62" i="10" s="1"/>
  <c r="S61" i="10"/>
  <c r="U61" i="10" s="1"/>
  <c r="I61" i="2"/>
  <c r="N60" i="2"/>
  <c r="O60" i="2" s="1"/>
  <c r="J64" i="10"/>
  <c r="L64" i="10" s="1"/>
  <c r="K63" i="10"/>
  <c r="T65" i="10"/>
  <c r="B65" i="10"/>
  <c r="D65" i="10"/>
  <c r="C66" i="10"/>
  <c r="M66" i="10" s="1"/>
  <c r="F65" i="10"/>
  <c r="E65" i="10"/>
  <c r="G65" i="10"/>
  <c r="H62" i="2"/>
  <c r="G63" i="2"/>
  <c r="E63" i="2"/>
  <c r="F63" i="2"/>
  <c r="J62" i="2"/>
  <c r="K62" i="2" s="1"/>
  <c r="B63" i="2"/>
  <c r="C64" i="2"/>
  <c r="D63" i="2"/>
  <c r="L59" i="2"/>
  <c r="M59" i="2" s="1"/>
  <c r="G36" i="8"/>
  <c r="E36" i="8" s="1"/>
  <c r="B60" i="8"/>
  <c r="C61" i="8"/>
  <c r="P63" i="10" l="1"/>
  <c r="Q63" i="10" s="1"/>
  <c r="N63" i="10"/>
  <c r="O63" i="10" s="1"/>
  <c r="S62" i="10"/>
  <c r="U62" i="10" s="1"/>
  <c r="I62" i="2"/>
  <c r="N61" i="2"/>
  <c r="O61" i="2" s="1"/>
  <c r="K64" i="10"/>
  <c r="H63" i="2"/>
  <c r="J65" i="10"/>
  <c r="L65" i="10" s="1"/>
  <c r="T66" i="10"/>
  <c r="F66" i="10"/>
  <c r="D66" i="10"/>
  <c r="E66" i="10"/>
  <c r="C67" i="10"/>
  <c r="M67" i="10" s="1"/>
  <c r="I66" i="10"/>
  <c r="B66" i="10"/>
  <c r="G66" i="10"/>
  <c r="J63" i="2"/>
  <c r="K63" i="2" s="1"/>
  <c r="C65" i="2"/>
  <c r="D64" i="2"/>
  <c r="E64" i="2"/>
  <c r="G64" i="2"/>
  <c r="B64" i="2"/>
  <c r="F64" i="2"/>
  <c r="L60" i="2"/>
  <c r="M60" i="2" s="1"/>
  <c r="F36" i="8"/>
  <c r="H36" i="8" s="1"/>
  <c r="D37" i="8" s="1"/>
  <c r="B61" i="8"/>
  <c r="C62" i="8"/>
  <c r="P64" i="10" l="1"/>
  <c r="Q64" i="10" s="1"/>
  <c r="N64" i="10"/>
  <c r="O64" i="10" s="1"/>
  <c r="S63" i="10"/>
  <c r="U63" i="10" s="1"/>
  <c r="I63" i="2"/>
  <c r="N62" i="2"/>
  <c r="O62" i="2" s="1"/>
  <c r="K65" i="10"/>
  <c r="J66" i="10"/>
  <c r="K66" i="10" s="1"/>
  <c r="B67" i="10"/>
  <c r="G67" i="10"/>
  <c r="C68" i="10"/>
  <c r="M68" i="10" s="1"/>
  <c r="I67" i="10"/>
  <c r="E67" i="10"/>
  <c r="D67" i="10"/>
  <c r="F67" i="10"/>
  <c r="T67" i="10"/>
  <c r="H64" i="2"/>
  <c r="B65" i="2"/>
  <c r="J64" i="2"/>
  <c r="K64" i="2" s="1"/>
  <c r="F65" i="2"/>
  <c r="E65" i="2"/>
  <c r="C66" i="2"/>
  <c r="D65" i="2"/>
  <c r="G65" i="2"/>
  <c r="L61" i="2"/>
  <c r="M61" i="2" s="1"/>
  <c r="G37" i="8"/>
  <c r="F37" i="8" s="1"/>
  <c r="C63" i="8"/>
  <c r="B62" i="8"/>
  <c r="S64" i="10" l="1"/>
  <c r="U64" i="10" s="1"/>
  <c r="I64" i="2"/>
  <c r="N63" i="2"/>
  <c r="O63" i="2" s="1"/>
  <c r="L66" i="10"/>
  <c r="J67" i="10"/>
  <c r="L67" i="10" s="1"/>
  <c r="T68" i="10"/>
  <c r="B68" i="10"/>
  <c r="D68" i="10"/>
  <c r="E68" i="10"/>
  <c r="I68" i="10"/>
  <c r="G68" i="10"/>
  <c r="F68" i="10"/>
  <c r="C69" i="10"/>
  <c r="M69" i="10" s="1"/>
  <c r="H65" i="2"/>
  <c r="J65" i="2"/>
  <c r="K65" i="2" s="1"/>
  <c r="E66" i="2"/>
  <c r="G66" i="2"/>
  <c r="B66" i="2"/>
  <c r="C67" i="2"/>
  <c r="D66" i="2"/>
  <c r="F66" i="2"/>
  <c r="L62" i="2"/>
  <c r="M62" i="2" s="1"/>
  <c r="E37" i="8"/>
  <c r="H37" i="8" s="1"/>
  <c r="D38" i="8" s="1"/>
  <c r="C64" i="8"/>
  <c r="B63" i="8"/>
  <c r="P65" i="10" l="1"/>
  <c r="Q65" i="10" s="1"/>
  <c r="N65" i="10"/>
  <c r="O65" i="10" s="1"/>
  <c r="S65" i="10"/>
  <c r="U65" i="10" s="1"/>
  <c r="I65" i="2"/>
  <c r="N64" i="2"/>
  <c r="O64" i="2" s="1"/>
  <c r="K67" i="10"/>
  <c r="P66" i="10"/>
  <c r="Q66" i="10" s="1"/>
  <c r="J68" i="10"/>
  <c r="L68" i="10" s="1"/>
  <c r="H66" i="2"/>
  <c r="G69" i="10"/>
  <c r="D69" i="10"/>
  <c r="B69" i="10"/>
  <c r="C70" i="10"/>
  <c r="I69" i="10"/>
  <c r="F69" i="10"/>
  <c r="E69" i="10"/>
  <c r="T69" i="10"/>
  <c r="N66" i="10"/>
  <c r="O66" i="10" s="1"/>
  <c r="J66" i="2"/>
  <c r="K66" i="2" s="1"/>
  <c r="E67" i="2"/>
  <c r="F67" i="2"/>
  <c r="B67" i="2"/>
  <c r="C68" i="2"/>
  <c r="D67" i="2"/>
  <c r="G67" i="2"/>
  <c r="L63" i="2"/>
  <c r="M63" i="2" s="1"/>
  <c r="G38" i="8"/>
  <c r="F38" i="8" s="1"/>
  <c r="B64" i="8"/>
  <c r="C65" i="8"/>
  <c r="I70" i="10" l="1"/>
  <c r="M70" i="10"/>
  <c r="P67" i="10"/>
  <c r="Q67" i="10" s="1"/>
  <c r="N67" i="10"/>
  <c r="O67" i="10" s="1"/>
  <c r="S66" i="10"/>
  <c r="U66" i="10" s="1"/>
  <c r="I66" i="2"/>
  <c r="N65" i="2"/>
  <c r="O65" i="2" s="1"/>
  <c r="K68" i="10"/>
  <c r="J69" i="10"/>
  <c r="L69" i="10" s="1"/>
  <c r="B70" i="10"/>
  <c r="F70" i="10"/>
  <c r="C71" i="10"/>
  <c r="G70" i="10"/>
  <c r="T70" i="10"/>
  <c r="E70" i="10"/>
  <c r="D70" i="10"/>
  <c r="H67" i="2"/>
  <c r="J67" i="2"/>
  <c r="K67" i="2" s="1"/>
  <c r="B68" i="2"/>
  <c r="G68" i="2"/>
  <c r="F68" i="2"/>
  <c r="C69" i="2"/>
  <c r="D68" i="2"/>
  <c r="E68" i="2"/>
  <c r="L64" i="2"/>
  <c r="M64" i="2" s="1"/>
  <c r="E38" i="8"/>
  <c r="H38" i="8" s="1"/>
  <c r="D39" i="8" s="1"/>
  <c r="B65" i="8"/>
  <c r="C66" i="8"/>
  <c r="T71" i="10" l="1"/>
  <c r="M71" i="10"/>
  <c r="P68" i="10"/>
  <c r="Q68" i="10" s="1"/>
  <c r="N68" i="10"/>
  <c r="O68" i="10" s="1"/>
  <c r="S67" i="10"/>
  <c r="U67" i="10" s="1"/>
  <c r="I67" i="2"/>
  <c r="N66" i="2"/>
  <c r="O66" i="2" s="1"/>
  <c r="K69" i="10"/>
  <c r="J70" i="10"/>
  <c r="L70" i="10" s="1"/>
  <c r="F71" i="10"/>
  <c r="E71" i="10"/>
  <c r="B71" i="10"/>
  <c r="D71" i="10"/>
  <c r="I71" i="10"/>
  <c r="C72" i="10"/>
  <c r="M72" i="10" s="1"/>
  <c r="G71" i="10"/>
  <c r="H68" i="2"/>
  <c r="J68" i="2"/>
  <c r="K68" i="2" s="1"/>
  <c r="E69" i="2"/>
  <c r="C70" i="2"/>
  <c r="D69" i="2"/>
  <c r="G69" i="2"/>
  <c r="F69" i="2"/>
  <c r="B69" i="2"/>
  <c r="L65" i="2"/>
  <c r="M65" i="2" s="1"/>
  <c r="G39" i="8"/>
  <c r="E39" i="8" s="1"/>
  <c r="C67" i="8"/>
  <c r="B66" i="8"/>
  <c r="P69" i="10" l="1"/>
  <c r="Q69" i="10" s="1"/>
  <c r="S68" i="10"/>
  <c r="U68" i="10" s="1"/>
  <c r="I68" i="2"/>
  <c r="N67" i="2"/>
  <c r="O67" i="2" s="1"/>
  <c r="K70" i="10"/>
  <c r="J71" i="10"/>
  <c r="L71" i="10" s="1"/>
  <c r="F72" i="10"/>
  <c r="D72" i="10"/>
  <c r="E72" i="10"/>
  <c r="C73" i="10"/>
  <c r="M73" i="10" s="1"/>
  <c r="I72" i="10"/>
  <c r="G72" i="10"/>
  <c r="B72" i="10"/>
  <c r="T72" i="10"/>
  <c r="H69" i="2"/>
  <c r="N69" i="10"/>
  <c r="O69" i="10" s="1"/>
  <c r="J69" i="2"/>
  <c r="K69" i="2" s="1"/>
  <c r="F70" i="2"/>
  <c r="G70" i="2"/>
  <c r="C71" i="2"/>
  <c r="D70" i="2"/>
  <c r="B70" i="2"/>
  <c r="E70" i="2"/>
  <c r="L66" i="2"/>
  <c r="M66" i="2" s="1"/>
  <c r="F39" i="8"/>
  <c r="H39" i="8" s="1"/>
  <c r="D40" i="8" s="1"/>
  <c r="C68" i="8"/>
  <c r="B67" i="8"/>
  <c r="P70" i="10" l="1"/>
  <c r="Q70" i="10" s="1"/>
  <c r="N70" i="10"/>
  <c r="O70" i="10" s="1"/>
  <c r="S69" i="10"/>
  <c r="U69" i="10" s="1"/>
  <c r="I69" i="2"/>
  <c r="N68" i="2"/>
  <c r="O68" i="2" s="1"/>
  <c r="B73" i="10"/>
  <c r="D73" i="10"/>
  <c r="K71" i="10"/>
  <c r="J72" i="10"/>
  <c r="L72" i="10" s="1"/>
  <c r="C74" i="10"/>
  <c r="F73" i="10"/>
  <c r="E73" i="10"/>
  <c r="I73" i="10"/>
  <c r="T73" i="10"/>
  <c r="G73" i="10"/>
  <c r="H70" i="2"/>
  <c r="E71" i="2"/>
  <c r="J70" i="2"/>
  <c r="K70" i="2" s="1"/>
  <c r="B71" i="2"/>
  <c r="C72" i="2"/>
  <c r="D71" i="2"/>
  <c r="F71" i="2"/>
  <c r="G71" i="2"/>
  <c r="L67" i="2"/>
  <c r="M67" i="2" s="1"/>
  <c r="G40" i="8"/>
  <c r="F40" i="8" s="1"/>
  <c r="B68" i="8"/>
  <c r="C69" i="8"/>
  <c r="I74" i="10" l="1"/>
  <c r="M74" i="10"/>
  <c r="P71" i="10"/>
  <c r="Q71" i="10" s="1"/>
  <c r="N71" i="10"/>
  <c r="O71" i="10" s="1"/>
  <c r="S70" i="10"/>
  <c r="U70" i="10" s="1"/>
  <c r="I70" i="2"/>
  <c r="N69" i="2"/>
  <c r="O69" i="2" s="1"/>
  <c r="B74" i="10"/>
  <c r="T74" i="10"/>
  <c r="K72" i="10"/>
  <c r="C75" i="10"/>
  <c r="M75" i="10" s="1"/>
  <c r="J73" i="10"/>
  <c r="K73" i="10" s="1"/>
  <c r="G74" i="10"/>
  <c r="F74" i="10"/>
  <c r="E74" i="10"/>
  <c r="D74" i="10"/>
  <c r="H71" i="2"/>
  <c r="J71" i="2"/>
  <c r="K71" i="2" s="1"/>
  <c r="E72" i="2"/>
  <c r="G72" i="2"/>
  <c r="C73" i="2"/>
  <c r="D72" i="2"/>
  <c r="F72" i="2"/>
  <c r="B72" i="2"/>
  <c r="L68" i="2"/>
  <c r="M68" i="2" s="1"/>
  <c r="E40" i="8"/>
  <c r="H40" i="8" s="1"/>
  <c r="D41" i="8" s="1"/>
  <c r="B69" i="8"/>
  <c r="C70" i="8"/>
  <c r="S71" i="10" l="1"/>
  <c r="U71" i="10" s="1"/>
  <c r="I71" i="2"/>
  <c r="N70" i="2"/>
  <c r="O70" i="2" s="1"/>
  <c r="B75" i="10"/>
  <c r="J74" i="10"/>
  <c r="K74" i="10" s="1"/>
  <c r="E75" i="10"/>
  <c r="L73" i="10"/>
  <c r="T75" i="10"/>
  <c r="F75" i="10"/>
  <c r="D75" i="10"/>
  <c r="C76" i="10"/>
  <c r="M76" i="10" s="1"/>
  <c r="G75" i="10"/>
  <c r="I75" i="10"/>
  <c r="H72" i="2"/>
  <c r="J72" i="2"/>
  <c r="K72" i="2" s="1"/>
  <c r="G73" i="2"/>
  <c r="B73" i="2"/>
  <c r="C74" i="2"/>
  <c r="D73" i="2"/>
  <c r="F73" i="2"/>
  <c r="E73" i="2"/>
  <c r="L69" i="2"/>
  <c r="M69" i="2" s="1"/>
  <c r="G41" i="8"/>
  <c r="E41" i="8" s="1"/>
  <c r="C71" i="8"/>
  <c r="B70" i="8"/>
  <c r="P72" i="10" l="1"/>
  <c r="Q72" i="10" s="1"/>
  <c r="N72" i="10"/>
  <c r="O72" i="10" s="1"/>
  <c r="B76" i="10"/>
  <c r="S72" i="10"/>
  <c r="U72" i="10" s="1"/>
  <c r="I72" i="2"/>
  <c r="N71" i="2"/>
  <c r="O71" i="2" s="1"/>
  <c r="T76" i="10"/>
  <c r="L74" i="10"/>
  <c r="G76" i="10"/>
  <c r="I76" i="10"/>
  <c r="D76" i="10"/>
  <c r="C77" i="10"/>
  <c r="E76" i="10"/>
  <c r="F76" i="10"/>
  <c r="J75" i="10"/>
  <c r="K75" i="10" s="1"/>
  <c r="H73" i="2"/>
  <c r="J73" i="2"/>
  <c r="K73" i="2" s="1"/>
  <c r="E74" i="2"/>
  <c r="F74" i="2"/>
  <c r="C75" i="2"/>
  <c r="D74" i="2"/>
  <c r="B74" i="2"/>
  <c r="G74" i="2"/>
  <c r="L70" i="2"/>
  <c r="M70" i="2" s="1"/>
  <c r="F41" i="8"/>
  <c r="H41" i="8" s="1"/>
  <c r="D42" i="8" s="1"/>
  <c r="C72" i="8"/>
  <c r="B71" i="8"/>
  <c r="T77" i="10" l="1"/>
  <c r="M77" i="10"/>
  <c r="P73" i="10"/>
  <c r="Q73" i="10" s="1"/>
  <c r="N73" i="10"/>
  <c r="O73" i="10" s="1"/>
  <c r="S73" i="10"/>
  <c r="U73" i="10" s="1"/>
  <c r="I73" i="2"/>
  <c r="N72" i="2"/>
  <c r="O72" i="2" s="1"/>
  <c r="D77" i="10"/>
  <c r="I77" i="10"/>
  <c r="B77" i="10"/>
  <c r="C78" i="10"/>
  <c r="F77" i="10"/>
  <c r="E77" i="10"/>
  <c r="J76" i="10"/>
  <c r="K76" i="10" s="1"/>
  <c r="G77" i="10"/>
  <c r="L75" i="10"/>
  <c r="H74" i="2"/>
  <c r="J74" i="2"/>
  <c r="K74" i="2" s="1"/>
  <c r="G75" i="2"/>
  <c r="F75" i="2"/>
  <c r="B75" i="2"/>
  <c r="C76" i="2"/>
  <c r="D75" i="2"/>
  <c r="E75" i="2"/>
  <c r="L71" i="2"/>
  <c r="M71" i="2" s="1"/>
  <c r="G42" i="8"/>
  <c r="E42" i="8" s="1"/>
  <c r="B72" i="8"/>
  <c r="C73" i="8"/>
  <c r="C79" i="10" l="1"/>
  <c r="M79" i="10" s="1"/>
  <c r="M78" i="10"/>
  <c r="P74" i="10"/>
  <c r="Q74" i="10" s="1"/>
  <c r="N74" i="10"/>
  <c r="O74" i="10" s="1"/>
  <c r="S74" i="10"/>
  <c r="U74" i="10" s="1"/>
  <c r="I74" i="2"/>
  <c r="N73" i="2"/>
  <c r="O73" i="2" s="1"/>
  <c r="I78" i="10"/>
  <c r="F78" i="10"/>
  <c r="G78" i="10"/>
  <c r="D78" i="10"/>
  <c r="T78" i="10"/>
  <c r="J77" i="10"/>
  <c r="K77" i="10" s="1"/>
  <c r="B78" i="10"/>
  <c r="L76" i="10"/>
  <c r="E78" i="10"/>
  <c r="T79" i="10"/>
  <c r="H75" i="2"/>
  <c r="J75" i="2"/>
  <c r="K75" i="2" s="1"/>
  <c r="B76" i="2"/>
  <c r="G76" i="2"/>
  <c r="E76" i="2"/>
  <c r="C77" i="2"/>
  <c r="D76" i="2"/>
  <c r="F76" i="2"/>
  <c r="L72" i="2"/>
  <c r="M72" i="2" s="1"/>
  <c r="F42" i="8"/>
  <c r="H42" i="8" s="1"/>
  <c r="D43" i="8" s="1"/>
  <c r="B73" i="8"/>
  <c r="C74" i="8"/>
  <c r="F79" i="10" l="1"/>
  <c r="C80" i="10"/>
  <c r="M80" i="10" s="1"/>
  <c r="D79" i="10"/>
  <c r="I79" i="10"/>
  <c r="B79" i="10"/>
  <c r="G79" i="10"/>
  <c r="P75" i="10"/>
  <c r="Q75" i="10" s="1"/>
  <c r="N75" i="10"/>
  <c r="O75" i="10" s="1"/>
  <c r="S75" i="10"/>
  <c r="U75" i="10" s="1"/>
  <c r="I75" i="2"/>
  <c r="N74" i="2"/>
  <c r="O74" i="2" s="1"/>
  <c r="J78" i="10"/>
  <c r="K78" i="10" s="1"/>
  <c r="L77" i="10"/>
  <c r="J79" i="10"/>
  <c r="E79" i="10"/>
  <c r="H76" i="2"/>
  <c r="J76" i="2"/>
  <c r="K76" i="2" s="1"/>
  <c r="E77" i="2"/>
  <c r="F77" i="2"/>
  <c r="G77" i="2"/>
  <c r="C78" i="2"/>
  <c r="D77" i="2"/>
  <c r="B77" i="2"/>
  <c r="L73" i="2"/>
  <c r="M73" i="2" s="1"/>
  <c r="G43" i="8"/>
  <c r="F43" i="8" s="1"/>
  <c r="C75" i="8"/>
  <c r="B74" i="8"/>
  <c r="B80" i="10" l="1"/>
  <c r="I80" i="10"/>
  <c r="D80" i="10"/>
  <c r="C81" i="10"/>
  <c r="M81" i="10" s="1"/>
  <c r="T80" i="10"/>
  <c r="G80" i="10"/>
  <c r="F80" i="10"/>
  <c r="E80" i="10"/>
  <c r="P76" i="10"/>
  <c r="Q76" i="10" s="1"/>
  <c r="N76" i="10"/>
  <c r="O76" i="10" s="1"/>
  <c r="S76" i="10"/>
  <c r="U76" i="10" s="1"/>
  <c r="I76" i="2"/>
  <c r="N75" i="2"/>
  <c r="O75" i="2" s="1"/>
  <c r="L78" i="10"/>
  <c r="L79" i="10"/>
  <c r="K79" i="10"/>
  <c r="J80" i="10"/>
  <c r="L80" i="10" s="1"/>
  <c r="H77" i="2"/>
  <c r="J77" i="2"/>
  <c r="K77" i="2" s="1"/>
  <c r="G78" i="2"/>
  <c r="B78" i="2"/>
  <c r="C79" i="2"/>
  <c r="D78" i="2"/>
  <c r="F78" i="2"/>
  <c r="E78" i="2"/>
  <c r="L74" i="2"/>
  <c r="M74" i="2" s="1"/>
  <c r="E43" i="8"/>
  <c r="H43" i="8" s="1"/>
  <c r="D44" i="8" s="1"/>
  <c r="C76" i="8"/>
  <c r="B75" i="8"/>
  <c r="F81" i="10" l="1"/>
  <c r="E81" i="10"/>
  <c r="G81" i="10"/>
  <c r="D81" i="10"/>
  <c r="I81" i="10"/>
  <c r="B81" i="10"/>
  <c r="C82" i="10"/>
  <c r="M82" i="10" s="1"/>
  <c r="T81" i="10"/>
  <c r="P77" i="10"/>
  <c r="Q77" i="10" s="1"/>
  <c r="N77" i="10"/>
  <c r="O77" i="10" s="1"/>
  <c r="S77" i="10"/>
  <c r="U77" i="10" s="1"/>
  <c r="I77" i="2"/>
  <c r="N76" i="2"/>
  <c r="O76" i="2" s="1"/>
  <c r="P78" i="10"/>
  <c r="Q78" i="10" s="1"/>
  <c r="P79" i="10"/>
  <c r="Q79" i="10" s="1"/>
  <c r="K80" i="10"/>
  <c r="J81" i="10"/>
  <c r="L81" i="10" s="1"/>
  <c r="H78" i="2"/>
  <c r="N78" i="10"/>
  <c r="O78" i="10" s="1"/>
  <c r="J78" i="2"/>
  <c r="K78" i="2" s="1"/>
  <c r="B79" i="2"/>
  <c r="E79" i="2"/>
  <c r="F79" i="2"/>
  <c r="D79" i="2"/>
  <c r="C80" i="2"/>
  <c r="G79" i="2"/>
  <c r="L75" i="2"/>
  <c r="M75" i="2" s="1"/>
  <c r="G44" i="8"/>
  <c r="E44" i="8" s="1"/>
  <c r="B76" i="8"/>
  <c r="C77" i="8"/>
  <c r="G82" i="10" l="1"/>
  <c r="I82" i="10"/>
  <c r="F82" i="10"/>
  <c r="E82" i="10"/>
  <c r="D82" i="10"/>
  <c r="T82" i="10"/>
  <c r="B82" i="10"/>
  <c r="C83" i="10"/>
  <c r="M83" i="10" s="1"/>
  <c r="P80" i="10"/>
  <c r="Q80" i="10" s="1"/>
  <c r="S78" i="10"/>
  <c r="U78" i="10" s="1"/>
  <c r="I78" i="2"/>
  <c r="N77" i="2"/>
  <c r="O77" i="2" s="1"/>
  <c r="J82" i="10"/>
  <c r="L82" i="10" s="1"/>
  <c r="K81" i="10"/>
  <c r="H79" i="2"/>
  <c r="N79" i="10"/>
  <c r="O79" i="10" s="1"/>
  <c r="J79" i="2"/>
  <c r="K79" i="2" s="1"/>
  <c r="B80" i="2"/>
  <c r="F80" i="2"/>
  <c r="C81" i="2"/>
  <c r="D80" i="2"/>
  <c r="G80" i="2"/>
  <c r="E80" i="2"/>
  <c r="L76" i="2"/>
  <c r="M76" i="2" s="1"/>
  <c r="F44" i="8"/>
  <c r="H44" i="8" s="1"/>
  <c r="D45" i="8" s="1"/>
  <c r="B77" i="8"/>
  <c r="C78" i="8"/>
  <c r="F83" i="10" l="1"/>
  <c r="D83" i="10"/>
  <c r="B83" i="10"/>
  <c r="I83" i="10"/>
  <c r="C84" i="10"/>
  <c r="M84" i="10" s="1"/>
  <c r="G83" i="10"/>
  <c r="T83" i="10"/>
  <c r="E83" i="10"/>
  <c r="P81" i="10"/>
  <c r="Q81" i="10" s="1"/>
  <c r="S79" i="10"/>
  <c r="U79" i="10" s="1"/>
  <c r="I79" i="2"/>
  <c r="N78" i="2"/>
  <c r="O78" i="2" s="1"/>
  <c r="K82" i="10"/>
  <c r="J83" i="10"/>
  <c r="L83" i="10" s="1"/>
  <c r="H80" i="2"/>
  <c r="N80" i="10"/>
  <c r="O80" i="10" s="1"/>
  <c r="J80" i="2"/>
  <c r="K80" i="2" s="1"/>
  <c r="E81" i="2"/>
  <c r="C82" i="2"/>
  <c r="D81" i="2"/>
  <c r="G81" i="2"/>
  <c r="F81" i="2"/>
  <c r="B81" i="2"/>
  <c r="L77" i="2"/>
  <c r="M77" i="2" s="1"/>
  <c r="G45" i="8"/>
  <c r="F45" i="8" s="1"/>
  <c r="C79" i="8"/>
  <c r="B78" i="8"/>
  <c r="D84" i="10" l="1"/>
  <c r="F84" i="10"/>
  <c r="G84" i="10"/>
  <c r="I84" i="10"/>
  <c r="E84" i="10"/>
  <c r="B84" i="10"/>
  <c r="T84" i="10"/>
  <c r="P82" i="10"/>
  <c r="Q82" i="10" s="1"/>
  <c r="S80" i="10"/>
  <c r="U80" i="10" s="1"/>
  <c r="I80" i="2"/>
  <c r="N79" i="2"/>
  <c r="O79" i="2" s="1"/>
  <c r="K83" i="10"/>
  <c r="J84" i="10"/>
  <c r="L84" i="10" s="1"/>
  <c r="H81" i="2"/>
  <c r="N81" i="10"/>
  <c r="O81" i="10" s="1"/>
  <c r="F82" i="2"/>
  <c r="J81" i="2"/>
  <c r="K81" i="2" s="1"/>
  <c r="B82" i="2"/>
  <c r="C83" i="2"/>
  <c r="D82" i="2"/>
  <c r="G82" i="2"/>
  <c r="E82" i="2"/>
  <c r="L78" i="2"/>
  <c r="M78" i="2" s="1"/>
  <c r="E45" i="8"/>
  <c r="H45" i="8" s="1"/>
  <c r="D46" i="8" s="1"/>
  <c r="C80" i="8"/>
  <c r="B79" i="8"/>
  <c r="P83" i="10" l="1"/>
  <c r="Q83" i="10" s="1"/>
  <c r="S81" i="10"/>
  <c r="U81" i="10" s="1"/>
  <c r="I81" i="2"/>
  <c r="N80" i="2"/>
  <c r="O80" i="2" s="1"/>
  <c r="H82" i="2"/>
  <c r="Q84" i="10"/>
  <c r="N82" i="10"/>
  <c r="O82" i="10" s="1"/>
  <c r="B83" i="2"/>
  <c r="J82" i="2"/>
  <c r="K82" i="2" s="1"/>
  <c r="G83" i="2"/>
  <c r="C84" i="2"/>
  <c r="D83" i="2"/>
  <c r="E83" i="2"/>
  <c r="F83" i="2"/>
  <c r="L79" i="2"/>
  <c r="M79" i="2" s="1"/>
  <c r="G46" i="8"/>
  <c r="E46" i="8" s="1"/>
  <c r="B80" i="8"/>
  <c r="C81" i="8"/>
  <c r="S82" i="10" l="1"/>
  <c r="U82" i="10" s="1"/>
  <c r="I82" i="2"/>
  <c r="Q13" i="10"/>
  <c r="G7" i="10" s="1"/>
  <c r="N81" i="2"/>
  <c r="O81" i="2" s="1"/>
  <c r="H83" i="2"/>
  <c r="N83" i="10"/>
  <c r="O83" i="10" s="1"/>
  <c r="N84" i="10"/>
  <c r="O84" i="10" s="1"/>
  <c r="J83" i="2"/>
  <c r="K83" i="2" s="1"/>
  <c r="F84" i="2"/>
  <c r="B84" i="2"/>
  <c r="E84" i="2"/>
  <c r="G84" i="2"/>
  <c r="D84" i="2"/>
  <c r="L80" i="2"/>
  <c r="M80" i="2" s="1"/>
  <c r="F46" i="8"/>
  <c r="H46" i="8" s="1"/>
  <c r="D47" i="8" s="1"/>
  <c r="B81" i="8"/>
  <c r="S83" i="10" l="1"/>
  <c r="U83" i="10" s="1"/>
  <c r="I83" i="2"/>
  <c r="N82" i="2"/>
  <c r="O82" i="2" s="1"/>
  <c r="H84" i="2"/>
  <c r="S84" i="10" s="1"/>
  <c r="U84" i="10" s="1"/>
  <c r="J84" i="2"/>
  <c r="K84" i="2" s="1"/>
  <c r="L81" i="2"/>
  <c r="M81" i="2" s="1"/>
  <c r="G47" i="8"/>
  <c r="F47" i="8" s="1"/>
  <c r="U13" i="10" l="1"/>
  <c r="N83" i="2"/>
  <c r="O83" i="2" s="1"/>
  <c r="O84" i="2"/>
  <c r="L82" i="2"/>
  <c r="M82" i="2" s="1"/>
  <c r="E47" i="8"/>
  <c r="H47" i="8" s="1"/>
  <c r="D48" i="8" s="1"/>
  <c r="O13" i="2" l="1"/>
  <c r="G7" i="2" s="1"/>
  <c r="L83" i="2"/>
  <c r="M83" i="2" s="1"/>
  <c r="L84" i="2"/>
  <c r="M84" i="2" s="1"/>
  <c r="G48" i="8"/>
  <c r="F48" i="8" s="1"/>
  <c r="E48" i="8" l="1"/>
  <c r="H48" i="8" s="1"/>
  <c r="D49" i="8" s="1"/>
  <c r="G49" i="8" l="1"/>
  <c r="F49" i="8" s="1"/>
  <c r="E49" i="8" l="1"/>
  <c r="H49" i="8" s="1"/>
  <c r="D50" i="8" s="1"/>
  <c r="G50" i="8" l="1"/>
  <c r="E50" i="8" s="1"/>
  <c r="F50" i="8" l="1"/>
  <c r="H50" i="8" s="1"/>
  <c r="D51" i="8" s="1"/>
  <c r="G51" i="8" l="1"/>
  <c r="E51" i="8" s="1"/>
  <c r="F51" i="8" l="1"/>
  <c r="H51" i="8" s="1"/>
  <c r="D52" i="8" s="1"/>
  <c r="G52" i="8" l="1"/>
  <c r="F52" i="8" s="1"/>
  <c r="E52" i="8" l="1"/>
  <c r="H52" i="8" s="1"/>
  <c r="D53" i="8" s="1"/>
  <c r="G53" i="8" s="1"/>
  <c r="E53" i="8" s="1"/>
  <c r="F53" i="8" l="1"/>
  <c r="H53" i="8" s="1"/>
  <c r="D54" i="8" s="1"/>
  <c r="G54" i="8" l="1"/>
  <c r="F54" i="8" s="1"/>
  <c r="E54" i="8" l="1"/>
  <c r="H54" i="8" s="1"/>
  <c r="D55" i="8" s="1"/>
  <c r="G55" i="8" l="1"/>
  <c r="F55" i="8" s="1"/>
  <c r="E55" i="8" l="1"/>
  <c r="H55" i="8" s="1"/>
  <c r="D56" i="8" s="1"/>
  <c r="G56" i="8" l="1"/>
  <c r="E56" i="8" s="1"/>
  <c r="F56" i="8" l="1"/>
  <c r="H56" i="8" s="1"/>
  <c r="D57" i="8" s="1"/>
  <c r="G57" i="8" l="1"/>
  <c r="E57" i="8" s="1"/>
  <c r="F57" i="8" l="1"/>
  <c r="H57" i="8" s="1"/>
  <c r="D58" i="8" s="1"/>
  <c r="G58" i="8" l="1"/>
  <c r="E58" i="8" s="1"/>
  <c r="F58" i="8" l="1"/>
  <c r="H58" i="8" s="1"/>
  <c r="D59" i="8" s="1"/>
  <c r="G59" i="8" l="1"/>
  <c r="E59" i="8" s="1"/>
  <c r="F59" i="8" l="1"/>
  <c r="H59" i="8" s="1"/>
  <c r="D60" i="8" s="1"/>
  <c r="G60" i="8" l="1"/>
  <c r="E60" i="8" s="1"/>
  <c r="F60" i="8" l="1"/>
  <c r="H60" i="8" s="1"/>
  <c r="D61" i="8" s="1"/>
  <c r="G61" i="8" l="1"/>
  <c r="E61" i="8" s="1"/>
  <c r="F61" i="8" l="1"/>
  <c r="H61" i="8" s="1"/>
  <c r="D62" i="8" s="1"/>
  <c r="G62" i="8" l="1"/>
  <c r="E62" i="8" s="1"/>
  <c r="F62" i="8" l="1"/>
  <c r="H62" i="8" s="1"/>
  <c r="D63" i="8" s="1"/>
  <c r="G63" i="8" l="1"/>
  <c r="E63" i="8" s="1"/>
  <c r="F63" i="8" l="1"/>
  <c r="H63" i="8" s="1"/>
  <c r="D64" i="8" s="1"/>
  <c r="G64" i="8" l="1"/>
  <c r="E64" i="8" s="1"/>
  <c r="F64" i="8" l="1"/>
  <c r="H64" i="8" s="1"/>
  <c r="D65" i="8" s="1"/>
  <c r="G65" i="8" l="1"/>
  <c r="F65" i="8" s="1"/>
  <c r="E65" i="8" l="1"/>
  <c r="H65" i="8" s="1"/>
  <c r="D66" i="8" s="1"/>
  <c r="G66" i="8" l="1"/>
  <c r="E66" i="8" s="1"/>
  <c r="F66" i="8" l="1"/>
  <c r="H66" i="8" s="1"/>
  <c r="D67" i="8" s="1"/>
  <c r="G67" i="8" l="1"/>
  <c r="E67" i="8" s="1"/>
  <c r="F67" i="8" l="1"/>
  <c r="H67" i="8" s="1"/>
  <c r="D68" i="8" s="1"/>
  <c r="G68" i="8" l="1"/>
  <c r="E68" i="8" s="1"/>
  <c r="F68" i="8" l="1"/>
  <c r="H68" i="8" s="1"/>
  <c r="D69" i="8" s="1"/>
  <c r="G69" i="8" l="1"/>
  <c r="E69" i="8" s="1"/>
  <c r="F69" i="8" l="1"/>
  <c r="H69" i="8" s="1"/>
  <c r="D70" i="8" s="1"/>
  <c r="G70" i="8" l="1"/>
  <c r="F70" i="8" s="1"/>
  <c r="E70" i="8" l="1"/>
  <c r="H70" i="8" s="1"/>
  <c r="D71" i="8" s="1"/>
  <c r="G71" i="8" l="1"/>
  <c r="F71" i="8" s="1"/>
  <c r="E71" i="8" l="1"/>
  <c r="H71" i="8" s="1"/>
  <c r="D72" i="8" s="1"/>
  <c r="G72" i="8" l="1"/>
  <c r="F72" i="8" s="1"/>
  <c r="E72" i="8" l="1"/>
  <c r="H72" i="8" s="1"/>
  <c r="D73" i="8" s="1"/>
  <c r="G73" i="8" l="1"/>
  <c r="E73" i="8" s="1"/>
  <c r="F73" i="8" l="1"/>
  <c r="H73" i="8" s="1"/>
  <c r="D74" i="8" s="1"/>
  <c r="G74" i="8" l="1"/>
  <c r="E74" i="8" s="1"/>
  <c r="F74" i="8" l="1"/>
  <c r="H74" i="8" s="1"/>
  <c r="D75" i="8" s="1"/>
  <c r="G75" i="8" l="1"/>
  <c r="E75" i="8" s="1"/>
  <c r="F75" i="8" l="1"/>
  <c r="H75" i="8" s="1"/>
  <c r="D76" i="8" s="1"/>
  <c r="G76" i="8" l="1"/>
  <c r="E76" i="8" s="1"/>
  <c r="F76" i="8" l="1"/>
  <c r="H76" i="8" s="1"/>
  <c r="D77" i="8" s="1"/>
  <c r="G77" i="8" l="1"/>
  <c r="E77" i="8" s="1"/>
  <c r="F77" i="8" l="1"/>
  <c r="H77" i="8" s="1"/>
  <c r="D78" i="8" s="1"/>
  <c r="G78" i="8" l="1"/>
  <c r="E78" i="8" s="1"/>
  <c r="F78" i="8" l="1"/>
  <c r="H78" i="8" s="1"/>
  <c r="D79" i="8" s="1"/>
  <c r="G79" i="8" l="1"/>
  <c r="E79" i="8" s="1"/>
  <c r="F79" i="8" l="1"/>
  <c r="H79" i="8" s="1"/>
  <c r="D80" i="8" s="1"/>
  <c r="G80" i="8" l="1"/>
  <c r="E80" i="8" s="1"/>
  <c r="F80" i="8" l="1"/>
  <c r="H80" i="8" s="1"/>
  <c r="D81" i="8" s="1"/>
  <c r="G81" i="8" l="1"/>
  <c r="E81" i="8" s="1"/>
  <c r="F81" i="8" l="1"/>
  <c r="H81" i="8" s="1"/>
</calcChain>
</file>

<file path=xl/comments1.xml><?xml version="1.0" encoding="utf-8"?>
<comments xmlns="http://schemas.openxmlformats.org/spreadsheetml/2006/main">
  <authors>
    <author>Author</author>
    <author>Zhu, Vincent</author>
  </authors>
  <commentList>
    <comment ref="D9" authorId="0" shapeId="0">
      <text>
        <r>
          <rPr>
            <sz val="9"/>
            <color indexed="81"/>
            <rFont val="Tahoma"/>
            <family val="2"/>
          </rPr>
          <t>Assume entry age is 30 for both Grade A and B.</t>
        </r>
      </text>
    </comment>
    <comment ref="H13" authorId="1" shapeId="0">
      <text>
        <r>
          <rPr>
            <sz val="10"/>
            <color indexed="81"/>
            <rFont val="Tahoma"/>
            <family val="2"/>
          </rPr>
          <t>Assume that there are no withdrawals or deaths prior to the retirement age when determining AL at each valuation date.</t>
        </r>
      </text>
    </comment>
    <comment ref="L13" authorId="1" shapeId="0">
      <text>
        <r>
          <rPr>
            <sz val="11"/>
            <color indexed="81"/>
            <rFont val="Tahoma"/>
            <family val="2"/>
          </rPr>
          <t>k*(P+F)*S*[(1+e)/(1+i)]^(NRA-x) - SCR*(S*a</t>
        </r>
        <r>
          <rPr>
            <vertAlign val="subscript"/>
            <sz val="11"/>
            <color indexed="81"/>
            <rFont val="Tahoma"/>
            <family val="2"/>
          </rPr>
          <t>NRA-x</t>
        </r>
        <r>
          <rPr>
            <sz val="11"/>
            <color indexed="81"/>
            <rFont val="Tahoma"/>
            <family val="2"/>
          </rPr>
          <t>)</t>
        </r>
      </text>
    </comment>
  </commentList>
</comments>
</file>

<file path=xl/sharedStrings.xml><?xml version="1.0" encoding="utf-8"?>
<sst xmlns="http://schemas.openxmlformats.org/spreadsheetml/2006/main" count="227" uniqueCount="137">
  <si>
    <t>The scheme is a new scheme, benefits will only allow for service from the date the scheme started for all the current employees.</t>
  </si>
  <si>
    <t>Expense</t>
  </si>
  <si>
    <t>Withdraw</t>
  </si>
  <si>
    <t>Salary increase</t>
  </si>
  <si>
    <t>Retire Rate post-NRA for Grade A</t>
  </si>
  <si>
    <t>Age at start of year</t>
  </si>
  <si>
    <t>Number of employees</t>
  </si>
  <si>
    <t>Average Salary $</t>
  </si>
  <si>
    <t xml:space="preserve">Grade </t>
  </si>
  <si>
    <t>B</t>
  </si>
  <si>
    <t>A</t>
  </si>
  <si>
    <t>Accrual rate</t>
  </si>
  <si>
    <t>Grade A</t>
  </si>
  <si>
    <t>Grade B</t>
  </si>
  <si>
    <t>Investment return</t>
  </si>
  <si>
    <t>a65</t>
  </si>
  <si>
    <t>Normal Retirement Age</t>
  </si>
  <si>
    <t>SCR</t>
  </si>
  <si>
    <t>Age</t>
  </si>
  <si>
    <t>Salary</t>
  </si>
  <si>
    <t>e</t>
  </si>
  <si>
    <t>i</t>
  </si>
  <si>
    <t>AL</t>
  </si>
  <si>
    <t>Accu credit</t>
  </si>
  <si>
    <t>annual income</t>
  </si>
  <si>
    <t>Each credit (as annuity)
EOY</t>
  </si>
  <si>
    <t>Annual Income</t>
  </si>
  <si>
    <t>Contribution</t>
  </si>
  <si>
    <t>&gt;50</t>
  </si>
  <si>
    <t>=&lt;50</t>
  </si>
  <si>
    <t>Group</t>
  </si>
  <si>
    <t>30A</t>
  </si>
  <si>
    <t>Number of years of past service
(P)</t>
  </si>
  <si>
    <t>Accrual rate
(k)</t>
  </si>
  <si>
    <t>Salary inlfation
(e)</t>
  </si>
  <si>
    <t>Investment return
(i)</t>
  </si>
  <si>
    <t>Current age
BOY
(X)</t>
  </si>
  <si>
    <t>Pensionable salary
BOY
(S)</t>
  </si>
  <si>
    <t>Check</t>
  </si>
  <si>
    <t>Withdraw benefit % of AR</t>
  </si>
  <si>
    <t>SCR
=k*[(1+e)/(1+i)]^(NRA-x-1)</t>
  </si>
  <si>
    <t>Grade:</t>
  </si>
  <si>
    <t>Age at start of year:</t>
  </si>
  <si>
    <t>NRA:</t>
  </si>
  <si>
    <t>Accrual rate:</t>
  </si>
  <si>
    <t>Average Salary:</t>
  </si>
  <si>
    <t>Salary increase:</t>
  </si>
  <si>
    <t>Entry Age:</t>
  </si>
  <si>
    <t>Contribution (as lump sum)
EOY</t>
  </si>
  <si>
    <t>Inforce
BOY</t>
  </si>
  <si>
    <t>Inforce
EOY</t>
  </si>
  <si>
    <t>Retire</t>
  </si>
  <si>
    <t>to vary by age</t>
  </si>
  <si>
    <t>to justify</t>
  </si>
  <si>
    <t>Mortality after retirement</t>
  </si>
  <si>
    <t>Mortality Rate post-NRA for Grade A</t>
  </si>
  <si>
    <t>For Grade A, members who die after normal retirement age will be treated as normal retirement, receiving the normal retirement lump-sum benefit.</t>
  </si>
  <si>
    <t>white-collar</t>
  </si>
  <si>
    <t>Deaths uniform throughout the year</t>
  </si>
  <si>
    <t>Withdrawals/Retirement at end of year</t>
  </si>
  <si>
    <t>Decrement table</t>
  </si>
  <si>
    <t>Assumptions</t>
  </si>
  <si>
    <t xml:space="preserve">It would  be reasonable to place an upper limit on retirement decrements ie an age where decrement is 100%. At what age is up to the actuary, you have the scheme's own experience, local legislation, age pension thresholds etc to take into account. </t>
  </si>
  <si>
    <r>
      <t>average</t>
    </r>
    <r>
      <rPr>
        <sz val="11"/>
        <color theme="1"/>
        <rFont val="Calibri"/>
        <family val="2"/>
        <scheme val="minor"/>
      </rPr>
      <t xml:space="preserve"> entry age</t>
    </r>
  </si>
  <si>
    <t>Contribution
EOY</t>
  </si>
  <si>
    <t>Description</t>
  </si>
  <si>
    <t>Includes assumptions required</t>
  </si>
  <si>
    <t>Data</t>
  </si>
  <si>
    <t>Includes a breakdown of expenses and policy statistics from 2017 to 2019 as well as forecast policy statistics for 2020</t>
  </si>
  <si>
    <t>Solutions</t>
  </si>
  <si>
    <t>Includes calculation of 2020 recommended expenses and 2020 expenses derived from applying inflation to 2017 expenses for comparison</t>
  </si>
  <si>
    <t>Depreciation</t>
  </si>
  <si>
    <t>breakdown of the derivation of depreciation assumptions</t>
  </si>
  <si>
    <t>Macro</t>
  </si>
  <si>
    <t>PUC Projection</t>
  </si>
  <si>
    <t>EAN Projection</t>
  </si>
  <si>
    <t>30B</t>
  </si>
  <si>
    <t>40B</t>
  </si>
  <si>
    <t>40A</t>
  </si>
  <si>
    <t>45B</t>
  </si>
  <si>
    <t>45A</t>
  </si>
  <si>
    <t>50B</t>
  </si>
  <si>
    <t>50A</t>
  </si>
  <si>
    <t>55B</t>
  </si>
  <si>
    <t>55A</t>
  </si>
  <si>
    <t>Total Contribution</t>
  </si>
  <si>
    <t>Total Salary</t>
  </si>
  <si>
    <t>Initial SCR</t>
  </si>
  <si>
    <t>Current Group</t>
  </si>
  <si>
    <t>No. of Employees</t>
  </si>
  <si>
    <t>No. of years of past service
(P)</t>
  </si>
  <si>
    <t>Salary EOY</t>
  </si>
  <si>
    <t>No. of employees:</t>
  </si>
  <si>
    <t>Data table - Summary for all the groups as of the end of year 1</t>
  </si>
  <si>
    <t>Reasonability check on contribution</t>
  </si>
  <si>
    <t>Grade</t>
  </si>
  <si>
    <t>i'=(1+i)/(1+e)-1</t>
  </si>
  <si>
    <r>
      <t>a</t>
    </r>
    <r>
      <rPr>
        <b/>
        <vertAlign val="subscript"/>
        <sz val="14"/>
        <color theme="0"/>
        <rFont val="Calibri"/>
        <family val="2"/>
        <scheme val="minor"/>
      </rPr>
      <t>NRA-EA</t>
    </r>
    <r>
      <rPr>
        <b/>
        <vertAlign val="subscript"/>
        <sz val="11"/>
        <color theme="0"/>
        <rFont val="Calibri"/>
        <family val="2"/>
        <scheme val="minor"/>
      </rPr>
      <t xml:space="preserve"> </t>
    </r>
    <r>
      <rPr>
        <b/>
        <sz val="11"/>
        <color theme="0"/>
        <rFont val="Calibri"/>
        <family val="2"/>
        <scheme val="minor"/>
      </rPr>
      <t>@ i'</t>
    </r>
  </si>
  <si>
    <r>
      <t>a</t>
    </r>
    <r>
      <rPr>
        <b/>
        <vertAlign val="subscript"/>
        <sz val="14"/>
        <color theme="0"/>
        <rFont val="Calibri"/>
        <family val="2"/>
        <scheme val="minor"/>
      </rPr>
      <t xml:space="preserve">NRA-x </t>
    </r>
    <r>
      <rPr>
        <b/>
        <sz val="11"/>
        <color theme="0"/>
        <rFont val="Calibri"/>
        <family val="2"/>
        <scheme val="minor"/>
      </rPr>
      <t>@ i'</t>
    </r>
  </si>
  <si>
    <r>
      <t>SCR = k*(NRA-EA)*[(1+e)/(1+i)]^(NRA-EA)/a</t>
    </r>
    <r>
      <rPr>
        <b/>
        <vertAlign val="subscript"/>
        <sz val="11"/>
        <color theme="0"/>
        <rFont val="Calibri"/>
        <family val="2"/>
        <scheme val="minor"/>
      </rPr>
      <t>NRA-EA</t>
    </r>
  </si>
  <si>
    <r>
      <t>Check btw EAN and PUC
SCR</t>
    </r>
    <r>
      <rPr>
        <b/>
        <vertAlign val="subscript"/>
        <sz val="11"/>
        <color theme="0"/>
        <rFont val="Calibri"/>
        <family val="2"/>
        <scheme val="minor"/>
      </rPr>
      <t>AAN</t>
    </r>
    <r>
      <rPr>
        <b/>
        <sz val="11"/>
        <color theme="0"/>
        <rFont val="Calibri"/>
        <family val="2"/>
        <scheme val="minor"/>
      </rPr>
      <t>/SCR</t>
    </r>
    <r>
      <rPr>
        <b/>
        <vertAlign val="subscript"/>
        <sz val="11"/>
        <color theme="0"/>
        <rFont val="Calibri"/>
        <family val="2"/>
        <scheme val="minor"/>
      </rPr>
      <t>PUC</t>
    </r>
  </si>
  <si>
    <r>
      <t>F/a</t>
    </r>
    <r>
      <rPr>
        <b/>
        <vertAlign val="subscript"/>
        <sz val="14"/>
        <color theme="0"/>
        <rFont val="Calibri"/>
        <family val="2"/>
        <scheme val="minor"/>
      </rPr>
      <t>F</t>
    </r>
    <r>
      <rPr>
        <b/>
        <sz val="14"/>
        <color theme="0"/>
        <rFont val="Calibri"/>
        <family val="2"/>
        <scheme val="minor"/>
      </rPr>
      <t>*v'</t>
    </r>
    <r>
      <rPr>
        <b/>
        <vertAlign val="superscript"/>
        <sz val="14"/>
        <color theme="0"/>
        <rFont val="Calibri"/>
        <family val="2"/>
        <scheme val="minor"/>
      </rPr>
      <t>x-EA</t>
    </r>
  </si>
  <si>
    <r>
      <t>If</t>
    </r>
    <r>
      <rPr>
        <sz val="11"/>
        <color theme="1"/>
        <rFont val="Calibri"/>
        <family val="2"/>
        <scheme val="minor"/>
      </rPr>
      <t xml:space="preserve"> a member can remain in the scheme beyond the defined normal retirement age, the retirement benefit definition </t>
    </r>
    <r>
      <rPr>
        <b/>
        <sz val="11"/>
        <color theme="1"/>
        <rFont val="Calibri"/>
        <family val="2"/>
        <scheme val="minor"/>
      </rPr>
      <t>may</t>
    </r>
    <r>
      <rPr>
        <sz val="11"/>
        <color theme="1"/>
        <rFont val="Calibri"/>
        <family val="2"/>
        <scheme val="minor"/>
      </rPr>
      <t xml:space="preserve"> increase with further salary increases and </t>
    </r>
    <r>
      <rPr>
        <b/>
        <sz val="11"/>
        <color theme="1"/>
        <rFont val="Calibri"/>
        <family val="2"/>
        <scheme val="minor"/>
      </rPr>
      <t>may</t>
    </r>
    <r>
      <rPr>
        <sz val="11"/>
        <color theme="1"/>
        <rFont val="Calibri"/>
        <family val="2"/>
        <scheme val="minor"/>
      </rPr>
      <t xml:space="preserve"> continue to accrue for further completed service.</t>
    </r>
  </si>
  <si>
    <t>The design will also influence behaviour and therefore your assumptions for exits at older ages.</t>
  </si>
  <si>
    <r>
      <t xml:space="preserve">Might give them incentinve to stay if </t>
    </r>
    <r>
      <rPr>
        <sz val="11"/>
        <color rgb="FFC00000"/>
        <rFont val="Calibri"/>
        <family val="2"/>
        <scheme val="minor"/>
      </rPr>
      <t xml:space="preserve"> the retirement benefit definition may increase with further salary increases and may continue to accrue for further completed service.</t>
    </r>
  </si>
  <si>
    <t>Typically the definition of the death or TPD benefit means that on reaching the normal retirement age the death/TPD benefit is exactly the same as the normal retirement benefit.</t>
  </si>
  <si>
    <t>So, it may be possible to simplify assumptions and modelling for exits after the normal retirement age without materially affecting the scheme liability valuation or determination of long term funding SCR</t>
  </si>
  <si>
    <t>If a member remains in the scheme beyond the normal retirement age, the death/TPD and retirement benefits may continue to be the same amount. Again, check the scheme design.</t>
  </si>
  <si>
    <t>Consider materiality of the benefit - both dollar value and probability of being paid, relative to the primary benefit (retirement) - and likely impact on SCR.</t>
  </si>
  <si>
    <r>
      <t>Withdrawal</t>
    </r>
    <r>
      <rPr>
        <sz val="11"/>
        <color theme="1"/>
        <rFont val="Calibri"/>
        <family val="2"/>
        <scheme val="minor"/>
      </rPr>
      <t xml:space="preserve"> benefits are very likely and in most jurisdictions have a material value so should be incorporated.</t>
    </r>
  </si>
  <si>
    <t>Yes the accrued liability can take into account the present value of any future benefit potentially payable to the member.</t>
  </si>
  <si>
    <r>
      <t>Redundancy</t>
    </r>
    <r>
      <rPr>
        <sz val="11"/>
        <color theme="1"/>
        <rFont val="Calibri"/>
        <family val="2"/>
        <scheme val="minor"/>
      </rPr>
      <t xml:space="preserve"> benefits are probably less likely than withdrawal/retirement, but may be more generous than the withdrawal benefit or the accrued retirement benefit.  What is the expected experience? Why would you set an decrement assumption other than 0% if the employer has no stated redundancy program? I am aware of some employers that do have publicised voluntary redundancy programs from time to time and these are readily then incorporated into a scheme's valuation assumptions as another decrement.</t>
    </r>
  </si>
  <si>
    <t>When close to new member</t>
  </si>
  <si>
    <r>
      <t xml:space="preserve">For general interest, note that </t>
    </r>
    <r>
      <rPr>
        <b/>
        <sz val="11"/>
        <color theme="1"/>
        <rFont val="Calibri"/>
        <family val="2"/>
        <scheme val="minor"/>
      </rPr>
      <t xml:space="preserve">in Australia </t>
    </r>
    <r>
      <rPr>
        <sz val="11"/>
        <color theme="1"/>
        <rFont val="Calibri"/>
        <family val="2"/>
        <scheme val="minor"/>
      </rPr>
      <t>, there are redundancy benefits paid outside superannuation. So schemes may not have an explicit redundancy benefit. It may be reasonable to ignore redundancies altogether when preparing valuations or contribution rate advice, but to assess at a given date whether the scheme has sufficient assets to pay everyone their redundancy benefits (if the employer was wound up and everyone lost their jobs) and/or termination benefits (if the scheme was wound up for any reason).</t>
    </r>
  </si>
  <si>
    <t>Post NRA</t>
  </si>
  <si>
    <t xml:space="preserve">What does AL contain: AL represents the liabilities that should be funded by now under the given funding method = VPS + VFS - VFC. </t>
  </si>
  <si>
    <t>To-do</t>
  </si>
  <si>
    <t>AL post NRA</t>
  </si>
  <si>
    <t>AL contains withdraw</t>
  </si>
  <si>
    <t>New member</t>
  </si>
  <si>
    <t>Ferris paper</t>
  </si>
  <si>
    <t>Allow for Decrement</t>
  </si>
  <si>
    <t>Actuarial Liability - Retirement
BOY</t>
  </si>
  <si>
    <t>applying past service (to date of withdrawal) only: AL is normally = VPS + VFS - VFC, but this means set AL = VPS?</t>
  </si>
  <si>
    <t>Actuarial Reserve
BOY
(AR)</t>
  </si>
  <si>
    <t>Withdraw benefit
BOY</t>
  </si>
  <si>
    <t>Total AL
BOY
(AL)</t>
  </si>
  <si>
    <t>What does SCR contubute to? Only retirement or retirement + withdraw?</t>
  </si>
  <si>
    <t>Verify economic assumptions</t>
  </si>
  <si>
    <t>A better phrase may be to state that the experience is similar to Australia. You have to avoid the temptation of using specific Australian legislation as that is not relevant.</t>
  </si>
  <si>
    <t>Both</t>
  </si>
  <si>
    <t>Watch the video on multi decrement tables</t>
  </si>
  <si>
    <t>New employee joining rate / employee turnover</t>
  </si>
  <si>
    <r>
      <t>Added to liability measure (VPS</t>
    </r>
    <r>
      <rPr>
        <vertAlign val="subscript"/>
        <sz val="11"/>
        <color rgb="FF006100"/>
        <rFont val="Calibri"/>
        <family val="2"/>
        <scheme val="minor"/>
      </rPr>
      <t>expense</t>
    </r>
    <r>
      <rPr>
        <sz val="11"/>
        <color rgb="FF006100"/>
        <rFont val="Calibri"/>
        <family val="2"/>
        <scheme val="minor"/>
      </rPr>
      <t>) rathar than Deducted from future contributions</t>
    </r>
  </si>
  <si>
    <r>
      <t>AL include retirement and withdraw benefit: AL = VPS = VPS</t>
    </r>
    <r>
      <rPr>
        <vertAlign val="subscript"/>
        <sz val="11"/>
        <color theme="1"/>
        <rFont val="Calibri"/>
        <family val="2"/>
        <scheme val="minor"/>
      </rPr>
      <t>retirement</t>
    </r>
    <r>
      <rPr>
        <sz val="11"/>
        <color theme="1"/>
        <rFont val="Calibri"/>
        <family val="2"/>
        <scheme val="minor"/>
      </rPr>
      <t xml:space="preserve"> + VPS</t>
    </r>
    <r>
      <rPr>
        <vertAlign val="subscript"/>
        <sz val="11"/>
        <color theme="1"/>
        <rFont val="Calibri"/>
        <family val="2"/>
        <scheme val="minor"/>
      </rPr>
      <t>withdraw</t>
    </r>
    <r>
      <rPr>
        <sz val="11"/>
        <color theme="1"/>
        <rFont val="Calibri"/>
        <family val="2"/>
        <scheme val="minor"/>
      </rPr>
      <t xml:space="preserve"> (+ VPS</t>
    </r>
    <r>
      <rPr>
        <vertAlign val="subscript"/>
        <sz val="11"/>
        <color theme="1"/>
        <rFont val="Calibri"/>
        <family val="2"/>
        <scheme val="minor"/>
      </rPr>
      <t>expense</t>
    </r>
    <r>
      <rPr>
        <sz val="11"/>
        <color theme="1"/>
        <rFont val="Calibri"/>
        <family val="2"/>
        <scheme val="minor"/>
      </rPr>
      <t>); 75%AR + AR = AL  ==&gt; AR = AL /1.75 ?
The withdrawal benefit is 75% of the actuarial reserve held at the date of exit.The actuarial reserve is PV of the expected future normal retirement benefit payment, applying past service (to date of withdrawal) only.
AL = VPS</t>
    </r>
    <r>
      <rPr>
        <vertAlign val="subscript"/>
        <sz val="11"/>
        <color theme="1"/>
        <rFont val="Calibri"/>
        <family val="2"/>
        <scheme val="minor"/>
      </rPr>
      <t>retirement</t>
    </r>
    <r>
      <rPr>
        <sz val="11"/>
        <color theme="1"/>
        <rFont val="Calibri"/>
        <family val="2"/>
        <scheme val="minor"/>
      </rPr>
      <t xml:space="preserve"> + VPS</t>
    </r>
    <r>
      <rPr>
        <vertAlign val="subscript"/>
        <sz val="11"/>
        <color theme="1"/>
        <rFont val="Calibri"/>
        <family val="2"/>
        <scheme val="minor"/>
      </rPr>
      <t>withdraw</t>
    </r>
    <r>
      <rPr>
        <sz val="11"/>
        <color theme="1"/>
        <rFont val="Calibri"/>
        <family val="2"/>
        <scheme val="minor"/>
      </rPr>
      <t xml:space="preserve"> + VFS - VFC, AR = VPSretirement, 75%AR = VPSwithdraw ==&gt; AL = 1.75AR + VFS - VFC ==&gt; AR = (AL + VFC - VFS)/1.75</t>
    </r>
  </si>
  <si>
    <t>noting that the scheme's actual operating expenses are likely independent of the funding method selected, consider whether the expenses are going to be material to your findings</t>
  </si>
  <si>
    <t>No mortaility, only withdraw, so managing expense could be immaterial.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</si>
</sst>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_(* #,##0.0000_);_(* \(#,##0.0000\);_(* &quot;-&quot;??_);_(@_)"/>
    <numFmt numFmtId="168" formatCode="_-* #,##0.00_-;\-* #,##0.00_-;_-* &quot;-&quot;??_-;_-@_-"/>
  </numFmts>
  <fonts count="40"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color rgb="FFFFFFFF"/>
      <name val="Century Gothic"/>
      <family val="2"/>
    </font>
    <font>
      <sz val="10"/>
      <color rgb="FF000000"/>
      <name val="Century Gothic"/>
      <family val="2"/>
    </font>
    <font>
      <i/>
      <sz val="11"/>
      <color theme="1"/>
      <name val="Calibri"/>
      <family val="2"/>
      <scheme val="minor"/>
    </font>
    <font>
      <b/>
      <u val="singleAccounting"/>
      <sz val="11"/>
      <color rgb="FFFF0000"/>
      <name val="Calibri"/>
      <family val="2"/>
      <scheme val="minor"/>
    </font>
    <font>
      <sz val="11"/>
      <color theme="0" tint="-0.499984740745262"/>
      <name val="Calibri"/>
      <family val="2"/>
      <scheme val="minor"/>
    </font>
    <font>
      <b/>
      <sz val="11"/>
      <color theme="0"/>
      <name val="Calibri"/>
      <family val="2"/>
      <scheme val="minor"/>
    </font>
    <font>
      <sz val="10"/>
      <color theme="1"/>
      <name val="Century Gothic"/>
      <family val="2"/>
    </font>
    <font>
      <b/>
      <i/>
      <sz val="11"/>
      <color theme="1"/>
      <name val="Calibri"/>
      <family val="2"/>
      <scheme val="minor"/>
    </font>
    <font>
      <sz val="9"/>
      <color indexed="81"/>
      <name val="Tahoma"/>
      <family val="2"/>
    </font>
    <font>
      <b/>
      <sz val="11"/>
      <color theme="1"/>
      <name val="Century Gothic"/>
      <family val="2"/>
    </font>
    <font>
      <b/>
      <vertAlign val="subscript"/>
      <sz val="11"/>
      <color theme="0"/>
      <name val="Calibri"/>
      <family val="2"/>
      <scheme val="minor"/>
    </font>
    <font>
      <b/>
      <sz val="14"/>
      <color theme="0"/>
      <name val="Calibri"/>
      <family val="2"/>
      <scheme val="minor"/>
    </font>
    <font>
      <b/>
      <vertAlign val="subscript"/>
      <sz val="14"/>
      <color theme="0"/>
      <name val="Calibri"/>
      <family val="2"/>
      <scheme val="minor"/>
    </font>
    <font>
      <u/>
      <sz val="11"/>
      <color theme="1"/>
      <name val="Calibri"/>
      <family val="2"/>
      <scheme val="minor"/>
    </font>
    <font>
      <sz val="10"/>
      <name val="Arial"/>
    </font>
    <font>
      <sz val="10"/>
      <name val="Century Gothic"/>
      <family val="2"/>
    </font>
    <font>
      <b/>
      <sz val="10"/>
      <name val="Century Gothic"/>
      <family val="2"/>
    </font>
    <font>
      <b/>
      <sz val="11"/>
      <color rgb="FFFF0000"/>
      <name val="Calibri"/>
      <family val="2"/>
      <scheme val="minor"/>
    </font>
    <font>
      <sz val="11"/>
      <color rgb="FF9C6500"/>
      <name val="Calibri"/>
      <family val="2"/>
      <scheme val="minor"/>
    </font>
    <font>
      <b/>
      <i/>
      <sz val="12"/>
      <color theme="1"/>
      <name val="Calibri"/>
      <family val="2"/>
      <scheme val="minor"/>
    </font>
    <font>
      <b/>
      <u/>
      <sz val="11"/>
      <color rgb="FFC00000"/>
      <name val="Calibri"/>
      <family val="2"/>
      <scheme val="minor"/>
    </font>
    <font>
      <b/>
      <i/>
      <sz val="12"/>
      <name val="Calibri"/>
      <family val="2"/>
      <scheme val="minor"/>
    </font>
    <font>
      <sz val="11"/>
      <name val="Calibri"/>
      <family val="2"/>
      <scheme val="minor"/>
    </font>
    <font>
      <b/>
      <sz val="12"/>
      <color theme="1"/>
      <name val="Calibri"/>
      <family val="2"/>
      <scheme val="minor"/>
    </font>
    <font>
      <sz val="10"/>
      <color indexed="81"/>
      <name val="Tahoma"/>
      <family val="2"/>
    </font>
    <font>
      <sz val="11"/>
      <color indexed="81"/>
      <name val="Tahoma"/>
      <family val="2"/>
    </font>
    <font>
      <vertAlign val="subscript"/>
      <sz val="11"/>
      <color indexed="81"/>
      <name val="Tahoma"/>
      <family val="2"/>
    </font>
    <font>
      <b/>
      <vertAlign val="superscript"/>
      <sz val="14"/>
      <color theme="0"/>
      <name val="Calibri"/>
      <family val="2"/>
      <scheme val="minor"/>
    </font>
    <font>
      <i/>
      <sz val="11"/>
      <color theme="0" tint="-0.499984740745262"/>
      <name val="Calibri"/>
      <family val="2"/>
      <scheme val="minor"/>
    </font>
    <font>
      <b/>
      <i/>
      <u/>
      <sz val="11"/>
      <color rgb="FFC00000"/>
      <name val="Calibri"/>
      <family val="2"/>
      <scheme val="minor"/>
    </font>
    <font>
      <sz val="11"/>
      <color rgb="FFC00000"/>
      <name val="Calibri"/>
      <family val="2"/>
      <scheme val="minor"/>
    </font>
    <font>
      <b/>
      <sz val="11"/>
      <color rgb="FFC00000"/>
      <name val="Calibri"/>
      <family val="2"/>
      <scheme val="minor"/>
    </font>
    <font>
      <i/>
      <sz val="11"/>
      <color rgb="FFC00000"/>
      <name val="Calibri"/>
      <family val="2"/>
      <scheme val="minor"/>
    </font>
    <font>
      <sz val="11"/>
      <color rgb="FF006100"/>
      <name val="Calibri"/>
      <family val="2"/>
      <scheme val="minor"/>
    </font>
    <font>
      <vertAlign val="subscript"/>
      <sz val="11"/>
      <color theme="1"/>
      <name val="Calibri"/>
      <family val="2"/>
      <scheme val="minor"/>
    </font>
    <font>
      <vertAlign val="subscript"/>
      <sz val="11"/>
      <color rgb="FF006100"/>
      <name val="Calibri"/>
      <family val="2"/>
      <scheme val="minor"/>
    </font>
  </fonts>
  <fills count="17">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6" tint="-0.249977111117893"/>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rgb="FFF2A900"/>
        <bgColor indexed="64"/>
      </patternFill>
    </fill>
    <fill>
      <patternFill patternType="solid">
        <fgColor rgb="FFFFEB9C"/>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rgb="FFC6EFCE"/>
      </patternFill>
    </fill>
  </fills>
  <borders count="3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medium">
        <color indexed="64"/>
      </top>
      <bottom/>
      <diagonal/>
    </border>
    <border>
      <left/>
      <right style="medium">
        <color indexed="64"/>
      </right>
      <top style="medium">
        <color indexed="64"/>
      </top>
      <bottom/>
      <diagonal/>
    </border>
    <border>
      <left/>
      <right style="thin">
        <color indexed="64"/>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s>
  <cellStyleXfs count="9">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8" fillId="0" borderId="0"/>
    <xf numFmtId="168" fontId="18" fillId="0" borderId="0" applyFont="0" applyFill="0" applyBorder="0" applyAlignment="0" applyProtection="0"/>
    <xf numFmtId="9" fontId="18" fillId="0" borderId="0" applyFont="0" applyFill="0" applyBorder="0" applyAlignment="0" applyProtection="0"/>
    <xf numFmtId="0" fontId="22" fillId="12" borderId="0" applyNumberFormat="0" applyBorder="0" applyAlignment="0" applyProtection="0"/>
    <xf numFmtId="0" fontId="37" fillId="16" borderId="0" applyNumberFormat="0" applyBorder="0" applyAlignment="0" applyProtection="0"/>
  </cellStyleXfs>
  <cellXfs count="142">
    <xf numFmtId="0" fontId="0" fillId="0" borderId="0" xfId="0"/>
    <xf numFmtId="0" fontId="4" fillId="2" borderId="0" xfId="0" applyFont="1" applyFill="1" applyAlignment="1">
      <alignment horizontal="center" vertical="center" wrapText="1"/>
    </xf>
    <xf numFmtId="0" fontId="5" fillId="0" borderId="1" xfId="0" applyFont="1" applyBorder="1" applyAlignment="1">
      <alignment horizontal="center" vertical="center"/>
    </xf>
    <xf numFmtId="0" fontId="5" fillId="0" borderId="2" xfId="0" applyFont="1" applyBorder="1" applyAlignment="1">
      <alignment horizontal="center" vertical="center"/>
    </xf>
    <xf numFmtId="3" fontId="5" fillId="0" borderId="2" xfId="0" applyNumberFormat="1"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3" fontId="5" fillId="0" borderId="4" xfId="0" applyNumberFormat="1" applyFont="1" applyBorder="1" applyAlignment="1">
      <alignment horizontal="center" vertical="center"/>
    </xf>
    <xf numFmtId="9" fontId="0" fillId="0" borderId="0" xfId="0" applyNumberFormat="1"/>
    <xf numFmtId="9" fontId="0" fillId="3" borderId="0" xfId="0" applyNumberFormat="1" applyFill="1"/>
    <xf numFmtId="0" fontId="0" fillId="3" borderId="0" xfId="0" applyFill="1"/>
    <xf numFmtId="164" fontId="0" fillId="0" borderId="0" xfId="1" applyNumberFormat="1" applyFont="1"/>
    <xf numFmtId="10" fontId="0" fillId="0" borderId="0" xfId="3" applyNumberFormat="1" applyFont="1"/>
    <xf numFmtId="164" fontId="0" fillId="0" borderId="0" xfId="0" applyNumberFormat="1"/>
    <xf numFmtId="6" fontId="0" fillId="0" borderId="0" xfId="0" applyNumberFormat="1"/>
    <xf numFmtId="0" fontId="2" fillId="0" borderId="0" xfId="0" applyFont="1"/>
    <xf numFmtId="43" fontId="0" fillId="0" borderId="0" xfId="0" applyNumberFormat="1"/>
    <xf numFmtId="10" fontId="0" fillId="0" borderId="0" xfId="0" applyNumberFormat="1"/>
    <xf numFmtId="165" fontId="0" fillId="0" borderId="0" xfId="2" applyNumberFormat="1" applyFont="1"/>
    <xf numFmtId="164" fontId="0" fillId="4" borderId="0" xfId="0" applyNumberFormat="1" applyFill="1"/>
    <xf numFmtId="164" fontId="6" fillId="4" borderId="0" xfId="0" applyNumberFormat="1" applyFont="1" applyFill="1"/>
    <xf numFmtId="0" fontId="3"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164" fontId="7" fillId="4" borderId="0" xfId="0" applyNumberFormat="1" applyFont="1" applyFill="1"/>
    <xf numFmtId="43" fontId="8" fillId="0" borderId="0" xfId="0" applyNumberFormat="1" applyFont="1"/>
    <xf numFmtId="165" fontId="8" fillId="0" borderId="0" xfId="2" applyNumberFormat="1" applyFont="1"/>
    <xf numFmtId="0" fontId="8" fillId="0" borderId="0" xfId="0" applyFont="1" applyAlignment="1">
      <alignment horizontal="center" vertical="center" wrapText="1"/>
    </xf>
    <xf numFmtId="10" fontId="0" fillId="5" borderId="0" xfId="3" applyNumberFormat="1" applyFont="1" applyFill="1"/>
    <xf numFmtId="0" fontId="4" fillId="6" borderId="0" xfId="0" applyFont="1" applyFill="1" applyAlignment="1">
      <alignment horizontal="center" vertical="center" wrapText="1"/>
    </xf>
    <xf numFmtId="166" fontId="0" fillId="0" borderId="6" xfId="3" applyNumberFormat="1" applyFont="1" applyBorder="1"/>
    <xf numFmtId="166" fontId="0" fillId="0" borderId="6" xfId="0" applyNumberFormat="1" applyBorder="1"/>
    <xf numFmtId="0" fontId="0" fillId="0" borderId="5" xfId="0" applyBorder="1"/>
    <xf numFmtId="0" fontId="0" fillId="0" borderId="9" xfId="0" quotePrefix="1" applyBorder="1"/>
    <xf numFmtId="0" fontId="0" fillId="0" borderId="10" xfId="0" applyBorder="1"/>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4" fillId="6" borderId="8" xfId="0" applyFont="1" applyFill="1" applyBorder="1" applyAlignment="1">
      <alignment horizontal="center" vertical="center" wrapText="1"/>
    </xf>
    <xf numFmtId="0" fontId="4" fillId="6" borderId="13" xfId="0" applyFont="1" applyFill="1" applyBorder="1" applyAlignment="1">
      <alignment horizontal="center" vertical="center" wrapText="1"/>
    </xf>
    <xf numFmtId="166" fontId="0" fillId="0" borderId="14" xfId="3" applyNumberFormat="1" applyFont="1" applyBorder="1"/>
    <xf numFmtId="166" fontId="0" fillId="0" borderId="14" xfId="0" applyNumberFormat="1" applyBorder="1"/>
    <xf numFmtId="166" fontId="0" fillId="0" borderId="7" xfId="3" applyNumberFormat="1" applyFont="1" applyBorder="1"/>
    <xf numFmtId="166" fontId="0" fillId="0" borderId="15" xfId="0" applyNumberFormat="1" applyBorder="1"/>
    <xf numFmtId="166" fontId="6" fillId="0" borderId="13" xfId="0" applyNumberFormat="1" applyFont="1" applyBorder="1"/>
    <xf numFmtId="9" fontId="0" fillId="0" borderId="15" xfId="0" applyNumberFormat="1" applyBorder="1"/>
    <xf numFmtId="0" fontId="0" fillId="0" borderId="0" xfId="0" applyAlignment="1">
      <alignment horizontal="center"/>
    </xf>
    <xf numFmtId="9" fontId="0" fillId="0" borderId="0" xfId="3" applyFont="1" applyAlignment="1">
      <alignment horizontal="center" vertical="center"/>
    </xf>
    <xf numFmtId="10" fontId="0" fillId="0" borderId="0" xfId="3" applyNumberFormat="1" applyFont="1" applyAlignment="1">
      <alignment horizontal="center" vertical="center"/>
    </xf>
    <xf numFmtId="43" fontId="0" fillId="0" borderId="0" xfId="1" applyNumberFormat="1" applyFont="1" applyAlignment="1">
      <alignment horizontal="center" vertical="center"/>
    </xf>
    <xf numFmtId="3" fontId="0" fillId="0" borderId="0" xfId="0" applyNumberFormat="1" applyAlignment="1">
      <alignment horizontal="center" vertical="center"/>
    </xf>
    <xf numFmtId="166" fontId="0" fillId="0" borderId="0" xfId="3" applyNumberFormat="1" applyFont="1" applyAlignment="1">
      <alignment horizontal="center" vertical="center"/>
    </xf>
    <xf numFmtId="43" fontId="0" fillId="0" borderId="0" xfId="1" applyFont="1" applyAlignment="1">
      <alignment horizontal="center" vertical="center"/>
    </xf>
    <xf numFmtId="43" fontId="0" fillId="0" borderId="0" xfId="0" applyNumberFormat="1" applyAlignment="1">
      <alignment horizontal="center" vertical="center"/>
    </xf>
    <xf numFmtId="166" fontId="0" fillId="3" borderId="0" xfId="0" applyNumberFormat="1" applyFill="1"/>
    <xf numFmtId="0" fontId="9" fillId="9" borderId="0" xfId="0" applyFont="1" applyFill="1" applyAlignment="1">
      <alignment horizontal="center" vertical="center" wrapText="1"/>
    </xf>
    <xf numFmtId="0" fontId="11" fillId="8" borderId="0" xfId="0" applyFont="1" applyFill="1" applyAlignment="1">
      <alignment horizontal="right" vertical="center"/>
    </xf>
    <xf numFmtId="0" fontId="6" fillId="8" borderId="0" xfId="0" applyFont="1" applyFill="1" applyAlignment="1">
      <alignment horizontal="right"/>
    </xf>
    <xf numFmtId="9" fontId="6" fillId="8" borderId="0" xfId="3" applyFont="1" applyFill="1" applyAlignment="1">
      <alignment horizontal="right"/>
    </xf>
    <xf numFmtId="165" fontId="6" fillId="8" borderId="0" xfId="2" applyNumberFormat="1" applyFont="1" applyFill="1" applyAlignment="1">
      <alignment horizontal="right"/>
    </xf>
    <xf numFmtId="10" fontId="6" fillId="8" borderId="0" xfId="3" applyNumberFormat="1" applyFont="1" applyFill="1" applyAlignment="1">
      <alignment horizontal="right"/>
    </xf>
    <xf numFmtId="0" fontId="0" fillId="8" borderId="0" xfId="0" applyFill="1" applyAlignment="1">
      <alignment horizontal="center" vertical="center"/>
    </xf>
    <xf numFmtId="9" fontId="0" fillId="8" borderId="0" xfId="3" applyFont="1" applyFill="1" applyAlignment="1">
      <alignment horizontal="center" vertical="center"/>
    </xf>
    <xf numFmtId="3" fontId="0" fillId="8" borderId="0" xfId="0" applyNumberFormat="1" applyFill="1" applyAlignment="1">
      <alignment horizontal="center" vertical="center"/>
    </xf>
    <xf numFmtId="166" fontId="0" fillId="8" borderId="0" xfId="3" applyNumberFormat="1" applyFont="1" applyFill="1" applyAlignment="1">
      <alignment horizontal="center" vertical="center"/>
    </xf>
    <xf numFmtId="164" fontId="6" fillId="8" borderId="0" xfId="1" applyNumberFormat="1" applyFont="1" applyFill="1" applyAlignment="1">
      <alignment horizontal="right"/>
    </xf>
    <xf numFmtId="0" fontId="10" fillId="0" borderId="0" xfId="0" applyFont="1"/>
    <xf numFmtId="167" fontId="0" fillId="8" borderId="0" xfId="1" applyNumberFormat="1" applyFont="1" applyFill="1" applyAlignment="1">
      <alignment horizontal="center" vertical="center"/>
    </xf>
    <xf numFmtId="167" fontId="0" fillId="0" borderId="0" xfId="1" applyNumberFormat="1" applyFont="1" applyAlignment="1">
      <alignment horizontal="center" vertical="center"/>
    </xf>
    <xf numFmtId="0" fontId="13" fillId="0" borderId="0" xfId="0" applyFont="1"/>
    <xf numFmtId="0" fontId="15" fillId="9" borderId="0" xfId="0" applyFont="1" applyFill="1" applyAlignment="1">
      <alignment horizontal="center" vertical="center" wrapText="1"/>
    </xf>
    <xf numFmtId="0" fontId="17" fillId="0" borderId="0" xfId="0" applyFont="1"/>
    <xf numFmtId="0" fontId="19" fillId="0" borderId="0" xfId="4" applyFont="1"/>
    <xf numFmtId="0" fontId="20" fillId="0" borderId="0" xfId="4" applyFont="1"/>
    <xf numFmtId="0" fontId="19" fillId="11" borderId="0" xfId="4" applyFont="1" applyFill="1"/>
    <xf numFmtId="9" fontId="0" fillId="0" borderId="0" xfId="3" applyFont="1"/>
    <xf numFmtId="0" fontId="21" fillId="0" borderId="0" xfId="0" applyFont="1"/>
    <xf numFmtId="0" fontId="0" fillId="0" borderId="0" xfId="0" applyBorder="1"/>
    <xf numFmtId="0" fontId="0" fillId="0" borderId="21" xfId="0" applyBorder="1"/>
    <xf numFmtId="0" fontId="0" fillId="0" borderId="12" xfId="0" applyBorder="1"/>
    <xf numFmtId="0" fontId="0" fillId="0" borderId="4" xfId="0" applyBorder="1"/>
    <xf numFmtId="164" fontId="0" fillId="5" borderId="26" xfId="1" applyNumberFormat="1" applyFont="1" applyFill="1" applyBorder="1"/>
    <xf numFmtId="0" fontId="3" fillId="0" borderId="16" xfId="0" applyFont="1" applyBorder="1" applyAlignment="1">
      <alignment horizontal="center" vertical="center"/>
    </xf>
    <xf numFmtId="0" fontId="3" fillId="0" borderId="27" xfId="0" applyFont="1" applyBorder="1" applyAlignment="1">
      <alignment horizontal="center" vertical="center"/>
    </xf>
    <xf numFmtId="0" fontId="3" fillId="0" borderId="18" xfId="0" applyFont="1" applyBorder="1" applyAlignment="1">
      <alignment horizontal="center" vertical="center"/>
    </xf>
    <xf numFmtId="0" fontId="3" fillId="0" borderId="25" xfId="0" applyFont="1" applyBorder="1" applyAlignment="1">
      <alignment horizontal="center" vertical="center"/>
    </xf>
    <xf numFmtId="0" fontId="3" fillId="0" borderId="19" xfId="0" applyFont="1" applyBorder="1" applyAlignment="1">
      <alignment horizontal="center" vertical="center"/>
    </xf>
    <xf numFmtId="164" fontId="0" fillId="0" borderId="17" xfId="1" applyNumberFormat="1" applyFont="1" applyBorder="1" applyAlignment="1">
      <alignment horizontal="center" vertical="center"/>
    </xf>
    <xf numFmtId="164" fontId="0" fillId="0" borderId="0" xfId="1" applyNumberFormat="1" applyFont="1" applyBorder="1" applyAlignment="1">
      <alignment horizontal="center" vertical="center"/>
    </xf>
    <xf numFmtId="164" fontId="0" fillId="0" borderId="20" xfId="1" applyNumberFormat="1" applyFont="1" applyBorder="1" applyAlignment="1">
      <alignment horizontal="center" vertical="center"/>
    </xf>
    <xf numFmtId="164" fontId="0" fillId="0" borderId="6" xfId="1" applyNumberFormat="1" applyFont="1" applyBorder="1" applyAlignment="1">
      <alignment horizontal="center" vertical="center"/>
    </xf>
    <xf numFmtId="164" fontId="0" fillId="0" borderId="21" xfId="1" applyNumberFormat="1" applyFont="1" applyBorder="1" applyAlignment="1">
      <alignment horizontal="center" vertical="center"/>
    </xf>
    <xf numFmtId="0" fontId="3" fillId="0" borderId="0" xfId="0" applyFont="1"/>
    <xf numFmtId="0" fontId="11" fillId="13" borderId="16" xfId="0" applyFont="1" applyFill="1" applyBorder="1" applyAlignment="1">
      <alignment horizontal="right" vertical="center"/>
    </xf>
    <xf numFmtId="0" fontId="11" fillId="13" borderId="17" xfId="0" applyFont="1" applyFill="1" applyBorder="1" applyAlignment="1">
      <alignment horizontal="right" vertical="center"/>
    </xf>
    <xf numFmtId="0" fontId="11" fillId="13" borderId="30" xfId="0" applyFont="1" applyFill="1" applyBorder="1" applyAlignment="1">
      <alignment horizontal="right" vertical="center"/>
    </xf>
    <xf numFmtId="0" fontId="6" fillId="13" borderId="21" xfId="0" applyFont="1" applyFill="1" applyBorder="1" applyAlignment="1">
      <alignment vertical="center"/>
    </xf>
    <xf numFmtId="164" fontId="6" fillId="13" borderId="21" xfId="1" applyNumberFormat="1" applyFont="1" applyFill="1" applyBorder="1" applyAlignment="1">
      <alignment vertical="center"/>
    </xf>
    <xf numFmtId="0" fontId="6" fillId="13" borderId="19" xfId="0" applyFont="1" applyFill="1" applyBorder="1" applyAlignment="1">
      <alignment horizontal="right" vertical="center"/>
    </xf>
    <xf numFmtId="0" fontId="23" fillId="0" borderId="0" xfId="0" applyFont="1"/>
    <xf numFmtId="0" fontId="25" fillId="14" borderId="0" xfId="0" applyFont="1" applyFill="1" applyAlignment="1">
      <alignment horizontal="centerContinuous"/>
    </xf>
    <xf numFmtId="0" fontId="26" fillId="14" borderId="0" xfId="0" applyFont="1" applyFill="1" applyAlignment="1">
      <alignment horizontal="centerContinuous"/>
    </xf>
    <xf numFmtId="0" fontId="23" fillId="10" borderId="0" xfId="0" applyFont="1" applyFill="1" applyAlignment="1">
      <alignment horizontal="center" vertical="center" wrapText="1"/>
    </xf>
    <xf numFmtId="0" fontId="9" fillId="15" borderId="0" xfId="0" applyFont="1" applyFill="1" applyAlignment="1">
      <alignment horizontal="center" vertical="center" wrapText="1"/>
    </xf>
    <xf numFmtId="0" fontId="27" fillId="7" borderId="31" xfId="0" applyFont="1" applyFill="1" applyBorder="1" applyAlignment="1">
      <alignment horizontal="center" vertical="center"/>
    </xf>
    <xf numFmtId="0" fontId="27" fillId="7" borderId="3" xfId="0" applyFont="1" applyFill="1" applyBorder="1" applyAlignment="1">
      <alignment horizontal="center" vertical="center"/>
    </xf>
    <xf numFmtId="0" fontId="11" fillId="5" borderId="28" xfId="1" applyNumberFormat="1" applyFont="1" applyFill="1" applyBorder="1" applyAlignment="1">
      <alignment horizontal="right"/>
    </xf>
    <xf numFmtId="0" fontId="11" fillId="5" borderId="29" xfId="3" applyNumberFormat="1" applyFont="1" applyFill="1" applyBorder="1" applyAlignment="1">
      <alignment horizontal="right"/>
    </xf>
    <xf numFmtId="43" fontId="0" fillId="0" borderId="0" xfId="1" applyFont="1"/>
    <xf numFmtId="0" fontId="6" fillId="13" borderId="27" xfId="0" applyFont="1" applyFill="1" applyBorder="1" applyAlignment="1">
      <alignment horizontal="right" vertical="center"/>
    </xf>
    <xf numFmtId="0" fontId="6" fillId="13" borderId="0" xfId="0" applyFont="1" applyFill="1" applyBorder="1" applyAlignment="1">
      <alignment vertical="center"/>
    </xf>
    <xf numFmtId="164" fontId="6" fillId="13" borderId="0" xfId="1" applyNumberFormat="1" applyFont="1" applyFill="1" applyBorder="1" applyAlignment="1">
      <alignment vertical="center"/>
    </xf>
    <xf numFmtId="0" fontId="11" fillId="5" borderId="32" xfId="3" applyNumberFormat="1" applyFont="1" applyFill="1" applyBorder="1" applyAlignment="1">
      <alignment horizontal="right"/>
    </xf>
    <xf numFmtId="0" fontId="15" fillId="15" borderId="0" xfId="0" applyFont="1" applyFill="1" applyAlignment="1">
      <alignment horizontal="center" vertical="center" wrapText="1"/>
    </xf>
    <xf numFmtId="164" fontId="32" fillId="0" borderId="0" xfId="0" applyNumberFormat="1" applyFont="1" applyAlignment="1">
      <alignment horizontal="center" vertical="center"/>
    </xf>
    <xf numFmtId="43" fontId="32" fillId="0" borderId="0" xfId="0" applyNumberFormat="1" applyFont="1"/>
    <xf numFmtId="0" fontId="8" fillId="0" borderId="0" xfId="0" applyFont="1"/>
    <xf numFmtId="10" fontId="32" fillId="0" borderId="0" xfId="3" applyNumberFormat="1" applyFont="1"/>
    <xf numFmtId="10" fontId="32" fillId="0" borderId="0" xfId="0" applyNumberFormat="1" applyFont="1"/>
    <xf numFmtId="164" fontId="6" fillId="13" borderId="4" xfId="1" applyNumberFormat="1" applyFont="1" applyFill="1" applyBorder="1" applyAlignment="1">
      <alignment horizontal="right" vertical="center"/>
    </xf>
    <xf numFmtId="10" fontId="24" fillId="5" borderId="24" xfId="3" applyNumberFormat="1" applyFont="1" applyFill="1" applyBorder="1"/>
    <xf numFmtId="0" fontId="11" fillId="5" borderId="34" xfId="1" applyNumberFormat="1" applyFont="1" applyFill="1" applyBorder="1" applyAlignment="1">
      <alignment horizontal="right"/>
    </xf>
    <xf numFmtId="0" fontId="11" fillId="5" borderId="15" xfId="0" applyFont="1" applyFill="1" applyBorder="1" applyAlignment="1">
      <alignment horizontal="center"/>
    </xf>
    <xf numFmtId="0" fontId="11" fillId="10" borderId="22" xfId="0" applyFont="1" applyFill="1" applyBorder="1" applyAlignment="1">
      <alignment horizontal="right" vertical="center" wrapText="1"/>
    </xf>
    <xf numFmtId="0" fontId="11" fillId="10" borderId="5" xfId="0" applyFont="1" applyFill="1" applyBorder="1" applyAlignment="1">
      <alignment horizontal="right" vertical="center" wrapText="1"/>
    </xf>
    <xf numFmtId="0" fontId="11" fillId="10" borderId="10" xfId="0" applyFont="1" applyFill="1" applyBorder="1" applyAlignment="1">
      <alignment horizontal="right" vertical="center" wrapText="1"/>
    </xf>
    <xf numFmtId="0" fontId="11" fillId="10" borderId="23" xfId="0" applyFont="1" applyFill="1" applyBorder="1" applyAlignment="1">
      <alignment horizontal="right" vertical="center" wrapText="1"/>
    </xf>
    <xf numFmtId="164" fontId="6" fillId="13" borderId="12" xfId="1" applyNumberFormat="1" applyFont="1" applyFill="1" applyBorder="1" applyAlignment="1">
      <alignment horizontal="right" vertical="center"/>
    </xf>
    <xf numFmtId="10" fontId="11" fillId="5" borderId="12" xfId="3" applyNumberFormat="1" applyFont="1" applyFill="1" applyBorder="1" applyAlignment="1">
      <alignment horizontal="right"/>
    </xf>
    <xf numFmtId="10" fontId="11" fillId="5" borderId="33" xfId="3" applyNumberFormat="1" applyFont="1" applyFill="1" applyBorder="1" applyAlignment="1">
      <alignment horizontal="right"/>
    </xf>
    <xf numFmtId="10" fontId="11" fillId="5" borderId="4" xfId="3" applyNumberFormat="1" applyFont="1" applyFill="1" applyBorder="1" applyAlignment="1">
      <alignment horizontal="right"/>
    </xf>
    <xf numFmtId="10" fontId="33" fillId="5" borderId="30" xfId="3" applyNumberFormat="1" applyFont="1" applyFill="1" applyBorder="1" applyAlignment="1">
      <alignment horizontal="right"/>
    </xf>
    <xf numFmtId="10" fontId="33" fillId="5" borderId="12" xfId="3" applyNumberFormat="1" applyFont="1" applyFill="1" applyBorder="1" applyAlignment="1">
      <alignment horizontal="right"/>
    </xf>
    <xf numFmtId="0" fontId="22" fillId="12" borderId="0" xfId="7"/>
    <xf numFmtId="0" fontId="0" fillId="0" borderId="0" xfId="0" applyAlignment="1"/>
    <xf numFmtId="0" fontId="35" fillId="0" borderId="0" xfId="0" applyFont="1"/>
    <xf numFmtId="0" fontId="11" fillId="0" borderId="0" xfId="0" applyFont="1"/>
    <xf numFmtId="43" fontId="0" fillId="0" borderId="0" xfId="3" applyNumberFormat="1" applyFont="1"/>
    <xf numFmtId="0" fontId="36" fillId="0" borderId="0" xfId="0" applyFont="1"/>
    <xf numFmtId="43" fontId="22" fillId="12" borderId="0" xfId="7" applyNumberFormat="1"/>
    <xf numFmtId="166" fontId="6" fillId="0" borderId="13" xfId="0" applyNumberFormat="1" applyFont="1" applyBorder="1" applyAlignment="1">
      <alignment horizontal="center" vertical="center"/>
    </xf>
    <xf numFmtId="166" fontId="6" fillId="0" borderId="15" xfId="0" applyNumberFormat="1" applyFont="1" applyBorder="1" applyAlignment="1">
      <alignment horizontal="center" vertical="center"/>
    </xf>
    <xf numFmtId="0" fontId="37" fillId="16" borderId="0" xfId="8"/>
  </cellXfs>
  <cellStyles count="9">
    <cellStyle name="Comma" xfId="1" builtinId="3"/>
    <cellStyle name="Comma 2" xfId="5"/>
    <cellStyle name="Currency" xfId="2" builtinId="4"/>
    <cellStyle name="Good" xfId="8" builtinId="26"/>
    <cellStyle name="Neutral" xfId="7" builtinId="28"/>
    <cellStyle name="Normal" xfId="0" builtinId="0"/>
    <cellStyle name="Normal 2" xfId="4"/>
    <cellStyle name="Percent" xfId="3" builtinId="5"/>
    <cellStyle name="Percent 2" xfId="6"/>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val>
            <c:numRef>
              <c:f>'Figure 9.1'!$J$2:$J$38</c:f>
              <c:numCache>
                <c:formatCode>_(* #,##0_);_(* \(#,##0\);_(* "-"??_);_(@_)</c:formatCode>
                <c:ptCount val="37"/>
                <c:pt idx="0">
                  <c:v>10799.669890023582</c:v>
                </c:pt>
                <c:pt idx="1">
                  <c:v>22787.303467949761</c:v>
                </c:pt>
                <c:pt idx="2">
                  <c:v>36067.65753171176</c:v>
                </c:pt>
                <c:pt idx="3">
                  <c:v>50754.1610141645</c:v>
                </c:pt>
                <c:pt idx="4">
                  <c:v>66969.617501610934</c:v>
                </c:pt>
                <c:pt idx="5">
                  <c:v>84846.964216242486</c:v>
                </c:pt>
                <c:pt idx="6">
                  <c:v>104530.09198747967</c:v>
                </c:pt>
                <c:pt idx="7">
                  <c:v>126174.73109943392</c:v>
                </c:pt>
                <c:pt idx="8">
                  <c:v>149949.40829293319</c:v>
                </c:pt>
                <c:pt idx="9">
                  <c:v>176036.48062307877</c:v>
                </c:pt>
                <c:pt idx="10">
                  <c:v>204633.25232963727</c:v>
                </c:pt>
                <c:pt idx="11">
                  <c:v>235953.18137042187</c:v>
                </c:pt>
                <c:pt idx="12">
                  <c:v>270227.18280010164</c:v>
                </c:pt>
                <c:pt idx="13">
                  <c:v>307705.0367517572</c:v>
                </c:pt>
                <c:pt idx="14">
                  <c:v>348656.90939937456</c:v>
                </c:pt>
                <c:pt idx="15">
                  <c:v>393374.99595002568</c:v>
                </c:pt>
                <c:pt idx="16">
                  <c:v>442175.29543868982</c:v>
                </c:pt>
                <c:pt idx="17">
                  <c:v>495399.52788082708</c:v>
                </c:pt>
                <c:pt idx="18">
                  <c:v>553417.20518254652</c:v>
                </c:pt>
                <c:pt idx="19">
                  <c:v>616627.8681205411</c:v>
                </c:pt>
                <c:pt idx="20">
                  <c:v>685463.50268927705</c:v>
                </c:pt>
                <c:pt idx="21">
                  <c:v>760391.15017708461</c:v>
                </c:pt>
                <c:pt idx="22">
                  <c:v>841915.72648209671</c:v>
                </c:pt>
                <c:pt idx="23">
                  <c:v>930583.06742023514</c:v>
                </c:pt>
                <c:pt idx="24">
                  <c:v>1026983.218118012</c:v>
                </c:pt>
                <c:pt idx="25">
                  <c:v>1131753.9860307353</c:v>
                </c:pt>
                <c:pt idx="26">
                  <c:v>1245584.7786903752</c:v>
                </c:pt>
                <c:pt idx="27">
                  <c:v>1369220.7489761016</c:v>
                </c:pt>
                <c:pt idx="28">
                  <c:v>1503467.2725244013</c:v>
                </c:pt>
                <c:pt idx="29">
                  <c:v>1649194.7838654709</c:v>
                </c:pt>
                <c:pt idx="30">
                  <c:v>1807344.0000000002</c:v>
                </c:pt>
                <c:pt idx="31">
                  <c:v>150612.00000000003</c:v>
                </c:pt>
                <c:pt idx="32">
                  <c:v>150612.00000000003</c:v>
                </c:pt>
                <c:pt idx="33">
                  <c:v>150612.00000000003</c:v>
                </c:pt>
                <c:pt idx="34">
                  <c:v>150612.00000000003</c:v>
                </c:pt>
                <c:pt idx="35">
                  <c:v>150612.00000000003</c:v>
                </c:pt>
                <c:pt idx="36">
                  <c:v>150612.00000000003</c:v>
                </c:pt>
              </c:numCache>
            </c:numRef>
          </c:val>
        </c:ser>
        <c:dLbls>
          <c:showLegendKey val="0"/>
          <c:showVal val="0"/>
          <c:showCatName val="0"/>
          <c:showSerName val="0"/>
          <c:showPercent val="0"/>
          <c:showBubbleSize val="0"/>
        </c:dLbls>
        <c:gapWidth val="150"/>
        <c:overlap val="100"/>
        <c:axId val="96352336"/>
        <c:axId val="96351552"/>
      </c:barChart>
      <c:catAx>
        <c:axId val="963523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51552"/>
        <c:crosses val="autoZero"/>
        <c:auto val="1"/>
        <c:lblAlgn val="ctr"/>
        <c:lblOffset val="100"/>
        <c:noMultiLvlLbl val="0"/>
      </c:catAx>
      <c:valAx>
        <c:axId val="96351552"/>
        <c:scaling>
          <c:orientation val="minMax"/>
          <c:max val="2000000"/>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52336"/>
        <c:crosses val="autoZero"/>
        <c:crossBetween val="between"/>
        <c:majorUnit val="200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15</xdr:col>
      <xdr:colOff>252403</xdr:colOff>
      <xdr:row>12</xdr:row>
      <xdr:rowOff>117660</xdr:rowOff>
    </xdr:from>
    <xdr:to>
      <xdr:col>25</xdr:col>
      <xdr:colOff>493973</xdr:colOff>
      <xdr:row>31</xdr:row>
      <xdr:rowOff>134469</xdr:rowOff>
    </xdr:to>
    <xdr:pic>
      <xdr:nvPicPr>
        <xdr:cNvPr id="2" name="Picture 1"/>
        <xdr:cNvPicPr>
          <a:picLocks noChangeAspect="1"/>
        </xdr:cNvPicPr>
      </xdr:nvPicPr>
      <xdr:blipFill>
        <a:blip xmlns:r="http://schemas.openxmlformats.org/officeDocument/2006/relationships" r:embed="rId1"/>
        <a:stretch>
          <a:fillRect/>
        </a:stretch>
      </xdr:blipFill>
      <xdr:spPr>
        <a:xfrm>
          <a:off x="14741609" y="2493307"/>
          <a:ext cx="9049393" cy="41069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156882</xdr:colOff>
      <xdr:row>32</xdr:row>
      <xdr:rowOff>78441</xdr:rowOff>
    </xdr:from>
    <xdr:to>
      <xdr:col>8</xdr:col>
      <xdr:colOff>795616</xdr:colOff>
      <xdr:row>47</xdr:row>
      <xdr:rowOff>155761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9:B15"/>
  <sheetViews>
    <sheetView showGridLines="0" workbookViewId="0"/>
  </sheetViews>
  <sheetFormatPr defaultRowHeight="15" x14ac:dyDescent="0.25"/>
  <sheetData>
    <row r="9" spans="1:2" x14ac:dyDescent="0.25">
      <c r="A9" s="72" t="s">
        <v>65</v>
      </c>
      <c r="B9" s="71"/>
    </row>
    <row r="10" spans="1:2" x14ac:dyDescent="0.25">
      <c r="A10" s="73" t="s">
        <v>61</v>
      </c>
      <c r="B10" s="71" t="s">
        <v>66</v>
      </c>
    </row>
    <row r="11" spans="1:2" x14ac:dyDescent="0.25">
      <c r="A11" s="73" t="s">
        <v>67</v>
      </c>
      <c r="B11" s="71" t="s">
        <v>68</v>
      </c>
    </row>
    <row r="12" spans="1:2" x14ac:dyDescent="0.25">
      <c r="A12" s="73" t="s">
        <v>69</v>
      </c>
      <c r="B12" s="71" t="s">
        <v>70</v>
      </c>
    </row>
    <row r="13" spans="1:2" x14ac:dyDescent="0.25">
      <c r="A13" s="73" t="s">
        <v>71</v>
      </c>
      <c r="B13" s="71" t="s">
        <v>72</v>
      </c>
    </row>
    <row r="15" spans="1:2" x14ac:dyDescent="0.25">
      <c r="A15" s="72" t="s">
        <v>73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O42"/>
  <sheetViews>
    <sheetView tabSelected="1" workbookViewId="0">
      <selection activeCell="H14" sqref="H14"/>
    </sheetView>
  </sheetViews>
  <sheetFormatPr defaultRowHeight="15" x14ac:dyDescent="0.25"/>
  <cols>
    <col min="1" max="1" width="30.85546875" bestFit="1" customWidth="1"/>
  </cols>
  <sheetData>
    <row r="1" spans="1:15" x14ac:dyDescent="0.25">
      <c r="A1" s="68" t="s">
        <v>61</v>
      </c>
    </row>
    <row r="2" spans="1:15" x14ac:dyDescent="0.25">
      <c r="A2">
        <v>1</v>
      </c>
      <c r="B2" t="s">
        <v>0</v>
      </c>
    </row>
    <row r="4" spans="1:15" x14ac:dyDescent="0.25">
      <c r="A4">
        <v>2</v>
      </c>
      <c r="B4" t="s">
        <v>56</v>
      </c>
    </row>
    <row r="6" spans="1:15" x14ac:dyDescent="0.25">
      <c r="A6" t="s">
        <v>11</v>
      </c>
      <c r="B6" t="s">
        <v>12</v>
      </c>
      <c r="C6" s="9">
        <v>0.1</v>
      </c>
    </row>
    <row r="7" spans="1:15" x14ac:dyDescent="0.25">
      <c r="B7" t="s">
        <v>13</v>
      </c>
      <c r="C7" s="9">
        <v>0.05</v>
      </c>
    </row>
    <row r="8" spans="1:15" x14ac:dyDescent="0.25">
      <c r="G8" s="135" t="s">
        <v>116</v>
      </c>
    </row>
    <row r="9" spans="1:15" x14ac:dyDescent="0.25">
      <c r="A9" t="s">
        <v>16</v>
      </c>
      <c r="B9" t="s">
        <v>12</v>
      </c>
      <c r="C9" s="10">
        <v>50</v>
      </c>
      <c r="G9">
        <v>1</v>
      </c>
      <c r="H9" t="s">
        <v>117</v>
      </c>
    </row>
    <row r="10" spans="1:15" x14ac:dyDescent="0.25">
      <c r="B10" t="s">
        <v>13</v>
      </c>
      <c r="C10" s="10">
        <v>60</v>
      </c>
      <c r="G10">
        <v>2</v>
      </c>
      <c r="H10" t="s">
        <v>118</v>
      </c>
      <c r="K10" s="137" t="s">
        <v>123</v>
      </c>
    </row>
    <row r="11" spans="1:15" x14ac:dyDescent="0.25">
      <c r="G11">
        <v>3</v>
      </c>
      <c r="H11" t="s">
        <v>119</v>
      </c>
    </row>
    <row r="12" spans="1:15" x14ac:dyDescent="0.25">
      <c r="G12">
        <v>4</v>
      </c>
      <c r="H12" t="s">
        <v>120</v>
      </c>
    </row>
    <row r="13" spans="1:15" x14ac:dyDescent="0.25">
      <c r="A13" s="132" t="s">
        <v>132</v>
      </c>
      <c r="G13">
        <v>5</v>
      </c>
      <c r="H13" t="s">
        <v>121</v>
      </c>
      <c r="K13" t="s">
        <v>131</v>
      </c>
    </row>
    <row r="14" spans="1:15" x14ac:dyDescent="0.25">
      <c r="G14">
        <v>6</v>
      </c>
      <c r="H14" t="s">
        <v>127</v>
      </c>
      <c r="O14" s="141" t="s">
        <v>130</v>
      </c>
    </row>
    <row r="15" spans="1:15" ht="18" x14ac:dyDescent="0.35">
      <c r="A15" s="132" t="s">
        <v>1</v>
      </c>
      <c r="B15" s="141" t="s">
        <v>133</v>
      </c>
      <c r="G15">
        <v>7</v>
      </c>
      <c r="H15" t="s">
        <v>128</v>
      </c>
      <c r="K15" s="137" t="s">
        <v>129</v>
      </c>
    </row>
    <row r="16" spans="1:15" x14ac:dyDescent="0.25">
      <c r="B16" t="s">
        <v>135</v>
      </c>
    </row>
    <row r="17" spans="1:7" x14ac:dyDescent="0.25">
      <c r="B17" s="141" t="s">
        <v>136</v>
      </c>
    </row>
    <row r="18" spans="1:7" x14ac:dyDescent="0.25">
      <c r="A18" t="s">
        <v>2</v>
      </c>
      <c r="B18" s="9">
        <v>0.05</v>
      </c>
      <c r="C18" s="15" t="s">
        <v>53</v>
      </c>
    </row>
    <row r="19" spans="1:7" x14ac:dyDescent="0.25">
      <c r="A19" t="s">
        <v>39</v>
      </c>
      <c r="B19" s="53">
        <v>0.75</v>
      </c>
    </row>
    <row r="20" spans="1:7" x14ac:dyDescent="0.25">
      <c r="A20" t="s">
        <v>3</v>
      </c>
      <c r="B20" t="s">
        <v>12</v>
      </c>
      <c r="C20" s="53">
        <f>'opening demographics'!F12</f>
        <v>3.6484317092170926E-2</v>
      </c>
      <c r="D20" s="15" t="s">
        <v>53</v>
      </c>
    </row>
    <row r="21" spans="1:7" x14ac:dyDescent="0.25">
      <c r="B21" t="s">
        <v>13</v>
      </c>
      <c r="C21" s="53">
        <f>'opening demographics'!G12</f>
        <v>1.501035790919647E-2</v>
      </c>
      <c r="D21" s="15" t="s">
        <v>53</v>
      </c>
    </row>
    <row r="23" spans="1:7" x14ac:dyDescent="0.25">
      <c r="A23" t="s">
        <v>14</v>
      </c>
      <c r="B23" s="9">
        <v>0.04</v>
      </c>
      <c r="C23" s="15" t="s">
        <v>53</v>
      </c>
    </row>
    <row r="25" spans="1:7" x14ac:dyDescent="0.25">
      <c r="A25" t="s">
        <v>4</v>
      </c>
      <c r="B25" s="9">
        <v>0.1</v>
      </c>
      <c r="C25" s="15" t="s">
        <v>52</v>
      </c>
      <c r="E25" s="15" t="s">
        <v>57</v>
      </c>
      <c r="G25" s="134" t="s">
        <v>114</v>
      </c>
    </row>
    <row r="26" spans="1:7" x14ac:dyDescent="0.25">
      <c r="C26" s="15"/>
      <c r="G26" s="91" t="s">
        <v>102</v>
      </c>
    </row>
    <row r="27" spans="1:7" x14ac:dyDescent="0.25">
      <c r="A27" t="s">
        <v>55</v>
      </c>
      <c r="B27" s="9">
        <v>0.1</v>
      </c>
      <c r="C27" s="15" t="s">
        <v>52</v>
      </c>
      <c r="E27" s="15" t="s">
        <v>57</v>
      </c>
      <c r="G27" t="s">
        <v>103</v>
      </c>
    </row>
    <row r="28" spans="1:7" x14ac:dyDescent="0.25">
      <c r="G28" t="s">
        <v>104</v>
      </c>
    </row>
    <row r="29" spans="1:7" x14ac:dyDescent="0.25">
      <c r="G29" t="s">
        <v>62</v>
      </c>
    </row>
    <row r="30" spans="1:7" x14ac:dyDescent="0.25">
      <c r="G30" s="133" t="s">
        <v>105</v>
      </c>
    </row>
    <row r="31" spans="1:7" x14ac:dyDescent="0.25">
      <c r="G31" s="133" t="s">
        <v>107</v>
      </c>
    </row>
    <row r="32" spans="1:7" x14ac:dyDescent="0.25">
      <c r="G32" s="133" t="s">
        <v>106</v>
      </c>
    </row>
    <row r="34" spans="7:7" x14ac:dyDescent="0.25">
      <c r="G34" s="134" t="s">
        <v>115</v>
      </c>
    </row>
    <row r="35" spans="7:7" x14ac:dyDescent="0.25">
      <c r="G35" t="s">
        <v>110</v>
      </c>
    </row>
    <row r="36" spans="7:7" x14ac:dyDescent="0.25">
      <c r="G36" t="s">
        <v>108</v>
      </c>
    </row>
    <row r="38" spans="7:7" x14ac:dyDescent="0.25">
      <c r="G38" s="91" t="s">
        <v>109</v>
      </c>
    </row>
    <row r="40" spans="7:7" x14ac:dyDescent="0.25">
      <c r="G40" s="134" t="s">
        <v>112</v>
      </c>
    </row>
    <row r="41" spans="7:7" x14ac:dyDescent="0.25">
      <c r="G41" s="91" t="s">
        <v>111</v>
      </c>
    </row>
    <row r="42" spans="7:7" x14ac:dyDescent="0.25">
      <c r="G42" t="s">
        <v>113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249977111117893"/>
  </sheetPr>
  <dimension ref="A1"/>
  <sheetViews>
    <sheetView showGridLines="0"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59999389629810485"/>
  </sheetPr>
  <dimension ref="A1:H81"/>
  <sheetViews>
    <sheetView zoomScale="85" zoomScaleNormal="85" workbookViewId="0">
      <selection activeCell="F17" sqref="F17"/>
    </sheetView>
  </sheetViews>
  <sheetFormatPr defaultRowHeight="15" x14ac:dyDescent="0.25"/>
  <cols>
    <col min="1" max="1" width="2.85546875" customWidth="1"/>
    <col min="2" max="2" width="14.85546875" customWidth="1"/>
    <col min="3" max="3" width="17.85546875" bestFit="1" customWidth="1"/>
    <col min="4" max="4" width="11.140625" customWidth="1"/>
    <col min="5" max="5" width="17.85546875" bestFit="1" customWidth="1"/>
    <col min="6" max="7" width="17.85546875" customWidth="1"/>
    <col min="8" max="8" width="17.42578125" bestFit="1" customWidth="1"/>
  </cols>
  <sheetData>
    <row r="1" spans="1:8" ht="16.5" thickBot="1" x14ac:dyDescent="0.3">
      <c r="A1" s="98" t="s">
        <v>60</v>
      </c>
    </row>
    <row r="2" spans="1:8" ht="15.75" x14ac:dyDescent="0.25">
      <c r="B2" s="103" t="s">
        <v>30</v>
      </c>
      <c r="C2" s="55" t="s">
        <v>41</v>
      </c>
      <c r="D2" s="56" t="str">
        <f>RIGHT($B$3,1)</f>
        <v>A</v>
      </c>
      <c r="F2" s="65" t="s">
        <v>58</v>
      </c>
    </row>
    <row r="3" spans="1:8" ht="16.5" thickBot="1" x14ac:dyDescent="0.3">
      <c r="B3" s="104" t="s">
        <v>80</v>
      </c>
      <c r="C3" s="55" t="s">
        <v>92</v>
      </c>
      <c r="D3" s="56">
        <f>VLOOKUP($B$3,'opening demographics'!$A$1:$E$11,3,FALSE)</f>
        <v>30</v>
      </c>
      <c r="F3" s="65" t="s">
        <v>59</v>
      </c>
    </row>
    <row r="4" spans="1:8" x14ac:dyDescent="0.25">
      <c r="C4" s="55" t="s">
        <v>42</v>
      </c>
      <c r="D4" s="56">
        <f>VALUE(LEFT($B$3,2))</f>
        <v>45</v>
      </c>
    </row>
    <row r="5" spans="1:8" x14ac:dyDescent="0.25">
      <c r="C5" s="55" t="s">
        <v>43</v>
      </c>
      <c r="D5" s="56">
        <f ca="1">INDIRECT("NRA_"&amp;$D$2)</f>
        <v>50</v>
      </c>
    </row>
    <row r="6" spans="1:8" x14ac:dyDescent="0.25">
      <c r="C6" s="55" t="s">
        <v>44</v>
      </c>
      <c r="D6" s="57">
        <f ca="1">INDIRECT("accrual_rate_"&amp;$D$2)</f>
        <v>0.1</v>
      </c>
    </row>
    <row r="7" spans="1:8" x14ac:dyDescent="0.25">
      <c r="C7" s="55" t="s">
        <v>45</v>
      </c>
      <c r="D7" s="58">
        <f>VLOOKUP($B$3,'opening demographics'!$A$1:$E$11,4,FALSE)</f>
        <v>175000</v>
      </c>
    </row>
    <row r="8" spans="1:8" x14ac:dyDescent="0.25">
      <c r="C8" s="55" t="s">
        <v>46</v>
      </c>
      <c r="D8" s="59">
        <f ca="1">INDIRECT("e_"&amp;$D$2)</f>
        <v>3.6484317092170926E-2</v>
      </c>
    </row>
    <row r="10" spans="1:8" ht="51.75" customHeight="1" x14ac:dyDescent="0.25">
      <c r="B10" s="54" t="s">
        <v>32</v>
      </c>
      <c r="C10" s="54" t="s">
        <v>36</v>
      </c>
      <c r="D10" s="54" t="s">
        <v>49</v>
      </c>
      <c r="E10" s="54" t="s">
        <v>2</v>
      </c>
      <c r="F10" s="54" t="s">
        <v>51</v>
      </c>
      <c r="G10" s="54" t="s">
        <v>54</v>
      </c>
      <c r="H10" s="54" t="s">
        <v>50</v>
      </c>
    </row>
    <row r="11" spans="1:8" x14ac:dyDescent="0.25">
      <c r="B11" s="45">
        <v>1</v>
      </c>
      <c r="C11" s="60">
        <f>D4</f>
        <v>45</v>
      </c>
      <c r="D11" s="66">
        <v>1</v>
      </c>
      <c r="E11" s="67">
        <f t="shared" ref="E11:E42" ca="1" si="0">IF($D$2="A",(D11-G11)*withdraw_rate*(C11&lt;$D$5),(D11-G11)*withdraw_rate*(C11&lt;&gt;$D$5))</f>
        <v>0.05</v>
      </c>
      <c r="F11" s="67">
        <f t="shared" ref="F11:F42" ca="1" si="1">IF($D$2="A",(D11-G11)*retire_rate_A*(C11&gt;=$D$5),(D11-G11)*100%*(C11=$D$5))</f>
        <v>0</v>
      </c>
      <c r="G11" s="67">
        <f t="shared" ref="G11:G42" ca="1" si="2">IF($D$2="A",D11*mort_rate_A*(C11&gt;=$D$5),0)</f>
        <v>0</v>
      </c>
      <c r="H11" s="67">
        <f ca="1">D11-E11-F11-G11</f>
        <v>0.95</v>
      </c>
    </row>
    <row r="12" spans="1:8" x14ac:dyDescent="0.25">
      <c r="B12" s="45">
        <f>IF($C12="","",B11+1)</f>
        <v>2</v>
      </c>
      <c r="C12" s="22">
        <f t="shared" ref="C12:C43" si="3">IF(C11="","",IF($D$2="A",C11+1,IF(C11+1&gt;$D$5,"",C11+1)))</f>
        <v>46</v>
      </c>
      <c r="D12" s="67">
        <f ca="1">H11</f>
        <v>0.95</v>
      </c>
      <c r="E12" s="67">
        <f t="shared" ca="1" si="0"/>
        <v>4.7500000000000001E-2</v>
      </c>
      <c r="F12" s="67">
        <f t="shared" ca="1" si="1"/>
        <v>0</v>
      </c>
      <c r="G12" s="67">
        <f t="shared" ca="1" si="2"/>
        <v>0</v>
      </c>
      <c r="H12" s="67">
        <f t="shared" ref="H12:H75" ca="1" si="4">D12-E12-F12-G12</f>
        <v>0.90249999999999997</v>
      </c>
    </row>
    <row r="13" spans="1:8" x14ac:dyDescent="0.25">
      <c r="B13" s="45">
        <f t="shared" ref="B13:B76" si="5">IF($C13="","",B12+1)</f>
        <v>3</v>
      </c>
      <c r="C13" s="22">
        <f t="shared" si="3"/>
        <v>47</v>
      </c>
      <c r="D13" s="67">
        <f t="shared" ref="D13:D76" ca="1" si="6">H12</f>
        <v>0.90249999999999997</v>
      </c>
      <c r="E13" s="67">
        <f t="shared" ca="1" si="0"/>
        <v>4.5124999999999998E-2</v>
      </c>
      <c r="F13" s="67">
        <f t="shared" ca="1" si="1"/>
        <v>0</v>
      </c>
      <c r="G13" s="67">
        <f t="shared" ca="1" si="2"/>
        <v>0</v>
      </c>
      <c r="H13" s="67">
        <f t="shared" ca="1" si="4"/>
        <v>0.857375</v>
      </c>
    </row>
    <row r="14" spans="1:8" x14ac:dyDescent="0.25">
      <c r="B14" s="45">
        <f t="shared" si="5"/>
        <v>4</v>
      </c>
      <c r="C14" s="22">
        <f t="shared" si="3"/>
        <v>48</v>
      </c>
      <c r="D14" s="67">
        <f t="shared" ca="1" si="6"/>
        <v>0.857375</v>
      </c>
      <c r="E14" s="67">
        <f t="shared" ca="1" si="0"/>
        <v>4.2868750000000004E-2</v>
      </c>
      <c r="F14" s="67">
        <f t="shared" ca="1" si="1"/>
        <v>0</v>
      </c>
      <c r="G14" s="67">
        <f t="shared" ca="1" si="2"/>
        <v>0</v>
      </c>
      <c r="H14" s="67">
        <f t="shared" ca="1" si="4"/>
        <v>0.81450624999999999</v>
      </c>
    </row>
    <row r="15" spans="1:8" x14ac:dyDescent="0.25">
      <c r="B15" s="45">
        <f t="shared" si="5"/>
        <v>5</v>
      </c>
      <c r="C15" s="22">
        <f t="shared" si="3"/>
        <v>49</v>
      </c>
      <c r="D15" s="67">
        <f t="shared" ca="1" si="6"/>
        <v>0.81450624999999999</v>
      </c>
      <c r="E15" s="67">
        <f t="shared" ca="1" si="0"/>
        <v>4.0725312499999999E-2</v>
      </c>
      <c r="F15" s="67">
        <f t="shared" ca="1" si="1"/>
        <v>0</v>
      </c>
      <c r="G15" s="67">
        <f t="shared" ca="1" si="2"/>
        <v>0</v>
      </c>
      <c r="H15" s="67">
        <f t="shared" ca="1" si="4"/>
        <v>0.77378093749999999</v>
      </c>
    </row>
    <row r="16" spans="1:8" x14ac:dyDescent="0.25">
      <c r="B16" s="45">
        <f t="shared" si="5"/>
        <v>6</v>
      </c>
      <c r="C16" s="22">
        <f t="shared" si="3"/>
        <v>50</v>
      </c>
      <c r="D16" s="67">
        <f t="shared" ca="1" si="6"/>
        <v>0.77378093749999999</v>
      </c>
      <c r="E16" s="67">
        <f t="shared" ca="1" si="0"/>
        <v>0</v>
      </c>
      <c r="F16" s="67">
        <f t="shared" ca="1" si="1"/>
        <v>6.9640284375E-2</v>
      </c>
      <c r="G16" s="67">
        <f t="shared" ca="1" si="2"/>
        <v>7.7378093750000002E-2</v>
      </c>
      <c r="H16" s="67">
        <f t="shared" ca="1" si="4"/>
        <v>0.62676255937499992</v>
      </c>
    </row>
    <row r="17" spans="2:8" x14ac:dyDescent="0.25">
      <c r="B17" s="45">
        <f t="shared" si="5"/>
        <v>7</v>
      </c>
      <c r="C17" s="22">
        <f t="shared" si="3"/>
        <v>51</v>
      </c>
      <c r="D17" s="67">
        <f t="shared" ca="1" si="6"/>
        <v>0.62676255937499992</v>
      </c>
      <c r="E17" s="67">
        <f t="shared" ca="1" si="0"/>
        <v>0</v>
      </c>
      <c r="F17" s="67">
        <f t="shared" ca="1" si="1"/>
        <v>5.6408630343749988E-2</v>
      </c>
      <c r="G17" s="67">
        <f t="shared" ca="1" si="2"/>
        <v>6.2676255937499994E-2</v>
      </c>
      <c r="H17" s="67">
        <f t="shared" ca="1" si="4"/>
        <v>0.50767767309374989</v>
      </c>
    </row>
    <row r="18" spans="2:8" x14ac:dyDescent="0.25">
      <c r="B18" s="45">
        <f t="shared" si="5"/>
        <v>8</v>
      </c>
      <c r="C18" s="22">
        <f t="shared" si="3"/>
        <v>52</v>
      </c>
      <c r="D18" s="67">
        <f t="shared" ca="1" si="6"/>
        <v>0.50767767309374989</v>
      </c>
      <c r="E18" s="67">
        <f t="shared" ca="1" si="0"/>
        <v>0</v>
      </c>
      <c r="F18" s="67">
        <f t="shared" ca="1" si="1"/>
        <v>4.5690990578437493E-2</v>
      </c>
      <c r="G18" s="67">
        <f t="shared" ca="1" si="2"/>
        <v>5.0767767309374989E-2</v>
      </c>
      <c r="H18" s="67">
        <f t="shared" ca="1" si="4"/>
        <v>0.4112189152059374</v>
      </c>
    </row>
    <row r="19" spans="2:8" x14ac:dyDescent="0.25">
      <c r="B19" s="45">
        <f t="shared" si="5"/>
        <v>9</v>
      </c>
      <c r="C19" s="22">
        <f t="shared" si="3"/>
        <v>53</v>
      </c>
      <c r="D19" s="67">
        <f t="shared" ca="1" si="6"/>
        <v>0.4112189152059374</v>
      </c>
      <c r="E19" s="67">
        <f t="shared" ca="1" si="0"/>
        <v>0</v>
      </c>
      <c r="F19" s="67">
        <f t="shared" ca="1" si="1"/>
        <v>3.7009702368534368E-2</v>
      </c>
      <c r="G19" s="67">
        <f t="shared" ca="1" si="2"/>
        <v>4.1121891520593742E-2</v>
      </c>
      <c r="H19" s="67">
        <f t="shared" ca="1" si="4"/>
        <v>0.33308732131680929</v>
      </c>
    </row>
    <row r="20" spans="2:8" x14ac:dyDescent="0.25">
      <c r="B20" s="45">
        <f t="shared" si="5"/>
        <v>10</v>
      </c>
      <c r="C20" s="22">
        <f t="shared" si="3"/>
        <v>54</v>
      </c>
      <c r="D20" s="67">
        <f t="shared" ca="1" si="6"/>
        <v>0.33308732131680929</v>
      </c>
      <c r="E20" s="67">
        <f t="shared" ca="1" si="0"/>
        <v>0</v>
      </c>
      <c r="F20" s="67">
        <f t="shared" ca="1" si="1"/>
        <v>2.9977858918512835E-2</v>
      </c>
      <c r="G20" s="67">
        <f t="shared" ca="1" si="2"/>
        <v>3.3308732131680931E-2</v>
      </c>
      <c r="H20" s="67">
        <f t="shared" ca="1" si="4"/>
        <v>0.2698007302666155</v>
      </c>
    </row>
    <row r="21" spans="2:8" x14ac:dyDescent="0.25">
      <c r="B21" s="45">
        <f t="shared" si="5"/>
        <v>11</v>
      </c>
      <c r="C21" s="22">
        <f t="shared" si="3"/>
        <v>55</v>
      </c>
      <c r="D21" s="67">
        <f t="shared" ca="1" si="6"/>
        <v>0.2698007302666155</v>
      </c>
      <c r="E21" s="67">
        <f t="shared" ca="1" si="0"/>
        <v>0</v>
      </c>
      <c r="F21" s="67">
        <f t="shared" ca="1" si="1"/>
        <v>2.4282065723995397E-2</v>
      </c>
      <c r="G21" s="67">
        <f t="shared" ca="1" si="2"/>
        <v>2.6980073026661552E-2</v>
      </c>
      <c r="H21" s="67">
        <f t="shared" ca="1" si="4"/>
        <v>0.21853859151595856</v>
      </c>
    </row>
    <row r="22" spans="2:8" x14ac:dyDescent="0.25">
      <c r="B22" s="45">
        <f t="shared" si="5"/>
        <v>12</v>
      </c>
      <c r="C22" s="22">
        <f t="shared" si="3"/>
        <v>56</v>
      </c>
      <c r="D22" s="67">
        <f t="shared" ca="1" si="6"/>
        <v>0.21853859151595856</v>
      </c>
      <c r="E22" s="67">
        <f t="shared" ca="1" si="0"/>
        <v>0</v>
      </c>
      <c r="F22" s="67">
        <f t="shared" ca="1" si="1"/>
        <v>1.9668473236436272E-2</v>
      </c>
      <c r="G22" s="67">
        <f t="shared" ca="1" si="2"/>
        <v>2.1853859151595857E-2</v>
      </c>
      <c r="H22" s="67">
        <f t="shared" ca="1" si="4"/>
        <v>0.17701625912792643</v>
      </c>
    </row>
    <row r="23" spans="2:8" x14ac:dyDescent="0.25">
      <c r="B23" s="45">
        <f t="shared" si="5"/>
        <v>13</v>
      </c>
      <c r="C23" s="22">
        <f t="shared" si="3"/>
        <v>57</v>
      </c>
      <c r="D23" s="67">
        <f t="shared" ca="1" si="6"/>
        <v>0.17701625912792643</v>
      </c>
      <c r="E23" s="67">
        <f t="shared" ca="1" si="0"/>
        <v>0</v>
      </c>
      <c r="F23" s="67">
        <f t="shared" ca="1" si="1"/>
        <v>1.5931463321513378E-2</v>
      </c>
      <c r="G23" s="67">
        <f t="shared" ca="1" si="2"/>
        <v>1.7701625912792642E-2</v>
      </c>
      <c r="H23" s="67">
        <f t="shared" ca="1" si="4"/>
        <v>0.1433831698936204</v>
      </c>
    </row>
    <row r="24" spans="2:8" x14ac:dyDescent="0.25">
      <c r="B24" s="45">
        <f t="shared" si="5"/>
        <v>14</v>
      </c>
      <c r="C24" s="22">
        <f t="shared" si="3"/>
        <v>58</v>
      </c>
      <c r="D24" s="67">
        <f t="shared" ca="1" si="6"/>
        <v>0.1433831698936204</v>
      </c>
      <c r="E24" s="67">
        <f t="shared" ca="1" si="0"/>
        <v>0</v>
      </c>
      <c r="F24" s="67">
        <f t="shared" ca="1" si="1"/>
        <v>1.2904485290425838E-2</v>
      </c>
      <c r="G24" s="67">
        <f t="shared" ca="1" si="2"/>
        <v>1.433831698936204E-2</v>
      </c>
      <c r="H24" s="67">
        <f t="shared" ca="1" si="4"/>
        <v>0.11614036761383252</v>
      </c>
    </row>
    <row r="25" spans="2:8" x14ac:dyDescent="0.25">
      <c r="B25" s="45">
        <f t="shared" si="5"/>
        <v>15</v>
      </c>
      <c r="C25" s="22">
        <f t="shared" si="3"/>
        <v>59</v>
      </c>
      <c r="D25" s="67">
        <f t="shared" ca="1" si="6"/>
        <v>0.11614036761383252</v>
      </c>
      <c r="E25" s="67">
        <f t="shared" ca="1" si="0"/>
        <v>0</v>
      </c>
      <c r="F25" s="67">
        <f t="shared" ca="1" si="1"/>
        <v>1.0452633085244927E-2</v>
      </c>
      <c r="G25" s="67">
        <f t="shared" ca="1" si="2"/>
        <v>1.1614036761383253E-2</v>
      </c>
      <c r="H25" s="67">
        <f t="shared" ca="1" si="4"/>
        <v>9.407369776720434E-2</v>
      </c>
    </row>
    <row r="26" spans="2:8" x14ac:dyDescent="0.25">
      <c r="B26" s="45">
        <f t="shared" si="5"/>
        <v>16</v>
      </c>
      <c r="C26" s="22">
        <f t="shared" si="3"/>
        <v>60</v>
      </c>
      <c r="D26" s="67">
        <f t="shared" ca="1" si="6"/>
        <v>9.407369776720434E-2</v>
      </c>
      <c r="E26" s="67">
        <f t="shared" ca="1" si="0"/>
        <v>0</v>
      </c>
      <c r="F26" s="67">
        <f t="shared" ca="1" si="1"/>
        <v>8.4666327990483899E-3</v>
      </c>
      <c r="G26" s="67">
        <f t="shared" ca="1" si="2"/>
        <v>9.407369776720435E-3</v>
      </c>
      <c r="H26" s="67">
        <f t="shared" ca="1" si="4"/>
        <v>7.6199695191435518E-2</v>
      </c>
    </row>
    <row r="27" spans="2:8" x14ac:dyDescent="0.25">
      <c r="B27" s="45">
        <f t="shared" si="5"/>
        <v>17</v>
      </c>
      <c r="C27" s="22">
        <f t="shared" si="3"/>
        <v>61</v>
      </c>
      <c r="D27" s="67">
        <f t="shared" ca="1" si="6"/>
        <v>7.6199695191435518E-2</v>
      </c>
      <c r="E27" s="67">
        <f t="shared" ca="1" si="0"/>
        <v>0</v>
      </c>
      <c r="F27" s="67">
        <f t="shared" ca="1" si="1"/>
        <v>6.8579725672291971E-3</v>
      </c>
      <c r="G27" s="67">
        <f t="shared" ca="1" si="2"/>
        <v>7.6199695191435518E-3</v>
      </c>
      <c r="H27" s="67">
        <f t="shared" ca="1" si="4"/>
        <v>6.1721753105062768E-2</v>
      </c>
    </row>
    <row r="28" spans="2:8" x14ac:dyDescent="0.25">
      <c r="B28" s="45">
        <f t="shared" si="5"/>
        <v>18</v>
      </c>
      <c r="C28" s="22">
        <f t="shared" si="3"/>
        <v>62</v>
      </c>
      <c r="D28" s="67">
        <f t="shared" ca="1" si="6"/>
        <v>6.1721753105062768E-2</v>
      </c>
      <c r="E28" s="67">
        <f t="shared" ca="1" si="0"/>
        <v>0</v>
      </c>
      <c r="F28" s="67">
        <f t="shared" ca="1" si="1"/>
        <v>5.5549577794556495E-3</v>
      </c>
      <c r="G28" s="67">
        <f t="shared" ca="1" si="2"/>
        <v>6.1721753105062772E-3</v>
      </c>
      <c r="H28" s="67">
        <f t="shared" ca="1" si="4"/>
        <v>4.9994620015100841E-2</v>
      </c>
    </row>
    <row r="29" spans="2:8" x14ac:dyDescent="0.25">
      <c r="B29" s="45">
        <f t="shared" si="5"/>
        <v>19</v>
      </c>
      <c r="C29" s="22">
        <f t="shared" si="3"/>
        <v>63</v>
      </c>
      <c r="D29" s="67">
        <f t="shared" ca="1" si="6"/>
        <v>4.9994620015100841E-2</v>
      </c>
      <c r="E29" s="67">
        <f t="shared" ca="1" si="0"/>
        <v>0</v>
      </c>
      <c r="F29" s="67">
        <f t="shared" ca="1" si="1"/>
        <v>4.4995158013590754E-3</v>
      </c>
      <c r="G29" s="67">
        <f t="shared" ca="1" si="2"/>
        <v>4.9994620015100842E-3</v>
      </c>
      <c r="H29" s="67">
        <f t="shared" ca="1" si="4"/>
        <v>4.0495642212231682E-2</v>
      </c>
    </row>
    <row r="30" spans="2:8" x14ac:dyDescent="0.25">
      <c r="B30" s="45">
        <f t="shared" si="5"/>
        <v>20</v>
      </c>
      <c r="C30" s="22">
        <f t="shared" si="3"/>
        <v>64</v>
      </c>
      <c r="D30" s="67">
        <f t="shared" ca="1" si="6"/>
        <v>4.0495642212231682E-2</v>
      </c>
      <c r="E30" s="67">
        <f t="shared" ca="1" si="0"/>
        <v>0</v>
      </c>
      <c r="F30" s="67">
        <f t="shared" ca="1" si="1"/>
        <v>3.6446077991008513E-3</v>
      </c>
      <c r="G30" s="67">
        <f t="shared" ca="1" si="2"/>
        <v>4.0495642212231685E-3</v>
      </c>
      <c r="H30" s="67">
        <f t="shared" ca="1" si="4"/>
        <v>3.2801470191907663E-2</v>
      </c>
    </row>
    <row r="31" spans="2:8" x14ac:dyDescent="0.25">
      <c r="B31" s="45">
        <f t="shared" si="5"/>
        <v>21</v>
      </c>
      <c r="C31" s="22">
        <f t="shared" si="3"/>
        <v>65</v>
      </c>
      <c r="D31" s="67">
        <f t="shared" ca="1" si="6"/>
        <v>3.2801470191907663E-2</v>
      </c>
      <c r="E31" s="67">
        <f t="shared" ca="1" si="0"/>
        <v>0</v>
      </c>
      <c r="F31" s="67">
        <f t="shared" ca="1" si="1"/>
        <v>2.9521323172716895E-3</v>
      </c>
      <c r="G31" s="67">
        <f t="shared" ca="1" si="2"/>
        <v>3.2801470191907663E-3</v>
      </c>
      <c r="H31" s="67">
        <f t="shared" ca="1" si="4"/>
        <v>2.6569190855445204E-2</v>
      </c>
    </row>
    <row r="32" spans="2:8" x14ac:dyDescent="0.25">
      <c r="B32" s="45">
        <f t="shared" si="5"/>
        <v>22</v>
      </c>
      <c r="C32" s="22">
        <f t="shared" si="3"/>
        <v>66</v>
      </c>
      <c r="D32" s="67">
        <f t="shared" ca="1" si="6"/>
        <v>2.6569190855445204E-2</v>
      </c>
      <c r="E32" s="67">
        <f t="shared" ca="1" si="0"/>
        <v>0</v>
      </c>
      <c r="F32" s="67">
        <f t="shared" ca="1" si="1"/>
        <v>2.3912271769900685E-3</v>
      </c>
      <c r="G32" s="67">
        <f t="shared" ca="1" si="2"/>
        <v>2.6569190855445205E-3</v>
      </c>
      <c r="H32" s="67">
        <f t="shared" ca="1" si="4"/>
        <v>2.1521044592910616E-2</v>
      </c>
    </row>
    <row r="33" spans="2:8" x14ac:dyDescent="0.25">
      <c r="B33" s="45">
        <f t="shared" si="5"/>
        <v>23</v>
      </c>
      <c r="C33" s="22">
        <f t="shared" si="3"/>
        <v>67</v>
      </c>
      <c r="D33" s="67">
        <f t="shared" ca="1" si="6"/>
        <v>2.1521044592910616E-2</v>
      </c>
      <c r="E33" s="67">
        <f t="shared" ca="1" si="0"/>
        <v>0</v>
      </c>
      <c r="F33" s="67">
        <f t="shared" ca="1" si="1"/>
        <v>1.9368940133619554E-3</v>
      </c>
      <c r="G33" s="67">
        <f t="shared" ca="1" si="2"/>
        <v>2.1521044592910615E-3</v>
      </c>
      <c r="H33" s="67">
        <f t="shared" ca="1" si="4"/>
        <v>1.7432046120257599E-2</v>
      </c>
    </row>
    <row r="34" spans="2:8" x14ac:dyDescent="0.25">
      <c r="B34" s="45">
        <f t="shared" si="5"/>
        <v>24</v>
      </c>
      <c r="C34" s="22">
        <f t="shared" si="3"/>
        <v>68</v>
      </c>
      <c r="D34" s="67">
        <f t="shared" ca="1" si="6"/>
        <v>1.7432046120257599E-2</v>
      </c>
      <c r="E34" s="67">
        <f t="shared" ca="1" si="0"/>
        <v>0</v>
      </c>
      <c r="F34" s="67">
        <f t="shared" ca="1" si="1"/>
        <v>1.5688841508231842E-3</v>
      </c>
      <c r="G34" s="67">
        <f t="shared" ca="1" si="2"/>
        <v>1.7432046120257599E-3</v>
      </c>
      <c r="H34" s="67">
        <f t="shared" ca="1" si="4"/>
        <v>1.4119957357408655E-2</v>
      </c>
    </row>
    <row r="35" spans="2:8" x14ac:dyDescent="0.25">
      <c r="B35" s="45">
        <f t="shared" si="5"/>
        <v>25</v>
      </c>
      <c r="C35" s="22">
        <f t="shared" si="3"/>
        <v>69</v>
      </c>
      <c r="D35" s="67">
        <f t="shared" ca="1" si="6"/>
        <v>1.4119957357408655E-2</v>
      </c>
      <c r="E35" s="67">
        <f t="shared" ca="1" si="0"/>
        <v>0</v>
      </c>
      <c r="F35" s="67">
        <f t="shared" ca="1" si="1"/>
        <v>1.2707961621667792E-3</v>
      </c>
      <c r="G35" s="67">
        <f t="shared" ca="1" si="2"/>
        <v>1.4119957357408657E-3</v>
      </c>
      <c r="H35" s="67">
        <f t="shared" ca="1" si="4"/>
        <v>1.1437165459501011E-2</v>
      </c>
    </row>
    <row r="36" spans="2:8" x14ac:dyDescent="0.25">
      <c r="B36" s="45">
        <f t="shared" si="5"/>
        <v>26</v>
      </c>
      <c r="C36" s="22">
        <f t="shared" si="3"/>
        <v>70</v>
      </c>
      <c r="D36" s="67">
        <f t="shared" ca="1" si="6"/>
        <v>1.1437165459501011E-2</v>
      </c>
      <c r="E36" s="67">
        <f t="shared" ca="1" si="0"/>
        <v>0</v>
      </c>
      <c r="F36" s="67">
        <f t="shared" ca="1" si="1"/>
        <v>1.029344891355091E-3</v>
      </c>
      <c r="G36" s="67">
        <f t="shared" ca="1" si="2"/>
        <v>1.1437165459501012E-3</v>
      </c>
      <c r="H36" s="67">
        <f t="shared" ca="1" si="4"/>
        <v>9.2641040221958203E-3</v>
      </c>
    </row>
    <row r="37" spans="2:8" x14ac:dyDescent="0.25">
      <c r="B37" s="45">
        <f t="shared" si="5"/>
        <v>27</v>
      </c>
      <c r="C37" s="22">
        <f t="shared" si="3"/>
        <v>71</v>
      </c>
      <c r="D37" s="67">
        <f t="shared" ca="1" si="6"/>
        <v>9.2641040221958203E-3</v>
      </c>
      <c r="E37" s="67">
        <f t="shared" ca="1" si="0"/>
        <v>0</v>
      </c>
      <c r="F37" s="67">
        <f t="shared" ca="1" si="1"/>
        <v>8.3376936199762398E-4</v>
      </c>
      <c r="G37" s="67">
        <f t="shared" ca="1" si="2"/>
        <v>9.2641040221958209E-4</v>
      </c>
      <c r="H37" s="67">
        <f t="shared" ca="1" si="4"/>
        <v>7.5039242579786137E-3</v>
      </c>
    </row>
    <row r="38" spans="2:8" x14ac:dyDescent="0.25">
      <c r="B38" s="45">
        <f t="shared" si="5"/>
        <v>28</v>
      </c>
      <c r="C38" s="22">
        <f t="shared" si="3"/>
        <v>72</v>
      </c>
      <c r="D38" s="67">
        <f t="shared" ca="1" si="6"/>
        <v>7.5039242579786137E-3</v>
      </c>
      <c r="E38" s="67">
        <f t="shared" ca="1" si="0"/>
        <v>0</v>
      </c>
      <c r="F38" s="67">
        <f t="shared" ca="1" si="1"/>
        <v>6.7535318321807532E-4</v>
      </c>
      <c r="G38" s="67">
        <f t="shared" ca="1" si="2"/>
        <v>7.5039242579786139E-4</v>
      </c>
      <c r="H38" s="67">
        <f t="shared" ca="1" si="4"/>
        <v>6.0781786489626771E-3</v>
      </c>
    </row>
    <row r="39" spans="2:8" x14ac:dyDescent="0.25">
      <c r="B39" s="45">
        <f t="shared" si="5"/>
        <v>29</v>
      </c>
      <c r="C39" s="22">
        <f t="shared" si="3"/>
        <v>73</v>
      </c>
      <c r="D39" s="67">
        <f t="shared" ca="1" si="6"/>
        <v>6.0781786489626771E-3</v>
      </c>
      <c r="E39" s="67">
        <f t="shared" ca="1" si="0"/>
        <v>0</v>
      </c>
      <c r="F39" s="67">
        <f t="shared" ca="1" si="1"/>
        <v>5.4703607840664097E-4</v>
      </c>
      <c r="G39" s="67">
        <f t="shared" ca="1" si="2"/>
        <v>6.0781786489626775E-4</v>
      </c>
      <c r="H39" s="67">
        <f t="shared" ca="1" si="4"/>
        <v>4.9233247056597682E-3</v>
      </c>
    </row>
    <row r="40" spans="2:8" x14ac:dyDescent="0.25">
      <c r="B40" s="45">
        <f t="shared" si="5"/>
        <v>30</v>
      </c>
      <c r="C40" s="22">
        <f t="shared" si="3"/>
        <v>74</v>
      </c>
      <c r="D40" s="67">
        <f t="shared" ca="1" si="6"/>
        <v>4.9233247056597682E-3</v>
      </c>
      <c r="E40" s="67">
        <f t="shared" ca="1" si="0"/>
        <v>0</v>
      </c>
      <c r="F40" s="67">
        <f t="shared" ca="1" si="1"/>
        <v>4.4309922350937916E-4</v>
      </c>
      <c r="G40" s="67">
        <f t="shared" ca="1" si="2"/>
        <v>4.9233247056597687E-4</v>
      </c>
      <c r="H40" s="67">
        <f t="shared" ca="1" si="4"/>
        <v>3.9878930115844124E-3</v>
      </c>
    </row>
    <row r="41" spans="2:8" x14ac:dyDescent="0.25">
      <c r="B41" s="45">
        <f t="shared" si="5"/>
        <v>31</v>
      </c>
      <c r="C41" s="22">
        <f t="shared" si="3"/>
        <v>75</v>
      </c>
      <c r="D41" s="67">
        <f t="shared" ca="1" si="6"/>
        <v>3.9878930115844124E-3</v>
      </c>
      <c r="E41" s="67">
        <f t="shared" ca="1" si="0"/>
        <v>0</v>
      </c>
      <c r="F41" s="67">
        <f t="shared" ca="1" si="1"/>
        <v>3.5891037104259714E-4</v>
      </c>
      <c r="G41" s="67">
        <f t="shared" ca="1" si="2"/>
        <v>3.9878930115844126E-4</v>
      </c>
      <c r="H41" s="67">
        <f t="shared" ca="1" si="4"/>
        <v>3.230193339383374E-3</v>
      </c>
    </row>
    <row r="42" spans="2:8" x14ac:dyDescent="0.25">
      <c r="B42" s="45">
        <f t="shared" si="5"/>
        <v>32</v>
      </c>
      <c r="C42" s="22">
        <f t="shared" si="3"/>
        <v>76</v>
      </c>
      <c r="D42" s="67">
        <f t="shared" ca="1" si="6"/>
        <v>3.230193339383374E-3</v>
      </c>
      <c r="E42" s="67">
        <f t="shared" ca="1" si="0"/>
        <v>0</v>
      </c>
      <c r="F42" s="67">
        <f t="shared" ca="1" si="1"/>
        <v>2.9071740054450367E-4</v>
      </c>
      <c r="G42" s="67">
        <f t="shared" ca="1" si="2"/>
        <v>3.230193339383374E-4</v>
      </c>
      <c r="H42" s="67">
        <f t="shared" ca="1" si="4"/>
        <v>2.616456604900533E-3</v>
      </c>
    </row>
    <row r="43" spans="2:8" x14ac:dyDescent="0.25">
      <c r="B43" s="45">
        <f t="shared" si="5"/>
        <v>33</v>
      </c>
      <c r="C43" s="22">
        <f t="shared" si="3"/>
        <v>77</v>
      </c>
      <c r="D43" s="67">
        <f t="shared" ca="1" si="6"/>
        <v>2.616456604900533E-3</v>
      </c>
      <c r="E43" s="67">
        <f t="shared" ref="E43:E74" ca="1" si="7">IF($D$2="A",(D43-G43)*withdraw_rate*(C43&lt;$D$5),(D43-G43)*withdraw_rate*(C43&lt;&gt;$D$5))</f>
        <v>0</v>
      </c>
      <c r="F43" s="67">
        <f t="shared" ref="F43:F74" ca="1" si="8">IF($D$2="A",(D43-G43)*retire_rate_A*(C43&gt;=$D$5),(D43-G43)*100%*(C43=$D$5))</f>
        <v>2.3548109444104798E-4</v>
      </c>
      <c r="G43" s="67">
        <f t="shared" ref="G43:G74" ca="1" si="9">IF($D$2="A",D43*mort_rate_A*(C43&gt;=$D$5),0)</f>
        <v>2.616456604900533E-4</v>
      </c>
      <c r="H43" s="67">
        <f t="shared" ca="1" si="4"/>
        <v>2.1193298499694317E-3</v>
      </c>
    </row>
    <row r="44" spans="2:8" x14ac:dyDescent="0.25">
      <c r="B44" s="45">
        <f t="shared" si="5"/>
        <v>34</v>
      </c>
      <c r="C44" s="22">
        <f t="shared" ref="C44:C75" si="10">IF(C43="","",IF($D$2="A",C43+1,IF(C43+1&gt;$D$5,"",C43+1)))</f>
        <v>78</v>
      </c>
      <c r="D44" s="67">
        <f t="shared" ca="1" si="6"/>
        <v>2.1193298499694317E-3</v>
      </c>
      <c r="E44" s="67">
        <f t="shared" ca="1" si="7"/>
        <v>0</v>
      </c>
      <c r="F44" s="67">
        <f t="shared" ca="1" si="8"/>
        <v>1.9073968649724888E-4</v>
      </c>
      <c r="G44" s="67">
        <f t="shared" ca="1" si="9"/>
        <v>2.1193298499694318E-4</v>
      </c>
      <c r="H44" s="67">
        <f t="shared" ca="1" si="4"/>
        <v>1.7166571784752397E-3</v>
      </c>
    </row>
    <row r="45" spans="2:8" x14ac:dyDescent="0.25">
      <c r="B45" s="45">
        <f t="shared" si="5"/>
        <v>35</v>
      </c>
      <c r="C45" s="22">
        <f t="shared" si="10"/>
        <v>79</v>
      </c>
      <c r="D45" s="67">
        <f t="shared" ca="1" si="6"/>
        <v>1.7166571784752397E-3</v>
      </c>
      <c r="E45" s="67">
        <f t="shared" ca="1" si="7"/>
        <v>0</v>
      </c>
      <c r="F45" s="67">
        <f t="shared" ca="1" si="8"/>
        <v>1.5449914606277158E-4</v>
      </c>
      <c r="G45" s="67">
        <f t="shared" ca="1" si="9"/>
        <v>1.7166571784752398E-4</v>
      </c>
      <c r="H45" s="67">
        <f t="shared" ca="1" si="4"/>
        <v>1.3904923145649443E-3</v>
      </c>
    </row>
    <row r="46" spans="2:8" x14ac:dyDescent="0.25">
      <c r="B46" s="45">
        <f t="shared" si="5"/>
        <v>36</v>
      </c>
      <c r="C46" s="22">
        <f t="shared" si="10"/>
        <v>80</v>
      </c>
      <c r="D46" s="67">
        <f t="shared" ca="1" si="6"/>
        <v>1.3904923145649443E-3</v>
      </c>
      <c r="E46" s="67">
        <f t="shared" ca="1" si="7"/>
        <v>0</v>
      </c>
      <c r="F46" s="67">
        <f t="shared" ca="1" si="8"/>
        <v>1.25144308310845E-4</v>
      </c>
      <c r="G46" s="67">
        <f t="shared" ca="1" si="9"/>
        <v>1.3904923145649444E-4</v>
      </c>
      <c r="H46" s="67">
        <f t="shared" ca="1" si="4"/>
        <v>1.1262987747976049E-3</v>
      </c>
    </row>
    <row r="47" spans="2:8" x14ac:dyDescent="0.25">
      <c r="B47" s="45">
        <f t="shared" si="5"/>
        <v>37</v>
      </c>
      <c r="C47" s="22">
        <f t="shared" si="10"/>
        <v>81</v>
      </c>
      <c r="D47" s="67">
        <f t="shared" ca="1" si="6"/>
        <v>1.1262987747976049E-3</v>
      </c>
      <c r="E47" s="67">
        <f t="shared" ca="1" si="7"/>
        <v>0</v>
      </c>
      <c r="F47" s="67">
        <f t="shared" ca="1" si="8"/>
        <v>1.0136688973178446E-4</v>
      </c>
      <c r="G47" s="67">
        <f t="shared" ca="1" si="9"/>
        <v>1.1262987747976051E-4</v>
      </c>
      <c r="H47" s="67">
        <f t="shared" ca="1" si="4"/>
        <v>9.1230200758606007E-4</v>
      </c>
    </row>
    <row r="48" spans="2:8" x14ac:dyDescent="0.25">
      <c r="B48" s="45">
        <f t="shared" si="5"/>
        <v>38</v>
      </c>
      <c r="C48" s="22">
        <f t="shared" si="10"/>
        <v>82</v>
      </c>
      <c r="D48" s="67">
        <f t="shared" ca="1" si="6"/>
        <v>9.1230200758606007E-4</v>
      </c>
      <c r="E48" s="67">
        <f t="shared" ca="1" si="7"/>
        <v>0</v>
      </c>
      <c r="F48" s="67">
        <f t="shared" ca="1" si="8"/>
        <v>8.2107180682745409E-5</v>
      </c>
      <c r="G48" s="67">
        <f t="shared" ca="1" si="9"/>
        <v>9.1230200758606007E-5</v>
      </c>
      <c r="H48" s="67">
        <f t="shared" ca="1" si="4"/>
        <v>7.3896462614470861E-4</v>
      </c>
    </row>
    <row r="49" spans="2:8" x14ac:dyDescent="0.25">
      <c r="B49" s="45">
        <f t="shared" si="5"/>
        <v>39</v>
      </c>
      <c r="C49" s="22">
        <f t="shared" si="10"/>
        <v>83</v>
      </c>
      <c r="D49" s="67">
        <f t="shared" ca="1" si="6"/>
        <v>7.3896462614470861E-4</v>
      </c>
      <c r="E49" s="67">
        <f t="shared" ca="1" si="7"/>
        <v>0</v>
      </c>
      <c r="F49" s="67">
        <f t="shared" ca="1" si="8"/>
        <v>6.6506816353023771E-5</v>
      </c>
      <c r="G49" s="67">
        <f t="shared" ca="1" si="9"/>
        <v>7.3896462614470872E-5</v>
      </c>
      <c r="H49" s="67">
        <f t="shared" ca="1" si="4"/>
        <v>5.9856134717721401E-4</v>
      </c>
    </row>
    <row r="50" spans="2:8" x14ac:dyDescent="0.25">
      <c r="B50" s="45">
        <f t="shared" si="5"/>
        <v>40</v>
      </c>
      <c r="C50" s="22">
        <f t="shared" si="10"/>
        <v>84</v>
      </c>
      <c r="D50" s="67">
        <f t="shared" ca="1" si="6"/>
        <v>5.9856134717721401E-4</v>
      </c>
      <c r="E50" s="67">
        <f t="shared" ca="1" si="7"/>
        <v>0</v>
      </c>
      <c r="F50" s="67">
        <f t="shared" ca="1" si="8"/>
        <v>5.387052124594926E-5</v>
      </c>
      <c r="G50" s="67">
        <f t="shared" ca="1" si="9"/>
        <v>5.9856134717721405E-5</v>
      </c>
      <c r="H50" s="67">
        <f t="shared" ca="1" si="4"/>
        <v>4.8483469121354339E-4</v>
      </c>
    </row>
    <row r="51" spans="2:8" x14ac:dyDescent="0.25">
      <c r="B51" s="45">
        <f t="shared" si="5"/>
        <v>41</v>
      </c>
      <c r="C51" s="22">
        <f t="shared" si="10"/>
        <v>85</v>
      </c>
      <c r="D51" s="67">
        <f t="shared" ca="1" si="6"/>
        <v>4.8483469121354339E-4</v>
      </c>
      <c r="E51" s="67">
        <f t="shared" ca="1" si="7"/>
        <v>0</v>
      </c>
      <c r="F51" s="67">
        <f t="shared" ca="1" si="8"/>
        <v>4.3635122209218912E-5</v>
      </c>
      <c r="G51" s="67">
        <f t="shared" ca="1" si="9"/>
        <v>4.8483469121354342E-5</v>
      </c>
      <c r="H51" s="67">
        <f t="shared" ca="1" si="4"/>
        <v>3.9271609988297015E-4</v>
      </c>
    </row>
    <row r="52" spans="2:8" x14ac:dyDescent="0.25">
      <c r="B52" s="45">
        <f t="shared" si="5"/>
        <v>42</v>
      </c>
      <c r="C52" s="22">
        <f t="shared" si="10"/>
        <v>86</v>
      </c>
      <c r="D52" s="67">
        <f t="shared" ca="1" si="6"/>
        <v>3.9271609988297015E-4</v>
      </c>
      <c r="E52" s="67">
        <f t="shared" ca="1" si="7"/>
        <v>0</v>
      </c>
      <c r="F52" s="67">
        <f t="shared" ca="1" si="8"/>
        <v>3.5344448989467315E-5</v>
      </c>
      <c r="G52" s="67">
        <f t="shared" ca="1" si="9"/>
        <v>3.9271609988297019E-5</v>
      </c>
      <c r="H52" s="67">
        <f t="shared" ca="1" si="4"/>
        <v>3.181000409052058E-4</v>
      </c>
    </row>
    <row r="53" spans="2:8" x14ac:dyDescent="0.25">
      <c r="B53" s="45">
        <f t="shared" si="5"/>
        <v>43</v>
      </c>
      <c r="C53" s="22">
        <f t="shared" si="10"/>
        <v>87</v>
      </c>
      <c r="D53" s="67">
        <f t="shared" ca="1" si="6"/>
        <v>3.181000409052058E-4</v>
      </c>
      <c r="E53" s="67">
        <f t="shared" ca="1" si="7"/>
        <v>0</v>
      </c>
      <c r="F53" s="67">
        <f t="shared" ca="1" si="8"/>
        <v>2.8629003681468524E-5</v>
      </c>
      <c r="G53" s="67">
        <f t="shared" ca="1" si="9"/>
        <v>3.1810004090520581E-5</v>
      </c>
      <c r="H53" s="67">
        <f t="shared" ca="1" si="4"/>
        <v>2.5766103313321672E-4</v>
      </c>
    </row>
    <row r="54" spans="2:8" x14ac:dyDescent="0.25">
      <c r="B54" s="45">
        <f t="shared" si="5"/>
        <v>44</v>
      </c>
      <c r="C54" s="22">
        <f t="shared" si="10"/>
        <v>88</v>
      </c>
      <c r="D54" s="67">
        <f t="shared" ca="1" si="6"/>
        <v>2.5766103313321672E-4</v>
      </c>
      <c r="E54" s="67">
        <f t="shared" ca="1" si="7"/>
        <v>0</v>
      </c>
      <c r="F54" s="67">
        <f t="shared" ca="1" si="8"/>
        <v>2.3189492981989508E-5</v>
      </c>
      <c r="G54" s="67">
        <f t="shared" ca="1" si="9"/>
        <v>2.5766103313321674E-5</v>
      </c>
      <c r="H54" s="67">
        <f t="shared" ca="1" si="4"/>
        <v>2.0870543683790556E-4</v>
      </c>
    </row>
    <row r="55" spans="2:8" x14ac:dyDescent="0.25">
      <c r="B55" s="45">
        <f t="shared" si="5"/>
        <v>45</v>
      </c>
      <c r="C55" s="22">
        <f t="shared" si="10"/>
        <v>89</v>
      </c>
      <c r="D55" s="67">
        <f t="shared" ca="1" si="6"/>
        <v>2.0870543683790556E-4</v>
      </c>
      <c r="E55" s="67">
        <f t="shared" ca="1" si="7"/>
        <v>0</v>
      </c>
      <c r="F55" s="67">
        <f t="shared" ca="1" si="8"/>
        <v>1.8783489315411502E-5</v>
      </c>
      <c r="G55" s="67">
        <f t="shared" ca="1" si="9"/>
        <v>2.0870543683790556E-5</v>
      </c>
      <c r="H55" s="67">
        <f t="shared" ca="1" si="4"/>
        <v>1.690514038387035E-4</v>
      </c>
    </row>
    <row r="56" spans="2:8" x14ac:dyDescent="0.25">
      <c r="B56" s="45">
        <f t="shared" si="5"/>
        <v>46</v>
      </c>
      <c r="C56" s="22">
        <f t="shared" si="10"/>
        <v>90</v>
      </c>
      <c r="D56" s="67">
        <f t="shared" ca="1" si="6"/>
        <v>1.690514038387035E-4</v>
      </c>
      <c r="E56" s="67">
        <f t="shared" ca="1" si="7"/>
        <v>0</v>
      </c>
      <c r="F56" s="67">
        <f t="shared" ca="1" si="8"/>
        <v>1.5214626345483315E-5</v>
      </c>
      <c r="G56" s="67">
        <f t="shared" ca="1" si="9"/>
        <v>1.6905140383870352E-5</v>
      </c>
      <c r="H56" s="67">
        <f t="shared" ca="1" si="4"/>
        <v>1.3693163710934984E-4</v>
      </c>
    </row>
    <row r="57" spans="2:8" x14ac:dyDescent="0.25">
      <c r="B57" s="45">
        <f t="shared" si="5"/>
        <v>47</v>
      </c>
      <c r="C57" s="22">
        <f t="shared" si="10"/>
        <v>91</v>
      </c>
      <c r="D57" s="67">
        <f t="shared" ca="1" si="6"/>
        <v>1.3693163710934984E-4</v>
      </c>
      <c r="E57" s="67">
        <f t="shared" ca="1" si="7"/>
        <v>0</v>
      </c>
      <c r="F57" s="67">
        <f t="shared" ca="1" si="8"/>
        <v>1.2323847339841486E-5</v>
      </c>
      <c r="G57" s="67">
        <f t="shared" ca="1" si="9"/>
        <v>1.3693163710934985E-5</v>
      </c>
      <c r="H57" s="67">
        <f t="shared" ca="1" si="4"/>
        <v>1.1091462605857338E-4</v>
      </c>
    </row>
    <row r="58" spans="2:8" x14ac:dyDescent="0.25">
      <c r="B58" s="45">
        <f t="shared" si="5"/>
        <v>48</v>
      </c>
      <c r="C58" s="22">
        <f t="shared" si="10"/>
        <v>92</v>
      </c>
      <c r="D58" s="67">
        <f t="shared" ca="1" si="6"/>
        <v>1.1091462605857338E-4</v>
      </c>
      <c r="E58" s="67">
        <f t="shared" ca="1" si="7"/>
        <v>0</v>
      </c>
      <c r="F58" s="67">
        <f t="shared" ca="1" si="8"/>
        <v>9.9823163452716049E-6</v>
      </c>
      <c r="G58" s="67">
        <f t="shared" ca="1" si="9"/>
        <v>1.1091462605857339E-5</v>
      </c>
      <c r="H58" s="67">
        <f t="shared" ca="1" si="4"/>
        <v>8.9840847107444433E-5</v>
      </c>
    </row>
    <row r="59" spans="2:8" x14ac:dyDescent="0.25">
      <c r="B59" s="45">
        <f t="shared" si="5"/>
        <v>49</v>
      </c>
      <c r="C59" s="22">
        <f t="shared" si="10"/>
        <v>93</v>
      </c>
      <c r="D59" s="67">
        <f t="shared" ca="1" si="6"/>
        <v>8.9840847107444433E-5</v>
      </c>
      <c r="E59" s="67">
        <f t="shared" ca="1" si="7"/>
        <v>0</v>
      </c>
      <c r="F59" s="67">
        <f t="shared" ca="1" si="8"/>
        <v>8.0856762396699991E-6</v>
      </c>
      <c r="G59" s="67">
        <f t="shared" ca="1" si="9"/>
        <v>8.9840847107444436E-6</v>
      </c>
      <c r="H59" s="67">
        <f t="shared" ca="1" si="4"/>
        <v>7.2771086157029981E-5</v>
      </c>
    </row>
    <row r="60" spans="2:8" x14ac:dyDescent="0.25">
      <c r="B60" s="45">
        <f t="shared" si="5"/>
        <v>50</v>
      </c>
      <c r="C60" s="22">
        <f t="shared" si="10"/>
        <v>94</v>
      </c>
      <c r="D60" s="67">
        <f t="shared" ca="1" si="6"/>
        <v>7.2771086157029981E-5</v>
      </c>
      <c r="E60" s="67">
        <f t="shared" ca="1" si="7"/>
        <v>0</v>
      </c>
      <c r="F60" s="67">
        <f t="shared" ca="1" si="8"/>
        <v>6.5493977541326983E-6</v>
      </c>
      <c r="G60" s="67">
        <f t="shared" ca="1" si="9"/>
        <v>7.2771086157029981E-6</v>
      </c>
      <c r="H60" s="67">
        <f t="shared" ca="1" si="4"/>
        <v>5.8944579787194285E-5</v>
      </c>
    </row>
    <row r="61" spans="2:8" x14ac:dyDescent="0.25">
      <c r="B61" s="45">
        <f t="shared" si="5"/>
        <v>51</v>
      </c>
      <c r="C61" s="22">
        <f t="shared" si="10"/>
        <v>95</v>
      </c>
      <c r="D61" s="67">
        <f t="shared" ca="1" si="6"/>
        <v>5.8944579787194285E-5</v>
      </c>
      <c r="E61" s="67">
        <f t="shared" ca="1" si="7"/>
        <v>0</v>
      </c>
      <c r="F61" s="67">
        <f t="shared" ca="1" si="8"/>
        <v>5.3050121808474859E-6</v>
      </c>
      <c r="G61" s="67">
        <f t="shared" ca="1" si="9"/>
        <v>5.894457978719429E-6</v>
      </c>
      <c r="H61" s="67">
        <f t="shared" ca="1" si="4"/>
        <v>4.7745109627627368E-5</v>
      </c>
    </row>
    <row r="62" spans="2:8" x14ac:dyDescent="0.25">
      <c r="B62" s="45">
        <f t="shared" si="5"/>
        <v>52</v>
      </c>
      <c r="C62" s="22">
        <f t="shared" si="10"/>
        <v>96</v>
      </c>
      <c r="D62" s="67">
        <f t="shared" ca="1" si="6"/>
        <v>4.7745109627627368E-5</v>
      </c>
      <c r="E62" s="67">
        <f t="shared" ca="1" si="7"/>
        <v>0</v>
      </c>
      <c r="F62" s="67">
        <f t="shared" ca="1" si="8"/>
        <v>4.2970598664864635E-6</v>
      </c>
      <c r="G62" s="67">
        <f t="shared" ca="1" si="9"/>
        <v>4.7745109627627374E-6</v>
      </c>
      <c r="H62" s="67">
        <f t="shared" ca="1" si="4"/>
        <v>3.8673538798378161E-5</v>
      </c>
    </row>
    <row r="63" spans="2:8" x14ac:dyDescent="0.25">
      <c r="B63" s="45">
        <f t="shared" si="5"/>
        <v>53</v>
      </c>
      <c r="C63" s="22">
        <f t="shared" si="10"/>
        <v>97</v>
      </c>
      <c r="D63" s="67">
        <f t="shared" ca="1" si="6"/>
        <v>3.8673538798378161E-5</v>
      </c>
      <c r="E63" s="67">
        <f t="shared" ca="1" si="7"/>
        <v>0</v>
      </c>
      <c r="F63" s="67">
        <f t="shared" ca="1" si="8"/>
        <v>3.4806184918540345E-6</v>
      </c>
      <c r="G63" s="67">
        <f t="shared" ca="1" si="9"/>
        <v>3.8673538798378161E-6</v>
      </c>
      <c r="H63" s="67">
        <f t="shared" ca="1" si="4"/>
        <v>3.1325566426686312E-5</v>
      </c>
    </row>
    <row r="64" spans="2:8" x14ac:dyDescent="0.25">
      <c r="B64" s="45">
        <f t="shared" si="5"/>
        <v>54</v>
      </c>
      <c r="C64" s="22">
        <f t="shared" si="10"/>
        <v>98</v>
      </c>
      <c r="D64" s="67">
        <f t="shared" ca="1" si="6"/>
        <v>3.1325566426686312E-5</v>
      </c>
      <c r="E64" s="67">
        <f t="shared" ca="1" si="7"/>
        <v>0</v>
      </c>
      <c r="F64" s="67">
        <f t="shared" ca="1" si="8"/>
        <v>2.8193009784017683E-6</v>
      </c>
      <c r="G64" s="67">
        <f t="shared" ca="1" si="9"/>
        <v>3.1325566426686312E-6</v>
      </c>
      <c r="H64" s="67">
        <f t="shared" ca="1" si="4"/>
        <v>2.5373708805615912E-5</v>
      </c>
    </row>
    <row r="65" spans="2:8" x14ac:dyDescent="0.25">
      <c r="B65" s="45">
        <f t="shared" si="5"/>
        <v>55</v>
      </c>
      <c r="C65" s="22">
        <f t="shared" si="10"/>
        <v>99</v>
      </c>
      <c r="D65" s="67">
        <f t="shared" ca="1" si="6"/>
        <v>2.5373708805615912E-5</v>
      </c>
      <c r="E65" s="67">
        <f t="shared" ca="1" si="7"/>
        <v>0</v>
      </c>
      <c r="F65" s="67">
        <f t="shared" ca="1" si="8"/>
        <v>2.2836337925054324E-6</v>
      </c>
      <c r="G65" s="67">
        <f t="shared" ca="1" si="9"/>
        <v>2.5373708805615912E-6</v>
      </c>
      <c r="H65" s="67">
        <f t="shared" ca="1" si="4"/>
        <v>2.0552704132548887E-5</v>
      </c>
    </row>
    <row r="66" spans="2:8" x14ac:dyDescent="0.25">
      <c r="B66" s="45">
        <f t="shared" si="5"/>
        <v>56</v>
      </c>
      <c r="C66" s="22">
        <f t="shared" si="10"/>
        <v>100</v>
      </c>
      <c r="D66" s="67">
        <f t="shared" ca="1" si="6"/>
        <v>2.0552704132548887E-5</v>
      </c>
      <c r="E66" s="67">
        <f t="shared" ca="1" si="7"/>
        <v>0</v>
      </c>
      <c r="F66" s="67">
        <f t="shared" ca="1" si="8"/>
        <v>1.8497433719294001E-6</v>
      </c>
      <c r="G66" s="67">
        <f t="shared" ca="1" si="9"/>
        <v>2.0552704132548889E-6</v>
      </c>
      <c r="H66" s="67">
        <f t="shared" ca="1" si="4"/>
        <v>1.6647690347364599E-5</v>
      </c>
    </row>
    <row r="67" spans="2:8" x14ac:dyDescent="0.25">
      <c r="B67" s="45">
        <f t="shared" si="5"/>
        <v>57</v>
      </c>
      <c r="C67" s="22">
        <f t="shared" si="10"/>
        <v>101</v>
      </c>
      <c r="D67" s="67">
        <f t="shared" ca="1" si="6"/>
        <v>1.6647690347364599E-5</v>
      </c>
      <c r="E67" s="67">
        <f t="shared" ca="1" si="7"/>
        <v>0</v>
      </c>
      <c r="F67" s="67">
        <f t="shared" ca="1" si="8"/>
        <v>1.4982921312628141E-6</v>
      </c>
      <c r="G67" s="67">
        <f t="shared" ca="1" si="9"/>
        <v>1.66476903473646E-6</v>
      </c>
      <c r="H67" s="67">
        <f t="shared" ca="1" si="4"/>
        <v>1.3484629181365325E-5</v>
      </c>
    </row>
    <row r="68" spans="2:8" x14ac:dyDescent="0.25">
      <c r="B68" s="45">
        <f t="shared" si="5"/>
        <v>58</v>
      </c>
      <c r="C68" s="22">
        <f t="shared" si="10"/>
        <v>102</v>
      </c>
      <c r="D68" s="67">
        <f t="shared" ca="1" si="6"/>
        <v>1.3484629181365325E-5</v>
      </c>
      <c r="E68" s="67">
        <f t="shared" ca="1" si="7"/>
        <v>0</v>
      </c>
      <c r="F68" s="67">
        <f t="shared" ca="1" si="8"/>
        <v>1.2136166263228793E-6</v>
      </c>
      <c r="G68" s="67">
        <f t="shared" ca="1" si="9"/>
        <v>1.3484629181365326E-6</v>
      </c>
      <c r="H68" s="67">
        <f t="shared" ca="1" si="4"/>
        <v>1.0922549636905913E-5</v>
      </c>
    </row>
    <row r="69" spans="2:8" x14ac:dyDescent="0.25">
      <c r="B69" s="45">
        <f t="shared" si="5"/>
        <v>59</v>
      </c>
      <c r="C69" s="22">
        <f t="shared" si="10"/>
        <v>103</v>
      </c>
      <c r="D69" s="67">
        <f t="shared" ca="1" si="6"/>
        <v>1.0922549636905913E-5</v>
      </c>
      <c r="E69" s="67">
        <f t="shared" ca="1" si="7"/>
        <v>0</v>
      </c>
      <c r="F69" s="67">
        <f t="shared" ca="1" si="8"/>
        <v>9.8302946732153223E-7</v>
      </c>
      <c r="G69" s="67">
        <f t="shared" ca="1" si="9"/>
        <v>1.0922549636905914E-6</v>
      </c>
      <c r="H69" s="67">
        <f t="shared" ca="1" si="4"/>
        <v>8.847265205893789E-6</v>
      </c>
    </row>
    <row r="70" spans="2:8" x14ac:dyDescent="0.25">
      <c r="B70" s="45">
        <f t="shared" si="5"/>
        <v>60</v>
      </c>
      <c r="C70" s="22">
        <f t="shared" si="10"/>
        <v>104</v>
      </c>
      <c r="D70" s="67">
        <f t="shared" ca="1" si="6"/>
        <v>8.847265205893789E-6</v>
      </c>
      <c r="E70" s="67">
        <f t="shared" ca="1" si="7"/>
        <v>0</v>
      </c>
      <c r="F70" s="67">
        <f t="shared" ca="1" si="8"/>
        <v>7.962538685304411E-7</v>
      </c>
      <c r="G70" s="67">
        <f t="shared" ca="1" si="9"/>
        <v>8.847265205893789E-7</v>
      </c>
      <c r="H70" s="67">
        <f t="shared" ca="1" si="4"/>
        <v>7.166284816773969E-6</v>
      </c>
    </row>
    <row r="71" spans="2:8" x14ac:dyDescent="0.25">
      <c r="B71" s="45">
        <f t="shared" si="5"/>
        <v>61</v>
      </c>
      <c r="C71" s="22">
        <f t="shared" si="10"/>
        <v>105</v>
      </c>
      <c r="D71" s="67">
        <f t="shared" ca="1" si="6"/>
        <v>7.166284816773969E-6</v>
      </c>
      <c r="E71" s="67">
        <f t="shared" ca="1" si="7"/>
        <v>0</v>
      </c>
      <c r="F71" s="67">
        <f t="shared" ca="1" si="8"/>
        <v>6.4496563350965721E-7</v>
      </c>
      <c r="G71" s="67">
        <f t="shared" ca="1" si="9"/>
        <v>7.1662848167739695E-7</v>
      </c>
      <c r="H71" s="67">
        <f t="shared" ca="1" si="4"/>
        <v>5.8046907015869148E-6</v>
      </c>
    </row>
    <row r="72" spans="2:8" x14ac:dyDescent="0.25">
      <c r="B72" s="45">
        <f t="shared" si="5"/>
        <v>62</v>
      </c>
      <c r="C72" s="22">
        <f t="shared" si="10"/>
        <v>106</v>
      </c>
      <c r="D72" s="67">
        <f t="shared" ca="1" si="6"/>
        <v>5.8046907015869148E-6</v>
      </c>
      <c r="E72" s="67">
        <f t="shared" ca="1" si="7"/>
        <v>0</v>
      </c>
      <c r="F72" s="67">
        <f t="shared" ca="1" si="8"/>
        <v>5.2242216314282235E-7</v>
      </c>
      <c r="G72" s="67">
        <f t="shared" ca="1" si="9"/>
        <v>5.8046907015869154E-7</v>
      </c>
      <c r="H72" s="67">
        <f t="shared" ca="1" si="4"/>
        <v>4.7017994682854008E-6</v>
      </c>
    </row>
    <row r="73" spans="2:8" x14ac:dyDescent="0.25">
      <c r="B73" s="45">
        <f t="shared" si="5"/>
        <v>63</v>
      </c>
      <c r="C73" s="22">
        <f t="shared" si="10"/>
        <v>107</v>
      </c>
      <c r="D73" s="67">
        <f t="shared" ca="1" si="6"/>
        <v>4.7017994682854008E-6</v>
      </c>
      <c r="E73" s="67">
        <f t="shared" ca="1" si="7"/>
        <v>0</v>
      </c>
      <c r="F73" s="67">
        <f t="shared" ca="1" si="8"/>
        <v>4.2316195214568615E-7</v>
      </c>
      <c r="G73" s="67">
        <f t="shared" ca="1" si="9"/>
        <v>4.7017994682854011E-7</v>
      </c>
      <c r="H73" s="67">
        <f t="shared" ca="1" si="4"/>
        <v>3.8084575693111747E-6</v>
      </c>
    </row>
    <row r="74" spans="2:8" x14ac:dyDescent="0.25">
      <c r="B74" s="45">
        <f t="shared" si="5"/>
        <v>64</v>
      </c>
      <c r="C74" s="22">
        <f t="shared" si="10"/>
        <v>108</v>
      </c>
      <c r="D74" s="67">
        <f t="shared" ca="1" si="6"/>
        <v>3.8084575693111747E-6</v>
      </c>
      <c r="E74" s="67">
        <f t="shared" ca="1" si="7"/>
        <v>0</v>
      </c>
      <c r="F74" s="67">
        <f t="shared" ca="1" si="8"/>
        <v>3.427611812380057E-7</v>
      </c>
      <c r="G74" s="67">
        <f t="shared" ca="1" si="9"/>
        <v>3.8084575693111747E-7</v>
      </c>
      <c r="H74" s="67">
        <f t="shared" ca="1" si="4"/>
        <v>3.0848506311420517E-6</v>
      </c>
    </row>
    <row r="75" spans="2:8" x14ac:dyDescent="0.25">
      <c r="B75" s="45">
        <f t="shared" si="5"/>
        <v>65</v>
      </c>
      <c r="C75" s="22">
        <f t="shared" si="10"/>
        <v>109</v>
      </c>
      <c r="D75" s="67">
        <f t="shared" ca="1" si="6"/>
        <v>3.0848506311420517E-6</v>
      </c>
      <c r="E75" s="67">
        <f t="shared" ref="E75:E81" ca="1" si="11">IF($D$2="A",(D75-G75)*withdraw_rate*(C75&lt;$D$5),(D75-G75)*withdraw_rate*(C75&lt;&gt;$D$5))</f>
        <v>0</v>
      </c>
      <c r="F75" s="67">
        <f t="shared" ref="F75:F81" ca="1" si="12">IF($D$2="A",(D75-G75)*retire_rate_A*(C75&gt;=$D$5),(D75-G75)*100%*(C75=$D$5))</f>
        <v>2.7763655680278468E-7</v>
      </c>
      <c r="G75" s="67">
        <f t="shared" ref="G75:G81" ca="1" si="13">IF($D$2="A",D75*mort_rate_A*(C75&gt;=$D$5),0)</f>
        <v>3.084850631142052E-7</v>
      </c>
      <c r="H75" s="67">
        <f t="shared" ca="1" si="4"/>
        <v>2.4987290112250619E-6</v>
      </c>
    </row>
    <row r="76" spans="2:8" x14ac:dyDescent="0.25">
      <c r="B76" s="45">
        <f t="shared" si="5"/>
        <v>66</v>
      </c>
      <c r="C76" s="22">
        <f t="shared" ref="C76:C81" si="14">IF(C75="","",IF($D$2="A",C75+1,IF(C75+1&gt;$D$5,"",C75+1)))</f>
        <v>110</v>
      </c>
      <c r="D76" s="67">
        <f t="shared" ca="1" si="6"/>
        <v>2.4987290112250619E-6</v>
      </c>
      <c r="E76" s="67">
        <f t="shared" ca="1" si="11"/>
        <v>0</v>
      </c>
      <c r="F76" s="67">
        <f t="shared" ca="1" si="12"/>
        <v>2.2488561101025559E-7</v>
      </c>
      <c r="G76" s="67">
        <f t="shared" ca="1" si="13"/>
        <v>2.498729011225062E-7</v>
      </c>
      <c r="H76" s="67">
        <f t="shared" ref="H76:H81" ca="1" si="15">D76-E76-F76-G76</f>
        <v>2.0239704990923002E-6</v>
      </c>
    </row>
    <row r="77" spans="2:8" x14ac:dyDescent="0.25">
      <c r="B77" s="45">
        <f t="shared" ref="B77:B81" si="16">IF($C77="","",B76+1)</f>
        <v>67</v>
      </c>
      <c r="C77" s="22">
        <f t="shared" si="14"/>
        <v>111</v>
      </c>
      <c r="D77" s="67">
        <f t="shared" ref="D77:D81" ca="1" si="17">H76</f>
        <v>2.0239704990923002E-6</v>
      </c>
      <c r="E77" s="67">
        <f t="shared" ca="1" si="11"/>
        <v>0</v>
      </c>
      <c r="F77" s="67">
        <f t="shared" ca="1" si="12"/>
        <v>1.8215734491830702E-7</v>
      </c>
      <c r="G77" s="67">
        <f t="shared" ca="1" si="13"/>
        <v>2.0239704990923002E-7</v>
      </c>
      <c r="H77" s="67">
        <f t="shared" ca="1" si="15"/>
        <v>1.6394161042647631E-6</v>
      </c>
    </row>
    <row r="78" spans="2:8" x14ac:dyDescent="0.25">
      <c r="B78" s="45">
        <f t="shared" si="16"/>
        <v>68</v>
      </c>
      <c r="C78" s="22">
        <f t="shared" si="14"/>
        <v>112</v>
      </c>
      <c r="D78" s="67">
        <f t="shared" ca="1" si="17"/>
        <v>1.6394161042647631E-6</v>
      </c>
      <c r="E78" s="67">
        <f t="shared" ca="1" si="11"/>
        <v>0</v>
      </c>
      <c r="F78" s="67">
        <f t="shared" ca="1" si="12"/>
        <v>1.4754744938382867E-7</v>
      </c>
      <c r="G78" s="67">
        <f t="shared" ca="1" si="13"/>
        <v>1.6394161042647631E-7</v>
      </c>
      <c r="H78" s="67">
        <f t="shared" ca="1" si="15"/>
        <v>1.327927044454458E-6</v>
      </c>
    </row>
    <row r="79" spans="2:8" x14ac:dyDescent="0.25">
      <c r="B79" s="45">
        <f t="shared" si="16"/>
        <v>69</v>
      </c>
      <c r="C79" s="22">
        <f t="shared" si="14"/>
        <v>113</v>
      </c>
      <c r="D79" s="67">
        <f t="shared" ca="1" si="17"/>
        <v>1.327927044454458E-6</v>
      </c>
      <c r="E79" s="67">
        <f t="shared" ca="1" si="11"/>
        <v>0</v>
      </c>
      <c r="F79" s="67">
        <f t="shared" ca="1" si="12"/>
        <v>1.1951343400090122E-7</v>
      </c>
      <c r="G79" s="67">
        <f t="shared" ca="1" si="13"/>
        <v>1.3279270444544581E-7</v>
      </c>
      <c r="H79" s="67">
        <f t="shared" ca="1" si="15"/>
        <v>1.0756209060081111E-6</v>
      </c>
    </row>
    <row r="80" spans="2:8" x14ac:dyDescent="0.25">
      <c r="B80" s="45">
        <f t="shared" si="16"/>
        <v>70</v>
      </c>
      <c r="C80" s="22">
        <f t="shared" si="14"/>
        <v>114</v>
      </c>
      <c r="D80" s="67">
        <f t="shared" ca="1" si="17"/>
        <v>1.0756209060081111E-6</v>
      </c>
      <c r="E80" s="67">
        <f t="shared" ca="1" si="11"/>
        <v>0</v>
      </c>
      <c r="F80" s="67">
        <f t="shared" ca="1" si="12"/>
        <v>9.6805881540729997E-8</v>
      </c>
      <c r="G80" s="67">
        <f t="shared" ca="1" si="13"/>
        <v>1.0756209060081111E-7</v>
      </c>
      <c r="H80" s="67">
        <f t="shared" ca="1" si="15"/>
        <v>8.7125293386656994E-7</v>
      </c>
    </row>
    <row r="81" spans="2:8" x14ac:dyDescent="0.25">
      <c r="B81" s="45">
        <f t="shared" si="16"/>
        <v>71</v>
      </c>
      <c r="C81" s="22">
        <f t="shared" si="14"/>
        <v>115</v>
      </c>
      <c r="D81" s="67">
        <f t="shared" ca="1" si="17"/>
        <v>8.7125293386656994E-7</v>
      </c>
      <c r="E81" s="67">
        <f t="shared" ca="1" si="11"/>
        <v>0</v>
      </c>
      <c r="F81" s="67">
        <f t="shared" ca="1" si="12"/>
        <v>7.8412764047991292E-8</v>
      </c>
      <c r="G81" s="67">
        <f t="shared" ca="1" si="13"/>
        <v>8.7125293386657E-8</v>
      </c>
      <c r="H81" s="67">
        <f t="shared" ca="1" si="15"/>
        <v>7.0571487643192162E-7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59999389629810485"/>
  </sheetPr>
  <dimension ref="A1:AB84"/>
  <sheetViews>
    <sheetView topLeftCell="A4" zoomScale="85" zoomScaleNormal="85" workbookViewId="0">
      <selection activeCell="J12" sqref="J12"/>
    </sheetView>
  </sheetViews>
  <sheetFormatPr defaultRowHeight="15" x14ac:dyDescent="0.25"/>
  <cols>
    <col min="1" max="1" width="3" customWidth="1"/>
    <col min="2" max="2" width="14.85546875" customWidth="1"/>
    <col min="3" max="3" width="17.85546875" bestFit="1" customWidth="1"/>
    <col min="4" max="4" width="11.140625" customWidth="1"/>
    <col min="5" max="5" width="16.28515625" customWidth="1"/>
    <col min="6" max="6" width="15.7109375" customWidth="1"/>
    <col min="7" max="7" width="12.140625" customWidth="1"/>
    <col min="8" max="17" width="15.7109375" customWidth="1"/>
    <col min="18" max="18" width="12.85546875" customWidth="1"/>
    <col min="19" max="19" width="16.28515625" customWidth="1"/>
    <col min="20" max="20" width="14.28515625" bestFit="1" customWidth="1"/>
    <col min="21" max="22" width="11.5703125" bestFit="1" customWidth="1"/>
    <col min="23" max="23" width="10.5703125" bestFit="1" customWidth="1"/>
    <col min="24" max="28" width="11.5703125" bestFit="1" customWidth="1"/>
  </cols>
  <sheetData>
    <row r="1" spans="1:17" ht="16.5" thickBot="1" x14ac:dyDescent="0.3">
      <c r="A1" s="98" t="s">
        <v>74</v>
      </c>
    </row>
    <row r="2" spans="1:17" ht="16.5" thickBot="1" x14ac:dyDescent="0.3">
      <c r="B2" s="103" t="s">
        <v>30</v>
      </c>
      <c r="C2" s="55" t="s">
        <v>41</v>
      </c>
      <c r="D2" s="56" t="str">
        <f>RIGHT($B$3,1)</f>
        <v>B</v>
      </c>
      <c r="H2" s="99" t="s">
        <v>93</v>
      </c>
      <c r="I2" s="100"/>
      <c r="J2" s="100"/>
      <c r="K2" s="100"/>
      <c r="L2" s="100"/>
      <c r="M2" s="100"/>
      <c r="N2" s="100"/>
      <c r="O2" s="100"/>
      <c r="P2" s="100"/>
      <c r="Q2" s="100"/>
    </row>
    <row r="3" spans="1:17" ht="16.5" thickBot="1" x14ac:dyDescent="0.3">
      <c r="B3" s="104" t="str">
        <f>EAN_Projection!B3</f>
        <v>30B</v>
      </c>
      <c r="C3" s="55" t="s">
        <v>92</v>
      </c>
      <c r="D3" s="56">
        <f>VLOOKUP($B$3,'opening demographics'!$A$1:$E$11,3,FALSE)</f>
        <v>210</v>
      </c>
      <c r="F3" s="92" t="s">
        <v>88</v>
      </c>
      <c r="G3" s="97" t="str">
        <f>B3</f>
        <v>30B</v>
      </c>
      <c r="H3" s="81" t="s">
        <v>31</v>
      </c>
      <c r="I3" s="82" t="s">
        <v>78</v>
      </c>
      <c r="J3" s="82" t="s">
        <v>80</v>
      </c>
      <c r="K3" s="82" t="s">
        <v>82</v>
      </c>
      <c r="L3" s="83" t="s">
        <v>84</v>
      </c>
      <c r="M3" s="84" t="s">
        <v>76</v>
      </c>
      <c r="N3" s="82" t="s">
        <v>77</v>
      </c>
      <c r="O3" s="82" t="s">
        <v>79</v>
      </c>
      <c r="P3" s="82" t="s">
        <v>81</v>
      </c>
      <c r="Q3" s="85" t="s">
        <v>83</v>
      </c>
    </row>
    <row r="4" spans="1:17" x14ac:dyDescent="0.25">
      <c r="C4" s="55" t="s">
        <v>42</v>
      </c>
      <c r="D4" s="56">
        <f>VALUE(LEFT($B$3,2))</f>
        <v>30</v>
      </c>
      <c r="F4" s="93" t="s">
        <v>89</v>
      </c>
      <c r="G4" s="95">
        <f>D3</f>
        <v>210</v>
      </c>
      <c r="H4" s="86">
        <f t="dataTable" ref="H4:Q7" dt2D="0" dtr="1" r1="B3" ca="1"/>
        <v>20</v>
      </c>
      <c r="I4" s="87">
        <v>15</v>
      </c>
      <c r="J4" s="87">
        <v>30</v>
      </c>
      <c r="K4" s="87">
        <v>25</v>
      </c>
      <c r="L4" s="88">
        <v>10</v>
      </c>
      <c r="M4" s="89">
        <v>210</v>
      </c>
      <c r="N4" s="87">
        <v>220</v>
      </c>
      <c r="O4" s="87">
        <v>240</v>
      </c>
      <c r="P4" s="87">
        <v>180</v>
      </c>
      <c r="Q4" s="90">
        <v>50</v>
      </c>
    </row>
    <row r="5" spans="1:17" x14ac:dyDescent="0.25">
      <c r="C5" s="55" t="s">
        <v>43</v>
      </c>
      <c r="D5" s="56">
        <f ca="1">INDIRECT("NRA_"&amp;$D$2)</f>
        <v>60</v>
      </c>
      <c r="F5" s="93" t="s">
        <v>27</v>
      </c>
      <c r="G5" s="96">
        <f ca="1">I14</f>
        <v>1955.2936564113406</v>
      </c>
      <c r="H5" s="86">
        <v>9718.9927433616194</v>
      </c>
      <c r="I5" s="87">
        <v>15080.597806276177</v>
      </c>
      <c r="J5" s="87">
        <v>17894.450538829002</v>
      </c>
      <c r="K5" s="87">
        <v>19240.000000000004</v>
      </c>
      <c r="L5" s="88">
        <v>26443.952496513255</v>
      </c>
      <c r="M5" s="89">
        <v>1955.2936564113406</v>
      </c>
      <c r="N5" s="87">
        <v>2781.4118006497902</v>
      </c>
      <c r="O5" s="87">
        <v>3429.9198483455698</v>
      </c>
      <c r="P5" s="87">
        <v>4199.6385794697735</v>
      </c>
      <c r="Q5" s="90">
        <v>4742.7064247790113</v>
      </c>
    </row>
    <row r="6" spans="1:17" x14ac:dyDescent="0.25">
      <c r="C6" s="55" t="s">
        <v>44</v>
      </c>
      <c r="D6" s="57">
        <f ca="1">INDIRECT("accrual_rate_"&amp;$D$2)</f>
        <v>0.05</v>
      </c>
      <c r="F6" s="93" t="s">
        <v>91</v>
      </c>
      <c r="G6" s="96">
        <f ca="1">E15</f>
        <v>79170.807916917329</v>
      </c>
      <c r="H6" s="86">
        <v>103648.4317092171</v>
      </c>
      <c r="I6" s="87">
        <v>155472.64756382565</v>
      </c>
      <c r="J6" s="87">
        <v>181384.75549112991</v>
      </c>
      <c r="K6" s="87">
        <v>191749.59866205163</v>
      </c>
      <c r="L6" s="88">
        <v>259121.07927304273</v>
      </c>
      <c r="M6" s="89">
        <v>79170.807916917329</v>
      </c>
      <c r="N6" s="87">
        <v>88305.901138100089</v>
      </c>
      <c r="O6" s="87">
        <v>96425.984001373668</v>
      </c>
      <c r="P6" s="87">
        <v>104546.06686464723</v>
      </c>
      <c r="Q6" s="90">
        <v>104546.06686464723</v>
      </c>
    </row>
    <row r="7" spans="1:17" ht="15.75" thickBot="1" x14ac:dyDescent="0.3">
      <c r="C7" s="55" t="s">
        <v>45</v>
      </c>
      <c r="D7" s="58">
        <f>VLOOKUP($B$3,'opening demographics'!$A$1:$E$11,4,FALSE)</f>
        <v>78000</v>
      </c>
      <c r="F7" s="94" t="s">
        <v>38</v>
      </c>
      <c r="G7" s="118" t="str">
        <f ca="1">O13</f>
        <v>Pass</v>
      </c>
      <c r="H7" s="122" t="str">
        <v>Pass</v>
      </c>
      <c r="I7" s="123" t="str">
        <v>Pass</v>
      </c>
      <c r="J7" s="123" t="str">
        <v>Pass</v>
      </c>
      <c r="K7" s="123" t="str">
        <v>Pass</v>
      </c>
      <c r="L7" s="124" t="str">
        <v>Pass</v>
      </c>
      <c r="M7" s="123" t="str">
        <v>Pass</v>
      </c>
      <c r="N7" s="123" t="str">
        <v>Pass</v>
      </c>
      <c r="O7" s="123" t="str">
        <v>Pass</v>
      </c>
      <c r="P7" s="123" t="str">
        <v>Pass</v>
      </c>
      <c r="Q7" s="125" t="str">
        <v>Pass</v>
      </c>
    </row>
    <row r="8" spans="1:17" x14ac:dyDescent="0.25">
      <c r="C8" s="55" t="s">
        <v>46</v>
      </c>
      <c r="D8" s="59">
        <f ca="1">INDIRECT("e_"&amp;$D$2)</f>
        <v>1.501035790919647E-2</v>
      </c>
      <c r="H8" s="120" t="s">
        <v>95</v>
      </c>
      <c r="I8" s="121" t="s">
        <v>10</v>
      </c>
      <c r="J8" s="121" t="s">
        <v>9</v>
      </c>
      <c r="K8" s="76"/>
      <c r="L8" s="76"/>
      <c r="M8" s="76"/>
      <c r="N8" s="76"/>
      <c r="O8" s="76"/>
      <c r="P8" s="76"/>
      <c r="Q8" s="77"/>
    </row>
    <row r="9" spans="1:17" x14ac:dyDescent="0.25">
      <c r="H9" s="105" t="s">
        <v>85</v>
      </c>
      <c r="I9" s="80">
        <f>SUMPRODUCT(H4:L4,H5:L5)</f>
        <v>1702861.8630913778</v>
      </c>
      <c r="J9" s="80">
        <f>SUMPRODUCT(M4:Q4,M5:Q5)</f>
        <v>2838773.2931357818</v>
      </c>
      <c r="K9" s="76"/>
      <c r="L9" s="76"/>
      <c r="M9" s="76"/>
      <c r="N9" s="76"/>
      <c r="O9" s="76"/>
      <c r="P9" s="76"/>
      <c r="Q9" s="77"/>
    </row>
    <row r="10" spans="1:17" x14ac:dyDescent="0.25">
      <c r="H10" s="105" t="s">
        <v>86</v>
      </c>
      <c r="I10" s="80">
        <f>SUMPRODUCT(H6:L6,H4:L4)</f>
        <v>17231551.77165734</v>
      </c>
      <c r="J10" s="80">
        <f>SUMPRODUCT(M6:Q6,M4:Q4)</f>
        <v>83240999.452133209</v>
      </c>
      <c r="K10" s="76"/>
      <c r="L10" s="76"/>
      <c r="M10" s="76"/>
      <c r="N10" s="76"/>
      <c r="O10" s="76"/>
      <c r="P10" s="76"/>
      <c r="Q10" s="77"/>
    </row>
    <row r="11" spans="1:17" ht="15.75" thickBot="1" x14ac:dyDescent="0.3">
      <c r="H11" s="106" t="s">
        <v>87</v>
      </c>
      <c r="I11" s="119">
        <f>I9/I10</f>
        <v>9.882231650734237E-2</v>
      </c>
      <c r="J11" s="119">
        <f>J9/J10</f>
        <v>3.4103065938896927E-2</v>
      </c>
      <c r="K11" s="78"/>
      <c r="L11" s="78"/>
      <c r="M11" s="78"/>
      <c r="N11" s="78"/>
      <c r="O11" s="78"/>
      <c r="P11" s="78"/>
      <c r="Q11" s="79"/>
    </row>
    <row r="12" spans="1:17" ht="18" x14ac:dyDescent="0.35">
      <c r="J12" s="133" t="s">
        <v>134</v>
      </c>
    </row>
    <row r="13" spans="1:17" ht="51.75" customHeight="1" x14ac:dyDescent="0.25">
      <c r="B13" s="54" t="s">
        <v>90</v>
      </c>
      <c r="C13" s="54" t="s">
        <v>36</v>
      </c>
      <c r="D13" s="54" t="s">
        <v>33</v>
      </c>
      <c r="E13" s="54" t="s">
        <v>37</v>
      </c>
      <c r="F13" s="54" t="s">
        <v>34</v>
      </c>
      <c r="G13" s="54" t="s">
        <v>35</v>
      </c>
      <c r="H13" s="54" t="s">
        <v>40</v>
      </c>
      <c r="I13" s="54" t="s">
        <v>64</v>
      </c>
      <c r="J13" s="54" t="s">
        <v>122</v>
      </c>
      <c r="K13" s="54" t="s">
        <v>124</v>
      </c>
      <c r="L13" s="54" t="s">
        <v>125</v>
      </c>
      <c r="M13" s="54" t="s">
        <v>126</v>
      </c>
      <c r="N13" s="102" t="s">
        <v>94</v>
      </c>
      <c r="O13" s="101" t="str">
        <f ca="1">IF(ABS(SUM(O14:O84))&lt;0.0001,"Pass","Check!")</f>
        <v>Pass</v>
      </c>
    </row>
    <row r="14" spans="1:17" x14ac:dyDescent="0.25">
      <c r="B14" s="45">
        <v>0</v>
      </c>
      <c r="C14" s="60">
        <f>D4</f>
        <v>30</v>
      </c>
      <c r="D14" s="61">
        <f ca="1">D6</f>
        <v>0.05</v>
      </c>
      <c r="E14" s="62">
        <f>D7</f>
        <v>78000</v>
      </c>
      <c r="F14" s="63">
        <f ca="1">D8</f>
        <v>1.501035790919647E-2</v>
      </c>
      <c r="G14" s="50">
        <f t="shared" ref="G14" si="0">i</f>
        <v>0.04</v>
      </c>
      <c r="H14" s="47">
        <f ca="1">IF($C14="","",
D14*((1+F14)/(1+G14))^($D$5-C14-1))</f>
        <v>2.469715426503221E-2</v>
      </c>
      <c r="I14" s="48">
        <f ca="1">IF($C15="",0,
H14*E14*(1+F14))</f>
        <v>1955.2936564113406</v>
      </c>
      <c r="J14" s="48">
        <f ca="1">IF($C14="",0,
D14*E14*B14*((1+F14)/(1+G14))^($D$5-C14))</f>
        <v>0</v>
      </c>
      <c r="K14" s="51">
        <f ca="1">J14</f>
        <v>0</v>
      </c>
      <c r="L14" s="52">
        <f ca="1">K14*Assumptions!$B$19</f>
        <v>0</v>
      </c>
      <c r="M14" s="138">
        <f ca="1">L14+J14</f>
        <v>0</v>
      </c>
      <c r="N14" s="113">
        <f t="shared" ref="N14:N45" ca="1" si="1">IF($C15="","",J15-J14*(1+i))</f>
        <v>1955.2936564113406</v>
      </c>
      <c r="O14" s="114">
        <f t="shared" ref="O14:O61" ca="1" si="2">IFERROR(N14-I14,"")</f>
        <v>0</v>
      </c>
    </row>
    <row r="15" spans="1:17" x14ac:dyDescent="0.25">
      <c r="B15" s="45">
        <f ca="1">IF($C15="","",B14+1)</f>
        <v>1</v>
      </c>
      <c r="C15" s="22">
        <f t="shared" ref="C15:C46" ca="1" si="3">IF(C14="","",IF($D$2="A",C14+1,IF(C14+1&gt;$D$5,"",C14+1)))</f>
        <v>31</v>
      </c>
      <c r="D15" s="46">
        <f ca="1">IF($C15="","",D14)</f>
        <v>0.05</v>
      </c>
      <c r="E15" s="49">
        <f ca="1">IF($C15="","",E14*(1+F14))</f>
        <v>79170.807916917329</v>
      </c>
      <c r="F15" s="50">
        <f ca="1">IF($C15="","",F14)</f>
        <v>1.501035790919647E-2</v>
      </c>
      <c r="G15" s="50">
        <f ca="1">IF($C15="","",G14)</f>
        <v>0.04</v>
      </c>
      <c r="H15" s="47">
        <f t="shared" ref="H15:H78" ca="1" si="4">IF($C15="","",
D15*((1+F15)/(1+G15))^($D$5-C15-1))</f>
        <v>2.5305200321838785E-2</v>
      </c>
      <c r="I15" s="48">
        <f t="shared" ref="I15:I78" ca="1" si="5">IF($C16="",0,
H15*E15*(1+F15))</f>
        <v>2033.5054026677942</v>
      </c>
      <c r="J15" s="48">
        <f t="shared" ref="J15:J78" ca="1" si="6">IF($C15="",0,
D15*E15*B15*((1+F15)/(1+G15))^($D$5-C15))</f>
        <v>1955.2936564113406</v>
      </c>
      <c r="K15" s="51">
        <f t="shared" ref="K15:K78" ca="1" si="7">J15</f>
        <v>1955.2936564113406</v>
      </c>
      <c r="L15" s="52">
        <f ca="1">K15*Assumptions!$B$19</f>
        <v>1466.4702423085055</v>
      </c>
      <c r="M15" s="136">
        <f t="shared" ref="M15:M78" ca="1" si="8">L15+J15</f>
        <v>3421.7638987198461</v>
      </c>
      <c r="N15" s="113">
        <f t="shared" ca="1" si="1"/>
        <v>2033.505402667794</v>
      </c>
      <c r="O15" s="114">
        <f t="shared" ca="1" si="2"/>
        <v>-2.2737367544323206E-13</v>
      </c>
    </row>
    <row r="16" spans="1:17" x14ac:dyDescent="0.25">
      <c r="B16" s="45">
        <f t="shared" ref="B16:B61" ca="1" si="9">IF($C16="","",B15+1)</f>
        <v>2</v>
      </c>
      <c r="C16" s="22">
        <f t="shared" ca="1" si="3"/>
        <v>32</v>
      </c>
      <c r="D16" s="46">
        <f t="shared" ref="D16:D61" ca="1" si="10">IF($C16="","",D15)</f>
        <v>0.05</v>
      </c>
      <c r="E16" s="49">
        <f t="shared" ref="E16:E79" ca="1" si="11">IF($C16="","",E15*(1+F15))</f>
        <v>80359.190079710505</v>
      </c>
      <c r="F16" s="50">
        <f t="shared" ref="F16:F61" ca="1" si="12">IF($C16="","",F15)</f>
        <v>1.501035790919647E-2</v>
      </c>
      <c r="G16" s="50">
        <f t="shared" ref="G16:G61" ca="1" si="13">IF($C16="","",G15)</f>
        <v>0.04</v>
      </c>
      <c r="H16" s="47">
        <f t="shared" ca="1" si="4"/>
        <v>2.5928216524729014E-2</v>
      </c>
      <c r="I16" s="48">
        <f t="shared" ca="1" si="5"/>
        <v>2114.845618774506</v>
      </c>
      <c r="J16" s="48">
        <f t="shared" ca="1" si="6"/>
        <v>4067.0108053355884</v>
      </c>
      <c r="K16" s="51">
        <f t="shared" ca="1" si="7"/>
        <v>4067.0108053355884</v>
      </c>
      <c r="L16" s="52">
        <f ca="1">K16*Assumptions!$B$19</f>
        <v>3050.2581040016912</v>
      </c>
      <c r="M16" s="136">
        <f t="shared" ca="1" si="8"/>
        <v>7117.2689093372792</v>
      </c>
      <c r="N16" s="113">
        <f t="shared" ca="1" si="1"/>
        <v>2114.8456187745078</v>
      </c>
      <c r="O16" s="114">
        <f t="shared" ca="1" si="2"/>
        <v>1.8189894035458565E-12</v>
      </c>
    </row>
    <row r="17" spans="2:28" x14ac:dyDescent="0.25">
      <c r="B17" s="45">
        <f t="shared" ca="1" si="9"/>
        <v>3</v>
      </c>
      <c r="C17" s="22">
        <f t="shared" ca="1" si="3"/>
        <v>33</v>
      </c>
      <c r="D17" s="46">
        <f t="shared" ca="1" si="10"/>
        <v>0.05</v>
      </c>
      <c r="E17" s="49">
        <f t="shared" ca="1" si="11"/>
        <v>81565.410284100115</v>
      </c>
      <c r="F17" s="50">
        <f t="shared" ca="1" si="12"/>
        <v>1.501035790919647E-2</v>
      </c>
      <c r="G17" s="50">
        <f t="shared" ca="1" si="13"/>
        <v>0.04</v>
      </c>
      <c r="H17" s="47">
        <f t="shared" ca="1" si="4"/>
        <v>2.6566571439983783E-2</v>
      </c>
      <c r="I17" s="48">
        <f t="shared" ca="1" si="5"/>
        <v>2199.4394435254867</v>
      </c>
      <c r="J17" s="48">
        <f t="shared" ca="1" si="6"/>
        <v>6344.5368563235197</v>
      </c>
      <c r="K17" s="51">
        <f t="shared" ca="1" si="7"/>
        <v>6344.5368563235197</v>
      </c>
      <c r="L17" s="52">
        <f ca="1">K17*Assumptions!$B$19</f>
        <v>4758.4026422426396</v>
      </c>
      <c r="M17" s="136">
        <f t="shared" ca="1" si="8"/>
        <v>11102.93949856616</v>
      </c>
      <c r="N17" s="113">
        <f t="shared" ca="1" si="1"/>
        <v>2199.4394435254881</v>
      </c>
      <c r="O17" s="114">
        <f t="shared" ca="1" si="2"/>
        <v>1.3642420526593924E-12</v>
      </c>
    </row>
    <row r="18" spans="2:28" x14ac:dyDescent="0.25">
      <c r="B18" s="45">
        <f t="shared" ca="1" si="9"/>
        <v>4</v>
      </c>
      <c r="C18" s="22">
        <f t="shared" ca="1" si="3"/>
        <v>34</v>
      </c>
      <c r="D18" s="46">
        <f t="shared" ca="1" si="10"/>
        <v>0.05</v>
      </c>
      <c r="E18" s="49">
        <f t="shared" ca="1" si="11"/>
        <v>82789.736285474908</v>
      </c>
      <c r="F18" s="50">
        <f t="shared" ca="1" si="12"/>
        <v>1.501035790919647E-2</v>
      </c>
      <c r="G18" s="50">
        <f t="shared" ca="1" si="13"/>
        <v>0.04</v>
      </c>
      <c r="H18" s="47">
        <f t="shared" ca="1" si="4"/>
        <v>2.722064270801744E-2</v>
      </c>
      <c r="I18" s="48">
        <f t="shared" ca="1" si="5"/>
        <v>2287.4170212665067</v>
      </c>
      <c r="J18" s="48">
        <f t="shared" ca="1" si="6"/>
        <v>8797.7577741019486</v>
      </c>
      <c r="K18" s="51">
        <f t="shared" ca="1" si="7"/>
        <v>8797.7577741019486</v>
      </c>
      <c r="L18" s="52">
        <f ca="1">K18*Assumptions!$B$19</f>
        <v>6598.3183305764614</v>
      </c>
      <c r="M18" s="136">
        <f t="shared" ca="1" si="8"/>
        <v>15396.07610467841</v>
      </c>
      <c r="N18" s="113">
        <f t="shared" ca="1" si="1"/>
        <v>2287.4170212665085</v>
      </c>
      <c r="O18" s="114">
        <f t="shared" ca="1" si="2"/>
        <v>1.8189894035458565E-12</v>
      </c>
    </row>
    <row r="19" spans="2:28" x14ac:dyDescent="0.25">
      <c r="B19" s="45">
        <f t="shared" ca="1" si="9"/>
        <v>5</v>
      </c>
      <c r="C19" s="22">
        <f t="shared" ca="1" si="3"/>
        <v>35</v>
      </c>
      <c r="D19" s="46">
        <f t="shared" ca="1" si="10"/>
        <v>0.05</v>
      </c>
      <c r="E19" s="49">
        <f t="shared" ca="1" si="11"/>
        <v>84032.439858327882</v>
      </c>
      <c r="F19" s="50">
        <f t="shared" ca="1" si="12"/>
        <v>1.501035790919647E-2</v>
      </c>
      <c r="G19" s="50">
        <f t="shared" ca="1" si="13"/>
        <v>0.04</v>
      </c>
      <c r="H19" s="47">
        <f t="shared" ca="1" si="4"/>
        <v>2.7890817266783718E-2</v>
      </c>
      <c r="I19" s="48">
        <f t="shared" ca="1" si="5"/>
        <v>2378.9137021171673</v>
      </c>
      <c r="J19" s="48">
        <f t="shared" ca="1" si="6"/>
        <v>11437.085106332535</v>
      </c>
      <c r="K19" s="51">
        <f t="shared" ca="1" si="7"/>
        <v>11437.085106332535</v>
      </c>
      <c r="L19" s="52">
        <f ca="1">K19*Assumptions!$B$19</f>
        <v>8577.8138297494006</v>
      </c>
      <c r="M19" s="136">
        <f t="shared" ca="1" si="8"/>
        <v>20014.898936081936</v>
      </c>
      <c r="N19" s="113">
        <f t="shared" ca="1" si="1"/>
        <v>2378.9137021171664</v>
      </c>
      <c r="O19" s="114">
        <f t="shared" ca="1" si="2"/>
        <v>-9.0949470177292824E-13</v>
      </c>
    </row>
    <row r="20" spans="2:28" x14ac:dyDescent="0.25">
      <c r="B20" s="45">
        <f t="shared" ca="1" si="9"/>
        <v>6</v>
      </c>
      <c r="C20" s="22">
        <f t="shared" ca="1" si="3"/>
        <v>36</v>
      </c>
      <c r="D20" s="46">
        <f t="shared" ca="1" si="10"/>
        <v>0.05</v>
      </c>
      <c r="E20" s="49">
        <f t="shared" ca="1" si="11"/>
        <v>85293.796856584406</v>
      </c>
      <c r="F20" s="50">
        <f t="shared" ca="1" si="12"/>
        <v>1.501035790919647E-2</v>
      </c>
      <c r="G20" s="50">
        <f t="shared" ca="1" si="13"/>
        <v>0.04</v>
      </c>
      <c r="H20" s="47">
        <f t="shared" ca="1" si="4"/>
        <v>2.8577491580681982E-2</v>
      </c>
      <c r="I20" s="48">
        <f t="shared" ca="1" si="5"/>
        <v>2474.0702502018539</v>
      </c>
      <c r="J20" s="48">
        <f t="shared" ca="1" si="6"/>
        <v>14273.482212703004</v>
      </c>
      <c r="K20" s="51">
        <f t="shared" ca="1" si="7"/>
        <v>14273.482212703004</v>
      </c>
      <c r="L20" s="52">
        <f ca="1">K20*Assumptions!$B$19</f>
        <v>10705.111659527252</v>
      </c>
      <c r="M20" s="136">
        <f t="shared" ca="1" si="8"/>
        <v>24978.593872230256</v>
      </c>
      <c r="N20" s="113">
        <f t="shared" ca="1" si="1"/>
        <v>2474.0702502018521</v>
      </c>
      <c r="O20" s="114">
        <f t="shared" ca="1" si="2"/>
        <v>-1.8189894035458565E-12</v>
      </c>
    </row>
    <row r="21" spans="2:28" x14ac:dyDescent="0.25">
      <c r="B21" s="45">
        <f t="shared" ca="1" si="9"/>
        <v>7</v>
      </c>
      <c r="C21" s="22">
        <f t="shared" ca="1" si="3"/>
        <v>37</v>
      </c>
      <c r="D21" s="46">
        <f t="shared" ca="1" si="10"/>
        <v>0.05</v>
      </c>
      <c r="E21" s="49">
        <f t="shared" ca="1" si="11"/>
        <v>86574.087274836042</v>
      </c>
      <c r="F21" s="50">
        <f t="shared" ca="1" si="12"/>
        <v>1.501035790919647E-2</v>
      </c>
      <c r="G21" s="50">
        <f t="shared" ca="1" si="13"/>
        <v>0.04</v>
      </c>
      <c r="H21" s="47">
        <f t="shared" ca="1" si="4"/>
        <v>2.928107187509912E-2</v>
      </c>
      <c r="I21" s="48">
        <f t="shared" ca="1" si="5"/>
        <v>2573.0330602099284</v>
      </c>
      <c r="J21" s="48">
        <f t="shared" ca="1" si="6"/>
        <v>17318.491751412977</v>
      </c>
      <c r="K21" s="51">
        <f t="shared" ca="1" si="7"/>
        <v>17318.491751412977</v>
      </c>
      <c r="L21" s="52">
        <f ca="1">K21*Assumptions!$B$19</f>
        <v>12988.868813559733</v>
      </c>
      <c r="M21" s="136">
        <f t="shared" ca="1" si="8"/>
        <v>30307.360564972711</v>
      </c>
      <c r="N21" s="113">
        <f t="shared" ca="1" si="1"/>
        <v>2573.0330602099311</v>
      </c>
      <c r="O21" s="114">
        <f t="shared" ca="1" si="2"/>
        <v>2.7284841053187847E-12</v>
      </c>
    </row>
    <row r="22" spans="2:28" x14ac:dyDescent="0.25">
      <c r="B22" s="45">
        <f t="shared" ca="1" si="9"/>
        <v>8</v>
      </c>
      <c r="C22" s="22">
        <f t="shared" ca="1" si="3"/>
        <v>38</v>
      </c>
      <c r="D22" s="46">
        <f t="shared" ca="1" si="10"/>
        <v>0.05</v>
      </c>
      <c r="E22" s="49">
        <f t="shared" ca="1" si="11"/>
        <v>87873.595310493343</v>
      </c>
      <c r="F22" s="50">
        <f t="shared" ca="1" si="12"/>
        <v>1.501035790919647E-2</v>
      </c>
      <c r="G22" s="50">
        <f t="shared" ca="1" si="13"/>
        <v>0.04</v>
      </c>
      <c r="H22" s="47">
        <f t="shared" ca="1" si="4"/>
        <v>3.0001974376725894E-2</v>
      </c>
      <c r="I22" s="48">
        <f t="shared" ca="1" si="5"/>
        <v>2675.9543826183262</v>
      </c>
      <c r="J22" s="48">
        <f t="shared" ca="1" si="6"/>
        <v>20584.264481679427</v>
      </c>
      <c r="K22" s="51">
        <f t="shared" ca="1" si="7"/>
        <v>20584.264481679427</v>
      </c>
      <c r="L22" s="52">
        <f ca="1">K22*Assumptions!$B$19</f>
        <v>15438.19836125957</v>
      </c>
      <c r="M22" s="136">
        <f t="shared" ca="1" si="8"/>
        <v>36022.462842939</v>
      </c>
      <c r="N22" s="113">
        <f t="shared" ca="1" si="1"/>
        <v>2675.9543826183326</v>
      </c>
      <c r="O22" s="114">
        <f t="shared" ca="1" si="2"/>
        <v>6.3664629124104977E-12</v>
      </c>
    </row>
    <row r="23" spans="2:28" x14ac:dyDescent="0.25">
      <c r="B23" s="45">
        <f t="shared" ca="1" si="9"/>
        <v>9</v>
      </c>
      <c r="C23" s="22">
        <f t="shared" ca="1" si="3"/>
        <v>39</v>
      </c>
      <c r="D23" s="46">
        <f t="shared" ca="1" si="10"/>
        <v>0.05</v>
      </c>
      <c r="E23" s="49">
        <f t="shared" ca="1" si="11"/>
        <v>89192.609426871742</v>
      </c>
      <c r="F23" s="50">
        <f t="shared" ca="1" si="12"/>
        <v>1.501035790919647E-2</v>
      </c>
      <c r="G23" s="50">
        <f t="shared" ca="1" si="13"/>
        <v>0.04</v>
      </c>
      <c r="H23" s="47">
        <f t="shared" ca="1" si="4"/>
        <v>3.0740625559789892E-2</v>
      </c>
      <c r="I23" s="48">
        <f t="shared" ca="1" si="5"/>
        <v>2782.9925579230598</v>
      </c>
      <c r="J23" s="48">
        <f t="shared" ca="1" si="6"/>
        <v>24083.589443564939</v>
      </c>
      <c r="K23" s="51">
        <f t="shared" ca="1" si="7"/>
        <v>24083.589443564939</v>
      </c>
      <c r="L23" s="52">
        <f ca="1">K23*Assumptions!$B$19</f>
        <v>18062.692082673704</v>
      </c>
      <c r="M23" s="136">
        <f t="shared" ca="1" si="8"/>
        <v>42146.281526238643</v>
      </c>
      <c r="N23" s="113">
        <f t="shared" ca="1" si="1"/>
        <v>2782.9925579230585</v>
      </c>
      <c r="O23" s="114">
        <f t="shared" ca="1" si="2"/>
        <v>-1.3642420526593924E-12</v>
      </c>
    </row>
    <row r="24" spans="2:28" x14ac:dyDescent="0.25">
      <c r="B24" s="45">
        <f t="shared" ca="1" si="9"/>
        <v>10</v>
      </c>
      <c r="C24" s="22">
        <f t="shared" ca="1" si="3"/>
        <v>40</v>
      </c>
      <c r="D24" s="46">
        <f t="shared" ca="1" si="10"/>
        <v>0.05</v>
      </c>
      <c r="E24" s="49">
        <f t="shared" ca="1" si="11"/>
        <v>90531.422417224254</v>
      </c>
      <c r="F24" s="50">
        <f t="shared" ca="1" si="12"/>
        <v>1.501035790919647E-2</v>
      </c>
      <c r="G24" s="50">
        <f t="shared" ca="1" si="13"/>
        <v>0.04</v>
      </c>
      <c r="H24" s="47">
        <f t="shared" ca="1" si="4"/>
        <v>3.1497462398350794E-2</v>
      </c>
      <c r="I24" s="48">
        <f t="shared" ca="1" si="5"/>
        <v>2894.3122602399831</v>
      </c>
      <c r="J24" s="48">
        <f t="shared" ca="1" si="6"/>
        <v>27829.925579230596</v>
      </c>
      <c r="K24" s="51">
        <f t="shared" ca="1" si="7"/>
        <v>27829.925579230596</v>
      </c>
      <c r="L24" s="52">
        <f ca="1">K24*Assumptions!$B$19</f>
        <v>20872.444184422948</v>
      </c>
      <c r="M24" s="136">
        <f t="shared" ca="1" si="8"/>
        <v>48702.369763653543</v>
      </c>
      <c r="N24" s="113">
        <f t="shared" ca="1" si="1"/>
        <v>2894.3122602399853</v>
      </c>
      <c r="O24" s="114">
        <f t="shared" ca="1" si="2"/>
        <v>2.2737367544323206E-12</v>
      </c>
    </row>
    <row r="25" spans="2:28" x14ac:dyDescent="0.25">
      <c r="B25" s="45">
        <f t="shared" ca="1" si="9"/>
        <v>11</v>
      </c>
      <c r="C25" s="22">
        <f t="shared" ca="1" si="3"/>
        <v>41</v>
      </c>
      <c r="D25" s="46">
        <f t="shared" ca="1" si="10"/>
        <v>0.05</v>
      </c>
      <c r="E25" s="49">
        <f t="shared" ca="1" si="11"/>
        <v>91890.331469735436</v>
      </c>
      <c r="F25" s="50">
        <f t="shared" ca="1" si="12"/>
        <v>1.501035790919647E-2</v>
      </c>
      <c r="G25" s="50">
        <f t="shared" ca="1" si="13"/>
        <v>0.04</v>
      </c>
      <c r="H25" s="47">
        <f t="shared" ca="1" si="4"/>
        <v>3.2272932624807085E-2</v>
      </c>
      <c r="I25" s="48">
        <f t="shared" ca="1" si="5"/>
        <v>3010.0847506495816</v>
      </c>
      <c r="J25" s="48">
        <f t="shared" ca="1" si="6"/>
        <v>31837.434862639806</v>
      </c>
      <c r="K25" s="51">
        <f t="shared" ca="1" si="7"/>
        <v>31837.434862639806</v>
      </c>
      <c r="L25" s="52">
        <f ca="1">K25*Assumptions!$B$19</f>
        <v>23878.076146979853</v>
      </c>
      <c r="M25" s="136">
        <f t="shared" ca="1" si="8"/>
        <v>55715.511009619659</v>
      </c>
      <c r="N25" s="113">
        <f t="shared" ca="1" si="1"/>
        <v>3010.0847506495847</v>
      </c>
      <c r="O25" s="114">
        <f t="shared" ca="1" si="2"/>
        <v>3.1832314562052488E-12</v>
      </c>
    </row>
    <row r="26" spans="2:28" x14ac:dyDescent="0.25">
      <c r="B26" s="45">
        <f t="shared" ca="1" si="9"/>
        <v>12</v>
      </c>
      <c r="C26" s="22">
        <f t="shared" ca="1" si="3"/>
        <v>42</v>
      </c>
      <c r="D26" s="46">
        <f t="shared" ca="1" si="10"/>
        <v>0.05</v>
      </c>
      <c r="E26" s="49">
        <f t="shared" ca="1" si="11"/>
        <v>93269.63823349087</v>
      </c>
      <c r="F26" s="50">
        <f t="shared" ca="1" si="12"/>
        <v>1.501035790919647E-2</v>
      </c>
      <c r="G26" s="50">
        <f t="shared" ca="1" si="13"/>
        <v>0.04</v>
      </c>
      <c r="H26" s="47">
        <f t="shared" ca="1" si="4"/>
        <v>3.3067494994767348E-2</v>
      </c>
      <c r="I26" s="48">
        <f t="shared" ca="1" si="5"/>
        <v>3130.4881406755649</v>
      </c>
      <c r="J26" s="48">
        <f t="shared" ca="1" si="6"/>
        <v>36121.017007794981</v>
      </c>
      <c r="K26" s="51">
        <f t="shared" ca="1" si="7"/>
        <v>36121.017007794981</v>
      </c>
      <c r="L26" s="52">
        <f ca="1">K26*Assumptions!$B$19</f>
        <v>27090.762755846234</v>
      </c>
      <c r="M26" s="136">
        <f t="shared" ca="1" si="8"/>
        <v>63211.779763641214</v>
      </c>
      <c r="N26" s="113">
        <f t="shared" ca="1" si="1"/>
        <v>3130.4881406755667</v>
      </c>
      <c r="O26" s="114">
        <f t="shared" ca="1" si="2"/>
        <v>1.8189894035458565E-12</v>
      </c>
    </row>
    <row r="27" spans="2:28" x14ac:dyDescent="0.25">
      <c r="B27" s="45">
        <f t="shared" ca="1" si="9"/>
        <v>13</v>
      </c>
      <c r="C27" s="22">
        <f t="shared" ca="1" si="3"/>
        <v>43</v>
      </c>
      <c r="D27" s="46">
        <f t="shared" ca="1" si="10"/>
        <v>0.05</v>
      </c>
      <c r="E27" s="49">
        <f t="shared" ca="1" si="11"/>
        <v>94669.648885436836</v>
      </c>
      <c r="F27" s="50">
        <f t="shared" ca="1" si="12"/>
        <v>1.501035790919647E-2</v>
      </c>
      <c r="G27" s="50">
        <f t="shared" ca="1" si="13"/>
        <v>0.04</v>
      </c>
      <c r="H27" s="47">
        <f t="shared" ca="1" si="4"/>
        <v>3.3881619558442592E-2</v>
      </c>
      <c r="I27" s="48">
        <f t="shared" ca="1" si="5"/>
        <v>3255.7076663025878</v>
      </c>
      <c r="J27" s="48">
        <f t="shared" ca="1" si="6"/>
        <v>40696.345828782345</v>
      </c>
      <c r="K27" s="51">
        <f t="shared" ca="1" si="7"/>
        <v>40696.345828782345</v>
      </c>
      <c r="L27" s="52">
        <f ca="1">K27*Assumptions!$B$19</f>
        <v>30522.259371586759</v>
      </c>
      <c r="M27" s="136">
        <f t="shared" ca="1" si="8"/>
        <v>71218.6052003691</v>
      </c>
      <c r="N27" s="113">
        <f t="shared" ca="1" si="1"/>
        <v>3255.7076663025873</v>
      </c>
      <c r="O27" s="114">
        <f t="shared" ca="1" si="2"/>
        <v>-4.5474735088646412E-13</v>
      </c>
    </row>
    <row r="28" spans="2:28" x14ac:dyDescent="0.25">
      <c r="B28" s="45">
        <f t="shared" ca="1" si="9"/>
        <v>14</v>
      </c>
      <c r="C28" s="22">
        <f t="shared" ca="1" si="3"/>
        <v>44</v>
      </c>
      <c r="D28" s="46">
        <f t="shared" ca="1" si="10"/>
        <v>0.05</v>
      </c>
      <c r="E28" s="49">
        <f t="shared" ca="1" si="11"/>
        <v>96090.674198345208</v>
      </c>
      <c r="F28" s="50">
        <f t="shared" ca="1" si="12"/>
        <v>1.501035790919647E-2</v>
      </c>
      <c r="G28" s="50">
        <f t="shared" ca="1" si="13"/>
        <v>0.04</v>
      </c>
      <c r="H28" s="47">
        <f t="shared" ca="1" si="4"/>
        <v>3.4715787938720342E-2</v>
      </c>
      <c r="I28" s="48">
        <f t="shared" ca="1" si="5"/>
        <v>3385.9359729546923</v>
      </c>
      <c r="J28" s="48">
        <f t="shared" ca="1" si="6"/>
        <v>45579.90732823623</v>
      </c>
      <c r="K28" s="51">
        <f t="shared" ca="1" si="7"/>
        <v>45579.90732823623</v>
      </c>
      <c r="L28" s="52">
        <f ca="1">K28*Assumptions!$B$19</f>
        <v>34184.93049617717</v>
      </c>
      <c r="M28" s="136">
        <f t="shared" ca="1" si="8"/>
        <v>79764.837824413407</v>
      </c>
      <c r="N28" s="113">
        <f t="shared" ca="1" si="1"/>
        <v>3385.9359729547068</v>
      </c>
      <c r="O28" s="114">
        <f t="shared" ca="1" si="2"/>
        <v>1.4551915228366852E-11</v>
      </c>
      <c r="Q28" s="75"/>
    </row>
    <row r="29" spans="2:28" x14ac:dyDescent="0.25">
      <c r="B29" s="45">
        <f t="shared" ca="1" si="9"/>
        <v>15</v>
      </c>
      <c r="C29" s="22">
        <f t="shared" ca="1" si="3"/>
        <v>45</v>
      </c>
      <c r="D29" s="46">
        <f t="shared" ca="1" si="10"/>
        <v>0.05</v>
      </c>
      <c r="E29" s="49">
        <f t="shared" ca="1" si="11"/>
        <v>97533.029609798366</v>
      </c>
      <c r="F29" s="50">
        <f t="shared" ca="1" si="12"/>
        <v>1.501035790919647E-2</v>
      </c>
      <c r="G29" s="50">
        <f t="shared" ca="1" si="13"/>
        <v>0.04</v>
      </c>
      <c r="H29" s="47">
        <f t="shared" ca="1" si="4"/>
        <v>3.5570493616084935E-2</v>
      </c>
      <c r="I29" s="48">
        <f t="shared" ca="1" si="5"/>
        <v>3521.3734118728798</v>
      </c>
      <c r="J29" s="48">
        <f t="shared" ca="1" si="6"/>
        <v>50789.039594320384</v>
      </c>
      <c r="K29" s="51">
        <f t="shared" ca="1" si="7"/>
        <v>50789.039594320384</v>
      </c>
      <c r="L29" s="52">
        <f ca="1">K29*Assumptions!$B$19</f>
        <v>38091.77969574029</v>
      </c>
      <c r="M29" s="136">
        <f t="shared" ca="1" si="8"/>
        <v>88880.819290060666</v>
      </c>
      <c r="N29" s="113">
        <f t="shared" ca="1" si="1"/>
        <v>3521.373411872868</v>
      </c>
      <c r="O29" s="114">
        <f t="shared" ca="1" si="2"/>
        <v>-1.1823431123048067E-11</v>
      </c>
    </row>
    <row r="30" spans="2:28" x14ac:dyDescent="0.25">
      <c r="B30" s="45">
        <f t="shared" ca="1" si="9"/>
        <v>16</v>
      </c>
      <c r="C30" s="22">
        <f t="shared" ca="1" si="3"/>
        <v>46</v>
      </c>
      <c r="D30" s="46">
        <f t="shared" ca="1" si="10"/>
        <v>0.05</v>
      </c>
      <c r="E30" s="49">
        <f t="shared" ca="1" si="11"/>
        <v>98997.035292209694</v>
      </c>
      <c r="F30" s="50">
        <f t="shared" ca="1" si="12"/>
        <v>1.501035790919647E-2</v>
      </c>
      <c r="G30" s="50">
        <f t="shared" ca="1" si="13"/>
        <v>0.04</v>
      </c>
      <c r="H30" s="47">
        <f t="shared" ca="1" si="4"/>
        <v>3.644624222055258E-2</v>
      </c>
      <c r="I30" s="48">
        <f t="shared" ca="1" si="5"/>
        <v>3662.2283483477959</v>
      </c>
      <c r="J30" s="48">
        <f t="shared" ca="1" si="6"/>
        <v>56341.97458996607</v>
      </c>
      <c r="K30" s="51">
        <f t="shared" ca="1" si="7"/>
        <v>56341.97458996607</v>
      </c>
      <c r="L30" s="52">
        <f ca="1">K30*Assumptions!$B$19</f>
        <v>42256.480942474554</v>
      </c>
      <c r="M30" s="136">
        <f t="shared" ca="1" si="8"/>
        <v>98598.455532440625</v>
      </c>
      <c r="N30" s="113">
        <f t="shared" ca="1" si="1"/>
        <v>3662.2283483478241</v>
      </c>
      <c r="O30" s="114">
        <f t="shared" ca="1" si="2"/>
        <v>2.8194335754960775E-11</v>
      </c>
    </row>
    <row r="31" spans="2:28" x14ac:dyDescent="0.25">
      <c r="B31" s="45">
        <f t="shared" ca="1" si="9"/>
        <v>17</v>
      </c>
      <c r="C31" s="22">
        <f t="shared" ca="1" si="3"/>
        <v>47</v>
      </c>
      <c r="D31" s="46">
        <f t="shared" ca="1" si="10"/>
        <v>0.05</v>
      </c>
      <c r="E31" s="49">
        <f t="shared" ca="1" si="11"/>
        <v>100483.01622389512</v>
      </c>
      <c r="F31" s="50">
        <f t="shared" ca="1" si="12"/>
        <v>1.501035790919647E-2</v>
      </c>
      <c r="G31" s="50">
        <f t="shared" ca="1" si="13"/>
        <v>0.04</v>
      </c>
      <c r="H31" s="47">
        <f t="shared" ca="1" si="4"/>
        <v>3.7343551830793839E-2</v>
      </c>
      <c r="I31" s="48">
        <f t="shared" ca="1" si="5"/>
        <v>3808.7174822817078</v>
      </c>
      <c r="J31" s="48">
        <f t="shared" ca="1" si="6"/>
        <v>62257.881921912536</v>
      </c>
      <c r="K31" s="51">
        <f t="shared" ca="1" si="7"/>
        <v>62257.881921912536</v>
      </c>
      <c r="L31" s="52">
        <f ca="1">K31*Assumptions!$B$19</f>
        <v>46693.4114414344</v>
      </c>
      <c r="M31" s="136">
        <f t="shared" ca="1" si="8"/>
        <v>108951.29336334694</v>
      </c>
      <c r="N31" s="113">
        <f t="shared" ca="1" si="1"/>
        <v>3808.7174822817033</v>
      </c>
      <c r="O31" s="114">
        <f t="shared" ca="1" si="2"/>
        <v>-4.5474735088646412E-12</v>
      </c>
      <c r="R31" s="11"/>
      <c r="S31" s="11"/>
      <c r="T31" s="11"/>
      <c r="U31" s="11"/>
      <c r="V31" s="11"/>
      <c r="W31" s="11"/>
      <c r="X31" s="11"/>
      <c r="Y31" s="11"/>
      <c r="Z31" s="11"/>
      <c r="AA31" s="11"/>
      <c r="AB31" s="11"/>
    </row>
    <row r="32" spans="2:28" x14ac:dyDescent="0.25">
      <c r="B32" s="45">
        <f t="shared" ca="1" si="9"/>
        <v>18</v>
      </c>
      <c r="C32" s="22">
        <f t="shared" ca="1" si="3"/>
        <v>48</v>
      </c>
      <c r="D32" s="46">
        <f t="shared" ca="1" si="10"/>
        <v>0.05</v>
      </c>
      <c r="E32" s="49">
        <f t="shared" ca="1" si="11"/>
        <v>101991.30226121137</v>
      </c>
      <c r="F32" s="50">
        <f t="shared" ca="1" si="12"/>
        <v>1.501035790919647E-2</v>
      </c>
      <c r="G32" s="50">
        <f t="shared" ca="1" si="13"/>
        <v>0.04</v>
      </c>
      <c r="H32" s="47">
        <f t="shared" ca="1" si="4"/>
        <v>3.8262953280620619E-2</v>
      </c>
      <c r="I32" s="48">
        <f t="shared" ca="1" si="5"/>
        <v>3961.0661815729763</v>
      </c>
      <c r="J32" s="48">
        <f t="shared" ca="1" si="6"/>
        <v>68556.914681070746</v>
      </c>
      <c r="K32" s="51">
        <f t="shared" ca="1" si="7"/>
        <v>68556.914681070746</v>
      </c>
      <c r="L32" s="52">
        <f ca="1">K32*Assumptions!$B$19</f>
        <v>51417.68601080306</v>
      </c>
      <c r="M32" s="136">
        <f t="shared" ca="1" si="8"/>
        <v>119974.60069187381</v>
      </c>
      <c r="N32" s="113">
        <f t="shared" ca="1" si="1"/>
        <v>3961.0661815729836</v>
      </c>
      <c r="O32" s="114">
        <f t="shared" ca="1" si="2"/>
        <v>7.2759576141834259E-12</v>
      </c>
      <c r="R32" s="11"/>
      <c r="S32" s="11"/>
      <c r="T32" s="11"/>
      <c r="U32" s="11"/>
      <c r="V32" s="11"/>
      <c r="W32" s="11"/>
      <c r="X32" s="11"/>
      <c r="Y32" s="11"/>
      <c r="Z32" s="11"/>
      <c r="AA32" s="11"/>
      <c r="AB32" s="11"/>
    </row>
    <row r="33" spans="2:18" x14ac:dyDescent="0.25">
      <c r="B33" s="45">
        <f t="shared" ca="1" si="9"/>
        <v>19</v>
      </c>
      <c r="C33" s="22">
        <f t="shared" ca="1" si="3"/>
        <v>49</v>
      </c>
      <c r="D33" s="46">
        <f t="shared" ca="1" si="10"/>
        <v>0.05</v>
      </c>
      <c r="E33" s="49">
        <f t="shared" ca="1" si="11"/>
        <v>103522.2282117772</v>
      </c>
      <c r="F33" s="50">
        <f t="shared" ca="1" si="12"/>
        <v>1.501035790919647E-2</v>
      </c>
      <c r="G33" s="50">
        <f t="shared" ca="1" si="13"/>
        <v>0.04</v>
      </c>
      <c r="H33" s="47">
        <f t="shared" ca="1" si="4"/>
        <v>3.92049904730188E-2</v>
      </c>
      <c r="I33" s="48">
        <f t="shared" ca="1" si="5"/>
        <v>4119.5088288358966</v>
      </c>
      <c r="J33" s="48">
        <f t="shared" ca="1" si="6"/>
        <v>75260.257449886558</v>
      </c>
      <c r="K33" s="51">
        <f t="shared" ca="1" si="7"/>
        <v>75260.257449886558</v>
      </c>
      <c r="L33" s="52">
        <f ca="1">K33*Assumptions!$B$19</f>
        <v>56445.193087414918</v>
      </c>
      <c r="M33" s="136">
        <f t="shared" ca="1" si="8"/>
        <v>131705.45053730148</v>
      </c>
      <c r="N33" s="113">
        <f t="shared" ca="1" si="1"/>
        <v>4119.5088288358966</v>
      </c>
      <c r="O33" s="114">
        <f t="shared" ca="1" si="2"/>
        <v>0</v>
      </c>
      <c r="R33" s="11"/>
    </row>
    <row r="34" spans="2:18" x14ac:dyDescent="0.25">
      <c r="B34" s="45">
        <f t="shared" ca="1" si="9"/>
        <v>20</v>
      </c>
      <c r="C34" s="22">
        <f t="shared" ca="1" si="3"/>
        <v>50</v>
      </c>
      <c r="D34" s="46">
        <f t="shared" ca="1" si="10"/>
        <v>0.05</v>
      </c>
      <c r="E34" s="49">
        <f t="shared" ca="1" si="11"/>
        <v>105076.13390879349</v>
      </c>
      <c r="F34" s="50">
        <f t="shared" ca="1" si="12"/>
        <v>1.501035790919647E-2</v>
      </c>
      <c r="G34" s="50">
        <f t="shared" ca="1" si="13"/>
        <v>0.04</v>
      </c>
      <c r="H34" s="47">
        <f t="shared" ca="1" si="4"/>
        <v>4.0170220701912437E-2</v>
      </c>
      <c r="I34" s="48">
        <f t="shared" ca="1" si="5"/>
        <v>4284.2891819893321</v>
      </c>
      <c r="J34" s="48">
        <f t="shared" ca="1" si="6"/>
        <v>82390.176576717917</v>
      </c>
      <c r="K34" s="51">
        <f t="shared" ca="1" si="7"/>
        <v>82390.176576717917</v>
      </c>
      <c r="L34" s="52">
        <f ca="1">K34*Assumptions!$B$19</f>
        <v>61792.632432538434</v>
      </c>
      <c r="M34" s="136">
        <f t="shared" ca="1" si="8"/>
        <v>144182.80900925637</v>
      </c>
      <c r="N34" s="113">
        <f t="shared" ca="1" si="1"/>
        <v>4284.2891819893412</v>
      </c>
      <c r="O34" s="114">
        <f t="shared" ca="1" si="2"/>
        <v>9.0949470177292824E-12</v>
      </c>
      <c r="R34" s="11"/>
    </row>
    <row r="35" spans="2:18" x14ac:dyDescent="0.25">
      <c r="B35" s="45">
        <f t="shared" ca="1" si="9"/>
        <v>21</v>
      </c>
      <c r="C35" s="22">
        <f t="shared" ca="1" si="3"/>
        <v>51</v>
      </c>
      <c r="D35" s="46">
        <f t="shared" ca="1" si="10"/>
        <v>0.05</v>
      </c>
      <c r="E35" s="49">
        <f t="shared" ca="1" si="11"/>
        <v>106653.36428647913</v>
      </c>
      <c r="F35" s="50">
        <f t="shared" ca="1" si="12"/>
        <v>1.501035790919647E-2</v>
      </c>
      <c r="G35" s="50">
        <f t="shared" ca="1" si="13"/>
        <v>0.04</v>
      </c>
      <c r="H35" s="47">
        <f t="shared" ca="1" si="4"/>
        <v>4.1159214981849809E-2</v>
      </c>
      <c r="I35" s="48">
        <f t="shared" ca="1" si="5"/>
        <v>4455.6607492689063</v>
      </c>
      <c r="J35" s="48">
        <f t="shared" ca="1" si="6"/>
        <v>89970.072821775975</v>
      </c>
      <c r="K35" s="51">
        <f t="shared" ca="1" si="7"/>
        <v>89970.072821775975</v>
      </c>
      <c r="L35" s="52">
        <f ca="1">K35*Assumptions!$B$19</f>
        <v>67477.554616331981</v>
      </c>
      <c r="M35" s="136">
        <f t="shared" ca="1" si="8"/>
        <v>157447.62743810797</v>
      </c>
      <c r="N35" s="113">
        <f t="shared" ca="1" si="1"/>
        <v>4455.6607492689072</v>
      </c>
      <c r="O35" s="114">
        <f t="shared" ca="1" si="2"/>
        <v>9.0949470177292824E-13</v>
      </c>
      <c r="R35" s="74"/>
    </row>
    <row r="36" spans="2:18" x14ac:dyDescent="0.25">
      <c r="B36" s="45">
        <f t="shared" ca="1" si="9"/>
        <v>22</v>
      </c>
      <c r="C36" s="22">
        <f t="shared" ca="1" si="3"/>
        <v>52</v>
      </c>
      <c r="D36" s="46">
        <f t="shared" ca="1" si="10"/>
        <v>0.05</v>
      </c>
      <c r="E36" s="49">
        <f t="shared" ca="1" si="11"/>
        <v>108254.2694566391</v>
      </c>
      <c r="F36" s="50">
        <f t="shared" ca="1" si="12"/>
        <v>1.501035790919647E-2</v>
      </c>
      <c r="G36" s="50">
        <f t="shared" ca="1" si="13"/>
        <v>0.04</v>
      </c>
      <c r="H36" s="47">
        <f t="shared" ca="1" si="4"/>
        <v>4.2172558385806365E-2</v>
      </c>
      <c r="I36" s="48">
        <f t="shared" ca="1" si="5"/>
        <v>4633.8871792396621</v>
      </c>
      <c r="J36" s="48">
        <f t="shared" ca="1" si="6"/>
        <v>98024.53648391593</v>
      </c>
      <c r="K36" s="51">
        <f t="shared" ca="1" si="7"/>
        <v>98024.53648391593</v>
      </c>
      <c r="L36" s="52">
        <f ca="1">K36*Assumptions!$B$19</f>
        <v>73518.402362936948</v>
      </c>
      <c r="M36" s="136">
        <f t="shared" ca="1" si="8"/>
        <v>171542.93884685286</v>
      </c>
      <c r="N36" s="113">
        <f t="shared" ca="1" si="1"/>
        <v>4633.8871792396822</v>
      </c>
      <c r="O36" s="114">
        <f t="shared" ca="1" si="2"/>
        <v>2.0008883439004421E-11</v>
      </c>
    </row>
    <row r="37" spans="2:18" x14ac:dyDescent="0.25">
      <c r="B37" s="45">
        <f t="shared" ca="1" si="9"/>
        <v>23</v>
      </c>
      <c r="C37" s="22">
        <f t="shared" ca="1" si="3"/>
        <v>53</v>
      </c>
      <c r="D37" s="46">
        <f t="shared" ca="1" si="10"/>
        <v>0.05</v>
      </c>
      <c r="E37" s="49">
        <f t="shared" ca="1" si="11"/>
        <v>109879.20478638184</v>
      </c>
      <c r="F37" s="50">
        <f t="shared" ca="1" si="12"/>
        <v>1.501035790919647E-2</v>
      </c>
      <c r="G37" s="50">
        <f t="shared" ca="1" si="13"/>
        <v>0.04</v>
      </c>
      <c r="H37" s="47">
        <f t="shared" ca="1" si="4"/>
        <v>4.3210850391304401E-2</v>
      </c>
      <c r="I37" s="48">
        <f t="shared" ca="1" si="5"/>
        <v>4819.2426664092491</v>
      </c>
      <c r="J37" s="48">
        <f t="shared" ca="1" si="6"/>
        <v>106579.40512251225</v>
      </c>
      <c r="K37" s="51">
        <f t="shared" ca="1" si="7"/>
        <v>106579.40512251225</v>
      </c>
      <c r="L37" s="52">
        <f ca="1">K37*Assumptions!$B$19</f>
        <v>79934.55384188419</v>
      </c>
      <c r="M37" s="136">
        <f t="shared" ca="1" si="8"/>
        <v>186513.95896439644</v>
      </c>
      <c r="N37" s="113">
        <f t="shared" ca="1" si="1"/>
        <v>4819.2426664092491</v>
      </c>
      <c r="O37" s="114">
        <f t="shared" ca="1" si="2"/>
        <v>0</v>
      </c>
    </row>
    <row r="38" spans="2:18" x14ac:dyDescent="0.25">
      <c r="B38" s="45">
        <f t="shared" ca="1" si="9"/>
        <v>24</v>
      </c>
      <c r="C38" s="22">
        <f t="shared" ca="1" si="3"/>
        <v>54</v>
      </c>
      <c r="D38" s="46">
        <f t="shared" ca="1" si="10"/>
        <v>0.05</v>
      </c>
      <c r="E38" s="49">
        <f t="shared" ca="1" si="11"/>
        <v>111528.53097700333</v>
      </c>
      <c r="F38" s="50">
        <f t="shared" ca="1" si="12"/>
        <v>1.501035790919647E-2</v>
      </c>
      <c r="G38" s="50">
        <f t="shared" ca="1" si="13"/>
        <v>0.04</v>
      </c>
      <c r="H38" s="47">
        <f t="shared" ca="1" si="4"/>
        <v>4.4274705235054251E-2</v>
      </c>
      <c r="I38" s="48">
        <f t="shared" ca="1" si="5"/>
        <v>5012.0123730656205</v>
      </c>
      <c r="J38" s="48">
        <f t="shared" ca="1" si="6"/>
        <v>115661.82399382199</v>
      </c>
      <c r="K38" s="51">
        <f t="shared" ca="1" si="7"/>
        <v>115661.82399382199</v>
      </c>
      <c r="L38" s="52">
        <f ca="1">K38*Assumptions!$B$19</f>
        <v>86746.367995366498</v>
      </c>
      <c r="M38" s="136">
        <f t="shared" ca="1" si="8"/>
        <v>202408.19198918849</v>
      </c>
      <c r="N38" s="113">
        <f t="shared" ca="1" si="1"/>
        <v>5012.0123730656342</v>
      </c>
      <c r="O38" s="114">
        <f t="shared" ca="1" si="2"/>
        <v>1.3642420526593924E-11</v>
      </c>
    </row>
    <row r="39" spans="2:18" x14ac:dyDescent="0.25">
      <c r="B39" s="45">
        <f t="shared" ca="1" si="9"/>
        <v>25</v>
      </c>
      <c r="C39" s="22">
        <f t="shared" ca="1" si="3"/>
        <v>55</v>
      </c>
      <c r="D39" s="46">
        <f t="shared" ca="1" si="10"/>
        <v>0.05</v>
      </c>
      <c r="E39" s="49">
        <f t="shared" ca="1" si="11"/>
        <v>113202.61414405506</v>
      </c>
      <c r="F39" s="50">
        <f t="shared" ca="1" si="12"/>
        <v>1.501035790919647E-2</v>
      </c>
      <c r="G39" s="50">
        <f t="shared" ca="1" si="13"/>
        <v>0.04</v>
      </c>
      <c r="H39" s="47">
        <f t="shared" ca="1" si="4"/>
        <v>4.536475227632672E-2</v>
      </c>
      <c r="I39" s="48">
        <f t="shared" ca="1" si="5"/>
        <v>5212.492867988246</v>
      </c>
      <c r="J39" s="48">
        <f t="shared" ca="1" si="6"/>
        <v>125300.3093266405</v>
      </c>
      <c r="K39" s="51">
        <f t="shared" ca="1" si="7"/>
        <v>125300.3093266405</v>
      </c>
      <c r="L39" s="52">
        <f ca="1">K39*Assumptions!$B$19</f>
        <v>93975.231994980379</v>
      </c>
      <c r="M39" s="136">
        <f t="shared" ca="1" si="8"/>
        <v>219275.54132162087</v>
      </c>
      <c r="N39" s="113">
        <f t="shared" ca="1" si="1"/>
        <v>5212.4928679882578</v>
      </c>
      <c r="O39" s="114">
        <f t="shared" ca="1" si="2"/>
        <v>1.1823431123048067E-11</v>
      </c>
    </row>
    <row r="40" spans="2:18" x14ac:dyDescent="0.25">
      <c r="B40" s="45">
        <f t="shared" ca="1" si="9"/>
        <v>26</v>
      </c>
      <c r="C40" s="22">
        <f t="shared" ca="1" si="3"/>
        <v>56</v>
      </c>
      <c r="D40" s="46">
        <f t="shared" ca="1" si="10"/>
        <v>0.05</v>
      </c>
      <c r="E40" s="49">
        <f t="shared" ca="1" si="11"/>
        <v>114901.82589861398</v>
      </c>
      <c r="F40" s="50">
        <f t="shared" ca="1" si="12"/>
        <v>1.501035790919647E-2</v>
      </c>
      <c r="G40" s="50">
        <f t="shared" ca="1" si="13"/>
        <v>0.04</v>
      </c>
      <c r="H40" s="47">
        <f t="shared" ca="1" si="4"/>
        <v>4.6481636369271905E-2</v>
      </c>
      <c r="I40" s="48">
        <f t="shared" ca="1" si="5"/>
        <v>5420.9925827077768</v>
      </c>
      <c r="J40" s="48">
        <f t="shared" ca="1" si="6"/>
        <v>135524.81456769438</v>
      </c>
      <c r="K40" s="51">
        <f t="shared" ca="1" si="7"/>
        <v>135524.81456769438</v>
      </c>
      <c r="L40" s="52">
        <f ca="1">K40*Assumptions!$B$19</f>
        <v>101643.61092577079</v>
      </c>
      <c r="M40" s="136">
        <f t="shared" ca="1" si="8"/>
        <v>237168.42549346515</v>
      </c>
      <c r="N40" s="113">
        <f t="shared" ca="1" si="1"/>
        <v>5420.9925827077823</v>
      </c>
      <c r="O40" s="114">
        <f t="shared" ca="1" si="2"/>
        <v>5.4569682106375694E-12</v>
      </c>
    </row>
    <row r="41" spans="2:18" x14ac:dyDescent="0.25">
      <c r="B41" s="45">
        <f t="shared" ca="1" si="9"/>
        <v>27</v>
      </c>
      <c r="C41" s="22">
        <f t="shared" ca="1" si="3"/>
        <v>57</v>
      </c>
      <c r="D41" s="46">
        <f t="shared" ca="1" si="10"/>
        <v>0.05</v>
      </c>
      <c r="E41" s="49">
        <f t="shared" ca="1" si="11"/>
        <v>116626.54342977236</v>
      </c>
      <c r="F41" s="50">
        <f t="shared" ca="1" si="12"/>
        <v>1.501035790919647E-2</v>
      </c>
      <c r="G41" s="50">
        <f t="shared" ca="1" si="13"/>
        <v>0.04</v>
      </c>
      <c r="H41" s="47">
        <f t="shared" ca="1" si="4"/>
        <v>4.762601824440435E-2</v>
      </c>
      <c r="I41" s="48">
        <f t="shared" ca="1" si="5"/>
        <v>5637.832286016087</v>
      </c>
      <c r="J41" s="48">
        <f t="shared" ca="1" si="6"/>
        <v>146366.79973310995</v>
      </c>
      <c r="K41" s="51">
        <f t="shared" ca="1" si="7"/>
        <v>146366.79973310995</v>
      </c>
      <c r="L41" s="52">
        <f ca="1">K41*Assumptions!$B$19</f>
        <v>109775.09979983246</v>
      </c>
      <c r="M41" s="136">
        <f t="shared" ca="1" si="8"/>
        <v>256141.89953294239</v>
      </c>
      <c r="N41" s="113">
        <f t="shared" ca="1" si="1"/>
        <v>5637.8322860160843</v>
      </c>
      <c r="O41" s="114">
        <f t="shared" ca="1" si="2"/>
        <v>-2.7284841053187847E-12</v>
      </c>
    </row>
    <row r="42" spans="2:18" x14ac:dyDescent="0.25">
      <c r="B42" s="45">
        <f t="shared" ca="1" si="9"/>
        <v>28</v>
      </c>
      <c r="C42" s="22">
        <f t="shared" ca="1" si="3"/>
        <v>58</v>
      </c>
      <c r="D42" s="46">
        <f t="shared" ca="1" si="10"/>
        <v>0.05</v>
      </c>
      <c r="E42" s="49">
        <f t="shared" ca="1" si="11"/>
        <v>118377.14958836569</v>
      </c>
      <c r="F42" s="50">
        <f t="shared" ca="1" si="12"/>
        <v>1.501035790919647E-2</v>
      </c>
      <c r="G42" s="50">
        <f t="shared" ca="1" si="13"/>
        <v>0.04</v>
      </c>
      <c r="H42" s="47">
        <f t="shared" ca="1" si="4"/>
        <v>4.8798574899480598E-2</v>
      </c>
      <c r="I42" s="48">
        <f t="shared" ca="1" si="5"/>
        <v>5863.3455774567319</v>
      </c>
      <c r="J42" s="48">
        <f t="shared" ca="1" si="6"/>
        <v>157859.30400845045</v>
      </c>
      <c r="K42" s="51">
        <f t="shared" ca="1" si="7"/>
        <v>157859.30400845045</v>
      </c>
      <c r="L42" s="52">
        <f ca="1">K42*Assumptions!$B$19</f>
        <v>118394.47800633783</v>
      </c>
      <c r="M42" s="136">
        <f t="shared" ca="1" si="8"/>
        <v>276253.78201478824</v>
      </c>
      <c r="N42" s="113">
        <f t="shared" ca="1" si="1"/>
        <v>5863.3455774567847</v>
      </c>
      <c r="O42" s="114">
        <f t="shared" ca="1" si="2"/>
        <v>5.2750692702829838E-11</v>
      </c>
    </row>
    <row r="43" spans="2:18" x14ac:dyDescent="0.25">
      <c r="B43" s="45">
        <f t="shared" ca="1" si="9"/>
        <v>29</v>
      </c>
      <c r="C43" s="22">
        <f t="shared" ca="1" si="3"/>
        <v>59</v>
      </c>
      <c r="D43" s="46">
        <f t="shared" ca="1" si="10"/>
        <v>0.05</v>
      </c>
      <c r="E43" s="49">
        <f t="shared" ca="1" si="11"/>
        <v>120154.03297195755</v>
      </c>
      <c r="F43" s="50">
        <f t="shared" ca="1" si="12"/>
        <v>1.501035790919647E-2</v>
      </c>
      <c r="G43" s="50">
        <f t="shared" ca="1" si="13"/>
        <v>0.04</v>
      </c>
      <c r="H43" s="47">
        <f t="shared" ca="1" si="4"/>
        <v>0.05</v>
      </c>
      <c r="I43" s="48">
        <f t="shared" ca="1" si="5"/>
        <v>6097.8794005550026</v>
      </c>
      <c r="J43" s="48">
        <f t="shared" ca="1" si="6"/>
        <v>170037.02174624524</v>
      </c>
      <c r="K43" s="51">
        <f t="shared" ca="1" si="7"/>
        <v>170037.02174624524</v>
      </c>
      <c r="L43" s="52">
        <f ca="1">K43*Assumptions!$B$19</f>
        <v>127527.76630968394</v>
      </c>
      <c r="M43" s="136">
        <f t="shared" ca="1" si="8"/>
        <v>297564.78805592918</v>
      </c>
      <c r="N43" s="113">
        <f t="shared" ca="1" si="1"/>
        <v>6097.8794005549862</v>
      </c>
      <c r="O43" s="114">
        <f t="shared" ca="1" si="2"/>
        <v>-1.6370904631912708E-11</v>
      </c>
    </row>
    <row r="44" spans="2:18" x14ac:dyDescent="0.25">
      <c r="B44" s="45">
        <f t="shared" ca="1" si="9"/>
        <v>30</v>
      </c>
      <c r="C44" s="22">
        <f t="shared" ca="1" si="3"/>
        <v>60</v>
      </c>
      <c r="D44" s="46">
        <f t="shared" ca="1" si="10"/>
        <v>0.05</v>
      </c>
      <c r="E44" s="49">
        <f t="shared" ca="1" si="11"/>
        <v>121957.58801110003</v>
      </c>
      <c r="F44" s="50">
        <f t="shared" ca="1" si="12"/>
        <v>1.501035790919647E-2</v>
      </c>
      <c r="G44" s="50">
        <f t="shared" ca="1" si="13"/>
        <v>0.04</v>
      </c>
      <c r="H44" s="47">
        <f t="shared" ca="1" si="4"/>
        <v>5.1231004289566041E-2</v>
      </c>
      <c r="I44" s="48">
        <f t="shared" ca="1" si="5"/>
        <v>0</v>
      </c>
      <c r="J44" s="48">
        <f t="shared" ca="1" si="6"/>
        <v>182936.38201665005</v>
      </c>
      <c r="K44" s="51">
        <f t="shared" ca="1" si="7"/>
        <v>182936.38201665005</v>
      </c>
      <c r="L44" s="52">
        <f ca="1">K44*Assumptions!$B$19</f>
        <v>137202.28651248754</v>
      </c>
      <c r="M44" s="136">
        <f t="shared" ca="1" si="8"/>
        <v>320138.66852913762</v>
      </c>
      <c r="N44" s="113" t="str">
        <f t="shared" ca="1" si="1"/>
        <v/>
      </c>
      <c r="O44" s="114" t="str">
        <f t="shared" ca="1" si="2"/>
        <v/>
      </c>
    </row>
    <row r="45" spans="2:18" x14ac:dyDescent="0.25">
      <c r="B45" s="45" t="str">
        <f t="shared" ca="1" si="9"/>
        <v/>
      </c>
      <c r="C45" s="22" t="str">
        <f t="shared" ca="1" si="3"/>
        <v/>
      </c>
      <c r="D45" s="46" t="str">
        <f t="shared" ca="1" si="10"/>
        <v/>
      </c>
      <c r="E45" s="49" t="str">
        <f t="shared" ca="1" si="11"/>
        <v/>
      </c>
      <c r="F45" s="50" t="str">
        <f t="shared" ca="1" si="12"/>
        <v/>
      </c>
      <c r="G45" s="50" t="str">
        <f t="shared" ca="1" si="13"/>
        <v/>
      </c>
      <c r="H45" s="47" t="str">
        <f t="shared" ca="1" si="4"/>
        <v/>
      </c>
      <c r="I45" s="48">
        <f t="shared" ca="1" si="5"/>
        <v>0</v>
      </c>
      <c r="J45" s="48">
        <f t="shared" ca="1" si="6"/>
        <v>0</v>
      </c>
      <c r="K45" s="51">
        <f t="shared" ca="1" si="7"/>
        <v>0</v>
      </c>
      <c r="L45" s="52">
        <f ca="1">K45*Assumptions!$B$19</f>
        <v>0</v>
      </c>
      <c r="M45" s="136">
        <f t="shared" ca="1" si="8"/>
        <v>0</v>
      </c>
      <c r="N45" s="113" t="str">
        <f t="shared" ca="1" si="1"/>
        <v/>
      </c>
      <c r="O45" s="114" t="str">
        <f t="shared" ca="1" si="2"/>
        <v/>
      </c>
    </row>
    <row r="46" spans="2:18" x14ac:dyDescent="0.25">
      <c r="B46" s="45" t="str">
        <f t="shared" ca="1" si="9"/>
        <v/>
      </c>
      <c r="C46" s="22" t="str">
        <f t="shared" ca="1" si="3"/>
        <v/>
      </c>
      <c r="D46" s="46" t="str">
        <f t="shared" ca="1" si="10"/>
        <v/>
      </c>
      <c r="E46" s="49" t="str">
        <f t="shared" ca="1" si="11"/>
        <v/>
      </c>
      <c r="F46" s="50" t="str">
        <f t="shared" ca="1" si="12"/>
        <v/>
      </c>
      <c r="G46" s="50" t="str">
        <f t="shared" ca="1" si="13"/>
        <v/>
      </c>
      <c r="H46" s="47" t="str">
        <f t="shared" ca="1" si="4"/>
        <v/>
      </c>
      <c r="I46" s="48">
        <f t="shared" ca="1" si="5"/>
        <v>0</v>
      </c>
      <c r="J46" s="48">
        <f t="shared" ca="1" si="6"/>
        <v>0</v>
      </c>
      <c r="K46" s="51">
        <f t="shared" ca="1" si="7"/>
        <v>0</v>
      </c>
      <c r="L46" s="52">
        <f ca="1">K46*Assumptions!$B$19</f>
        <v>0</v>
      </c>
      <c r="M46" s="136">
        <f t="shared" ca="1" si="8"/>
        <v>0</v>
      </c>
      <c r="N46" s="113" t="str">
        <f t="shared" ref="N46:N77" ca="1" si="14">IF($C47="","",J47-J46*(1+i))</f>
        <v/>
      </c>
      <c r="O46" s="114" t="str">
        <f t="shared" ca="1" si="2"/>
        <v/>
      </c>
    </row>
    <row r="47" spans="2:18" x14ac:dyDescent="0.25">
      <c r="B47" s="45" t="str">
        <f t="shared" ca="1" si="9"/>
        <v/>
      </c>
      <c r="C47" s="22" t="str">
        <f t="shared" ref="C47:C78" ca="1" si="15">IF(C46="","",IF($D$2="A",C46+1,IF(C46+1&gt;$D$5,"",C46+1)))</f>
        <v/>
      </c>
      <c r="D47" s="46" t="str">
        <f t="shared" ca="1" si="10"/>
        <v/>
      </c>
      <c r="E47" s="49" t="str">
        <f t="shared" ca="1" si="11"/>
        <v/>
      </c>
      <c r="F47" s="50" t="str">
        <f t="shared" ca="1" si="12"/>
        <v/>
      </c>
      <c r="G47" s="50" t="str">
        <f t="shared" ca="1" si="13"/>
        <v/>
      </c>
      <c r="H47" s="47" t="str">
        <f t="shared" ca="1" si="4"/>
        <v/>
      </c>
      <c r="I47" s="48">
        <f t="shared" ca="1" si="5"/>
        <v>0</v>
      </c>
      <c r="J47" s="48">
        <f t="shared" ca="1" si="6"/>
        <v>0</v>
      </c>
      <c r="K47" s="51">
        <f t="shared" ca="1" si="7"/>
        <v>0</v>
      </c>
      <c r="L47" s="52">
        <f ca="1">K47*Assumptions!$B$19</f>
        <v>0</v>
      </c>
      <c r="M47" s="136">
        <f t="shared" ca="1" si="8"/>
        <v>0</v>
      </c>
      <c r="N47" s="113" t="str">
        <f t="shared" ca="1" si="14"/>
        <v/>
      </c>
      <c r="O47" s="114" t="str">
        <f t="shared" ca="1" si="2"/>
        <v/>
      </c>
    </row>
    <row r="48" spans="2:18" x14ac:dyDescent="0.25">
      <c r="B48" s="45" t="str">
        <f t="shared" ca="1" si="9"/>
        <v/>
      </c>
      <c r="C48" s="22" t="str">
        <f t="shared" ca="1" si="15"/>
        <v/>
      </c>
      <c r="D48" s="46" t="str">
        <f t="shared" ca="1" si="10"/>
        <v/>
      </c>
      <c r="E48" s="49" t="str">
        <f t="shared" ca="1" si="11"/>
        <v/>
      </c>
      <c r="F48" s="50" t="str">
        <f t="shared" ca="1" si="12"/>
        <v/>
      </c>
      <c r="G48" s="50" t="str">
        <f t="shared" ca="1" si="13"/>
        <v/>
      </c>
      <c r="H48" s="47" t="str">
        <f t="shared" ca="1" si="4"/>
        <v/>
      </c>
      <c r="I48" s="48">
        <f t="shared" ca="1" si="5"/>
        <v>0</v>
      </c>
      <c r="J48" s="48">
        <f t="shared" ca="1" si="6"/>
        <v>0</v>
      </c>
      <c r="K48" s="51">
        <f t="shared" ca="1" si="7"/>
        <v>0</v>
      </c>
      <c r="L48" s="52">
        <f ca="1">K48*Assumptions!$B$19</f>
        <v>0</v>
      </c>
      <c r="M48" s="136">
        <f t="shared" ca="1" si="8"/>
        <v>0</v>
      </c>
      <c r="N48" s="113" t="str">
        <f t="shared" ca="1" si="14"/>
        <v/>
      </c>
      <c r="O48" s="114" t="str">
        <f t="shared" ca="1" si="2"/>
        <v/>
      </c>
    </row>
    <row r="49" spans="2:15" x14ac:dyDescent="0.25">
      <c r="B49" s="45" t="str">
        <f t="shared" ca="1" si="9"/>
        <v/>
      </c>
      <c r="C49" s="22" t="str">
        <f t="shared" ca="1" si="15"/>
        <v/>
      </c>
      <c r="D49" s="46" t="str">
        <f t="shared" ca="1" si="10"/>
        <v/>
      </c>
      <c r="E49" s="49" t="str">
        <f t="shared" ca="1" si="11"/>
        <v/>
      </c>
      <c r="F49" s="50" t="str">
        <f t="shared" ca="1" si="12"/>
        <v/>
      </c>
      <c r="G49" s="50" t="str">
        <f t="shared" ca="1" si="13"/>
        <v/>
      </c>
      <c r="H49" s="47" t="str">
        <f t="shared" ca="1" si="4"/>
        <v/>
      </c>
      <c r="I49" s="48">
        <f t="shared" ca="1" si="5"/>
        <v>0</v>
      </c>
      <c r="J49" s="48">
        <f t="shared" ca="1" si="6"/>
        <v>0</v>
      </c>
      <c r="K49" s="51">
        <f t="shared" ca="1" si="7"/>
        <v>0</v>
      </c>
      <c r="L49" s="52">
        <f ca="1">K49*Assumptions!$B$19</f>
        <v>0</v>
      </c>
      <c r="M49" s="136">
        <f t="shared" ca="1" si="8"/>
        <v>0</v>
      </c>
      <c r="N49" s="113" t="str">
        <f t="shared" ca="1" si="14"/>
        <v/>
      </c>
      <c r="O49" s="114" t="str">
        <f t="shared" ca="1" si="2"/>
        <v/>
      </c>
    </row>
    <row r="50" spans="2:15" x14ac:dyDescent="0.25">
      <c r="B50" s="45" t="str">
        <f t="shared" ca="1" si="9"/>
        <v/>
      </c>
      <c r="C50" s="22" t="str">
        <f t="shared" ca="1" si="15"/>
        <v/>
      </c>
      <c r="D50" s="46" t="str">
        <f t="shared" ca="1" si="10"/>
        <v/>
      </c>
      <c r="E50" s="49" t="str">
        <f t="shared" ca="1" si="11"/>
        <v/>
      </c>
      <c r="F50" s="50" t="str">
        <f t="shared" ca="1" si="12"/>
        <v/>
      </c>
      <c r="G50" s="50" t="str">
        <f t="shared" ca="1" si="13"/>
        <v/>
      </c>
      <c r="H50" s="47" t="str">
        <f t="shared" ca="1" si="4"/>
        <v/>
      </c>
      <c r="I50" s="48">
        <f t="shared" ca="1" si="5"/>
        <v>0</v>
      </c>
      <c r="J50" s="48">
        <f t="shared" ca="1" si="6"/>
        <v>0</v>
      </c>
      <c r="K50" s="51">
        <f t="shared" ca="1" si="7"/>
        <v>0</v>
      </c>
      <c r="L50" s="52">
        <f ca="1">K50*Assumptions!$B$19</f>
        <v>0</v>
      </c>
      <c r="M50" s="136">
        <f t="shared" ca="1" si="8"/>
        <v>0</v>
      </c>
      <c r="N50" s="113" t="str">
        <f t="shared" ca="1" si="14"/>
        <v/>
      </c>
      <c r="O50" s="114" t="str">
        <f t="shared" ca="1" si="2"/>
        <v/>
      </c>
    </row>
    <row r="51" spans="2:15" x14ac:dyDescent="0.25">
      <c r="B51" s="45" t="str">
        <f t="shared" ca="1" si="9"/>
        <v/>
      </c>
      <c r="C51" s="22" t="str">
        <f t="shared" ca="1" si="15"/>
        <v/>
      </c>
      <c r="D51" s="46" t="str">
        <f t="shared" ca="1" si="10"/>
        <v/>
      </c>
      <c r="E51" s="49" t="str">
        <f t="shared" ca="1" si="11"/>
        <v/>
      </c>
      <c r="F51" s="50" t="str">
        <f t="shared" ca="1" si="12"/>
        <v/>
      </c>
      <c r="G51" s="50" t="str">
        <f t="shared" ca="1" si="13"/>
        <v/>
      </c>
      <c r="H51" s="47" t="str">
        <f t="shared" ca="1" si="4"/>
        <v/>
      </c>
      <c r="I51" s="48">
        <f t="shared" ca="1" si="5"/>
        <v>0</v>
      </c>
      <c r="J51" s="48">
        <f t="shared" ca="1" si="6"/>
        <v>0</v>
      </c>
      <c r="K51" s="51">
        <f t="shared" ca="1" si="7"/>
        <v>0</v>
      </c>
      <c r="L51" s="52">
        <f ca="1">K51*Assumptions!$B$19</f>
        <v>0</v>
      </c>
      <c r="M51" s="136">
        <f t="shared" ca="1" si="8"/>
        <v>0</v>
      </c>
      <c r="N51" s="113" t="str">
        <f t="shared" ca="1" si="14"/>
        <v/>
      </c>
      <c r="O51" s="114" t="str">
        <f t="shared" ca="1" si="2"/>
        <v/>
      </c>
    </row>
    <row r="52" spans="2:15" x14ac:dyDescent="0.25">
      <c r="B52" s="45" t="str">
        <f t="shared" ca="1" si="9"/>
        <v/>
      </c>
      <c r="C52" s="22" t="str">
        <f t="shared" ca="1" si="15"/>
        <v/>
      </c>
      <c r="D52" s="46" t="str">
        <f t="shared" ca="1" si="10"/>
        <v/>
      </c>
      <c r="E52" s="49" t="str">
        <f t="shared" ca="1" si="11"/>
        <v/>
      </c>
      <c r="F52" s="50" t="str">
        <f t="shared" ca="1" si="12"/>
        <v/>
      </c>
      <c r="G52" s="50" t="str">
        <f t="shared" ca="1" si="13"/>
        <v/>
      </c>
      <c r="H52" s="47" t="str">
        <f t="shared" ca="1" si="4"/>
        <v/>
      </c>
      <c r="I52" s="48">
        <f t="shared" ca="1" si="5"/>
        <v>0</v>
      </c>
      <c r="J52" s="48">
        <f t="shared" ca="1" si="6"/>
        <v>0</v>
      </c>
      <c r="K52" s="51">
        <f t="shared" ca="1" si="7"/>
        <v>0</v>
      </c>
      <c r="L52" s="52">
        <f ca="1">K52*Assumptions!$B$19</f>
        <v>0</v>
      </c>
      <c r="M52" s="136">
        <f t="shared" ca="1" si="8"/>
        <v>0</v>
      </c>
      <c r="N52" s="113" t="str">
        <f t="shared" ca="1" si="14"/>
        <v/>
      </c>
      <c r="O52" s="114" t="str">
        <f t="shared" ca="1" si="2"/>
        <v/>
      </c>
    </row>
    <row r="53" spans="2:15" x14ac:dyDescent="0.25">
      <c r="B53" s="45" t="str">
        <f t="shared" ca="1" si="9"/>
        <v/>
      </c>
      <c r="C53" s="22" t="str">
        <f t="shared" ca="1" si="15"/>
        <v/>
      </c>
      <c r="D53" s="46" t="str">
        <f t="shared" ca="1" si="10"/>
        <v/>
      </c>
      <c r="E53" s="49" t="str">
        <f t="shared" ca="1" si="11"/>
        <v/>
      </c>
      <c r="F53" s="50" t="str">
        <f t="shared" ca="1" si="12"/>
        <v/>
      </c>
      <c r="G53" s="50" t="str">
        <f t="shared" ca="1" si="13"/>
        <v/>
      </c>
      <c r="H53" s="47" t="str">
        <f t="shared" ca="1" si="4"/>
        <v/>
      </c>
      <c r="I53" s="48">
        <f t="shared" ca="1" si="5"/>
        <v>0</v>
      </c>
      <c r="J53" s="48">
        <f t="shared" ca="1" si="6"/>
        <v>0</v>
      </c>
      <c r="K53" s="51">
        <f t="shared" ca="1" si="7"/>
        <v>0</v>
      </c>
      <c r="L53" s="52">
        <f ca="1">K53*Assumptions!$B$19</f>
        <v>0</v>
      </c>
      <c r="M53" s="136">
        <f t="shared" ca="1" si="8"/>
        <v>0</v>
      </c>
      <c r="N53" s="113" t="str">
        <f t="shared" ca="1" si="14"/>
        <v/>
      </c>
      <c r="O53" s="114" t="str">
        <f t="shared" ca="1" si="2"/>
        <v/>
      </c>
    </row>
    <row r="54" spans="2:15" x14ac:dyDescent="0.25">
      <c r="B54" s="45" t="str">
        <f t="shared" ca="1" si="9"/>
        <v/>
      </c>
      <c r="C54" s="22" t="str">
        <f t="shared" ca="1" si="15"/>
        <v/>
      </c>
      <c r="D54" s="46" t="str">
        <f t="shared" ca="1" si="10"/>
        <v/>
      </c>
      <c r="E54" s="49" t="str">
        <f t="shared" ca="1" si="11"/>
        <v/>
      </c>
      <c r="F54" s="50" t="str">
        <f t="shared" ca="1" si="12"/>
        <v/>
      </c>
      <c r="G54" s="50" t="str">
        <f t="shared" ca="1" si="13"/>
        <v/>
      </c>
      <c r="H54" s="47" t="str">
        <f t="shared" ca="1" si="4"/>
        <v/>
      </c>
      <c r="I54" s="48">
        <f t="shared" ca="1" si="5"/>
        <v>0</v>
      </c>
      <c r="J54" s="48">
        <f t="shared" ca="1" si="6"/>
        <v>0</v>
      </c>
      <c r="K54" s="51">
        <f t="shared" ca="1" si="7"/>
        <v>0</v>
      </c>
      <c r="L54" s="52">
        <f ca="1">K54*Assumptions!$B$19</f>
        <v>0</v>
      </c>
      <c r="M54" s="136">
        <f t="shared" ca="1" si="8"/>
        <v>0</v>
      </c>
      <c r="N54" s="113" t="str">
        <f t="shared" ca="1" si="14"/>
        <v/>
      </c>
      <c r="O54" s="114" t="str">
        <f t="shared" ca="1" si="2"/>
        <v/>
      </c>
    </row>
    <row r="55" spans="2:15" x14ac:dyDescent="0.25">
      <c r="B55" s="45" t="str">
        <f t="shared" ca="1" si="9"/>
        <v/>
      </c>
      <c r="C55" s="22" t="str">
        <f t="shared" ca="1" si="15"/>
        <v/>
      </c>
      <c r="D55" s="46" t="str">
        <f t="shared" ca="1" si="10"/>
        <v/>
      </c>
      <c r="E55" s="49" t="str">
        <f t="shared" ca="1" si="11"/>
        <v/>
      </c>
      <c r="F55" s="50" t="str">
        <f t="shared" ca="1" si="12"/>
        <v/>
      </c>
      <c r="G55" s="50" t="str">
        <f t="shared" ca="1" si="13"/>
        <v/>
      </c>
      <c r="H55" s="47" t="str">
        <f t="shared" ca="1" si="4"/>
        <v/>
      </c>
      <c r="I55" s="48">
        <f t="shared" ca="1" si="5"/>
        <v>0</v>
      </c>
      <c r="J55" s="48">
        <f t="shared" ca="1" si="6"/>
        <v>0</v>
      </c>
      <c r="K55" s="51">
        <f t="shared" ca="1" si="7"/>
        <v>0</v>
      </c>
      <c r="L55" s="52">
        <f ca="1">K55*Assumptions!$B$19</f>
        <v>0</v>
      </c>
      <c r="M55" s="136">
        <f t="shared" ca="1" si="8"/>
        <v>0</v>
      </c>
      <c r="N55" s="113" t="str">
        <f t="shared" ca="1" si="14"/>
        <v/>
      </c>
      <c r="O55" s="114" t="str">
        <f t="shared" ca="1" si="2"/>
        <v/>
      </c>
    </row>
    <row r="56" spans="2:15" x14ac:dyDescent="0.25">
      <c r="B56" s="45" t="str">
        <f t="shared" ca="1" si="9"/>
        <v/>
      </c>
      <c r="C56" s="22" t="str">
        <f t="shared" ca="1" si="15"/>
        <v/>
      </c>
      <c r="D56" s="46" t="str">
        <f t="shared" ca="1" si="10"/>
        <v/>
      </c>
      <c r="E56" s="49" t="str">
        <f t="shared" ca="1" si="11"/>
        <v/>
      </c>
      <c r="F56" s="50" t="str">
        <f t="shared" ca="1" si="12"/>
        <v/>
      </c>
      <c r="G56" s="50" t="str">
        <f t="shared" ca="1" si="13"/>
        <v/>
      </c>
      <c r="H56" s="47" t="str">
        <f t="shared" ca="1" si="4"/>
        <v/>
      </c>
      <c r="I56" s="48">
        <f t="shared" ca="1" si="5"/>
        <v>0</v>
      </c>
      <c r="J56" s="48">
        <f t="shared" ca="1" si="6"/>
        <v>0</v>
      </c>
      <c r="K56" s="51">
        <f t="shared" ca="1" si="7"/>
        <v>0</v>
      </c>
      <c r="L56" s="52">
        <f ca="1">K56*Assumptions!$B$19</f>
        <v>0</v>
      </c>
      <c r="M56" s="136">
        <f t="shared" ca="1" si="8"/>
        <v>0</v>
      </c>
      <c r="N56" s="113" t="str">
        <f t="shared" ca="1" si="14"/>
        <v/>
      </c>
      <c r="O56" s="114" t="str">
        <f t="shared" ca="1" si="2"/>
        <v/>
      </c>
    </row>
    <row r="57" spans="2:15" x14ac:dyDescent="0.25">
      <c r="B57" s="45" t="str">
        <f t="shared" ca="1" si="9"/>
        <v/>
      </c>
      <c r="C57" s="22" t="str">
        <f t="shared" ca="1" si="15"/>
        <v/>
      </c>
      <c r="D57" s="46" t="str">
        <f t="shared" ca="1" si="10"/>
        <v/>
      </c>
      <c r="E57" s="49" t="str">
        <f t="shared" ca="1" si="11"/>
        <v/>
      </c>
      <c r="F57" s="50" t="str">
        <f t="shared" ca="1" si="12"/>
        <v/>
      </c>
      <c r="G57" s="50" t="str">
        <f t="shared" ca="1" si="13"/>
        <v/>
      </c>
      <c r="H57" s="47" t="str">
        <f t="shared" ca="1" si="4"/>
        <v/>
      </c>
      <c r="I57" s="48">
        <f t="shared" ca="1" si="5"/>
        <v>0</v>
      </c>
      <c r="J57" s="48">
        <f t="shared" ca="1" si="6"/>
        <v>0</v>
      </c>
      <c r="K57" s="51">
        <f t="shared" ca="1" si="7"/>
        <v>0</v>
      </c>
      <c r="L57" s="52">
        <f ca="1">K57*Assumptions!$B$19</f>
        <v>0</v>
      </c>
      <c r="M57" s="136">
        <f t="shared" ca="1" si="8"/>
        <v>0</v>
      </c>
      <c r="N57" s="113" t="str">
        <f t="shared" ca="1" si="14"/>
        <v/>
      </c>
      <c r="O57" s="114" t="str">
        <f t="shared" ca="1" si="2"/>
        <v/>
      </c>
    </row>
    <row r="58" spans="2:15" x14ac:dyDescent="0.25">
      <c r="B58" s="45" t="str">
        <f t="shared" ca="1" si="9"/>
        <v/>
      </c>
      <c r="C58" s="22" t="str">
        <f t="shared" ca="1" si="15"/>
        <v/>
      </c>
      <c r="D58" s="46" t="str">
        <f t="shared" ca="1" si="10"/>
        <v/>
      </c>
      <c r="E58" s="49" t="str">
        <f t="shared" ca="1" si="11"/>
        <v/>
      </c>
      <c r="F58" s="50" t="str">
        <f t="shared" ca="1" si="12"/>
        <v/>
      </c>
      <c r="G58" s="50" t="str">
        <f t="shared" ca="1" si="13"/>
        <v/>
      </c>
      <c r="H58" s="47" t="str">
        <f t="shared" ca="1" si="4"/>
        <v/>
      </c>
      <c r="I58" s="48">
        <f t="shared" ca="1" si="5"/>
        <v>0</v>
      </c>
      <c r="J58" s="48">
        <f t="shared" ca="1" si="6"/>
        <v>0</v>
      </c>
      <c r="K58" s="51">
        <f t="shared" ca="1" si="7"/>
        <v>0</v>
      </c>
      <c r="L58" s="52">
        <f ca="1">K58*Assumptions!$B$19</f>
        <v>0</v>
      </c>
      <c r="M58" s="136">
        <f t="shared" ca="1" si="8"/>
        <v>0</v>
      </c>
      <c r="N58" s="113" t="str">
        <f t="shared" ca="1" si="14"/>
        <v/>
      </c>
      <c r="O58" s="114" t="str">
        <f t="shared" ca="1" si="2"/>
        <v/>
      </c>
    </row>
    <row r="59" spans="2:15" x14ac:dyDescent="0.25">
      <c r="B59" s="45" t="str">
        <f t="shared" ca="1" si="9"/>
        <v/>
      </c>
      <c r="C59" s="22" t="str">
        <f t="shared" ca="1" si="15"/>
        <v/>
      </c>
      <c r="D59" s="46" t="str">
        <f t="shared" ca="1" si="10"/>
        <v/>
      </c>
      <c r="E59" s="49" t="str">
        <f t="shared" ca="1" si="11"/>
        <v/>
      </c>
      <c r="F59" s="50" t="str">
        <f t="shared" ca="1" si="12"/>
        <v/>
      </c>
      <c r="G59" s="50" t="str">
        <f t="shared" ca="1" si="13"/>
        <v/>
      </c>
      <c r="H59" s="47" t="str">
        <f t="shared" ca="1" si="4"/>
        <v/>
      </c>
      <c r="I59" s="48">
        <f t="shared" ca="1" si="5"/>
        <v>0</v>
      </c>
      <c r="J59" s="48">
        <f t="shared" ca="1" si="6"/>
        <v>0</v>
      </c>
      <c r="K59" s="51">
        <f t="shared" ca="1" si="7"/>
        <v>0</v>
      </c>
      <c r="L59" s="52">
        <f ca="1">K59*Assumptions!$B$19</f>
        <v>0</v>
      </c>
      <c r="M59" s="136">
        <f t="shared" ca="1" si="8"/>
        <v>0</v>
      </c>
      <c r="N59" s="113" t="str">
        <f t="shared" ca="1" si="14"/>
        <v/>
      </c>
      <c r="O59" s="114" t="str">
        <f t="shared" ca="1" si="2"/>
        <v/>
      </c>
    </row>
    <row r="60" spans="2:15" x14ac:dyDescent="0.25">
      <c r="B60" s="45" t="str">
        <f t="shared" ca="1" si="9"/>
        <v/>
      </c>
      <c r="C60" s="22" t="str">
        <f t="shared" ca="1" si="15"/>
        <v/>
      </c>
      <c r="D60" s="46" t="str">
        <f t="shared" ca="1" si="10"/>
        <v/>
      </c>
      <c r="E60" s="49" t="str">
        <f t="shared" ca="1" si="11"/>
        <v/>
      </c>
      <c r="F60" s="50" t="str">
        <f t="shared" ca="1" si="12"/>
        <v/>
      </c>
      <c r="G60" s="50" t="str">
        <f t="shared" ca="1" si="13"/>
        <v/>
      </c>
      <c r="H60" s="47" t="str">
        <f t="shared" ca="1" si="4"/>
        <v/>
      </c>
      <c r="I60" s="48">
        <f t="shared" ca="1" si="5"/>
        <v>0</v>
      </c>
      <c r="J60" s="48">
        <f t="shared" ca="1" si="6"/>
        <v>0</v>
      </c>
      <c r="K60" s="51">
        <f t="shared" ca="1" si="7"/>
        <v>0</v>
      </c>
      <c r="L60" s="52">
        <f ca="1">K60*Assumptions!$B$19</f>
        <v>0</v>
      </c>
      <c r="M60" s="136">
        <f t="shared" ca="1" si="8"/>
        <v>0</v>
      </c>
      <c r="N60" s="113" t="str">
        <f t="shared" ca="1" si="14"/>
        <v/>
      </c>
      <c r="O60" s="114" t="str">
        <f t="shared" ca="1" si="2"/>
        <v/>
      </c>
    </row>
    <row r="61" spans="2:15" x14ac:dyDescent="0.25">
      <c r="B61" s="45" t="str">
        <f t="shared" ca="1" si="9"/>
        <v/>
      </c>
      <c r="C61" s="22" t="str">
        <f t="shared" ca="1" si="15"/>
        <v/>
      </c>
      <c r="D61" s="46" t="str">
        <f t="shared" ca="1" si="10"/>
        <v/>
      </c>
      <c r="E61" s="49" t="str">
        <f t="shared" ca="1" si="11"/>
        <v/>
      </c>
      <c r="F61" s="50" t="str">
        <f t="shared" ca="1" si="12"/>
        <v/>
      </c>
      <c r="G61" s="50" t="str">
        <f t="shared" ca="1" si="13"/>
        <v/>
      </c>
      <c r="H61" s="47" t="str">
        <f t="shared" ca="1" si="4"/>
        <v/>
      </c>
      <c r="I61" s="48">
        <f t="shared" ca="1" si="5"/>
        <v>0</v>
      </c>
      <c r="J61" s="48">
        <f t="shared" ca="1" si="6"/>
        <v>0</v>
      </c>
      <c r="K61" s="51">
        <f t="shared" ca="1" si="7"/>
        <v>0</v>
      </c>
      <c r="L61" s="52">
        <f ca="1">K61*Assumptions!$B$19</f>
        <v>0</v>
      </c>
      <c r="M61" s="136">
        <f t="shared" ca="1" si="8"/>
        <v>0</v>
      </c>
      <c r="N61" s="113" t="str">
        <f t="shared" ca="1" si="14"/>
        <v/>
      </c>
      <c r="O61" s="114" t="str">
        <f t="shared" ca="1" si="2"/>
        <v/>
      </c>
    </row>
    <row r="62" spans="2:15" x14ac:dyDescent="0.25">
      <c r="B62" s="45" t="str">
        <f t="shared" ref="B62:B69" ca="1" si="16">IF($C62="","",B61+1)</f>
        <v/>
      </c>
      <c r="C62" s="22" t="str">
        <f t="shared" ca="1" si="15"/>
        <v/>
      </c>
      <c r="D62" s="46" t="str">
        <f t="shared" ref="D62:D69" ca="1" si="17">IF($C62="","",D61)</f>
        <v/>
      </c>
      <c r="E62" s="49" t="str">
        <f t="shared" ca="1" si="11"/>
        <v/>
      </c>
      <c r="F62" s="50" t="str">
        <f t="shared" ref="F62:F69" ca="1" si="18">IF($C62="","",F61)</f>
        <v/>
      </c>
      <c r="G62" s="50" t="str">
        <f t="shared" ref="G62:G69" ca="1" si="19">IF($C62="","",G61)</f>
        <v/>
      </c>
      <c r="H62" s="47" t="str">
        <f t="shared" ca="1" si="4"/>
        <v/>
      </c>
      <c r="I62" s="48">
        <f t="shared" ca="1" si="5"/>
        <v>0</v>
      </c>
      <c r="J62" s="48">
        <f t="shared" ca="1" si="6"/>
        <v>0</v>
      </c>
      <c r="K62" s="51">
        <f t="shared" ca="1" si="7"/>
        <v>0</v>
      </c>
      <c r="L62" s="52">
        <f ca="1">K62*Assumptions!$B$19</f>
        <v>0</v>
      </c>
      <c r="M62" s="136">
        <f t="shared" ca="1" si="8"/>
        <v>0</v>
      </c>
      <c r="N62" s="113" t="str">
        <f t="shared" ca="1" si="14"/>
        <v/>
      </c>
      <c r="O62" s="114" t="str">
        <f t="shared" ref="O62:O69" ca="1" si="20">IFERROR(N62-I62,"")</f>
        <v/>
      </c>
    </row>
    <row r="63" spans="2:15" x14ac:dyDescent="0.25">
      <c r="B63" s="45" t="str">
        <f t="shared" ca="1" si="16"/>
        <v/>
      </c>
      <c r="C63" s="22" t="str">
        <f t="shared" ca="1" si="15"/>
        <v/>
      </c>
      <c r="D63" s="46" t="str">
        <f t="shared" ca="1" si="17"/>
        <v/>
      </c>
      <c r="E63" s="49" t="str">
        <f t="shared" ca="1" si="11"/>
        <v/>
      </c>
      <c r="F63" s="50" t="str">
        <f t="shared" ca="1" si="18"/>
        <v/>
      </c>
      <c r="G63" s="50" t="str">
        <f t="shared" ca="1" si="19"/>
        <v/>
      </c>
      <c r="H63" s="47" t="str">
        <f t="shared" ca="1" si="4"/>
        <v/>
      </c>
      <c r="I63" s="48">
        <f t="shared" ca="1" si="5"/>
        <v>0</v>
      </c>
      <c r="J63" s="48">
        <f t="shared" ca="1" si="6"/>
        <v>0</v>
      </c>
      <c r="K63" s="51">
        <f t="shared" ca="1" si="7"/>
        <v>0</v>
      </c>
      <c r="L63" s="52">
        <f ca="1">K63*Assumptions!$B$19</f>
        <v>0</v>
      </c>
      <c r="M63" s="136">
        <f t="shared" ca="1" si="8"/>
        <v>0</v>
      </c>
      <c r="N63" s="113" t="str">
        <f t="shared" ca="1" si="14"/>
        <v/>
      </c>
      <c r="O63" s="114" t="str">
        <f t="shared" ca="1" si="20"/>
        <v/>
      </c>
    </row>
    <row r="64" spans="2:15" x14ac:dyDescent="0.25">
      <c r="B64" s="45" t="str">
        <f t="shared" ca="1" si="16"/>
        <v/>
      </c>
      <c r="C64" s="22" t="str">
        <f t="shared" ca="1" si="15"/>
        <v/>
      </c>
      <c r="D64" s="46" t="str">
        <f t="shared" ca="1" si="17"/>
        <v/>
      </c>
      <c r="E64" s="49" t="str">
        <f t="shared" ca="1" si="11"/>
        <v/>
      </c>
      <c r="F64" s="50" t="str">
        <f t="shared" ca="1" si="18"/>
        <v/>
      </c>
      <c r="G64" s="50" t="str">
        <f t="shared" ca="1" si="19"/>
        <v/>
      </c>
      <c r="H64" s="47" t="str">
        <f t="shared" ca="1" si="4"/>
        <v/>
      </c>
      <c r="I64" s="48">
        <f t="shared" ca="1" si="5"/>
        <v>0</v>
      </c>
      <c r="J64" s="48">
        <f t="shared" ca="1" si="6"/>
        <v>0</v>
      </c>
      <c r="K64" s="51">
        <f t="shared" ca="1" si="7"/>
        <v>0</v>
      </c>
      <c r="L64" s="52">
        <f ca="1">K64*Assumptions!$B$19</f>
        <v>0</v>
      </c>
      <c r="M64" s="136">
        <f t="shared" ca="1" si="8"/>
        <v>0</v>
      </c>
      <c r="N64" s="113" t="str">
        <f t="shared" ca="1" si="14"/>
        <v/>
      </c>
      <c r="O64" s="114" t="str">
        <f t="shared" ca="1" si="20"/>
        <v/>
      </c>
    </row>
    <row r="65" spans="2:15" x14ac:dyDescent="0.25">
      <c r="B65" s="45" t="str">
        <f t="shared" ca="1" si="16"/>
        <v/>
      </c>
      <c r="C65" s="22" t="str">
        <f t="shared" ca="1" si="15"/>
        <v/>
      </c>
      <c r="D65" s="46" t="str">
        <f t="shared" ca="1" si="17"/>
        <v/>
      </c>
      <c r="E65" s="49" t="str">
        <f t="shared" ca="1" si="11"/>
        <v/>
      </c>
      <c r="F65" s="50" t="str">
        <f t="shared" ca="1" si="18"/>
        <v/>
      </c>
      <c r="G65" s="50" t="str">
        <f t="shared" ca="1" si="19"/>
        <v/>
      </c>
      <c r="H65" s="47" t="str">
        <f t="shared" ca="1" si="4"/>
        <v/>
      </c>
      <c r="I65" s="48">
        <f t="shared" ca="1" si="5"/>
        <v>0</v>
      </c>
      <c r="J65" s="48">
        <f t="shared" ca="1" si="6"/>
        <v>0</v>
      </c>
      <c r="K65" s="51">
        <f t="shared" ca="1" si="7"/>
        <v>0</v>
      </c>
      <c r="L65" s="52">
        <f ca="1">K65*Assumptions!$B$19</f>
        <v>0</v>
      </c>
      <c r="M65" s="136">
        <f t="shared" ca="1" si="8"/>
        <v>0</v>
      </c>
      <c r="N65" s="113" t="str">
        <f t="shared" ca="1" si="14"/>
        <v/>
      </c>
      <c r="O65" s="114" t="str">
        <f t="shared" ca="1" si="20"/>
        <v/>
      </c>
    </row>
    <row r="66" spans="2:15" x14ac:dyDescent="0.25">
      <c r="B66" s="45" t="str">
        <f t="shared" ca="1" si="16"/>
        <v/>
      </c>
      <c r="C66" s="22" t="str">
        <f t="shared" ca="1" si="15"/>
        <v/>
      </c>
      <c r="D66" s="46" t="str">
        <f t="shared" ca="1" si="17"/>
        <v/>
      </c>
      <c r="E66" s="49" t="str">
        <f t="shared" ca="1" si="11"/>
        <v/>
      </c>
      <c r="F66" s="50" t="str">
        <f t="shared" ca="1" si="18"/>
        <v/>
      </c>
      <c r="G66" s="50" t="str">
        <f t="shared" ca="1" si="19"/>
        <v/>
      </c>
      <c r="H66" s="47" t="str">
        <f t="shared" ca="1" si="4"/>
        <v/>
      </c>
      <c r="I66" s="48">
        <f t="shared" ca="1" si="5"/>
        <v>0</v>
      </c>
      <c r="J66" s="48">
        <f t="shared" ca="1" si="6"/>
        <v>0</v>
      </c>
      <c r="K66" s="51">
        <f t="shared" ca="1" si="7"/>
        <v>0</v>
      </c>
      <c r="L66" s="52">
        <f ca="1">K66*Assumptions!$B$19</f>
        <v>0</v>
      </c>
      <c r="M66" s="136">
        <f t="shared" ca="1" si="8"/>
        <v>0</v>
      </c>
      <c r="N66" s="113" t="str">
        <f t="shared" ca="1" si="14"/>
        <v/>
      </c>
      <c r="O66" s="114" t="str">
        <f t="shared" ca="1" si="20"/>
        <v/>
      </c>
    </row>
    <row r="67" spans="2:15" x14ac:dyDescent="0.25">
      <c r="B67" s="45" t="str">
        <f t="shared" ca="1" si="16"/>
        <v/>
      </c>
      <c r="C67" s="22" t="str">
        <f t="shared" ca="1" si="15"/>
        <v/>
      </c>
      <c r="D67" s="46" t="str">
        <f t="shared" ca="1" si="17"/>
        <v/>
      </c>
      <c r="E67" s="49" t="str">
        <f t="shared" ca="1" si="11"/>
        <v/>
      </c>
      <c r="F67" s="50" t="str">
        <f t="shared" ca="1" si="18"/>
        <v/>
      </c>
      <c r="G67" s="50" t="str">
        <f t="shared" ca="1" si="19"/>
        <v/>
      </c>
      <c r="H67" s="47" t="str">
        <f t="shared" ca="1" si="4"/>
        <v/>
      </c>
      <c r="I67" s="48">
        <f t="shared" ca="1" si="5"/>
        <v>0</v>
      </c>
      <c r="J67" s="48">
        <f t="shared" ca="1" si="6"/>
        <v>0</v>
      </c>
      <c r="K67" s="51">
        <f t="shared" ca="1" si="7"/>
        <v>0</v>
      </c>
      <c r="L67" s="52">
        <f ca="1">K67*Assumptions!$B$19</f>
        <v>0</v>
      </c>
      <c r="M67" s="136">
        <f t="shared" ca="1" si="8"/>
        <v>0</v>
      </c>
      <c r="N67" s="113" t="str">
        <f t="shared" ca="1" si="14"/>
        <v/>
      </c>
      <c r="O67" s="114" t="str">
        <f t="shared" ca="1" si="20"/>
        <v/>
      </c>
    </row>
    <row r="68" spans="2:15" x14ac:dyDescent="0.25">
      <c r="B68" s="45" t="str">
        <f t="shared" ca="1" si="16"/>
        <v/>
      </c>
      <c r="C68" s="22" t="str">
        <f t="shared" ca="1" si="15"/>
        <v/>
      </c>
      <c r="D68" s="46" t="str">
        <f t="shared" ca="1" si="17"/>
        <v/>
      </c>
      <c r="E68" s="49" t="str">
        <f t="shared" ca="1" si="11"/>
        <v/>
      </c>
      <c r="F68" s="50" t="str">
        <f t="shared" ca="1" si="18"/>
        <v/>
      </c>
      <c r="G68" s="50" t="str">
        <f t="shared" ca="1" si="19"/>
        <v/>
      </c>
      <c r="H68" s="47" t="str">
        <f t="shared" ca="1" si="4"/>
        <v/>
      </c>
      <c r="I68" s="48">
        <f t="shared" ca="1" si="5"/>
        <v>0</v>
      </c>
      <c r="J68" s="48">
        <f t="shared" ca="1" si="6"/>
        <v>0</v>
      </c>
      <c r="K68" s="51">
        <f t="shared" ca="1" si="7"/>
        <v>0</v>
      </c>
      <c r="L68" s="52">
        <f ca="1">K68*Assumptions!$B$19</f>
        <v>0</v>
      </c>
      <c r="M68" s="136">
        <f t="shared" ca="1" si="8"/>
        <v>0</v>
      </c>
      <c r="N68" s="113" t="str">
        <f t="shared" ca="1" si="14"/>
        <v/>
      </c>
      <c r="O68" s="114" t="str">
        <f t="shared" ca="1" si="20"/>
        <v/>
      </c>
    </row>
    <row r="69" spans="2:15" x14ac:dyDescent="0.25">
      <c r="B69" s="45" t="str">
        <f t="shared" ca="1" si="16"/>
        <v/>
      </c>
      <c r="C69" s="22" t="str">
        <f t="shared" ca="1" si="15"/>
        <v/>
      </c>
      <c r="D69" s="46" t="str">
        <f t="shared" ca="1" si="17"/>
        <v/>
      </c>
      <c r="E69" s="49" t="str">
        <f t="shared" ca="1" si="11"/>
        <v/>
      </c>
      <c r="F69" s="50" t="str">
        <f t="shared" ca="1" si="18"/>
        <v/>
      </c>
      <c r="G69" s="50" t="str">
        <f t="shared" ca="1" si="19"/>
        <v/>
      </c>
      <c r="H69" s="47" t="str">
        <f t="shared" ca="1" si="4"/>
        <v/>
      </c>
      <c r="I69" s="48">
        <f t="shared" ca="1" si="5"/>
        <v>0</v>
      </c>
      <c r="J69" s="48">
        <f t="shared" ca="1" si="6"/>
        <v>0</v>
      </c>
      <c r="K69" s="51">
        <f t="shared" ca="1" si="7"/>
        <v>0</v>
      </c>
      <c r="L69" s="52">
        <f ca="1">K69*Assumptions!$B$19</f>
        <v>0</v>
      </c>
      <c r="M69" s="136">
        <f t="shared" ca="1" si="8"/>
        <v>0</v>
      </c>
      <c r="N69" s="113" t="str">
        <f t="shared" ca="1" si="14"/>
        <v/>
      </c>
      <c r="O69" s="114" t="str">
        <f t="shared" ca="1" si="20"/>
        <v/>
      </c>
    </row>
    <row r="70" spans="2:15" x14ac:dyDescent="0.25">
      <c r="B70" s="45" t="str">
        <f t="shared" ref="B70:B84" ca="1" si="21">IF($C70="","",B69+1)</f>
        <v/>
      </c>
      <c r="C70" s="22" t="str">
        <f t="shared" ca="1" si="15"/>
        <v/>
      </c>
      <c r="D70" s="46" t="str">
        <f t="shared" ref="D70:D84" ca="1" si="22">IF($C70="","",D69)</f>
        <v/>
      </c>
      <c r="E70" s="49" t="str">
        <f t="shared" ca="1" si="11"/>
        <v/>
      </c>
      <c r="F70" s="50" t="str">
        <f t="shared" ref="F70:F84" ca="1" si="23">IF($C70="","",F69)</f>
        <v/>
      </c>
      <c r="G70" s="50" t="str">
        <f t="shared" ref="G70:G84" ca="1" si="24">IF($C70="","",G69)</f>
        <v/>
      </c>
      <c r="H70" s="47" t="str">
        <f t="shared" ca="1" si="4"/>
        <v/>
      </c>
      <c r="I70" s="48">
        <f t="shared" ca="1" si="5"/>
        <v>0</v>
      </c>
      <c r="J70" s="48">
        <f t="shared" ca="1" si="6"/>
        <v>0</v>
      </c>
      <c r="K70" s="51">
        <f t="shared" ca="1" si="7"/>
        <v>0</v>
      </c>
      <c r="L70" s="52">
        <f ca="1">K70*Assumptions!$B$19</f>
        <v>0</v>
      </c>
      <c r="M70" s="136">
        <f t="shared" ca="1" si="8"/>
        <v>0</v>
      </c>
      <c r="N70" s="113" t="str">
        <f t="shared" ca="1" si="14"/>
        <v/>
      </c>
      <c r="O70" s="114" t="str">
        <f t="shared" ref="O70:O78" ca="1" si="25">IFERROR(N70-I70,"")</f>
        <v/>
      </c>
    </row>
    <row r="71" spans="2:15" x14ac:dyDescent="0.25">
      <c r="B71" s="45" t="str">
        <f t="shared" ca="1" si="21"/>
        <v/>
      </c>
      <c r="C71" s="22" t="str">
        <f t="shared" ca="1" si="15"/>
        <v/>
      </c>
      <c r="D71" s="46" t="str">
        <f t="shared" ca="1" si="22"/>
        <v/>
      </c>
      <c r="E71" s="49" t="str">
        <f t="shared" ca="1" si="11"/>
        <v/>
      </c>
      <c r="F71" s="50" t="str">
        <f t="shared" ca="1" si="23"/>
        <v/>
      </c>
      <c r="G71" s="50" t="str">
        <f t="shared" ca="1" si="24"/>
        <v/>
      </c>
      <c r="H71" s="47" t="str">
        <f t="shared" ca="1" si="4"/>
        <v/>
      </c>
      <c r="I71" s="48">
        <f t="shared" ca="1" si="5"/>
        <v>0</v>
      </c>
      <c r="J71" s="48">
        <f t="shared" ca="1" si="6"/>
        <v>0</v>
      </c>
      <c r="K71" s="51">
        <f t="shared" ca="1" si="7"/>
        <v>0</v>
      </c>
      <c r="L71" s="52">
        <f ca="1">K71*Assumptions!$B$19</f>
        <v>0</v>
      </c>
      <c r="M71" s="136">
        <f t="shared" ca="1" si="8"/>
        <v>0</v>
      </c>
      <c r="N71" s="113" t="str">
        <f t="shared" ca="1" si="14"/>
        <v/>
      </c>
      <c r="O71" s="114" t="str">
        <f t="shared" ca="1" si="25"/>
        <v/>
      </c>
    </row>
    <row r="72" spans="2:15" x14ac:dyDescent="0.25">
      <c r="B72" s="45" t="str">
        <f t="shared" ca="1" si="21"/>
        <v/>
      </c>
      <c r="C72" s="22" t="str">
        <f t="shared" ca="1" si="15"/>
        <v/>
      </c>
      <c r="D72" s="46" t="str">
        <f t="shared" ca="1" si="22"/>
        <v/>
      </c>
      <c r="E72" s="49" t="str">
        <f t="shared" ca="1" si="11"/>
        <v/>
      </c>
      <c r="F72" s="50" t="str">
        <f t="shared" ca="1" si="23"/>
        <v/>
      </c>
      <c r="G72" s="50" t="str">
        <f t="shared" ca="1" si="24"/>
        <v/>
      </c>
      <c r="H72" s="47" t="str">
        <f t="shared" ca="1" si="4"/>
        <v/>
      </c>
      <c r="I72" s="48">
        <f t="shared" ca="1" si="5"/>
        <v>0</v>
      </c>
      <c r="J72" s="48">
        <f t="shared" ca="1" si="6"/>
        <v>0</v>
      </c>
      <c r="K72" s="51">
        <f t="shared" ca="1" si="7"/>
        <v>0</v>
      </c>
      <c r="L72" s="52">
        <f ca="1">K72*Assumptions!$B$19</f>
        <v>0</v>
      </c>
      <c r="M72" s="136">
        <f t="shared" ca="1" si="8"/>
        <v>0</v>
      </c>
      <c r="N72" s="113" t="str">
        <f t="shared" ca="1" si="14"/>
        <v/>
      </c>
      <c r="O72" s="114" t="str">
        <f t="shared" ca="1" si="25"/>
        <v/>
      </c>
    </row>
    <row r="73" spans="2:15" x14ac:dyDescent="0.25">
      <c r="B73" s="45" t="str">
        <f t="shared" ca="1" si="21"/>
        <v/>
      </c>
      <c r="C73" s="22" t="str">
        <f t="shared" ca="1" si="15"/>
        <v/>
      </c>
      <c r="D73" s="46" t="str">
        <f t="shared" ca="1" si="22"/>
        <v/>
      </c>
      <c r="E73" s="49" t="str">
        <f t="shared" ca="1" si="11"/>
        <v/>
      </c>
      <c r="F73" s="50" t="str">
        <f t="shared" ca="1" si="23"/>
        <v/>
      </c>
      <c r="G73" s="50" t="str">
        <f t="shared" ca="1" si="24"/>
        <v/>
      </c>
      <c r="H73" s="47" t="str">
        <f t="shared" ca="1" si="4"/>
        <v/>
      </c>
      <c r="I73" s="48">
        <f t="shared" ca="1" si="5"/>
        <v>0</v>
      </c>
      <c r="J73" s="48">
        <f t="shared" ca="1" si="6"/>
        <v>0</v>
      </c>
      <c r="K73" s="51">
        <f t="shared" ca="1" si="7"/>
        <v>0</v>
      </c>
      <c r="L73" s="52">
        <f ca="1">K73*Assumptions!$B$19</f>
        <v>0</v>
      </c>
      <c r="M73" s="136">
        <f t="shared" ca="1" si="8"/>
        <v>0</v>
      </c>
      <c r="N73" s="113" t="str">
        <f t="shared" ca="1" si="14"/>
        <v/>
      </c>
      <c r="O73" s="114" t="str">
        <f t="shared" ca="1" si="25"/>
        <v/>
      </c>
    </row>
    <row r="74" spans="2:15" x14ac:dyDescent="0.25">
      <c r="B74" s="45" t="str">
        <f t="shared" ca="1" si="21"/>
        <v/>
      </c>
      <c r="C74" s="22" t="str">
        <f t="shared" ca="1" si="15"/>
        <v/>
      </c>
      <c r="D74" s="46" t="str">
        <f t="shared" ca="1" si="22"/>
        <v/>
      </c>
      <c r="E74" s="49" t="str">
        <f t="shared" ca="1" si="11"/>
        <v/>
      </c>
      <c r="F74" s="50" t="str">
        <f t="shared" ca="1" si="23"/>
        <v/>
      </c>
      <c r="G74" s="50" t="str">
        <f t="shared" ca="1" si="24"/>
        <v/>
      </c>
      <c r="H74" s="47" t="str">
        <f t="shared" ca="1" si="4"/>
        <v/>
      </c>
      <c r="I74" s="48">
        <f t="shared" ca="1" si="5"/>
        <v>0</v>
      </c>
      <c r="J74" s="48">
        <f t="shared" ca="1" si="6"/>
        <v>0</v>
      </c>
      <c r="K74" s="51">
        <f t="shared" ca="1" si="7"/>
        <v>0</v>
      </c>
      <c r="L74" s="52">
        <f ca="1">K74*Assumptions!$B$19</f>
        <v>0</v>
      </c>
      <c r="M74" s="136">
        <f t="shared" ca="1" si="8"/>
        <v>0</v>
      </c>
      <c r="N74" s="113" t="str">
        <f t="shared" ca="1" si="14"/>
        <v/>
      </c>
      <c r="O74" s="114" t="str">
        <f t="shared" ca="1" si="25"/>
        <v/>
      </c>
    </row>
    <row r="75" spans="2:15" x14ac:dyDescent="0.25">
      <c r="B75" s="45" t="str">
        <f t="shared" ca="1" si="21"/>
        <v/>
      </c>
      <c r="C75" s="22" t="str">
        <f t="shared" ca="1" si="15"/>
        <v/>
      </c>
      <c r="D75" s="46" t="str">
        <f t="shared" ca="1" si="22"/>
        <v/>
      </c>
      <c r="E75" s="49" t="str">
        <f t="shared" ca="1" si="11"/>
        <v/>
      </c>
      <c r="F75" s="50" t="str">
        <f t="shared" ca="1" si="23"/>
        <v/>
      </c>
      <c r="G75" s="50" t="str">
        <f t="shared" ca="1" si="24"/>
        <v/>
      </c>
      <c r="H75" s="47" t="str">
        <f t="shared" ca="1" si="4"/>
        <v/>
      </c>
      <c r="I75" s="48">
        <f t="shared" ca="1" si="5"/>
        <v>0</v>
      </c>
      <c r="J75" s="48">
        <f t="shared" ca="1" si="6"/>
        <v>0</v>
      </c>
      <c r="K75" s="51">
        <f t="shared" ca="1" si="7"/>
        <v>0</v>
      </c>
      <c r="L75" s="52">
        <f ca="1">K75*Assumptions!$B$19</f>
        <v>0</v>
      </c>
      <c r="M75" s="136">
        <f t="shared" ca="1" si="8"/>
        <v>0</v>
      </c>
      <c r="N75" s="113" t="str">
        <f t="shared" ca="1" si="14"/>
        <v/>
      </c>
      <c r="O75" s="114" t="str">
        <f t="shared" ca="1" si="25"/>
        <v/>
      </c>
    </row>
    <row r="76" spans="2:15" x14ac:dyDescent="0.25">
      <c r="B76" s="45" t="str">
        <f t="shared" ca="1" si="21"/>
        <v/>
      </c>
      <c r="C76" s="22" t="str">
        <f t="shared" ca="1" si="15"/>
        <v/>
      </c>
      <c r="D76" s="46" t="str">
        <f t="shared" ca="1" si="22"/>
        <v/>
      </c>
      <c r="E76" s="49" t="str">
        <f t="shared" ca="1" si="11"/>
        <v/>
      </c>
      <c r="F76" s="50" t="str">
        <f t="shared" ca="1" si="23"/>
        <v/>
      </c>
      <c r="G76" s="50" t="str">
        <f t="shared" ca="1" si="24"/>
        <v/>
      </c>
      <c r="H76" s="47" t="str">
        <f t="shared" ca="1" si="4"/>
        <v/>
      </c>
      <c r="I76" s="48">
        <f t="shared" ca="1" si="5"/>
        <v>0</v>
      </c>
      <c r="J76" s="48">
        <f t="shared" ca="1" si="6"/>
        <v>0</v>
      </c>
      <c r="K76" s="51">
        <f t="shared" ca="1" si="7"/>
        <v>0</v>
      </c>
      <c r="L76" s="52">
        <f ca="1">K76*Assumptions!$B$19</f>
        <v>0</v>
      </c>
      <c r="M76" s="136">
        <f t="shared" ca="1" si="8"/>
        <v>0</v>
      </c>
      <c r="N76" s="113" t="str">
        <f t="shared" ca="1" si="14"/>
        <v/>
      </c>
      <c r="O76" s="114" t="str">
        <f t="shared" ca="1" si="25"/>
        <v/>
      </c>
    </row>
    <row r="77" spans="2:15" x14ac:dyDescent="0.25">
      <c r="B77" s="45" t="str">
        <f t="shared" ca="1" si="21"/>
        <v/>
      </c>
      <c r="C77" s="22" t="str">
        <f t="shared" ca="1" si="15"/>
        <v/>
      </c>
      <c r="D77" s="46" t="str">
        <f t="shared" ca="1" si="22"/>
        <v/>
      </c>
      <c r="E77" s="49" t="str">
        <f t="shared" ca="1" si="11"/>
        <v/>
      </c>
      <c r="F77" s="50" t="str">
        <f t="shared" ca="1" si="23"/>
        <v/>
      </c>
      <c r="G77" s="50" t="str">
        <f t="shared" ca="1" si="24"/>
        <v/>
      </c>
      <c r="H77" s="47" t="str">
        <f t="shared" ca="1" si="4"/>
        <v/>
      </c>
      <c r="I77" s="48">
        <f t="shared" ca="1" si="5"/>
        <v>0</v>
      </c>
      <c r="J77" s="48">
        <f t="shared" ca="1" si="6"/>
        <v>0</v>
      </c>
      <c r="K77" s="51">
        <f t="shared" ca="1" si="7"/>
        <v>0</v>
      </c>
      <c r="L77" s="52">
        <f ca="1">K77*Assumptions!$B$19</f>
        <v>0</v>
      </c>
      <c r="M77" s="136">
        <f t="shared" ca="1" si="8"/>
        <v>0</v>
      </c>
      <c r="N77" s="113" t="str">
        <f t="shared" ca="1" si="14"/>
        <v/>
      </c>
      <c r="O77" s="114" t="str">
        <f t="shared" ca="1" si="25"/>
        <v/>
      </c>
    </row>
    <row r="78" spans="2:15" x14ac:dyDescent="0.25">
      <c r="B78" s="45" t="str">
        <f t="shared" ca="1" si="21"/>
        <v/>
      </c>
      <c r="C78" s="22" t="str">
        <f t="shared" ca="1" si="15"/>
        <v/>
      </c>
      <c r="D78" s="46" t="str">
        <f t="shared" ca="1" si="22"/>
        <v/>
      </c>
      <c r="E78" s="49" t="str">
        <f t="shared" ca="1" si="11"/>
        <v/>
      </c>
      <c r="F78" s="50" t="str">
        <f t="shared" ca="1" si="23"/>
        <v/>
      </c>
      <c r="G78" s="50" t="str">
        <f t="shared" ca="1" si="24"/>
        <v/>
      </c>
      <c r="H78" s="47" t="str">
        <f t="shared" ca="1" si="4"/>
        <v/>
      </c>
      <c r="I78" s="48">
        <f t="shared" ca="1" si="5"/>
        <v>0</v>
      </c>
      <c r="J78" s="48">
        <f t="shared" ca="1" si="6"/>
        <v>0</v>
      </c>
      <c r="K78" s="51">
        <f t="shared" ca="1" si="7"/>
        <v>0</v>
      </c>
      <c r="L78" s="52">
        <f ca="1">K78*Assumptions!$B$19</f>
        <v>0</v>
      </c>
      <c r="M78" s="136">
        <f t="shared" ca="1" si="8"/>
        <v>0</v>
      </c>
      <c r="N78" s="113" t="str">
        <f t="shared" ref="N78:N84" ca="1" si="26">IF($C79="","",J79-J78*(1+i))</f>
        <v/>
      </c>
      <c r="O78" s="114" t="str">
        <f t="shared" ca="1" si="25"/>
        <v/>
      </c>
    </row>
    <row r="79" spans="2:15" x14ac:dyDescent="0.25">
      <c r="B79" s="45" t="str">
        <f t="shared" ca="1" si="21"/>
        <v/>
      </c>
      <c r="C79" s="22" t="str">
        <f t="shared" ref="C79:C84" ca="1" si="27">IF(C78="","",IF($D$2="A",C78+1,IF(C78+1&gt;$D$5,"",C78+1)))</f>
        <v/>
      </c>
      <c r="D79" s="46" t="str">
        <f t="shared" ca="1" si="22"/>
        <v/>
      </c>
      <c r="E79" s="49" t="str">
        <f t="shared" ca="1" si="11"/>
        <v/>
      </c>
      <c r="F79" s="50" t="str">
        <f t="shared" ca="1" si="23"/>
        <v/>
      </c>
      <c r="G79" s="50" t="str">
        <f t="shared" ca="1" si="24"/>
        <v/>
      </c>
      <c r="H79" s="47" t="str">
        <f t="shared" ref="H79:H84" ca="1" si="28">IF($C79="","",
D79*((1+F79)/(1+G79))^($D$5-C79-1))</f>
        <v/>
      </c>
      <c r="I79" s="48">
        <f t="shared" ref="I79:I84" ca="1" si="29">IF($C80="",0,
H79*E79*(1+F79))</f>
        <v>0</v>
      </c>
      <c r="J79" s="48">
        <f t="shared" ref="J79:J84" ca="1" si="30">IF($C79="",0,
D79*E79*B79*((1+F79)/(1+G79))^($D$5-C79))</f>
        <v>0</v>
      </c>
      <c r="K79" s="51">
        <f t="shared" ref="K79:K84" ca="1" si="31">J79</f>
        <v>0</v>
      </c>
      <c r="L79" s="52">
        <f ca="1">K79*Assumptions!$B$19</f>
        <v>0</v>
      </c>
      <c r="M79" s="136">
        <f t="shared" ref="M79:M84" ca="1" si="32">L79+J79</f>
        <v>0</v>
      </c>
      <c r="N79" s="113" t="str">
        <f t="shared" ca="1" si="26"/>
        <v/>
      </c>
      <c r="O79" s="114" t="str">
        <f ca="1">IFERROR(N79-I79,"")</f>
        <v/>
      </c>
    </row>
    <row r="80" spans="2:15" x14ac:dyDescent="0.25">
      <c r="B80" s="45" t="str">
        <f t="shared" ca="1" si="21"/>
        <v/>
      </c>
      <c r="C80" s="22" t="str">
        <f t="shared" ca="1" si="27"/>
        <v/>
      </c>
      <c r="D80" s="46" t="str">
        <f t="shared" ca="1" si="22"/>
        <v/>
      </c>
      <c r="E80" s="49" t="str">
        <f t="shared" ref="E80:E84" ca="1" si="33">IF($C80="","",E79*(1+F79))</f>
        <v/>
      </c>
      <c r="F80" s="50" t="str">
        <f t="shared" ca="1" si="23"/>
        <v/>
      </c>
      <c r="G80" s="50" t="str">
        <f t="shared" ca="1" si="24"/>
        <v/>
      </c>
      <c r="H80" s="47" t="str">
        <f t="shared" ca="1" si="28"/>
        <v/>
      </c>
      <c r="I80" s="48">
        <f t="shared" ca="1" si="29"/>
        <v>0</v>
      </c>
      <c r="J80" s="48">
        <f t="shared" ca="1" si="30"/>
        <v>0</v>
      </c>
      <c r="K80" s="51">
        <f t="shared" ca="1" si="31"/>
        <v>0</v>
      </c>
      <c r="L80" s="52">
        <f ca="1">K80*Assumptions!$B$19</f>
        <v>0</v>
      </c>
      <c r="M80" s="136">
        <f t="shared" ca="1" si="32"/>
        <v>0</v>
      </c>
      <c r="N80" s="113" t="str">
        <f t="shared" ca="1" si="26"/>
        <v/>
      </c>
      <c r="O80" s="114" t="str">
        <f t="shared" ref="O80:O84" ca="1" si="34">IFERROR(N80-I80,"")</f>
        <v/>
      </c>
    </row>
    <row r="81" spans="2:15" x14ac:dyDescent="0.25">
      <c r="B81" s="45" t="str">
        <f t="shared" ca="1" si="21"/>
        <v/>
      </c>
      <c r="C81" s="22" t="str">
        <f t="shared" ca="1" si="27"/>
        <v/>
      </c>
      <c r="D81" s="46" t="str">
        <f t="shared" ca="1" si="22"/>
        <v/>
      </c>
      <c r="E81" s="49" t="str">
        <f t="shared" ca="1" si="33"/>
        <v/>
      </c>
      <c r="F81" s="50" t="str">
        <f t="shared" ca="1" si="23"/>
        <v/>
      </c>
      <c r="G81" s="50" t="str">
        <f t="shared" ca="1" si="24"/>
        <v/>
      </c>
      <c r="H81" s="47" t="str">
        <f t="shared" ca="1" si="28"/>
        <v/>
      </c>
      <c r="I81" s="48">
        <f t="shared" ca="1" si="29"/>
        <v>0</v>
      </c>
      <c r="J81" s="48">
        <f t="shared" ca="1" si="30"/>
        <v>0</v>
      </c>
      <c r="K81" s="51">
        <f t="shared" ca="1" si="31"/>
        <v>0</v>
      </c>
      <c r="L81" s="52">
        <f ca="1">K81*Assumptions!$B$19</f>
        <v>0</v>
      </c>
      <c r="M81" s="136">
        <f t="shared" ca="1" si="32"/>
        <v>0</v>
      </c>
      <c r="N81" s="113" t="str">
        <f t="shared" ca="1" si="26"/>
        <v/>
      </c>
      <c r="O81" s="114" t="str">
        <f t="shared" ca="1" si="34"/>
        <v/>
      </c>
    </row>
    <row r="82" spans="2:15" x14ac:dyDescent="0.25">
      <c r="B82" s="45" t="str">
        <f t="shared" ca="1" si="21"/>
        <v/>
      </c>
      <c r="C82" s="22" t="str">
        <f t="shared" ca="1" si="27"/>
        <v/>
      </c>
      <c r="D82" s="46" t="str">
        <f t="shared" ca="1" si="22"/>
        <v/>
      </c>
      <c r="E82" s="49" t="str">
        <f t="shared" ca="1" si="33"/>
        <v/>
      </c>
      <c r="F82" s="50" t="str">
        <f t="shared" ca="1" si="23"/>
        <v/>
      </c>
      <c r="G82" s="50" t="str">
        <f t="shared" ca="1" si="24"/>
        <v/>
      </c>
      <c r="H82" s="47" t="str">
        <f t="shared" ca="1" si="28"/>
        <v/>
      </c>
      <c r="I82" s="48">
        <f t="shared" ca="1" si="29"/>
        <v>0</v>
      </c>
      <c r="J82" s="48">
        <f t="shared" ca="1" si="30"/>
        <v>0</v>
      </c>
      <c r="K82" s="51">
        <f t="shared" ca="1" si="31"/>
        <v>0</v>
      </c>
      <c r="L82" s="52">
        <f ca="1">K82*Assumptions!$B$19</f>
        <v>0</v>
      </c>
      <c r="M82" s="136">
        <f t="shared" ca="1" si="32"/>
        <v>0</v>
      </c>
      <c r="N82" s="113" t="str">
        <f t="shared" ca="1" si="26"/>
        <v/>
      </c>
      <c r="O82" s="114" t="str">
        <f t="shared" ca="1" si="34"/>
        <v/>
      </c>
    </row>
    <row r="83" spans="2:15" x14ac:dyDescent="0.25">
      <c r="B83" s="45" t="str">
        <f t="shared" ca="1" si="21"/>
        <v/>
      </c>
      <c r="C83" s="22" t="str">
        <f t="shared" ca="1" si="27"/>
        <v/>
      </c>
      <c r="D83" s="46" t="str">
        <f t="shared" ca="1" si="22"/>
        <v/>
      </c>
      <c r="E83" s="49" t="str">
        <f t="shared" ca="1" si="33"/>
        <v/>
      </c>
      <c r="F83" s="50" t="str">
        <f t="shared" ca="1" si="23"/>
        <v/>
      </c>
      <c r="G83" s="50" t="str">
        <f t="shared" ca="1" si="24"/>
        <v/>
      </c>
      <c r="H83" s="47" t="str">
        <f t="shared" ca="1" si="28"/>
        <v/>
      </c>
      <c r="I83" s="48">
        <f t="shared" ca="1" si="29"/>
        <v>0</v>
      </c>
      <c r="J83" s="48">
        <f t="shared" ca="1" si="30"/>
        <v>0</v>
      </c>
      <c r="K83" s="51">
        <f t="shared" ca="1" si="31"/>
        <v>0</v>
      </c>
      <c r="L83" s="52">
        <f ca="1">K83*Assumptions!$B$19</f>
        <v>0</v>
      </c>
      <c r="M83" s="136">
        <f t="shared" ca="1" si="32"/>
        <v>0</v>
      </c>
      <c r="N83" s="113" t="str">
        <f t="shared" ca="1" si="26"/>
        <v/>
      </c>
      <c r="O83" s="114" t="str">
        <f t="shared" ca="1" si="34"/>
        <v/>
      </c>
    </row>
    <row r="84" spans="2:15" x14ac:dyDescent="0.25">
      <c r="B84" s="45" t="str">
        <f t="shared" ca="1" si="21"/>
        <v/>
      </c>
      <c r="C84" s="22" t="str">
        <f t="shared" ca="1" si="27"/>
        <v/>
      </c>
      <c r="D84" s="46" t="str">
        <f t="shared" ca="1" si="22"/>
        <v/>
      </c>
      <c r="E84" s="49" t="str">
        <f t="shared" ca="1" si="33"/>
        <v/>
      </c>
      <c r="F84" s="50" t="str">
        <f t="shared" ca="1" si="23"/>
        <v/>
      </c>
      <c r="G84" s="50" t="str">
        <f t="shared" ca="1" si="24"/>
        <v/>
      </c>
      <c r="H84" s="47" t="str">
        <f t="shared" ca="1" si="28"/>
        <v/>
      </c>
      <c r="I84" s="48">
        <f t="shared" si="29"/>
        <v>0</v>
      </c>
      <c r="J84" s="48">
        <f t="shared" ca="1" si="30"/>
        <v>0</v>
      </c>
      <c r="K84" s="51">
        <f t="shared" ca="1" si="31"/>
        <v>0</v>
      </c>
      <c r="L84" s="52">
        <f ca="1">K84*Assumptions!$B$19</f>
        <v>0</v>
      </c>
      <c r="M84" s="136">
        <f t="shared" ca="1" si="32"/>
        <v>0</v>
      </c>
      <c r="N84" s="113" t="str">
        <f t="shared" si="26"/>
        <v/>
      </c>
      <c r="O84" s="114" t="str">
        <f t="shared" si="34"/>
        <v/>
      </c>
    </row>
  </sheetData>
  <conditionalFormatting sqref="O13">
    <cfRule type="cellIs" dxfId="13" priority="5" operator="equal">
      <formula>"Pass"</formula>
    </cfRule>
    <cfRule type="cellIs" dxfId="12" priority="6" operator="equal">
      <formula>"Check!"</formula>
    </cfRule>
  </conditionalFormatting>
  <conditionalFormatting sqref="H7">
    <cfRule type="cellIs" dxfId="11" priority="3" operator="equal">
      <formula>"Pass"</formula>
    </cfRule>
    <cfRule type="cellIs" dxfId="10" priority="4" operator="equal">
      <formula>"Check!"</formula>
    </cfRule>
  </conditionalFormatting>
  <conditionalFormatting sqref="I7:Q7">
    <cfRule type="cellIs" dxfId="9" priority="1" operator="equal">
      <formula>"Pass"</formula>
    </cfRule>
    <cfRule type="cellIs" dxfId="8" priority="2" operator="equal">
      <formula>"Check!"</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tint="0.59999389629810485"/>
  </sheetPr>
  <dimension ref="A1:Y84"/>
  <sheetViews>
    <sheetView topLeftCell="A2" zoomScale="85" zoomScaleNormal="85" workbookViewId="0">
      <selection activeCell="L15" sqref="L15"/>
    </sheetView>
  </sheetViews>
  <sheetFormatPr defaultRowHeight="15" x14ac:dyDescent="0.25"/>
  <cols>
    <col min="1" max="1" width="3" customWidth="1"/>
    <col min="2" max="2" width="14.85546875" customWidth="1"/>
    <col min="3" max="3" width="17.85546875" bestFit="1" customWidth="1"/>
    <col min="4" max="4" width="11.140625" customWidth="1"/>
    <col min="5" max="5" width="16.28515625" customWidth="1"/>
    <col min="6" max="6" width="15.7109375" customWidth="1"/>
    <col min="7" max="7" width="12.140625" customWidth="1"/>
    <col min="8" max="9" width="15.7109375" customWidth="1"/>
    <col min="10" max="10" width="16.140625" customWidth="1"/>
    <col min="11" max="17" width="15.7109375" customWidth="1"/>
    <col min="18" max="18" width="3.28515625" customWidth="1"/>
    <col min="19" max="19" width="12.85546875" customWidth="1"/>
    <col min="20" max="20" width="11.28515625" customWidth="1"/>
    <col min="21" max="21" width="13.7109375" customWidth="1"/>
    <col min="22" max="25" width="11.5703125" bestFit="1" customWidth="1"/>
  </cols>
  <sheetData>
    <row r="1" spans="1:21" ht="16.5" thickBot="1" x14ac:dyDescent="0.3">
      <c r="A1" s="98" t="s">
        <v>75</v>
      </c>
    </row>
    <row r="2" spans="1:21" ht="16.5" thickBot="1" x14ac:dyDescent="0.3">
      <c r="B2" s="103" t="s">
        <v>30</v>
      </c>
      <c r="C2" s="55" t="s">
        <v>41</v>
      </c>
      <c r="D2" s="56" t="str">
        <f>RIGHT($B$3,1)</f>
        <v>B</v>
      </c>
      <c r="H2" s="99" t="s">
        <v>93</v>
      </c>
      <c r="I2" s="100"/>
      <c r="J2" s="100"/>
      <c r="K2" s="100"/>
      <c r="L2" s="100"/>
      <c r="M2" s="100"/>
      <c r="N2" s="100"/>
      <c r="O2" s="100"/>
      <c r="P2" s="100"/>
      <c r="Q2" s="100"/>
    </row>
    <row r="3" spans="1:21" ht="16.5" thickBot="1" x14ac:dyDescent="0.3">
      <c r="B3" s="104" t="s">
        <v>76</v>
      </c>
      <c r="C3" s="55" t="s">
        <v>92</v>
      </c>
      <c r="D3" s="56">
        <f>VLOOKUP($B$3,'opening demographics'!$A$1:$E$11,3,FALSE)</f>
        <v>210</v>
      </c>
      <c r="F3" s="92" t="s">
        <v>88</v>
      </c>
      <c r="G3" s="108" t="str">
        <f>B3</f>
        <v>30B</v>
      </c>
      <c r="H3" s="81" t="s">
        <v>31</v>
      </c>
      <c r="I3" s="82" t="s">
        <v>78</v>
      </c>
      <c r="J3" s="82" t="s">
        <v>80</v>
      </c>
      <c r="K3" s="82" t="s">
        <v>82</v>
      </c>
      <c r="L3" s="83" t="s">
        <v>84</v>
      </c>
      <c r="M3" s="84" t="s">
        <v>76</v>
      </c>
      <c r="N3" s="82" t="s">
        <v>77</v>
      </c>
      <c r="O3" s="82" t="s">
        <v>79</v>
      </c>
      <c r="P3" s="82" t="s">
        <v>81</v>
      </c>
      <c r="Q3" s="85" t="s">
        <v>83</v>
      </c>
    </row>
    <row r="4" spans="1:21" x14ac:dyDescent="0.25">
      <c r="C4" s="55" t="s">
        <v>42</v>
      </c>
      <c r="D4" s="56">
        <f>VALUE(LEFT($B$3,2))</f>
        <v>30</v>
      </c>
      <c r="F4" s="93" t="s">
        <v>89</v>
      </c>
      <c r="G4" s="109">
        <f>D3</f>
        <v>210</v>
      </c>
      <c r="H4" s="86">
        <f t="dataTable" ref="H4:Q7" dt2D="0" dtr="1" r1="B3" ca="1"/>
        <v>20</v>
      </c>
      <c r="I4" s="87">
        <v>15</v>
      </c>
      <c r="J4" s="87">
        <v>30</v>
      </c>
      <c r="K4" s="87">
        <v>25</v>
      </c>
      <c r="L4" s="88">
        <v>10</v>
      </c>
      <c r="M4" s="89">
        <v>210</v>
      </c>
      <c r="N4" s="87">
        <v>220</v>
      </c>
      <c r="O4" s="87">
        <v>240</v>
      </c>
      <c r="P4" s="87">
        <v>180</v>
      </c>
      <c r="Q4" s="90">
        <v>50</v>
      </c>
    </row>
    <row r="5" spans="1:21" x14ac:dyDescent="0.25">
      <c r="C5" s="55" t="s">
        <v>43</v>
      </c>
      <c r="D5" s="56">
        <f ca="1">INDIRECT("NRA_"&amp;$D$2)</f>
        <v>60</v>
      </c>
      <c r="F5" s="93" t="s">
        <v>27</v>
      </c>
      <c r="G5" s="110">
        <f ca="1">K14</f>
        <v>2721.4010136238189</v>
      </c>
      <c r="H5" s="86">
        <v>10034.811328683076</v>
      </c>
      <c r="I5" s="87">
        <v>15052.216993024613</v>
      </c>
      <c r="J5" s="87">
        <v>17560.919825195382</v>
      </c>
      <c r="K5" s="87">
        <v>18564.400958063692</v>
      </c>
      <c r="L5" s="88">
        <v>25087.02832170769</v>
      </c>
      <c r="M5" s="89">
        <v>2721.4010136238189</v>
      </c>
      <c r="N5" s="87">
        <v>3035.4088228881055</v>
      </c>
      <c r="O5" s="87">
        <v>3314.5268755674715</v>
      </c>
      <c r="P5" s="87">
        <v>3593.6449282468375</v>
      </c>
      <c r="Q5" s="90">
        <v>3593.6449282468375</v>
      </c>
    </row>
    <row r="6" spans="1:21" x14ac:dyDescent="0.25">
      <c r="C6" s="55" t="s">
        <v>44</v>
      </c>
      <c r="D6" s="57">
        <f ca="1">INDIRECT("accrual_rate_"&amp;$D$2)</f>
        <v>0.05</v>
      </c>
      <c r="F6" s="93" t="s">
        <v>91</v>
      </c>
      <c r="G6" s="110">
        <f ca="1">E15</f>
        <v>79170.807916917329</v>
      </c>
      <c r="H6" s="86">
        <v>103648.4317092171</v>
      </c>
      <c r="I6" s="87">
        <v>155472.64756382565</v>
      </c>
      <c r="J6" s="87">
        <v>181384.75549112991</v>
      </c>
      <c r="K6" s="87">
        <v>191749.59866205163</v>
      </c>
      <c r="L6" s="88">
        <v>259121.07927304273</v>
      </c>
      <c r="M6" s="89">
        <v>79170.807916917329</v>
      </c>
      <c r="N6" s="87">
        <v>88305.901138100089</v>
      </c>
      <c r="O6" s="87">
        <v>96425.984001373668</v>
      </c>
      <c r="P6" s="87">
        <v>104546.06686464723</v>
      </c>
      <c r="Q6" s="90">
        <v>104546.06686464723</v>
      </c>
    </row>
    <row r="7" spans="1:21" ht="15.75" thickBot="1" x14ac:dyDescent="0.3">
      <c r="C7" s="55" t="s">
        <v>45</v>
      </c>
      <c r="D7" s="58">
        <f>VLOOKUP($B$3,'opening demographics'!$A$1:$E$11,4,FALSE)</f>
        <v>78000</v>
      </c>
      <c r="F7" s="94" t="s">
        <v>38</v>
      </c>
      <c r="G7" s="126" t="str">
        <f ca="1">Q13</f>
        <v>Pass</v>
      </c>
      <c r="H7" s="122" t="str">
        <v>Pass</v>
      </c>
      <c r="I7" s="123" t="str">
        <v>Pass</v>
      </c>
      <c r="J7" s="123" t="str">
        <v>Pass</v>
      </c>
      <c r="K7" s="123" t="str">
        <v>Pass</v>
      </c>
      <c r="L7" s="124" t="str">
        <v>Pass</v>
      </c>
      <c r="M7" s="123" t="str">
        <v>Pass</v>
      </c>
      <c r="N7" s="123" t="str">
        <v>Pass</v>
      </c>
      <c r="O7" s="123" t="str">
        <v>Pass</v>
      </c>
      <c r="P7" s="123" t="str">
        <v>Pass</v>
      </c>
      <c r="Q7" s="125" t="str">
        <v>Pass</v>
      </c>
    </row>
    <row r="8" spans="1:21" ht="15.75" thickBot="1" x14ac:dyDescent="0.3">
      <c r="C8" s="55" t="s">
        <v>46</v>
      </c>
      <c r="D8" s="59">
        <f ca="1">INDIRECT("e_"&amp;$D$2)</f>
        <v>1.501035790919647E-2</v>
      </c>
      <c r="G8" s="111" t="s">
        <v>87</v>
      </c>
      <c r="H8" s="130">
        <f>H5/H6</f>
        <v>9.681585300620342E-2</v>
      </c>
      <c r="I8" s="127">
        <f t="shared" ref="I8:Q8" si="0">I5/I6</f>
        <v>9.6815853006203406E-2</v>
      </c>
      <c r="J8" s="127">
        <f t="shared" si="0"/>
        <v>9.681585300620342E-2</v>
      </c>
      <c r="K8" s="127">
        <f t="shared" si="0"/>
        <v>9.681585300620342E-2</v>
      </c>
      <c r="L8" s="128">
        <f t="shared" si="0"/>
        <v>9.681585300620342E-2</v>
      </c>
      <c r="M8" s="131">
        <f t="shared" si="0"/>
        <v>3.4373793639692111E-2</v>
      </c>
      <c r="N8" s="127">
        <f t="shared" si="0"/>
        <v>3.4373793639692111E-2</v>
      </c>
      <c r="O8" s="127">
        <f t="shared" si="0"/>
        <v>3.4373793639692111E-2</v>
      </c>
      <c r="P8" s="127">
        <f t="shared" si="0"/>
        <v>3.4373793639692111E-2</v>
      </c>
      <c r="Q8" s="129">
        <f t="shared" si="0"/>
        <v>3.4373793639692111E-2</v>
      </c>
    </row>
    <row r="9" spans="1:21" x14ac:dyDescent="0.25">
      <c r="C9" s="55" t="s">
        <v>47</v>
      </c>
      <c r="D9" s="64">
        <v>30</v>
      </c>
      <c r="E9" s="70" t="s">
        <v>63</v>
      </c>
    </row>
    <row r="10" spans="1:21" x14ac:dyDescent="0.25">
      <c r="C10" s="55" t="s">
        <v>96</v>
      </c>
      <c r="D10" s="59">
        <f ca="1">(1+G14)/(1+D8)-1</f>
        <v>2.46200857913208E-2</v>
      </c>
    </row>
    <row r="13" spans="1:21" ht="51.75" customHeight="1" x14ac:dyDescent="0.25">
      <c r="B13" s="54" t="s">
        <v>90</v>
      </c>
      <c r="C13" s="54" t="s">
        <v>36</v>
      </c>
      <c r="D13" s="54" t="s">
        <v>33</v>
      </c>
      <c r="E13" s="54" t="s">
        <v>37</v>
      </c>
      <c r="F13" s="54" t="s">
        <v>34</v>
      </c>
      <c r="G13" s="54" t="s">
        <v>35</v>
      </c>
      <c r="H13" s="69" t="s">
        <v>97</v>
      </c>
      <c r="I13" s="69" t="s">
        <v>98</v>
      </c>
      <c r="J13" s="54" t="s">
        <v>99</v>
      </c>
      <c r="K13" s="54" t="s">
        <v>64</v>
      </c>
      <c r="L13" s="54" t="s">
        <v>122</v>
      </c>
      <c r="M13" s="54" t="s">
        <v>124</v>
      </c>
      <c r="N13" s="54" t="s">
        <v>125</v>
      </c>
      <c r="O13" s="54" t="s">
        <v>126</v>
      </c>
      <c r="P13" s="102" t="s">
        <v>94</v>
      </c>
      <c r="Q13" s="101" t="str">
        <f ca="1">IF(ABS(SUM(Q14:Q84))&lt;0.0001,"Pass","Check!")</f>
        <v>Pass</v>
      </c>
      <c r="S13" s="102" t="s">
        <v>100</v>
      </c>
      <c r="T13" s="112" t="s">
        <v>101</v>
      </c>
      <c r="U13" s="101" t="str">
        <f ca="1">IF(ABS(SUM(U14:U84))&lt;0.0001,"Pass","Check!")</f>
        <v>Pass</v>
      </c>
    </row>
    <row r="14" spans="1:21" x14ac:dyDescent="0.25">
      <c r="B14" s="45">
        <v>0</v>
      </c>
      <c r="C14" s="60">
        <f>D4</f>
        <v>30</v>
      </c>
      <c r="D14" s="61">
        <f ca="1">D6</f>
        <v>0.05</v>
      </c>
      <c r="E14" s="62">
        <f>D7</f>
        <v>78000</v>
      </c>
      <c r="F14" s="63">
        <f ca="1">D8</f>
        <v>1.501035790919647E-2</v>
      </c>
      <c r="G14" s="50">
        <f t="shared" ref="G14" si="1">i</f>
        <v>0.04</v>
      </c>
      <c r="H14" s="107">
        <f ca="1">(1-(1+$D$10)^-($D$5-$D$9))/$D$10</f>
        <v>21.03671089968751</v>
      </c>
      <c r="I14" s="107">
        <f t="shared" ref="I14:I45" ca="1" si="2">IFERROR((1-(1+$D$10)^-($D$5-$C14))/$D$10,0)</f>
        <v>21.03671089968751</v>
      </c>
      <c r="J14" s="47">
        <f t="shared" ref="J14:J45" ca="1" si="3">IF($C14="","",
D14*($D$5-$D$9)*((1+F14)/(1+G14))^($D$5-$D$9)/$H$14)</f>
        <v>3.4373793639692111E-2</v>
      </c>
      <c r="K14" s="51">
        <f t="shared" ref="K14:K45" ca="1" si="4">IF($C15="",0,
J14*E14*(1+F14))</f>
        <v>2721.4010136238189</v>
      </c>
      <c r="L14" s="48">
        <f ca="1">IF($C14="",0,
D14*($D$5-$D$4)*E14*((1+F14)/(1+G14))^($D$5-C14)-J14*E14*I14)</f>
        <v>0</v>
      </c>
      <c r="M14" s="51">
        <f ca="1">IF($C14="",0,
D14*B14*E14*((1+F14)/(1+G14))^($D$5-C14))</f>
        <v>0</v>
      </c>
      <c r="N14" s="52">
        <f ca="1">M14*Assumptions!$B$19</f>
        <v>0</v>
      </c>
      <c r="O14" s="138">
        <f ca="1">N14+L14</f>
        <v>0</v>
      </c>
      <c r="P14" s="113">
        <f t="shared" ref="P14:P45" ca="1" si="5">IF($C15="","",L15-L14*(1+i))</f>
        <v>2721.4010136238285</v>
      </c>
      <c r="Q14" s="114">
        <f t="shared" ref="Q14:Q45" ca="1" si="6">IFERROR(P14-K14,"")</f>
        <v>9.5496943686157465E-12</v>
      </c>
      <c r="R14" s="115"/>
      <c r="S14" s="116">
        <f ca="1">IFERROR(J14/PUC_Projection!H14,"")</f>
        <v>1.391811917713965</v>
      </c>
      <c r="T14" s="116">
        <f t="shared" ref="T14:T45" ca="1" si="7">IF($C14="","",($D$5-$D$9)/$H$14*(1+$D$10)^-(C14-$D$9+1))</f>
        <v>1.3918119177139656</v>
      </c>
      <c r="U14" s="117">
        <f t="shared" ref="U14:U45" ca="1" si="8">IFERROR(S14-T14,"")</f>
        <v>-6.6613381477509392E-16</v>
      </c>
    </row>
    <row r="15" spans="1:21" x14ac:dyDescent="0.25">
      <c r="B15" s="45">
        <f ca="1">IF($C15="","",B14+1)</f>
        <v>1</v>
      </c>
      <c r="C15" s="22">
        <f t="shared" ref="C15:C78" ca="1" si="9">IF(C14="","",IF($D$2="A",C14+1,IF(C14+1&gt;$D$5,"",C14+1)))</f>
        <v>31</v>
      </c>
      <c r="D15" s="46">
        <f ca="1">IF($C15="","",D14)</f>
        <v>0.05</v>
      </c>
      <c r="E15" s="49">
        <f ca="1">IF($C15="","",E14*(1+F14))</f>
        <v>79170.807916917329</v>
      </c>
      <c r="F15" s="50">
        <f ca="1">IF($C15="","",F14)</f>
        <v>1.501035790919647E-2</v>
      </c>
      <c r="G15" s="50">
        <f ca="1">IF($C15="","",G14)</f>
        <v>0.04</v>
      </c>
      <c r="I15" s="107">
        <f t="shared" ca="1" si="2"/>
        <v>20.554636526805034</v>
      </c>
      <c r="J15" s="47">
        <f t="shared" ca="1" si="3"/>
        <v>3.4373793639692111E-2</v>
      </c>
      <c r="K15" s="51">
        <f t="shared" ca="1" si="4"/>
        <v>2762.2502168527626</v>
      </c>
      <c r="L15" s="48">
        <f t="shared" ref="L15:L78" ca="1" si="10">IF($C15="",0,
D15*($D$5-$D$4)*E15*((1+F15)/(1+G15))^($D$5-C15)-J15*E15*I15)</f>
        <v>2721.4010136238285</v>
      </c>
      <c r="M15" s="51">
        <f t="shared" ref="M15:M78" ca="1" si="11">IF($C15="",0,
D15*B15*E15*((1+F15)/(1+G15))^($D$5-C15))</f>
        <v>1955.2936564113406</v>
      </c>
      <c r="N15" s="52">
        <f ca="1">M15*Assumptions!$B$19</f>
        <v>1466.4702423085055</v>
      </c>
      <c r="O15" s="136">
        <f t="shared" ref="O15:O78" ca="1" si="12">N15+L15</f>
        <v>4187.871255932334</v>
      </c>
      <c r="P15" s="113">
        <f t="shared" ca="1" si="5"/>
        <v>2762.2502168527717</v>
      </c>
      <c r="Q15" s="114">
        <f t="shared" ca="1" si="6"/>
        <v>9.0949470177292824E-12</v>
      </c>
      <c r="R15" s="115"/>
      <c r="S15" s="116">
        <f ca="1">IFERROR(J15/PUC_Projection!H15,"")</f>
        <v>1.3583687622510932</v>
      </c>
      <c r="T15" s="116">
        <f t="shared" ca="1" si="7"/>
        <v>1.3583687622510934</v>
      </c>
      <c r="U15" s="117">
        <f t="shared" ca="1" si="8"/>
        <v>-2.2204460492503131E-16</v>
      </c>
    </row>
    <row r="16" spans="1:21" x14ac:dyDescent="0.25">
      <c r="B16" s="45">
        <f t="shared" ref="B16:B79" ca="1" si="13">IF($C16="","",B15+1)</f>
        <v>2</v>
      </c>
      <c r="C16" s="22">
        <f t="shared" ca="1" si="9"/>
        <v>32</v>
      </c>
      <c r="D16" s="46">
        <f t="shared" ref="D16:D79" ca="1" si="14">IF($C16="","",D15)</f>
        <v>0.05</v>
      </c>
      <c r="E16" s="49">
        <f t="shared" ref="E16:E79" ca="1" si="15">IF($C16="","",E15*(1+F15))</f>
        <v>80359.190079710505</v>
      </c>
      <c r="F16" s="50">
        <f t="shared" ref="F16:G31" ca="1" si="16">IF($C16="","",F15)</f>
        <v>1.501035790919647E-2</v>
      </c>
      <c r="G16" s="50">
        <f t="shared" ca="1" si="16"/>
        <v>0.04</v>
      </c>
      <c r="I16" s="107">
        <f t="shared" ca="1" si="2"/>
        <v>20.060693441504387</v>
      </c>
      <c r="J16" s="47">
        <f t="shared" ca="1" si="3"/>
        <v>3.4373793639692111E-2</v>
      </c>
      <c r="K16" s="51">
        <f t="shared" ca="1" si="4"/>
        <v>2803.7125812424779</v>
      </c>
      <c r="L16" s="48">
        <f t="shared" ca="1" si="10"/>
        <v>5592.5072710215536</v>
      </c>
      <c r="M16" s="51">
        <f t="shared" ca="1" si="11"/>
        <v>4067.0108053355884</v>
      </c>
      <c r="N16" s="52">
        <f ca="1">M16*Assumptions!$B$19</f>
        <v>3050.2581040016912</v>
      </c>
      <c r="O16" s="136">
        <f t="shared" ca="1" si="12"/>
        <v>8642.7653750232457</v>
      </c>
      <c r="P16" s="113">
        <f t="shared" ca="1" si="5"/>
        <v>2803.7125812424774</v>
      </c>
      <c r="Q16" s="114">
        <f t="shared" ca="1" si="6"/>
        <v>-4.5474735088646412E-13</v>
      </c>
      <c r="R16" s="115"/>
      <c r="S16" s="116">
        <f ca="1">IFERROR(J16/PUC_Projection!H16,"")</f>
        <v>1.3257291957164943</v>
      </c>
      <c r="T16" s="116">
        <f t="shared" ca="1" si="7"/>
        <v>1.3257291957164947</v>
      </c>
      <c r="U16" s="117">
        <f t="shared" ca="1" si="8"/>
        <v>-4.4408920985006262E-16</v>
      </c>
    </row>
    <row r="17" spans="2:25" x14ac:dyDescent="0.25">
      <c r="B17" s="45">
        <f t="shared" ca="1" si="13"/>
        <v>3</v>
      </c>
      <c r="C17" s="22">
        <f t="shared" ca="1" si="9"/>
        <v>33</v>
      </c>
      <c r="D17" s="46">
        <f t="shared" ca="1" si="14"/>
        <v>0.05</v>
      </c>
      <c r="E17" s="49">
        <f t="shared" ca="1" si="15"/>
        <v>81565.410284100115</v>
      </c>
      <c r="F17" s="50">
        <f t="shared" ca="1" si="16"/>
        <v>1.501035790919647E-2</v>
      </c>
      <c r="G17" s="50">
        <f t="shared" ca="1" si="16"/>
        <v>0.04</v>
      </c>
      <c r="I17" s="107">
        <f t="shared" ca="1" si="2"/>
        <v>19.554589435067612</v>
      </c>
      <c r="J17" s="47">
        <f t="shared" ca="1" si="3"/>
        <v>3.4373793639692111E-2</v>
      </c>
      <c r="K17" s="51">
        <f t="shared" ca="1" si="4"/>
        <v>2845.7973105614446</v>
      </c>
      <c r="L17" s="48">
        <f t="shared" ca="1" si="10"/>
        <v>8619.9201431048932</v>
      </c>
      <c r="M17" s="51">
        <f t="shared" ca="1" si="11"/>
        <v>6344.5368563235206</v>
      </c>
      <c r="N17" s="52">
        <f ca="1">M17*Assumptions!$B$19</f>
        <v>4758.4026422426405</v>
      </c>
      <c r="O17" s="136">
        <f t="shared" ca="1" si="12"/>
        <v>13378.322785347533</v>
      </c>
      <c r="P17" s="113">
        <f t="shared" ca="1" si="5"/>
        <v>2845.7973105614365</v>
      </c>
      <c r="Q17" s="114">
        <f t="shared" ca="1" si="6"/>
        <v>-8.1854523159563541E-12</v>
      </c>
      <c r="R17" s="115"/>
      <c r="S17" s="116">
        <f ca="1">IFERROR(J17/PUC_Projection!H17,"")</f>
        <v>1.2938739090719904</v>
      </c>
      <c r="T17" s="116">
        <f t="shared" ca="1" si="7"/>
        <v>1.2938739090719904</v>
      </c>
      <c r="U17" s="117">
        <f t="shared" ca="1" si="8"/>
        <v>0</v>
      </c>
    </row>
    <row r="18" spans="2:25" x14ac:dyDescent="0.25">
      <c r="B18" s="45">
        <f t="shared" ca="1" si="13"/>
        <v>4</v>
      </c>
      <c r="C18" s="22">
        <f t="shared" ca="1" si="9"/>
        <v>34</v>
      </c>
      <c r="D18" s="46">
        <f t="shared" ca="1" si="14"/>
        <v>0.05</v>
      </c>
      <c r="E18" s="49">
        <f t="shared" ca="1" si="15"/>
        <v>82789.736285474908</v>
      </c>
      <c r="F18" s="50">
        <f t="shared" ca="1" si="16"/>
        <v>1.501035790919647E-2</v>
      </c>
      <c r="G18" s="50">
        <f t="shared" ca="1" si="16"/>
        <v>0.04</v>
      </c>
      <c r="I18" s="107">
        <f t="shared" ca="1" si="2"/>
        <v>19.036025104573032</v>
      </c>
      <c r="J18" s="47">
        <f t="shared" ca="1" si="3"/>
        <v>3.4373793639692111E-2</v>
      </c>
      <c r="K18" s="51">
        <f t="shared" ca="1" si="4"/>
        <v>2888.5137467300005</v>
      </c>
      <c r="L18" s="48">
        <f t="shared" ca="1" si="10"/>
        <v>11810.514259390526</v>
      </c>
      <c r="M18" s="51">
        <f t="shared" ca="1" si="11"/>
        <v>8797.7577741019486</v>
      </c>
      <c r="N18" s="52">
        <f ca="1">M18*Assumptions!$B$19</f>
        <v>6598.3183305764614</v>
      </c>
      <c r="O18" s="136">
        <f t="shared" ca="1" si="12"/>
        <v>18408.832589966987</v>
      </c>
      <c r="P18" s="113">
        <f t="shared" ca="1" si="5"/>
        <v>2888.5137467300028</v>
      </c>
      <c r="Q18" s="114">
        <f t="shared" ca="1" si="6"/>
        <v>2.2737367544323206E-12</v>
      </c>
      <c r="R18" s="115"/>
      <c r="S18" s="116">
        <f ca="1">IFERROR(J18/PUC_Projection!H18,"")</f>
        <v>1.2627840572466651</v>
      </c>
      <c r="T18" s="116">
        <f t="shared" ca="1" si="7"/>
        <v>1.2627840572466655</v>
      </c>
      <c r="U18" s="117">
        <f t="shared" ca="1" si="8"/>
        <v>-4.4408920985006262E-16</v>
      </c>
    </row>
    <row r="19" spans="2:25" x14ac:dyDescent="0.25">
      <c r="B19" s="45">
        <f t="shared" ca="1" si="13"/>
        <v>5</v>
      </c>
      <c r="C19" s="22">
        <f t="shared" ca="1" si="9"/>
        <v>35</v>
      </c>
      <c r="D19" s="46">
        <f t="shared" ca="1" si="14"/>
        <v>0.05</v>
      </c>
      <c r="E19" s="49">
        <f t="shared" ca="1" si="15"/>
        <v>84032.439858327882</v>
      </c>
      <c r="F19" s="50">
        <f t="shared" ca="1" si="16"/>
        <v>1.501035790919647E-2</v>
      </c>
      <c r="G19" s="50">
        <f t="shared" ca="1" si="16"/>
        <v>0.04</v>
      </c>
      <c r="I19" s="107">
        <f t="shared" ca="1" si="2"/>
        <v>18.504693675773357</v>
      </c>
      <c r="J19" s="47">
        <f t="shared" ca="1" si="3"/>
        <v>3.4373793639692111E-2</v>
      </c>
      <c r="K19" s="51">
        <f t="shared" ca="1" si="4"/>
        <v>2931.8713718940526</v>
      </c>
      <c r="L19" s="48">
        <f t="shared" ca="1" si="10"/>
        <v>15171.44857649615</v>
      </c>
      <c r="M19" s="51">
        <f t="shared" ca="1" si="11"/>
        <v>11437.085106332535</v>
      </c>
      <c r="N19" s="52">
        <f ca="1">M19*Assumptions!$B$19</f>
        <v>8577.8138297494006</v>
      </c>
      <c r="O19" s="136">
        <f t="shared" ca="1" si="12"/>
        <v>23749.262406245551</v>
      </c>
      <c r="P19" s="113">
        <f t="shared" ca="1" si="5"/>
        <v>2931.871371894058</v>
      </c>
      <c r="Q19" s="114">
        <f t="shared" ca="1" si="6"/>
        <v>5.4569682106375694E-12</v>
      </c>
      <c r="R19" s="115"/>
      <c r="S19" s="116">
        <f ca="1">IFERROR(J19/PUC_Projection!H19,"")</f>
        <v>1.2324412479884277</v>
      </c>
      <c r="T19" s="116">
        <f t="shared" ca="1" si="7"/>
        <v>1.2324412479884277</v>
      </c>
      <c r="U19" s="117">
        <f t="shared" ca="1" si="8"/>
        <v>0</v>
      </c>
    </row>
    <row r="20" spans="2:25" x14ac:dyDescent="0.25">
      <c r="B20" s="45">
        <f t="shared" ca="1" si="13"/>
        <v>6</v>
      </c>
      <c r="C20" s="22">
        <f t="shared" ca="1" si="9"/>
        <v>36</v>
      </c>
      <c r="D20" s="46">
        <f t="shared" ca="1" si="14"/>
        <v>0.05</v>
      </c>
      <c r="E20" s="49">
        <f t="shared" ca="1" si="15"/>
        <v>85293.796856584406</v>
      </c>
      <c r="F20" s="50">
        <f t="shared" ca="1" si="16"/>
        <v>1.501035790919647E-2</v>
      </c>
      <c r="G20" s="50">
        <f t="shared" ca="1" si="16"/>
        <v>0.04</v>
      </c>
      <c r="I20" s="107">
        <f t="shared" ca="1" si="2"/>
        <v>17.960280821613008</v>
      </c>
      <c r="J20" s="47">
        <f t="shared" ca="1" si="3"/>
        <v>3.4373793639692111E-2</v>
      </c>
      <c r="K20" s="51">
        <f t="shared" ca="1" si="4"/>
        <v>2975.8798105299088</v>
      </c>
      <c r="L20" s="48">
        <f t="shared" ca="1" si="10"/>
        <v>18710.177891450054</v>
      </c>
      <c r="M20" s="51">
        <f t="shared" ca="1" si="11"/>
        <v>14273.482212703004</v>
      </c>
      <c r="N20" s="52">
        <f ca="1">M20*Assumptions!$B$19</f>
        <v>10705.111659527252</v>
      </c>
      <c r="O20" s="136">
        <f t="shared" ca="1" si="12"/>
        <v>29415.289550977308</v>
      </c>
      <c r="P20" s="113">
        <f t="shared" ca="1" si="5"/>
        <v>2975.8798105299065</v>
      </c>
      <c r="Q20" s="114">
        <f t="shared" ca="1" si="6"/>
        <v>-2.2737367544323206E-12</v>
      </c>
      <c r="R20" s="115"/>
      <c r="S20" s="116">
        <f ca="1">IFERROR(J20/PUC_Projection!H20,"")</f>
        <v>1.2028275309834526</v>
      </c>
      <c r="T20" s="116">
        <f t="shared" ca="1" si="7"/>
        <v>1.2028275309834529</v>
      </c>
      <c r="U20" s="117">
        <f t="shared" ca="1" si="8"/>
        <v>-2.2204460492503131E-16</v>
      </c>
    </row>
    <row r="21" spans="2:25" x14ac:dyDescent="0.25">
      <c r="B21" s="45">
        <f t="shared" ca="1" si="13"/>
        <v>7</v>
      </c>
      <c r="C21" s="22">
        <f t="shared" ca="1" si="9"/>
        <v>37</v>
      </c>
      <c r="D21" s="46">
        <f t="shared" ca="1" si="14"/>
        <v>0.05</v>
      </c>
      <c r="E21" s="49">
        <f t="shared" ca="1" si="15"/>
        <v>86574.087274836042</v>
      </c>
      <c r="F21" s="50">
        <f t="shared" ca="1" si="16"/>
        <v>1.501035790919647E-2</v>
      </c>
      <c r="G21" s="50">
        <f t="shared" ca="1" si="16"/>
        <v>0.04</v>
      </c>
      <c r="I21" s="107">
        <f t="shared" ca="1" si="2"/>
        <v>17.402464476277331</v>
      </c>
      <c r="J21" s="47">
        <f t="shared" ca="1" si="3"/>
        <v>3.4373793639692111E-2</v>
      </c>
      <c r="K21" s="51">
        <f t="shared" ca="1" si="4"/>
        <v>3020.5488315807147</v>
      </c>
      <c r="L21" s="48">
        <f t="shared" ca="1" si="10"/>
        <v>22434.464817637963</v>
      </c>
      <c r="M21" s="51">
        <f t="shared" ca="1" si="11"/>
        <v>17318.491751412977</v>
      </c>
      <c r="N21" s="52">
        <f ca="1">M21*Assumptions!$B$19</f>
        <v>12988.868813559733</v>
      </c>
      <c r="O21" s="136">
        <f t="shared" ca="1" si="12"/>
        <v>35423.333631197696</v>
      </c>
      <c r="P21" s="113">
        <f t="shared" ca="1" si="5"/>
        <v>3020.5488315806906</v>
      </c>
      <c r="Q21" s="114">
        <f t="shared" ca="1" si="6"/>
        <v>-2.4101609596982598E-11</v>
      </c>
      <c r="R21" s="115"/>
      <c r="S21" s="116">
        <f ca="1">IFERROR(J21/PUC_Projection!H21,"")</f>
        <v>1.1739253872370665</v>
      </c>
      <c r="T21" s="116">
        <f t="shared" ca="1" si="7"/>
        <v>1.1739253872370665</v>
      </c>
      <c r="U21" s="117">
        <f t="shared" ca="1" si="8"/>
        <v>0</v>
      </c>
    </row>
    <row r="22" spans="2:25" x14ac:dyDescent="0.25">
      <c r="B22" s="45">
        <f t="shared" ca="1" si="13"/>
        <v>8</v>
      </c>
      <c r="C22" s="22">
        <f t="shared" ca="1" si="9"/>
        <v>38</v>
      </c>
      <c r="D22" s="46">
        <f t="shared" ca="1" si="14"/>
        <v>0.05</v>
      </c>
      <c r="E22" s="49">
        <f t="shared" ca="1" si="15"/>
        <v>87873.595310493343</v>
      </c>
      <c r="F22" s="50">
        <f t="shared" ca="1" si="16"/>
        <v>1.501035790919647E-2</v>
      </c>
      <c r="G22" s="50">
        <f t="shared" ca="1" si="16"/>
        <v>0.04</v>
      </c>
      <c r="I22" s="107">
        <f t="shared" ca="1" si="2"/>
        <v>16.830914644663697</v>
      </c>
      <c r="J22" s="47">
        <f t="shared" ca="1" si="3"/>
        <v>3.4373793639692111E-2</v>
      </c>
      <c r="K22" s="51">
        <f t="shared" ca="1" si="4"/>
        <v>3065.8883506249463</v>
      </c>
      <c r="L22" s="48">
        <f t="shared" ca="1" si="10"/>
        <v>26352.392241924172</v>
      </c>
      <c r="M22" s="51">
        <f t="shared" ca="1" si="11"/>
        <v>20584.264481679427</v>
      </c>
      <c r="N22" s="52">
        <f ca="1">M22*Assumptions!$B$19</f>
        <v>15438.19836125957</v>
      </c>
      <c r="O22" s="136">
        <f t="shared" ca="1" si="12"/>
        <v>41790.590603183744</v>
      </c>
      <c r="P22" s="113">
        <f t="shared" ca="1" si="5"/>
        <v>3065.8883506249804</v>
      </c>
      <c r="Q22" s="114">
        <f t="shared" ca="1" si="6"/>
        <v>3.4106051316484809E-11</v>
      </c>
      <c r="R22" s="115"/>
      <c r="S22" s="116">
        <f ca="1">IFERROR(J22/PUC_Projection!H22,"")</f>
        <v>1.1457177187097949</v>
      </c>
      <c r="T22" s="116">
        <f t="shared" ca="1" si="7"/>
        <v>1.1457177187097951</v>
      </c>
      <c r="U22" s="117">
        <f t="shared" ca="1" si="8"/>
        <v>-2.2204460492503131E-16</v>
      </c>
    </row>
    <row r="23" spans="2:25" x14ac:dyDescent="0.25">
      <c r="B23" s="45">
        <f t="shared" ca="1" si="13"/>
        <v>9</v>
      </c>
      <c r="C23" s="22">
        <f t="shared" ca="1" si="9"/>
        <v>39</v>
      </c>
      <c r="D23" s="46">
        <f t="shared" ca="1" si="14"/>
        <v>0.05</v>
      </c>
      <c r="E23" s="49">
        <f t="shared" ca="1" si="15"/>
        <v>89192.609426871742</v>
      </c>
      <c r="F23" s="50">
        <f t="shared" ca="1" si="16"/>
        <v>1.501035790919647E-2</v>
      </c>
      <c r="G23" s="50">
        <f t="shared" ca="1" si="16"/>
        <v>0.04</v>
      </c>
      <c r="I23" s="107">
        <f t="shared" ca="1" si="2"/>
        <v>16.245293207161708</v>
      </c>
      <c r="J23" s="47">
        <f t="shared" ca="1" si="3"/>
        <v>3.4373793639692111E-2</v>
      </c>
      <c r="K23" s="51">
        <f t="shared" ca="1" si="4"/>
        <v>3111.9084320774632</v>
      </c>
      <c r="L23" s="48">
        <f t="shared" ca="1" si="10"/>
        <v>30472.37628222612</v>
      </c>
      <c r="M23" s="51">
        <f t="shared" ca="1" si="11"/>
        <v>24083.589443564935</v>
      </c>
      <c r="N23" s="52">
        <f ca="1">M23*Assumptions!$B$19</f>
        <v>18062.6920826737</v>
      </c>
      <c r="O23" s="136">
        <f t="shared" ca="1" si="12"/>
        <v>48535.068364899824</v>
      </c>
      <c r="P23" s="113">
        <f t="shared" ca="1" si="5"/>
        <v>3111.9084320774637</v>
      </c>
      <c r="Q23" s="114">
        <f t="shared" ca="1" si="6"/>
        <v>4.5474735088646412E-13</v>
      </c>
      <c r="R23" s="115"/>
      <c r="S23" s="116">
        <f ca="1">IFERROR(J23/PUC_Projection!H23,"")</f>
        <v>1.1181878382024393</v>
      </c>
      <c r="T23" s="116">
        <f t="shared" ca="1" si="7"/>
        <v>1.1181878382024395</v>
      </c>
      <c r="U23" s="117">
        <f t="shared" ca="1" si="8"/>
        <v>-2.2204460492503131E-16</v>
      </c>
    </row>
    <row r="24" spans="2:25" x14ac:dyDescent="0.25">
      <c r="B24" s="45">
        <f t="shared" ca="1" si="13"/>
        <v>10</v>
      </c>
      <c r="C24" s="22">
        <f t="shared" ca="1" si="9"/>
        <v>40</v>
      </c>
      <c r="D24" s="46">
        <f t="shared" ca="1" si="14"/>
        <v>0.05</v>
      </c>
      <c r="E24" s="49">
        <f t="shared" ca="1" si="15"/>
        <v>90531.422417224254</v>
      </c>
      <c r="F24" s="50">
        <f t="shared" ca="1" si="16"/>
        <v>1.501035790919647E-2</v>
      </c>
      <c r="G24" s="50">
        <f t="shared" ca="1" si="16"/>
        <v>0.04</v>
      </c>
      <c r="I24" s="107">
        <f t="shared" ca="1" si="2"/>
        <v>15.645253719627194</v>
      </c>
      <c r="J24" s="47">
        <f t="shared" ca="1" si="3"/>
        <v>3.4373793639692111E-2</v>
      </c>
      <c r="K24" s="51">
        <f t="shared" ca="1" si="4"/>
        <v>3158.6192914235917</v>
      </c>
      <c r="L24" s="48">
        <f t="shared" ca="1" si="10"/>
        <v>34803.179765592628</v>
      </c>
      <c r="M24" s="51">
        <f t="shared" ca="1" si="11"/>
        <v>27829.925579230596</v>
      </c>
      <c r="N24" s="52">
        <f ca="1">M24*Assumptions!$B$19</f>
        <v>20872.444184422948</v>
      </c>
      <c r="O24" s="136">
        <f t="shared" ca="1" si="12"/>
        <v>55675.623950015579</v>
      </c>
      <c r="P24" s="113">
        <f t="shared" ca="1" si="5"/>
        <v>3158.6192914236017</v>
      </c>
      <c r="Q24" s="114">
        <f t="shared" ca="1" si="6"/>
        <v>1.0004441719502211E-11</v>
      </c>
      <c r="R24" s="115"/>
      <c r="S24" s="116">
        <f ca="1">IFERROR(J24/PUC_Projection!H24,"")</f>
        <v>1.0913194594842004</v>
      </c>
      <c r="T24" s="116">
        <f t="shared" ca="1" si="7"/>
        <v>1.0913194594842006</v>
      </c>
      <c r="U24" s="117">
        <f t="shared" ca="1" si="8"/>
        <v>-2.2204460492503131E-16</v>
      </c>
    </row>
    <row r="25" spans="2:25" x14ac:dyDescent="0.25">
      <c r="B25" s="45">
        <f t="shared" ca="1" si="13"/>
        <v>11</v>
      </c>
      <c r="C25" s="22">
        <f t="shared" ca="1" si="9"/>
        <v>41</v>
      </c>
      <c r="D25" s="46">
        <f t="shared" ca="1" si="14"/>
        <v>0.05</v>
      </c>
      <c r="E25" s="49">
        <f t="shared" ca="1" si="15"/>
        <v>91890.331469735436</v>
      </c>
      <c r="F25" s="50">
        <f t="shared" ca="1" si="16"/>
        <v>1.501035790919647E-2</v>
      </c>
      <c r="G25" s="50">
        <f t="shared" ca="1" si="16"/>
        <v>0.04</v>
      </c>
      <c r="I25" s="107">
        <f t="shared" ca="1" si="2"/>
        <v>15.030441208431395</v>
      </c>
      <c r="J25" s="47">
        <f t="shared" ca="1" si="3"/>
        <v>3.4373793639692111E-2</v>
      </c>
      <c r="K25" s="51">
        <f t="shared" ca="1" si="4"/>
        <v>3206.0312974867525</v>
      </c>
      <c r="L25" s="48">
        <f t="shared" ca="1" si="10"/>
        <v>39353.926247639938</v>
      </c>
      <c r="M25" s="51">
        <f t="shared" ca="1" si="11"/>
        <v>31837.434862639806</v>
      </c>
      <c r="N25" s="52">
        <f ca="1">M25*Assumptions!$B$19</f>
        <v>23878.076146979853</v>
      </c>
      <c r="O25" s="136">
        <f t="shared" ca="1" si="12"/>
        <v>63232.002394619791</v>
      </c>
      <c r="P25" s="113">
        <f t="shared" ca="1" si="5"/>
        <v>3206.0312974867338</v>
      </c>
      <c r="Q25" s="114">
        <f t="shared" ca="1" si="6"/>
        <v>-1.8644641386345029E-11</v>
      </c>
      <c r="R25" s="115"/>
      <c r="S25" s="116">
        <f ca="1">IFERROR(J25/PUC_Projection!H25,"")</f>
        <v>1.0650966876580088</v>
      </c>
      <c r="T25" s="116">
        <f t="shared" ca="1" si="7"/>
        <v>1.0650966876580088</v>
      </c>
      <c r="U25" s="117">
        <f t="shared" ca="1" si="8"/>
        <v>0</v>
      </c>
    </row>
    <row r="26" spans="2:25" x14ac:dyDescent="0.25">
      <c r="B26" s="45">
        <f t="shared" ca="1" si="13"/>
        <v>12</v>
      </c>
      <c r="C26" s="22">
        <f t="shared" ca="1" si="9"/>
        <v>42</v>
      </c>
      <c r="D26" s="46">
        <f t="shared" ca="1" si="14"/>
        <v>0.05</v>
      </c>
      <c r="E26" s="49">
        <f t="shared" ca="1" si="15"/>
        <v>93269.63823349087</v>
      </c>
      <c r="F26" s="50">
        <f t="shared" ca="1" si="16"/>
        <v>1.501035790919647E-2</v>
      </c>
      <c r="G26" s="50">
        <f t="shared" ca="1" si="16"/>
        <v>0.04</v>
      </c>
      <c r="I26" s="107">
        <f t="shared" ca="1" si="2"/>
        <v>14.400491960464382</v>
      </c>
      <c r="J26" s="47">
        <f t="shared" ca="1" si="3"/>
        <v>3.4373793639692111E-2</v>
      </c>
      <c r="K26" s="51">
        <f t="shared" ca="1" si="4"/>
        <v>3254.1549747301142</v>
      </c>
      <c r="L26" s="48">
        <f t="shared" ca="1" si="10"/>
        <v>44134.114595032268</v>
      </c>
      <c r="M26" s="51">
        <f t="shared" ca="1" si="11"/>
        <v>36121.017007794988</v>
      </c>
      <c r="N26" s="52">
        <f ca="1">M26*Assumptions!$B$19</f>
        <v>27090.762755846241</v>
      </c>
      <c r="O26" s="136">
        <f t="shared" ca="1" si="12"/>
        <v>71224.877350878509</v>
      </c>
      <c r="P26" s="113">
        <f t="shared" ca="1" si="5"/>
        <v>3254.1549747301324</v>
      </c>
      <c r="Q26" s="114">
        <f t="shared" ca="1" si="6"/>
        <v>1.8189894035458565E-11</v>
      </c>
      <c r="R26" s="115"/>
      <c r="S26" s="116">
        <f ca="1">IFERROR(J26/PUC_Projection!H26,"")</f>
        <v>1.0395040097573607</v>
      </c>
      <c r="T26" s="116">
        <f t="shared" ca="1" si="7"/>
        <v>1.0395040097573607</v>
      </c>
      <c r="U26" s="117">
        <f t="shared" ca="1" si="8"/>
        <v>0</v>
      </c>
    </row>
    <row r="27" spans="2:25" x14ac:dyDescent="0.25">
      <c r="B27" s="45">
        <f t="shared" ca="1" si="13"/>
        <v>13</v>
      </c>
      <c r="C27" s="22">
        <f t="shared" ca="1" si="9"/>
        <v>43</v>
      </c>
      <c r="D27" s="46">
        <f t="shared" ca="1" si="14"/>
        <v>0.05</v>
      </c>
      <c r="E27" s="49">
        <f t="shared" ca="1" si="15"/>
        <v>94669.648885436836</v>
      </c>
      <c r="F27" s="50">
        <f t="shared" ca="1" si="16"/>
        <v>1.501035790919647E-2</v>
      </c>
      <c r="G27" s="50">
        <f t="shared" ca="1" si="16"/>
        <v>0.04</v>
      </c>
      <c r="I27" s="107">
        <f t="shared" ca="1" si="2"/>
        <v>13.75503330796824</v>
      </c>
      <c r="J27" s="47">
        <f t="shared" ca="1" si="3"/>
        <v>3.4373793639692111E-2</v>
      </c>
      <c r="K27" s="51">
        <f t="shared" ca="1" si="4"/>
        <v>3303.0010055928055</v>
      </c>
      <c r="L27" s="48">
        <f t="shared" ca="1" si="10"/>
        <v>49153.634153563689</v>
      </c>
      <c r="M27" s="51">
        <f t="shared" ca="1" si="11"/>
        <v>40696.345828782345</v>
      </c>
      <c r="N27" s="52">
        <f ca="1">M27*Assumptions!$B$19</f>
        <v>30522.259371586759</v>
      </c>
      <c r="O27" s="136">
        <f t="shared" ca="1" si="12"/>
        <v>79675.893525150444</v>
      </c>
      <c r="P27" s="113">
        <f t="shared" ca="1" si="5"/>
        <v>3303.0010055927996</v>
      </c>
      <c r="Q27" s="114">
        <f t="shared" ca="1" si="6"/>
        <v>-5.9117155615240335E-12</v>
      </c>
      <c r="R27" s="115"/>
      <c r="S27" s="116">
        <f ca="1">IFERROR(J27/PUC_Projection!H27,"")</f>
        <v>1.0145262855690993</v>
      </c>
      <c r="T27" s="116">
        <f t="shared" ca="1" si="7"/>
        <v>1.0145262855690993</v>
      </c>
      <c r="U27" s="117">
        <f t="shared" ca="1" si="8"/>
        <v>0</v>
      </c>
    </row>
    <row r="28" spans="2:25" x14ac:dyDescent="0.25">
      <c r="B28" s="45">
        <f t="shared" ca="1" si="13"/>
        <v>14</v>
      </c>
      <c r="C28" s="22">
        <f t="shared" ca="1" si="9"/>
        <v>44</v>
      </c>
      <c r="D28" s="46">
        <f t="shared" ca="1" si="14"/>
        <v>0.05</v>
      </c>
      <c r="E28" s="49">
        <f t="shared" ca="1" si="15"/>
        <v>96090.674198345208</v>
      </c>
      <c r="F28" s="50">
        <f t="shared" ca="1" si="16"/>
        <v>1.501035790919647E-2</v>
      </c>
      <c r="G28" s="50">
        <f t="shared" ca="1" si="16"/>
        <v>0.04</v>
      </c>
      <c r="I28" s="107">
        <f t="shared" ca="1" si="2"/>
        <v>13.093683408072893</v>
      </c>
      <c r="J28" s="47">
        <f t="shared" ca="1" si="3"/>
        <v>3.4373793639692111E-2</v>
      </c>
      <c r="K28" s="51">
        <f t="shared" ca="1" si="4"/>
        <v>3352.5802328611894</v>
      </c>
      <c r="L28" s="48">
        <f t="shared" ca="1" si="10"/>
        <v>54422.780525299037</v>
      </c>
      <c r="M28" s="51">
        <f t="shared" ca="1" si="11"/>
        <v>45579.907328236244</v>
      </c>
      <c r="N28" s="52">
        <f ca="1">M28*Assumptions!$B$19</f>
        <v>34184.930496177185</v>
      </c>
      <c r="O28" s="136">
        <f t="shared" ca="1" si="12"/>
        <v>88607.711021476222</v>
      </c>
      <c r="P28" s="113">
        <f t="shared" ca="1" si="5"/>
        <v>3352.5802328612117</v>
      </c>
      <c r="Q28" s="114">
        <f t="shared" ca="1" si="6"/>
        <v>2.2282620193436742E-11</v>
      </c>
      <c r="R28" s="115"/>
      <c r="S28" s="116">
        <f ca="1">IFERROR(J28/PUC_Projection!H28,"")</f>
        <v>0.9901487386767106</v>
      </c>
      <c r="T28" s="116">
        <f t="shared" ca="1" si="7"/>
        <v>0.99014873867671072</v>
      </c>
      <c r="U28" s="117">
        <f t="shared" ca="1" si="8"/>
        <v>-1.1102230246251565E-16</v>
      </c>
    </row>
    <row r="29" spans="2:25" x14ac:dyDescent="0.25">
      <c r="B29" s="45">
        <f t="shared" ca="1" si="13"/>
        <v>15</v>
      </c>
      <c r="C29" s="22">
        <f t="shared" ca="1" si="9"/>
        <v>45</v>
      </c>
      <c r="D29" s="46">
        <f t="shared" ca="1" si="14"/>
        <v>0.05</v>
      </c>
      <c r="E29" s="49">
        <f t="shared" ca="1" si="15"/>
        <v>97533.029609798366</v>
      </c>
      <c r="F29" s="50">
        <f t="shared" ca="1" si="16"/>
        <v>1.501035790919647E-2</v>
      </c>
      <c r="G29" s="50">
        <f t="shared" ca="1" si="16"/>
        <v>0.04</v>
      </c>
      <c r="I29" s="107">
        <f t="shared" ca="1" si="2"/>
        <v>12.41605101690404</v>
      </c>
      <c r="J29" s="47">
        <f t="shared" ca="1" si="3"/>
        <v>3.4373793639692111E-2</v>
      </c>
      <c r="K29" s="51">
        <f t="shared" ca="1" si="4"/>
        <v>3402.9036620757333</v>
      </c>
      <c r="L29" s="48">
        <f t="shared" ca="1" si="10"/>
        <v>59952.271979172212</v>
      </c>
      <c r="M29" s="51">
        <f t="shared" ca="1" si="11"/>
        <v>50789.039594320384</v>
      </c>
      <c r="N29" s="52">
        <f ca="1">M29*Assumptions!$B$19</f>
        <v>38091.77969574029</v>
      </c>
      <c r="O29" s="136">
        <f t="shared" ca="1" si="12"/>
        <v>98044.051674912509</v>
      </c>
      <c r="P29" s="113">
        <f t="shared" ca="1" si="5"/>
        <v>3402.9036620756888</v>
      </c>
      <c r="Q29" s="114">
        <f t="shared" ca="1" si="6"/>
        <v>-4.4565240386873484E-11</v>
      </c>
      <c r="R29" s="115"/>
      <c r="S29" s="116">
        <f ca="1">IFERROR(J29/PUC_Projection!H29,"")</f>
        <v>0.96635694771883407</v>
      </c>
      <c r="T29" s="116">
        <f t="shared" ca="1" si="7"/>
        <v>0.96635694771883407</v>
      </c>
      <c r="U29" s="117">
        <f t="shared" ca="1" si="8"/>
        <v>0</v>
      </c>
    </row>
    <row r="30" spans="2:25" x14ac:dyDescent="0.25">
      <c r="B30" s="45">
        <f t="shared" ca="1" si="13"/>
        <v>16</v>
      </c>
      <c r="C30" s="22">
        <f t="shared" ca="1" si="9"/>
        <v>46</v>
      </c>
      <c r="D30" s="46">
        <f t="shared" ca="1" si="14"/>
        <v>0.05</v>
      </c>
      <c r="E30" s="49">
        <f t="shared" ca="1" si="15"/>
        <v>98997.035292209694</v>
      </c>
      <c r="F30" s="50">
        <f t="shared" ca="1" si="16"/>
        <v>1.501035790919647E-2</v>
      </c>
      <c r="G30" s="50">
        <f t="shared" ca="1" si="16"/>
        <v>0.04</v>
      </c>
      <c r="I30" s="107">
        <f t="shared" ca="1" si="2"/>
        <v>11.721735258129636</v>
      </c>
      <c r="J30" s="47">
        <f t="shared" ca="1" si="3"/>
        <v>3.4373793639692111E-2</v>
      </c>
      <c r="K30" s="51">
        <f t="shared" ca="1" si="4"/>
        <v>3453.982463974005</v>
      </c>
      <c r="L30" s="48">
        <f t="shared" ca="1" si="10"/>
        <v>65753.266520414792</v>
      </c>
      <c r="M30" s="51">
        <f t="shared" ca="1" si="11"/>
        <v>56341.97458996607</v>
      </c>
      <c r="N30" s="52">
        <f ca="1">M30*Assumptions!$B$19</f>
        <v>42256.480942474554</v>
      </c>
      <c r="O30" s="136">
        <f t="shared" ca="1" si="12"/>
        <v>108009.74746288935</v>
      </c>
      <c r="P30" s="113">
        <f t="shared" ca="1" si="5"/>
        <v>3453.98246397404</v>
      </c>
      <c r="Q30" s="114">
        <f t="shared" ca="1" si="6"/>
        <v>3.5015546018257737E-11</v>
      </c>
      <c r="R30" s="115"/>
      <c r="S30" s="116">
        <f ca="1">IFERROR(J30/PUC_Projection!H30,"")</f>
        <v>0.94313683785781943</v>
      </c>
      <c r="T30" s="116">
        <f t="shared" ca="1" si="7"/>
        <v>0.94313683785781943</v>
      </c>
      <c r="U30" s="117">
        <f t="shared" ca="1" si="8"/>
        <v>0</v>
      </c>
    </row>
    <row r="31" spans="2:25" x14ac:dyDescent="0.25">
      <c r="B31" s="45">
        <f t="shared" ca="1" si="13"/>
        <v>17</v>
      </c>
      <c r="C31" s="22">
        <f t="shared" ca="1" si="9"/>
        <v>47</v>
      </c>
      <c r="D31" s="46">
        <f t="shared" ca="1" si="14"/>
        <v>0.05</v>
      </c>
      <c r="E31" s="49">
        <f t="shared" ca="1" si="15"/>
        <v>100483.01622389512</v>
      </c>
      <c r="F31" s="50">
        <f t="shared" ca="1" si="16"/>
        <v>1.501035790919647E-2</v>
      </c>
      <c r="G31" s="50">
        <f t="shared" ca="1" si="16"/>
        <v>0.04</v>
      </c>
      <c r="I31" s="107">
        <f t="shared" ca="1" si="2"/>
        <v>11.010325385807937</v>
      </c>
      <c r="J31" s="47">
        <f t="shared" ca="1" si="3"/>
        <v>3.4373793639692111E-2</v>
      </c>
      <c r="K31" s="51">
        <f t="shared" ca="1" si="4"/>
        <v>3505.8279769703431</v>
      </c>
      <c r="L31" s="48">
        <f t="shared" ca="1" si="10"/>
        <v>71837.379645205423</v>
      </c>
      <c r="M31" s="51">
        <f t="shared" ca="1" si="11"/>
        <v>62257.881921912536</v>
      </c>
      <c r="N31" s="52">
        <f ca="1">M31*Assumptions!$B$19</f>
        <v>46693.4114414344</v>
      </c>
      <c r="O31" s="136">
        <f t="shared" ca="1" si="12"/>
        <v>118530.79108663983</v>
      </c>
      <c r="P31" s="113">
        <f t="shared" ca="1" si="5"/>
        <v>3505.8279769703513</v>
      </c>
      <c r="Q31" s="114">
        <f t="shared" ca="1" si="6"/>
        <v>8.1854523159563541E-12</v>
      </c>
      <c r="R31" s="115"/>
      <c r="S31" s="116">
        <f ca="1">IFERROR(J31/PUC_Projection!H31,"")</f>
        <v>0.92047467245328185</v>
      </c>
      <c r="T31" s="116">
        <f t="shared" ca="1" si="7"/>
        <v>0.92047467245328174</v>
      </c>
      <c r="U31" s="117">
        <f t="shared" ca="1" si="8"/>
        <v>1.1102230246251565E-16</v>
      </c>
      <c r="V31" s="11"/>
      <c r="W31" s="11"/>
      <c r="X31" s="11"/>
      <c r="Y31" s="11"/>
    </row>
    <row r="32" spans="2:25" x14ac:dyDescent="0.25">
      <c r="B32" s="45">
        <f t="shared" ca="1" si="13"/>
        <v>18</v>
      </c>
      <c r="C32" s="22">
        <f t="shared" ca="1" si="9"/>
        <v>48</v>
      </c>
      <c r="D32" s="46">
        <f t="shared" ca="1" si="14"/>
        <v>0.05</v>
      </c>
      <c r="E32" s="49">
        <f t="shared" ca="1" si="15"/>
        <v>101991.30226121137</v>
      </c>
      <c r="F32" s="50">
        <f t="shared" ref="F32:G47" ca="1" si="17">IF($C32="","",F31)</f>
        <v>1.501035790919647E-2</v>
      </c>
      <c r="G32" s="50">
        <f t="shared" ca="1" si="17"/>
        <v>0.04</v>
      </c>
      <c r="I32" s="107">
        <f t="shared" ca="1" si="2"/>
        <v>10.281400541396883</v>
      </c>
      <c r="J32" s="47">
        <f t="shared" ca="1" si="3"/>
        <v>3.4373793639692111E-2</v>
      </c>
      <c r="K32" s="51">
        <f t="shared" ca="1" si="4"/>
        <v>3558.4517096727423</v>
      </c>
      <c r="L32" s="48">
        <f t="shared" ca="1" si="10"/>
        <v>78216.702807983995</v>
      </c>
      <c r="M32" s="51">
        <f t="shared" ca="1" si="11"/>
        <v>68556.914681070732</v>
      </c>
      <c r="N32" s="52">
        <f ca="1">M32*Assumptions!$B$19</f>
        <v>51417.686010803052</v>
      </c>
      <c r="O32" s="136">
        <f t="shared" ca="1" si="12"/>
        <v>129634.38881878705</v>
      </c>
      <c r="P32" s="113">
        <f t="shared" ca="1" si="5"/>
        <v>3558.451709672765</v>
      </c>
      <c r="Q32" s="114">
        <f t="shared" ca="1" si="6"/>
        <v>2.2737367544323206E-11</v>
      </c>
      <c r="R32" s="115"/>
      <c r="S32" s="116">
        <f ca="1">IFERROR(J32/PUC_Projection!H32,"")</f>
        <v>0.89835704493572677</v>
      </c>
      <c r="T32" s="116">
        <f t="shared" ca="1" si="7"/>
        <v>0.89835704493572688</v>
      </c>
      <c r="U32" s="117">
        <f t="shared" ca="1" si="8"/>
        <v>-1.1102230246251565E-16</v>
      </c>
      <c r="V32" s="11"/>
      <c r="W32" s="11"/>
      <c r="X32" s="11"/>
      <c r="Y32" s="11"/>
    </row>
    <row r="33" spans="2:21" x14ac:dyDescent="0.25">
      <c r="B33" s="45">
        <f t="shared" ca="1" si="13"/>
        <v>19</v>
      </c>
      <c r="C33" s="22">
        <f t="shared" ca="1" si="9"/>
        <v>49</v>
      </c>
      <c r="D33" s="46">
        <f t="shared" ca="1" si="14"/>
        <v>0.05</v>
      </c>
      <c r="E33" s="49">
        <f t="shared" ca="1" si="15"/>
        <v>103522.2282117772</v>
      </c>
      <c r="F33" s="50">
        <f t="shared" ca="1" si="17"/>
        <v>1.501035790919647E-2</v>
      </c>
      <c r="G33" s="50">
        <f t="shared" ca="1" si="17"/>
        <v>0.04</v>
      </c>
      <c r="I33" s="107">
        <f t="shared" ca="1" si="2"/>
        <v>9.5345295047810072</v>
      </c>
      <c r="J33" s="47">
        <f t="shared" ca="1" si="3"/>
        <v>3.4373793639692111E-2</v>
      </c>
      <c r="K33" s="51">
        <f t="shared" ca="1" si="4"/>
        <v>3611.8653434375224</v>
      </c>
      <c r="L33" s="48">
        <f t="shared" ca="1" si="10"/>
        <v>84903.822629976115</v>
      </c>
      <c r="M33" s="51">
        <f t="shared" ca="1" si="11"/>
        <v>75260.257449886558</v>
      </c>
      <c r="N33" s="52">
        <f ca="1">M33*Assumptions!$B$19</f>
        <v>56445.193087414918</v>
      </c>
      <c r="O33" s="136">
        <f t="shared" ca="1" si="12"/>
        <v>141349.01571739104</v>
      </c>
      <c r="P33" s="113">
        <f t="shared" ca="1" si="5"/>
        <v>3611.8653434375155</v>
      </c>
      <c r="Q33" s="114">
        <f t="shared" ca="1" si="6"/>
        <v>-6.8212102632969618E-12</v>
      </c>
      <c r="R33" s="115"/>
      <c r="S33" s="116">
        <f ca="1">IFERROR(J33/PUC_Projection!H33,"")</f>
        <v>0.87677087087544225</v>
      </c>
      <c r="T33" s="116">
        <f t="shared" ca="1" si="7"/>
        <v>0.87677087087544237</v>
      </c>
      <c r="U33" s="117">
        <f t="shared" ca="1" si="8"/>
        <v>-1.1102230246251565E-16</v>
      </c>
    </row>
    <row r="34" spans="2:21" x14ac:dyDescent="0.25">
      <c r="B34" s="45">
        <f t="shared" ca="1" si="13"/>
        <v>20</v>
      </c>
      <c r="C34" s="22">
        <f t="shared" ca="1" si="9"/>
        <v>50</v>
      </c>
      <c r="D34" s="46">
        <f t="shared" ca="1" si="14"/>
        <v>0.05</v>
      </c>
      <c r="E34" s="49">
        <f t="shared" ca="1" si="15"/>
        <v>105076.13390879349</v>
      </c>
      <c r="F34" s="50">
        <f t="shared" ca="1" si="17"/>
        <v>1.501035790919647E-2</v>
      </c>
      <c r="G34" s="50">
        <f t="shared" ca="1" si="17"/>
        <v>0.04</v>
      </c>
      <c r="I34" s="107">
        <f t="shared" ca="1" si="2"/>
        <v>8.7692704391685972</v>
      </c>
      <c r="J34" s="47">
        <f t="shared" ca="1" si="3"/>
        <v>3.4373793639692111E-2</v>
      </c>
      <c r="K34" s="51">
        <f t="shared" ca="1" si="4"/>
        <v>3666.0807349623424</v>
      </c>
      <c r="L34" s="48">
        <f t="shared" ca="1" si="10"/>
        <v>91911.840878612682</v>
      </c>
      <c r="M34" s="51">
        <f t="shared" ca="1" si="11"/>
        <v>82390.176576717917</v>
      </c>
      <c r="N34" s="52">
        <f ca="1">M34*Assumptions!$B$19</f>
        <v>61792.632432538434</v>
      </c>
      <c r="O34" s="136">
        <f t="shared" ca="1" si="12"/>
        <v>153704.47331115112</v>
      </c>
      <c r="P34" s="113">
        <f t="shared" ca="1" si="5"/>
        <v>3666.0807349623501</v>
      </c>
      <c r="Q34" s="114">
        <f t="shared" ca="1" si="6"/>
        <v>7.73070496506989E-12</v>
      </c>
      <c r="R34" s="115"/>
      <c r="S34" s="116">
        <f ca="1">IFERROR(J34/PUC_Projection!H34,"")</f>
        <v>0.85570338024196202</v>
      </c>
      <c r="T34" s="116">
        <f t="shared" ca="1" si="7"/>
        <v>0.85570338024196224</v>
      </c>
      <c r="U34" s="117">
        <f t="shared" ca="1" si="8"/>
        <v>-2.2204460492503131E-16</v>
      </c>
    </row>
    <row r="35" spans="2:21" x14ac:dyDescent="0.25">
      <c r="B35" s="45">
        <f t="shared" ca="1" si="13"/>
        <v>21</v>
      </c>
      <c r="C35" s="22">
        <f t="shared" ca="1" si="9"/>
        <v>51</v>
      </c>
      <c r="D35" s="46">
        <f t="shared" ca="1" si="14"/>
        <v>0.05</v>
      </c>
      <c r="E35" s="49">
        <f t="shared" ca="1" si="15"/>
        <v>106653.36428647913</v>
      </c>
      <c r="F35" s="50">
        <f t="shared" ca="1" si="17"/>
        <v>1.501035790919647E-2</v>
      </c>
      <c r="G35" s="50">
        <f t="shared" ca="1" si="17"/>
        <v>0.04</v>
      </c>
      <c r="I35" s="107">
        <f t="shared" ca="1" si="2"/>
        <v>7.9851706297082208</v>
      </c>
      <c r="J35" s="47">
        <f t="shared" ca="1" si="3"/>
        <v>3.4373793639692111E-2</v>
      </c>
      <c r="K35" s="51">
        <f t="shared" ca="1" si="4"/>
        <v>3721.1099189181373</v>
      </c>
      <c r="L35" s="48">
        <f t="shared" ca="1" si="10"/>
        <v>99254.395248719549</v>
      </c>
      <c r="M35" s="51">
        <f t="shared" ca="1" si="11"/>
        <v>89970.072821775975</v>
      </c>
      <c r="N35" s="52">
        <f ca="1">M35*Assumptions!$B$19</f>
        <v>67477.554616331981</v>
      </c>
      <c r="O35" s="136">
        <f t="shared" ca="1" si="12"/>
        <v>166731.94986505155</v>
      </c>
      <c r="P35" s="113">
        <f t="shared" ca="1" si="5"/>
        <v>3721.1099189181405</v>
      </c>
      <c r="Q35" s="114">
        <f t="shared" ca="1" si="6"/>
        <v>3.1832314562052488E-12</v>
      </c>
      <c r="R35" s="115"/>
      <c r="S35" s="116">
        <f ca="1">IFERROR(J35/PUC_Projection!H35,"")</f>
        <v>0.8351421098495222</v>
      </c>
      <c r="T35" s="116">
        <f t="shared" ca="1" si="7"/>
        <v>0.83514210984952209</v>
      </c>
      <c r="U35" s="117">
        <f t="shared" ca="1" si="8"/>
        <v>1.1102230246251565E-16</v>
      </c>
    </row>
    <row r="36" spans="2:21" x14ac:dyDescent="0.25">
      <c r="B36" s="45">
        <f t="shared" ca="1" si="13"/>
        <v>22</v>
      </c>
      <c r="C36" s="22">
        <f t="shared" ca="1" si="9"/>
        <v>52</v>
      </c>
      <c r="D36" s="46">
        <f t="shared" ca="1" si="14"/>
        <v>0.05</v>
      </c>
      <c r="E36" s="49">
        <f t="shared" ca="1" si="15"/>
        <v>108254.2694566391</v>
      </c>
      <c r="F36" s="50">
        <f t="shared" ca="1" si="17"/>
        <v>1.501035790919647E-2</v>
      </c>
      <c r="G36" s="50">
        <f t="shared" ca="1" si="17"/>
        <v>0.04</v>
      </c>
      <c r="I36" s="107">
        <f t="shared" ca="1" si="2"/>
        <v>7.1817662156699695</v>
      </c>
      <c r="J36" s="47">
        <f t="shared" ca="1" si="3"/>
        <v>3.4373793639692111E-2</v>
      </c>
      <c r="K36" s="51">
        <f t="shared" ca="1" si="4"/>
        <v>3776.9651106205597</v>
      </c>
      <c r="L36" s="48">
        <f t="shared" ca="1" si="10"/>
        <v>106945.68097758648</v>
      </c>
      <c r="M36" s="51">
        <f t="shared" ca="1" si="11"/>
        <v>98024.53648391593</v>
      </c>
      <c r="N36" s="52">
        <f ca="1">M36*Assumptions!$B$19</f>
        <v>73518.402362936948</v>
      </c>
      <c r="O36" s="136">
        <f t="shared" ca="1" si="12"/>
        <v>180464.08334052342</v>
      </c>
      <c r="P36" s="113">
        <f t="shared" ca="1" si="5"/>
        <v>3776.965110620542</v>
      </c>
      <c r="Q36" s="114">
        <f t="shared" ca="1" si="6"/>
        <v>-1.7735146684572101E-11</v>
      </c>
      <c r="R36" s="115"/>
      <c r="S36" s="116">
        <f ca="1">IFERROR(J36/PUC_Projection!H36,"")</f>
        <v>0.81507489598404315</v>
      </c>
      <c r="T36" s="116">
        <f t="shared" ca="1" si="7"/>
        <v>0.81507489598404315</v>
      </c>
      <c r="U36" s="117">
        <f t="shared" ca="1" si="8"/>
        <v>0</v>
      </c>
    </row>
    <row r="37" spans="2:21" x14ac:dyDescent="0.25">
      <c r="B37" s="45">
        <f t="shared" ca="1" si="13"/>
        <v>23</v>
      </c>
      <c r="C37" s="22">
        <f t="shared" ca="1" si="9"/>
        <v>53</v>
      </c>
      <c r="D37" s="46">
        <f t="shared" ca="1" si="14"/>
        <v>0.05</v>
      </c>
      <c r="E37" s="49">
        <f t="shared" ca="1" si="15"/>
        <v>109879.20478638184</v>
      </c>
      <c r="F37" s="50">
        <f t="shared" ca="1" si="17"/>
        <v>1.501035790919647E-2</v>
      </c>
      <c r="G37" s="50">
        <f t="shared" ca="1" si="17"/>
        <v>0.04</v>
      </c>
      <c r="I37" s="107">
        <f t="shared" ca="1" si="2"/>
        <v>6.3585819160329704</v>
      </c>
      <c r="J37" s="47">
        <f t="shared" ca="1" si="3"/>
        <v>3.4373793639692111E-2</v>
      </c>
      <c r="K37" s="51">
        <f t="shared" ca="1" si="4"/>
        <v>3833.6587087415219</v>
      </c>
      <c r="L37" s="48">
        <f t="shared" ca="1" si="10"/>
        <v>115000.47332731049</v>
      </c>
      <c r="M37" s="51">
        <f t="shared" ca="1" si="11"/>
        <v>106579.40512251225</v>
      </c>
      <c r="N37" s="52">
        <f ca="1">M37*Assumptions!$B$19</f>
        <v>79934.55384188419</v>
      </c>
      <c r="O37" s="136">
        <f t="shared" ca="1" si="12"/>
        <v>194935.02716919468</v>
      </c>
      <c r="P37" s="113">
        <f t="shared" ca="1" si="5"/>
        <v>3833.6587087415246</v>
      </c>
      <c r="Q37" s="114">
        <f t="shared" ca="1" si="6"/>
        <v>2.7284841053187847E-12</v>
      </c>
      <c r="R37" s="115"/>
      <c r="S37" s="116">
        <f ca="1">IFERROR(J37/PUC_Projection!H37,"")</f>
        <v>0.79548986720727377</v>
      </c>
      <c r="T37" s="116">
        <f t="shared" ca="1" si="7"/>
        <v>0.79548986720727366</v>
      </c>
      <c r="U37" s="117">
        <f t="shared" ca="1" si="8"/>
        <v>1.1102230246251565E-16</v>
      </c>
    </row>
    <row r="38" spans="2:21" x14ac:dyDescent="0.25">
      <c r="B38" s="45">
        <f t="shared" ca="1" si="13"/>
        <v>24</v>
      </c>
      <c r="C38" s="22">
        <f t="shared" ca="1" si="9"/>
        <v>54</v>
      </c>
      <c r="D38" s="46">
        <f t="shared" ca="1" si="14"/>
        <v>0.05</v>
      </c>
      <c r="E38" s="49">
        <f t="shared" ca="1" si="15"/>
        <v>111528.53097700333</v>
      </c>
      <c r="F38" s="50">
        <f t="shared" ca="1" si="17"/>
        <v>1.501035790919647E-2</v>
      </c>
      <c r="G38" s="50">
        <f t="shared" ca="1" si="17"/>
        <v>0.04</v>
      </c>
      <c r="I38" s="107">
        <f t="shared" ca="1" si="2"/>
        <v>5.5151307483168486</v>
      </c>
      <c r="J38" s="47">
        <f t="shared" ca="1" si="3"/>
        <v>3.4373793639692111E-2</v>
      </c>
      <c r="K38" s="51">
        <f t="shared" ca="1" si="4"/>
        <v>3891.2032980614399</v>
      </c>
      <c r="L38" s="48">
        <f t="shared" ca="1" si="10"/>
        <v>123434.15096914444</v>
      </c>
      <c r="M38" s="51">
        <f t="shared" ca="1" si="11"/>
        <v>115661.82399382199</v>
      </c>
      <c r="N38" s="52">
        <f ca="1">M38*Assumptions!$B$19</f>
        <v>86746.367995366498</v>
      </c>
      <c r="O38" s="136">
        <f t="shared" ca="1" si="12"/>
        <v>210180.51896451093</v>
      </c>
      <c r="P38" s="113">
        <f t="shared" ca="1" si="5"/>
        <v>3891.2032980615186</v>
      </c>
      <c r="Q38" s="114">
        <f t="shared" ca="1" si="6"/>
        <v>7.8671291703358293E-11</v>
      </c>
      <c r="R38" s="115"/>
      <c r="S38" s="116">
        <f ca="1">IFERROR(J38/PUC_Projection!H38,"")</f>
        <v>0.77637543733384029</v>
      </c>
      <c r="T38" s="116">
        <f t="shared" ca="1" si="7"/>
        <v>0.77637543733384018</v>
      </c>
      <c r="U38" s="117">
        <f t="shared" ca="1" si="8"/>
        <v>1.1102230246251565E-16</v>
      </c>
    </row>
    <row r="39" spans="2:21" x14ac:dyDescent="0.25">
      <c r="B39" s="45">
        <f t="shared" ca="1" si="13"/>
        <v>25</v>
      </c>
      <c r="C39" s="22">
        <f t="shared" ca="1" si="9"/>
        <v>55</v>
      </c>
      <c r="D39" s="46">
        <f t="shared" ca="1" si="14"/>
        <v>0.05</v>
      </c>
      <c r="E39" s="49">
        <f t="shared" ca="1" si="15"/>
        <v>113202.61414405506</v>
      </c>
      <c r="F39" s="50">
        <f t="shared" ca="1" si="17"/>
        <v>1.501035790919647E-2</v>
      </c>
      <c r="G39" s="50">
        <f t="shared" ca="1" si="17"/>
        <v>0.04</v>
      </c>
      <c r="I39" s="107">
        <f t="shared" ca="1" si="2"/>
        <v>4.6509137404907541</v>
      </c>
      <c r="J39" s="47">
        <f t="shared" ca="1" si="3"/>
        <v>3.4373793639692111E-2</v>
      </c>
      <c r="K39" s="51">
        <f t="shared" ca="1" si="4"/>
        <v>3949.6116522627876</v>
      </c>
      <c r="L39" s="48">
        <f t="shared" ca="1" si="10"/>
        <v>132262.72030597174</v>
      </c>
      <c r="M39" s="51">
        <f t="shared" ca="1" si="11"/>
        <v>125300.3093266405</v>
      </c>
      <c r="N39" s="52">
        <f ca="1">M39*Assumptions!$B$19</f>
        <v>93975.231994980379</v>
      </c>
      <c r="O39" s="136">
        <f t="shared" ca="1" si="12"/>
        <v>226237.95230095211</v>
      </c>
      <c r="P39" s="113">
        <f t="shared" ca="1" si="5"/>
        <v>3949.6116522627417</v>
      </c>
      <c r="Q39" s="114">
        <f t="shared" ca="1" si="6"/>
        <v>-4.5929482439532876E-11</v>
      </c>
      <c r="R39" s="115"/>
      <c r="S39" s="116">
        <f ca="1">IFERROR(J39/PUC_Projection!H39,"")</f>
        <v>0.75772029857704826</v>
      </c>
      <c r="T39" s="116">
        <f t="shared" ca="1" si="7"/>
        <v>0.75772029857704815</v>
      </c>
      <c r="U39" s="117">
        <f t="shared" ca="1" si="8"/>
        <v>1.1102230246251565E-16</v>
      </c>
    </row>
    <row r="40" spans="2:21" x14ac:dyDescent="0.25">
      <c r="B40" s="45">
        <f t="shared" ca="1" si="13"/>
        <v>26</v>
      </c>
      <c r="C40" s="22">
        <f t="shared" ca="1" si="9"/>
        <v>56</v>
      </c>
      <c r="D40" s="46">
        <f t="shared" ca="1" si="14"/>
        <v>0.05</v>
      </c>
      <c r="E40" s="49">
        <f t="shared" ca="1" si="15"/>
        <v>114901.82589861398</v>
      </c>
      <c r="F40" s="50">
        <f t="shared" ca="1" si="17"/>
        <v>1.501035790919647E-2</v>
      </c>
      <c r="G40" s="50">
        <f t="shared" ca="1" si="17"/>
        <v>0.04</v>
      </c>
      <c r="I40" s="107">
        <f t="shared" ca="1" si="2"/>
        <v>3.7654196357896748</v>
      </c>
      <c r="J40" s="47">
        <f t="shared" ca="1" si="3"/>
        <v>3.4373793639692111E-2</v>
      </c>
      <c r="K40" s="51">
        <f t="shared" ca="1" si="4"/>
        <v>4008.896736765585</v>
      </c>
      <c r="L40" s="48">
        <f t="shared" ca="1" si="10"/>
        <v>141502.84077047335</v>
      </c>
      <c r="M40" s="51">
        <f t="shared" ca="1" si="11"/>
        <v>135524.81456769438</v>
      </c>
      <c r="N40" s="52">
        <f ca="1">M40*Assumptions!$B$19</f>
        <v>101643.61092577079</v>
      </c>
      <c r="O40" s="136">
        <f t="shared" ca="1" si="12"/>
        <v>243146.45169624413</v>
      </c>
      <c r="P40" s="113">
        <f t="shared" ca="1" si="5"/>
        <v>4008.8967367656296</v>
      </c>
      <c r="Q40" s="114">
        <f t="shared" ca="1" si="6"/>
        <v>4.4565240386873484E-11</v>
      </c>
      <c r="R40" s="115"/>
      <c r="S40" s="116">
        <f ca="1">IFERROR(J40/PUC_Projection!H40,"")</f>
        <v>0.73951341485937772</v>
      </c>
      <c r="T40" s="116">
        <f t="shared" ca="1" si="7"/>
        <v>0.73951341485937772</v>
      </c>
      <c r="U40" s="117">
        <f t="shared" ca="1" si="8"/>
        <v>0</v>
      </c>
    </row>
    <row r="41" spans="2:21" x14ac:dyDescent="0.25">
      <c r="B41" s="45">
        <f t="shared" ca="1" si="13"/>
        <v>27</v>
      </c>
      <c r="C41" s="22">
        <f t="shared" ca="1" si="9"/>
        <v>57</v>
      </c>
      <c r="D41" s="46">
        <f t="shared" ca="1" si="14"/>
        <v>0.05</v>
      </c>
      <c r="E41" s="49">
        <f t="shared" ca="1" si="15"/>
        <v>116626.54342977236</v>
      </c>
      <c r="F41" s="50">
        <f t="shared" ca="1" si="17"/>
        <v>1.501035790919647E-2</v>
      </c>
      <c r="G41" s="50">
        <f t="shared" ca="1" si="17"/>
        <v>0.04</v>
      </c>
      <c r="I41" s="107">
        <f t="shared" ca="1" si="2"/>
        <v>2.8581245902631349</v>
      </c>
      <c r="J41" s="47">
        <f t="shared" ca="1" si="3"/>
        <v>3.4373793639692111E-2</v>
      </c>
      <c r="K41" s="51">
        <f t="shared" ca="1" si="4"/>
        <v>4069.0717116054457</v>
      </c>
      <c r="L41" s="48">
        <f t="shared" ca="1" si="10"/>
        <v>151171.85113805791</v>
      </c>
      <c r="M41" s="51">
        <f t="shared" ca="1" si="11"/>
        <v>146366.79973310995</v>
      </c>
      <c r="N41" s="52">
        <f ca="1">M41*Assumptions!$B$19</f>
        <v>109775.09979983246</v>
      </c>
      <c r="O41" s="136">
        <f t="shared" ca="1" si="12"/>
        <v>260946.95093789039</v>
      </c>
      <c r="P41" s="113">
        <f t="shared" ca="1" si="5"/>
        <v>4069.0717116054439</v>
      </c>
      <c r="Q41" s="114">
        <f t="shared" ca="1" si="6"/>
        <v>-1.8189894035458565E-12</v>
      </c>
      <c r="R41" s="115"/>
      <c r="S41" s="116">
        <f ca="1">IFERROR(J41/PUC_Projection!H41,"")</f>
        <v>0.72174401528372023</v>
      </c>
      <c r="T41" s="116">
        <f t="shared" ca="1" si="7"/>
        <v>0.72174401528372012</v>
      </c>
      <c r="U41" s="117">
        <f t="shared" ca="1" si="8"/>
        <v>1.1102230246251565E-16</v>
      </c>
    </row>
    <row r="42" spans="2:21" x14ac:dyDescent="0.25">
      <c r="B42" s="45">
        <f t="shared" ca="1" si="13"/>
        <v>28</v>
      </c>
      <c r="C42" s="22">
        <f t="shared" ca="1" si="9"/>
        <v>58</v>
      </c>
      <c r="D42" s="46">
        <f t="shared" ca="1" si="14"/>
        <v>0.05</v>
      </c>
      <c r="E42" s="49">
        <f t="shared" ca="1" si="15"/>
        <v>118377.14958836569</v>
      </c>
      <c r="F42" s="50">
        <f t="shared" ca="1" si="17"/>
        <v>1.501035790919647E-2</v>
      </c>
      <c r="G42" s="50">
        <f t="shared" ca="1" si="17"/>
        <v>0.04</v>
      </c>
      <c r="I42" s="107">
        <f t="shared" ca="1" si="2"/>
        <v>1.9284918628776981</v>
      </c>
      <c r="J42" s="47">
        <f t="shared" ca="1" si="3"/>
        <v>3.4373793639692111E-2</v>
      </c>
      <c r="K42" s="51">
        <f t="shared" ca="1" si="4"/>
        <v>4130.1499343548303</v>
      </c>
      <c r="L42" s="48">
        <f t="shared" ca="1" si="10"/>
        <v>161287.79689518569</v>
      </c>
      <c r="M42" s="51">
        <f t="shared" ca="1" si="11"/>
        <v>157859.30400845045</v>
      </c>
      <c r="N42" s="52">
        <f ca="1">M42*Assumptions!$B$19</f>
        <v>118394.47800633783</v>
      </c>
      <c r="O42" s="136">
        <f t="shared" ca="1" si="12"/>
        <v>279682.27490152349</v>
      </c>
      <c r="P42" s="113">
        <f t="shared" ca="1" si="5"/>
        <v>4130.1499343548494</v>
      </c>
      <c r="Q42" s="114">
        <f t="shared" ca="1" si="6"/>
        <v>1.9099388737231493E-11</v>
      </c>
      <c r="R42" s="115"/>
      <c r="S42" s="116">
        <f ca="1">IFERROR(J42/PUC_Projection!H42,"")</f>
        <v>0.70440158776148976</v>
      </c>
      <c r="T42" s="116">
        <f t="shared" ca="1" si="7"/>
        <v>0.70440158776148964</v>
      </c>
      <c r="U42" s="117">
        <f t="shared" ca="1" si="8"/>
        <v>1.1102230246251565E-16</v>
      </c>
    </row>
    <row r="43" spans="2:21" x14ac:dyDescent="0.25">
      <c r="B43" s="45">
        <f t="shared" ca="1" si="13"/>
        <v>29</v>
      </c>
      <c r="C43" s="22">
        <f t="shared" ca="1" si="9"/>
        <v>59</v>
      </c>
      <c r="D43" s="46">
        <f t="shared" ca="1" si="14"/>
        <v>0.05</v>
      </c>
      <c r="E43" s="49">
        <f t="shared" ca="1" si="15"/>
        <v>120154.03297195755</v>
      </c>
      <c r="F43" s="50">
        <f t="shared" ca="1" si="17"/>
        <v>1.501035790919647E-2</v>
      </c>
      <c r="G43" s="50">
        <f t="shared" ca="1" si="17"/>
        <v>0.04</v>
      </c>
      <c r="I43" s="107">
        <f t="shared" ca="1" si="2"/>
        <v>0.97597149798961047</v>
      </c>
      <c r="J43" s="47">
        <f t="shared" ca="1" si="3"/>
        <v>3.4373793639692111E-2</v>
      </c>
      <c r="K43" s="51">
        <f t="shared" ca="1" si="4"/>
        <v>4192.1449630881416</v>
      </c>
      <c r="L43" s="48">
        <f t="shared" ca="1" si="10"/>
        <v>171869.45870534796</v>
      </c>
      <c r="M43" s="51">
        <f t="shared" ca="1" si="11"/>
        <v>170037.02174624524</v>
      </c>
      <c r="N43" s="52">
        <f ca="1">M43*Assumptions!$B$19</f>
        <v>127527.76630968394</v>
      </c>
      <c r="O43" s="136">
        <f t="shared" ca="1" si="12"/>
        <v>299397.22501503187</v>
      </c>
      <c r="P43" s="113">
        <f t="shared" ca="1" si="5"/>
        <v>4192.1449630881543</v>
      </c>
      <c r="Q43" s="114">
        <f t="shared" ca="1" si="6"/>
        <v>1.2732925824820995E-11</v>
      </c>
      <c r="R43" s="115"/>
      <c r="S43" s="116">
        <f ca="1">IFERROR(J43/PUC_Projection!H43,"")</f>
        <v>0.68747587279384215</v>
      </c>
      <c r="T43" s="116">
        <f t="shared" ca="1" si="7"/>
        <v>0.68747587279384204</v>
      </c>
      <c r="U43" s="117">
        <f t="shared" ca="1" si="8"/>
        <v>1.1102230246251565E-16</v>
      </c>
    </row>
    <row r="44" spans="2:21" x14ac:dyDescent="0.25">
      <c r="B44" s="45">
        <f t="shared" ca="1" si="13"/>
        <v>30</v>
      </c>
      <c r="C44" s="22">
        <f t="shared" ca="1" si="9"/>
        <v>60</v>
      </c>
      <c r="D44" s="46">
        <f t="shared" ca="1" si="14"/>
        <v>0.05</v>
      </c>
      <c r="E44" s="49">
        <f t="shared" ca="1" si="15"/>
        <v>121957.58801110003</v>
      </c>
      <c r="F44" s="50">
        <f t="shared" ca="1" si="17"/>
        <v>1.501035790919647E-2</v>
      </c>
      <c r="G44" s="50">
        <f t="shared" ca="1" si="17"/>
        <v>0.04</v>
      </c>
      <c r="I44" s="107">
        <f t="shared" ca="1" si="2"/>
        <v>0</v>
      </c>
      <c r="J44" s="47">
        <f t="shared" ca="1" si="3"/>
        <v>3.4373793639692111E-2</v>
      </c>
      <c r="K44" s="51">
        <f t="shared" ca="1" si="4"/>
        <v>0</v>
      </c>
      <c r="L44" s="48">
        <f t="shared" ca="1" si="10"/>
        <v>182936.38201665005</v>
      </c>
      <c r="M44" s="51">
        <f t="shared" ca="1" si="11"/>
        <v>182936.38201665005</v>
      </c>
      <c r="N44" s="52">
        <f ca="1">M44*Assumptions!$B$19</f>
        <v>137202.28651248754</v>
      </c>
      <c r="O44" s="136">
        <f t="shared" ca="1" si="12"/>
        <v>320138.66852913762</v>
      </c>
      <c r="P44" s="113" t="str">
        <f t="shared" ca="1" si="5"/>
        <v/>
      </c>
      <c r="Q44" s="114" t="str">
        <f t="shared" ca="1" si="6"/>
        <v/>
      </c>
      <c r="R44" s="115"/>
      <c r="S44" s="116">
        <f ca="1">IFERROR(J44/PUC_Projection!H44,"")</f>
        <v>0.67095685740232203</v>
      </c>
      <c r="T44" s="116">
        <f t="shared" ca="1" si="7"/>
        <v>0.67095685740232192</v>
      </c>
      <c r="U44" s="117">
        <f t="shared" ca="1" si="8"/>
        <v>1.1102230246251565E-16</v>
      </c>
    </row>
    <row r="45" spans="2:21" x14ac:dyDescent="0.25">
      <c r="B45" s="45" t="str">
        <f t="shared" ca="1" si="13"/>
        <v/>
      </c>
      <c r="C45" s="22" t="str">
        <f t="shared" ca="1" si="9"/>
        <v/>
      </c>
      <c r="D45" s="46" t="str">
        <f t="shared" ca="1" si="14"/>
        <v/>
      </c>
      <c r="E45" s="49" t="str">
        <f t="shared" ca="1" si="15"/>
        <v/>
      </c>
      <c r="F45" s="50" t="str">
        <f t="shared" ca="1" si="17"/>
        <v/>
      </c>
      <c r="G45" s="50" t="str">
        <f t="shared" ca="1" si="17"/>
        <v/>
      </c>
      <c r="I45" s="107">
        <f t="shared" ca="1" si="2"/>
        <v>0</v>
      </c>
      <c r="J45" s="47" t="str">
        <f t="shared" ca="1" si="3"/>
        <v/>
      </c>
      <c r="K45" s="51">
        <f t="shared" ca="1" si="4"/>
        <v>0</v>
      </c>
      <c r="L45" s="48">
        <f t="shared" ca="1" si="10"/>
        <v>0</v>
      </c>
      <c r="M45" s="51">
        <f t="shared" ca="1" si="11"/>
        <v>0</v>
      </c>
      <c r="N45" s="52">
        <f ca="1">M45*Assumptions!$B$19</f>
        <v>0</v>
      </c>
      <c r="O45" s="136">
        <f t="shared" ca="1" si="12"/>
        <v>0</v>
      </c>
      <c r="P45" s="113" t="str">
        <f t="shared" ca="1" si="5"/>
        <v/>
      </c>
      <c r="Q45" s="114" t="str">
        <f t="shared" ca="1" si="6"/>
        <v/>
      </c>
      <c r="R45" s="115"/>
      <c r="S45" s="116" t="str">
        <f ca="1">IFERROR(J45/PUC_Projection!H45,"")</f>
        <v/>
      </c>
      <c r="T45" s="116" t="str">
        <f t="shared" ca="1" si="7"/>
        <v/>
      </c>
      <c r="U45" s="117" t="str">
        <f t="shared" ca="1" si="8"/>
        <v/>
      </c>
    </row>
    <row r="46" spans="2:21" x14ac:dyDescent="0.25">
      <c r="B46" s="45" t="str">
        <f t="shared" ca="1" si="13"/>
        <v/>
      </c>
      <c r="C46" s="22" t="str">
        <f t="shared" ca="1" si="9"/>
        <v/>
      </c>
      <c r="D46" s="46" t="str">
        <f t="shared" ca="1" si="14"/>
        <v/>
      </c>
      <c r="E46" s="49" t="str">
        <f t="shared" ca="1" si="15"/>
        <v/>
      </c>
      <c r="F46" s="50" t="str">
        <f t="shared" ca="1" si="17"/>
        <v/>
      </c>
      <c r="G46" s="50" t="str">
        <f t="shared" ca="1" si="17"/>
        <v/>
      </c>
      <c r="I46" s="107">
        <f t="shared" ref="I46:I77" ca="1" si="18">IFERROR((1-(1+$D$10)^-($D$5-$C46))/$D$10,0)</f>
        <v>0</v>
      </c>
      <c r="J46" s="47" t="str">
        <f t="shared" ref="J46:J77" ca="1" si="19">IF($C46="","",
D46*($D$5-$D$9)*((1+F46)/(1+G46))^($D$5-$D$9)/$H$14)</f>
        <v/>
      </c>
      <c r="K46" s="51">
        <f t="shared" ref="K46:K77" ca="1" si="20">IF($C47="",0,
J46*E46*(1+F46))</f>
        <v>0</v>
      </c>
      <c r="L46" s="48">
        <f t="shared" ca="1" si="10"/>
        <v>0</v>
      </c>
      <c r="M46" s="51">
        <f t="shared" ca="1" si="11"/>
        <v>0</v>
      </c>
      <c r="N46" s="52">
        <f ca="1">M46*Assumptions!$B$19</f>
        <v>0</v>
      </c>
      <c r="O46" s="136">
        <f t="shared" ca="1" si="12"/>
        <v>0</v>
      </c>
      <c r="P46" s="113" t="str">
        <f t="shared" ref="P46:P77" ca="1" si="21">IF($C47="","",L47-L46*(1+i))</f>
        <v/>
      </c>
      <c r="Q46" s="114" t="str">
        <f t="shared" ref="Q46:Q77" ca="1" si="22">IFERROR(P46-K46,"")</f>
        <v/>
      </c>
      <c r="R46" s="115"/>
      <c r="S46" s="116" t="str">
        <f ca="1">IFERROR(J46/PUC_Projection!H46,"")</f>
        <v/>
      </c>
      <c r="T46" s="116" t="str">
        <f t="shared" ref="T46:T77" ca="1" si="23">IF($C46="","",($D$5-$D$9)/$H$14*(1+$D$10)^-(C46-$D$9+1))</f>
        <v/>
      </c>
      <c r="U46" s="117" t="str">
        <f t="shared" ref="U46:U77" ca="1" si="24">IFERROR(S46-T46,"")</f>
        <v/>
      </c>
    </row>
    <row r="47" spans="2:21" x14ac:dyDescent="0.25">
      <c r="B47" s="45" t="str">
        <f t="shared" ca="1" si="13"/>
        <v/>
      </c>
      <c r="C47" s="22" t="str">
        <f t="shared" ca="1" si="9"/>
        <v/>
      </c>
      <c r="D47" s="46" t="str">
        <f t="shared" ca="1" si="14"/>
        <v/>
      </c>
      <c r="E47" s="49" t="str">
        <f t="shared" ca="1" si="15"/>
        <v/>
      </c>
      <c r="F47" s="50" t="str">
        <f t="shared" ca="1" si="17"/>
        <v/>
      </c>
      <c r="G47" s="50" t="str">
        <f t="shared" ca="1" si="17"/>
        <v/>
      </c>
      <c r="I47" s="107">
        <f t="shared" ca="1" si="18"/>
        <v>0</v>
      </c>
      <c r="J47" s="47" t="str">
        <f t="shared" ca="1" si="19"/>
        <v/>
      </c>
      <c r="K47" s="51">
        <f t="shared" ca="1" si="20"/>
        <v>0</v>
      </c>
      <c r="L47" s="48">
        <f t="shared" ca="1" si="10"/>
        <v>0</v>
      </c>
      <c r="M47" s="51">
        <f t="shared" ca="1" si="11"/>
        <v>0</v>
      </c>
      <c r="N47" s="52">
        <f ca="1">M47*Assumptions!$B$19</f>
        <v>0</v>
      </c>
      <c r="O47" s="136">
        <f t="shared" ca="1" si="12"/>
        <v>0</v>
      </c>
      <c r="P47" s="113" t="str">
        <f t="shared" ca="1" si="21"/>
        <v/>
      </c>
      <c r="Q47" s="114" t="str">
        <f t="shared" ca="1" si="22"/>
        <v/>
      </c>
      <c r="R47" s="115"/>
      <c r="S47" s="116" t="str">
        <f ca="1">IFERROR(J47/PUC_Projection!H47,"")</f>
        <v/>
      </c>
      <c r="T47" s="116" t="str">
        <f t="shared" ca="1" si="23"/>
        <v/>
      </c>
      <c r="U47" s="117" t="str">
        <f t="shared" ca="1" si="24"/>
        <v/>
      </c>
    </row>
    <row r="48" spans="2:21" x14ac:dyDescent="0.25">
      <c r="B48" s="45" t="str">
        <f t="shared" ca="1" si="13"/>
        <v/>
      </c>
      <c r="C48" s="22" t="str">
        <f t="shared" ca="1" si="9"/>
        <v/>
      </c>
      <c r="D48" s="46" t="str">
        <f t="shared" ca="1" si="14"/>
        <v/>
      </c>
      <c r="E48" s="49" t="str">
        <f t="shared" ca="1" si="15"/>
        <v/>
      </c>
      <c r="F48" s="50" t="str">
        <f t="shared" ref="F48:G63" ca="1" si="25">IF($C48="","",F47)</f>
        <v/>
      </c>
      <c r="G48" s="50" t="str">
        <f t="shared" ca="1" si="25"/>
        <v/>
      </c>
      <c r="I48" s="107">
        <f t="shared" ca="1" si="18"/>
        <v>0</v>
      </c>
      <c r="J48" s="47" t="str">
        <f t="shared" ca="1" si="19"/>
        <v/>
      </c>
      <c r="K48" s="51">
        <f t="shared" ca="1" si="20"/>
        <v>0</v>
      </c>
      <c r="L48" s="48">
        <f t="shared" ca="1" si="10"/>
        <v>0</v>
      </c>
      <c r="M48" s="51">
        <f t="shared" ca="1" si="11"/>
        <v>0</v>
      </c>
      <c r="N48" s="52">
        <f ca="1">M48*Assumptions!$B$19</f>
        <v>0</v>
      </c>
      <c r="O48" s="136">
        <f t="shared" ca="1" si="12"/>
        <v>0</v>
      </c>
      <c r="P48" s="113" t="str">
        <f t="shared" ca="1" si="21"/>
        <v/>
      </c>
      <c r="Q48" s="114" t="str">
        <f t="shared" ca="1" si="22"/>
        <v/>
      </c>
      <c r="R48" s="115"/>
      <c r="S48" s="116" t="str">
        <f ca="1">IFERROR(J48/PUC_Projection!H48,"")</f>
        <v/>
      </c>
      <c r="T48" s="116" t="str">
        <f t="shared" ca="1" si="23"/>
        <v/>
      </c>
      <c r="U48" s="117" t="str">
        <f t="shared" ca="1" si="24"/>
        <v/>
      </c>
    </row>
    <row r="49" spans="2:21" x14ac:dyDescent="0.25">
      <c r="B49" s="45" t="str">
        <f t="shared" ca="1" si="13"/>
        <v/>
      </c>
      <c r="C49" s="22" t="str">
        <f t="shared" ca="1" si="9"/>
        <v/>
      </c>
      <c r="D49" s="46" t="str">
        <f t="shared" ca="1" si="14"/>
        <v/>
      </c>
      <c r="E49" s="49" t="str">
        <f t="shared" ca="1" si="15"/>
        <v/>
      </c>
      <c r="F49" s="50" t="str">
        <f t="shared" ca="1" si="25"/>
        <v/>
      </c>
      <c r="G49" s="50" t="str">
        <f t="shared" ca="1" si="25"/>
        <v/>
      </c>
      <c r="I49" s="107">
        <f t="shared" ca="1" si="18"/>
        <v>0</v>
      </c>
      <c r="J49" s="47" t="str">
        <f t="shared" ca="1" si="19"/>
        <v/>
      </c>
      <c r="K49" s="51">
        <f t="shared" ca="1" si="20"/>
        <v>0</v>
      </c>
      <c r="L49" s="48">
        <f t="shared" ca="1" si="10"/>
        <v>0</v>
      </c>
      <c r="M49" s="51">
        <f t="shared" ca="1" si="11"/>
        <v>0</v>
      </c>
      <c r="N49" s="52">
        <f ca="1">M49*Assumptions!$B$19</f>
        <v>0</v>
      </c>
      <c r="O49" s="136">
        <f t="shared" ca="1" si="12"/>
        <v>0</v>
      </c>
      <c r="P49" s="113" t="str">
        <f t="shared" ca="1" si="21"/>
        <v/>
      </c>
      <c r="Q49" s="114" t="str">
        <f t="shared" ca="1" si="22"/>
        <v/>
      </c>
      <c r="R49" s="115"/>
      <c r="S49" s="116" t="str">
        <f ca="1">IFERROR(J49/PUC_Projection!H49,"")</f>
        <v/>
      </c>
      <c r="T49" s="116" t="str">
        <f t="shared" ca="1" si="23"/>
        <v/>
      </c>
      <c r="U49" s="117" t="str">
        <f t="shared" ca="1" si="24"/>
        <v/>
      </c>
    </row>
    <row r="50" spans="2:21" x14ac:dyDescent="0.25">
      <c r="B50" s="45" t="str">
        <f t="shared" ca="1" si="13"/>
        <v/>
      </c>
      <c r="C50" s="22" t="str">
        <f t="shared" ca="1" si="9"/>
        <v/>
      </c>
      <c r="D50" s="46" t="str">
        <f t="shared" ca="1" si="14"/>
        <v/>
      </c>
      <c r="E50" s="49" t="str">
        <f t="shared" ca="1" si="15"/>
        <v/>
      </c>
      <c r="F50" s="50" t="str">
        <f t="shared" ca="1" si="25"/>
        <v/>
      </c>
      <c r="G50" s="50" t="str">
        <f t="shared" ca="1" si="25"/>
        <v/>
      </c>
      <c r="I50" s="107">
        <f t="shared" ca="1" si="18"/>
        <v>0</v>
      </c>
      <c r="J50" s="47" t="str">
        <f t="shared" ca="1" si="19"/>
        <v/>
      </c>
      <c r="K50" s="51">
        <f t="shared" ca="1" si="20"/>
        <v>0</v>
      </c>
      <c r="L50" s="48">
        <f t="shared" ca="1" si="10"/>
        <v>0</v>
      </c>
      <c r="M50" s="51">
        <f t="shared" ca="1" si="11"/>
        <v>0</v>
      </c>
      <c r="N50" s="52">
        <f ca="1">M50*Assumptions!$B$19</f>
        <v>0</v>
      </c>
      <c r="O50" s="136">
        <f t="shared" ca="1" si="12"/>
        <v>0</v>
      </c>
      <c r="P50" s="113" t="str">
        <f t="shared" ca="1" si="21"/>
        <v/>
      </c>
      <c r="Q50" s="114" t="str">
        <f t="shared" ca="1" si="22"/>
        <v/>
      </c>
      <c r="R50" s="115"/>
      <c r="S50" s="116" t="str">
        <f ca="1">IFERROR(J50/PUC_Projection!H50,"")</f>
        <v/>
      </c>
      <c r="T50" s="116" t="str">
        <f t="shared" ca="1" si="23"/>
        <v/>
      </c>
      <c r="U50" s="117" t="str">
        <f t="shared" ca="1" si="24"/>
        <v/>
      </c>
    </row>
    <row r="51" spans="2:21" x14ac:dyDescent="0.25">
      <c r="B51" s="45" t="str">
        <f t="shared" ca="1" si="13"/>
        <v/>
      </c>
      <c r="C51" s="22" t="str">
        <f t="shared" ca="1" si="9"/>
        <v/>
      </c>
      <c r="D51" s="46" t="str">
        <f t="shared" ca="1" si="14"/>
        <v/>
      </c>
      <c r="E51" s="49" t="str">
        <f t="shared" ca="1" si="15"/>
        <v/>
      </c>
      <c r="F51" s="50" t="str">
        <f t="shared" ca="1" si="25"/>
        <v/>
      </c>
      <c r="G51" s="50" t="str">
        <f t="shared" ca="1" si="25"/>
        <v/>
      </c>
      <c r="I51" s="107">
        <f t="shared" ca="1" si="18"/>
        <v>0</v>
      </c>
      <c r="J51" s="47" t="str">
        <f t="shared" ca="1" si="19"/>
        <v/>
      </c>
      <c r="K51" s="51">
        <f t="shared" ca="1" si="20"/>
        <v>0</v>
      </c>
      <c r="L51" s="48">
        <f t="shared" ca="1" si="10"/>
        <v>0</v>
      </c>
      <c r="M51" s="51">
        <f t="shared" ca="1" si="11"/>
        <v>0</v>
      </c>
      <c r="N51" s="52">
        <f ca="1">M51*Assumptions!$B$19</f>
        <v>0</v>
      </c>
      <c r="O51" s="136">
        <f t="shared" ca="1" si="12"/>
        <v>0</v>
      </c>
      <c r="P51" s="113" t="str">
        <f t="shared" ca="1" si="21"/>
        <v/>
      </c>
      <c r="Q51" s="114" t="str">
        <f t="shared" ca="1" si="22"/>
        <v/>
      </c>
      <c r="R51" s="115"/>
      <c r="S51" s="116" t="str">
        <f ca="1">IFERROR(J51/PUC_Projection!H51,"")</f>
        <v/>
      </c>
      <c r="T51" s="116" t="str">
        <f t="shared" ca="1" si="23"/>
        <v/>
      </c>
      <c r="U51" s="117" t="str">
        <f t="shared" ca="1" si="24"/>
        <v/>
      </c>
    </row>
    <row r="52" spans="2:21" x14ac:dyDescent="0.25">
      <c r="B52" s="45" t="str">
        <f t="shared" ca="1" si="13"/>
        <v/>
      </c>
      <c r="C52" s="22" t="str">
        <f t="shared" ca="1" si="9"/>
        <v/>
      </c>
      <c r="D52" s="46" t="str">
        <f t="shared" ca="1" si="14"/>
        <v/>
      </c>
      <c r="E52" s="49" t="str">
        <f t="shared" ca="1" si="15"/>
        <v/>
      </c>
      <c r="F52" s="50" t="str">
        <f t="shared" ca="1" si="25"/>
        <v/>
      </c>
      <c r="G52" s="50" t="str">
        <f t="shared" ca="1" si="25"/>
        <v/>
      </c>
      <c r="I52" s="107">
        <f t="shared" ca="1" si="18"/>
        <v>0</v>
      </c>
      <c r="J52" s="47" t="str">
        <f t="shared" ca="1" si="19"/>
        <v/>
      </c>
      <c r="K52" s="51">
        <f t="shared" ca="1" si="20"/>
        <v>0</v>
      </c>
      <c r="L52" s="48">
        <f t="shared" ca="1" si="10"/>
        <v>0</v>
      </c>
      <c r="M52" s="51">
        <f t="shared" ca="1" si="11"/>
        <v>0</v>
      </c>
      <c r="N52" s="52">
        <f ca="1">M52*Assumptions!$B$19</f>
        <v>0</v>
      </c>
      <c r="O52" s="136">
        <f t="shared" ca="1" si="12"/>
        <v>0</v>
      </c>
      <c r="P52" s="113" t="str">
        <f t="shared" ca="1" si="21"/>
        <v/>
      </c>
      <c r="Q52" s="114" t="str">
        <f t="shared" ca="1" si="22"/>
        <v/>
      </c>
      <c r="R52" s="115"/>
      <c r="S52" s="116" t="str">
        <f ca="1">IFERROR(J52/PUC_Projection!H52,"")</f>
        <v/>
      </c>
      <c r="T52" s="116" t="str">
        <f t="shared" ca="1" si="23"/>
        <v/>
      </c>
      <c r="U52" s="117" t="str">
        <f t="shared" ca="1" si="24"/>
        <v/>
      </c>
    </row>
    <row r="53" spans="2:21" x14ac:dyDescent="0.25">
      <c r="B53" s="45" t="str">
        <f t="shared" ca="1" si="13"/>
        <v/>
      </c>
      <c r="C53" s="22" t="str">
        <f t="shared" ca="1" si="9"/>
        <v/>
      </c>
      <c r="D53" s="46" t="str">
        <f t="shared" ca="1" si="14"/>
        <v/>
      </c>
      <c r="E53" s="49" t="str">
        <f t="shared" ca="1" si="15"/>
        <v/>
      </c>
      <c r="F53" s="50" t="str">
        <f t="shared" ca="1" si="25"/>
        <v/>
      </c>
      <c r="G53" s="50" t="str">
        <f t="shared" ca="1" si="25"/>
        <v/>
      </c>
      <c r="I53" s="107">
        <f t="shared" ca="1" si="18"/>
        <v>0</v>
      </c>
      <c r="J53" s="47" t="str">
        <f t="shared" ca="1" si="19"/>
        <v/>
      </c>
      <c r="K53" s="51">
        <f t="shared" ca="1" si="20"/>
        <v>0</v>
      </c>
      <c r="L53" s="48">
        <f t="shared" ca="1" si="10"/>
        <v>0</v>
      </c>
      <c r="M53" s="51">
        <f t="shared" ca="1" si="11"/>
        <v>0</v>
      </c>
      <c r="N53" s="52">
        <f ca="1">M53*Assumptions!$B$19</f>
        <v>0</v>
      </c>
      <c r="O53" s="136">
        <f t="shared" ca="1" si="12"/>
        <v>0</v>
      </c>
      <c r="P53" s="113" t="str">
        <f t="shared" ca="1" si="21"/>
        <v/>
      </c>
      <c r="Q53" s="114" t="str">
        <f t="shared" ca="1" si="22"/>
        <v/>
      </c>
      <c r="R53" s="115"/>
      <c r="S53" s="116" t="str">
        <f ca="1">IFERROR(J53/PUC_Projection!H53,"")</f>
        <v/>
      </c>
      <c r="T53" s="116" t="str">
        <f t="shared" ca="1" si="23"/>
        <v/>
      </c>
      <c r="U53" s="117" t="str">
        <f t="shared" ca="1" si="24"/>
        <v/>
      </c>
    </row>
    <row r="54" spans="2:21" x14ac:dyDescent="0.25">
      <c r="B54" s="45" t="str">
        <f t="shared" ca="1" si="13"/>
        <v/>
      </c>
      <c r="C54" s="22" t="str">
        <f t="shared" ca="1" si="9"/>
        <v/>
      </c>
      <c r="D54" s="46" t="str">
        <f t="shared" ca="1" si="14"/>
        <v/>
      </c>
      <c r="E54" s="49" t="str">
        <f t="shared" ca="1" si="15"/>
        <v/>
      </c>
      <c r="F54" s="50" t="str">
        <f t="shared" ca="1" si="25"/>
        <v/>
      </c>
      <c r="G54" s="50" t="str">
        <f t="shared" ca="1" si="25"/>
        <v/>
      </c>
      <c r="I54" s="107">
        <f t="shared" ca="1" si="18"/>
        <v>0</v>
      </c>
      <c r="J54" s="47" t="str">
        <f t="shared" ca="1" si="19"/>
        <v/>
      </c>
      <c r="K54" s="51">
        <f t="shared" ca="1" si="20"/>
        <v>0</v>
      </c>
      <c r="L54" s="48">
        <f t="shared" ca="1" si="10"/>
        <v>0</v>
      </c>
      <c r="M54" s="51">
        <f t="shared" ca="1" si="11"/>
        <v>0</v>
      </c>
      <c r="N54" s="52">
        <f ca="1">M54*Assumptions!$B$19</f>
        <v>0</v>
      </c>
      <c r="O54" s="136">
        <f t="shared" ca="1" si="12"/>
        <v>0</v>
      </c>
      <c r="P54" s="113" t="str">
        <f t="shared" ca="1" si="21"/>
        <v/>
      </c>
      <c r="Q54" s="114" t="str">
        <f t="shared" ca="1" si="22"/>
        <v/>
      </c>
      <c r="R54" s="115"/>
      <c r="S54" s="116" t="str">
        <f ca="1">IFERROR(J54/PUC_Projection!H54,"")</f>
        <v/>
      </c>
      <c r="T54" s="116" t="str">
        <f t="shared" ca="1" si="23"/>
        <v/>
      </c>
      <c r="U54" s="117" t="str">
        <f t="shared" ca="1" si="24"/>
        <v/>
      </c>
    </row>
    <row r="55" spans="2:21" x14ac:dyDescent="0.25">
      <c r="B55" s="45" t="str">
        <f t="shared" ca="1" si="13"/>
        <v/>
      </c>
      <c r="C55" s="22" t="str">
        <f t="shared" ca="1" si="9"/>
        <v/>
      </c>
      <c r="D55" s="46" t="str">
        <f t="shared" ca="1" si="14"/>
        <v/>
      </c>
      <c r="E55" s="49" t="str">
        <f t="shared" ca="1" si="15"/>
        <v/>
      </c>
      <c r="F55" s="50" t="str">
        <f t="shared" ca="1" si="25"/>
        <v/>
      </c>
      <c r="G55" s="50" t="str">
        <f t="shared" ca="1" si="25"/>
        <v/>
      </c>
      <c r="I55" s="107">
        <f t="shared" ca="1" si="18"/>
        <v>0</v>
      </c>
      <c r="J55" s="47" t="str">
        <f t="shared" ca="1" si="19"/>
        <v/>
      </c>
      <c r="K55" s="51">
        <f t="shared" ca="1" si="20"/>
        <v>0</v>
      </c>
      <c r="L55" s="48">
        <f t="shared" ca="1" si="10"/>
        <v>0</v>
      </c>
      <c r="M55" s="51">
        <f t="shared" ca="1" si="11"/>
        <v>0</v>
      </c>
      <c r="N55" s="52">
        <f ca="1">M55*Assumptions!$B$19</f>
        <v>0</v>
      </c>
      <c r="O55" s="136">
        <f t="shared" ca="1" si="12"/>
        <v>0</v>
      </c>
      <c r="P55" s="113" t="str">
        <f t="shared" ca="1" si="21"/>
        <v/>
      </c>
      <c r="Q55" s="114" t="str">
        <f t="shared" ca="1" si="22"/>
        <v/>
      </c>
      <c r="R55" s="115"/>
      <c r="S55" s="116" t="str">
        <f ca="1">IFERROR(J55/PUC_Projection!H55,"")</f>
        <v/>
      </c>
      <c r="T55" s="116" t="str">
        <f t="shared" ca="1" si="23"/>
        <v/>
      </c>
      <c r="U55" s="117" t="str">
        <f t="shared" ca="1" si="24"/>
        <v/>
      </c>
    </row>
    <row r="56" spans="2:21" x14ac:dyDescent="0.25">
      <c r="B56" s="45" t="str">
        <f t="shared" ca="1" si="13"/>
        <v/>
      </c>
      <c r="C56" s="22" t="str">
        <f t="shared" ca="1" si="9"/>
        <v/>
      </c>
      <c r="D56" s="46" t="str">
        <f t="shared" ca="1" si="14"/>
        <v/>
      </c>
      <c r="E56" s="49" t="str">
        <f t="shared" ca="1" si="15"/>
        <v/>
      </c>
      <c r="F56" s="50" t="str">
        <f t="shared" ca="1" si="25"/>
        <v/>
      </c>
      <c r="G56" s="50" t="str">
        <f t="shared" ca="1" si="25"/>
        <v/>
      </c>
      <c r="I56" s="107">
        <f t="shared" ca="1" si="18"/>
        <v>0</v>
      </c>
      <c r="J56" s="47" t="str">
        <f t="shared" ca="1" si="19"/>
        <v/>
      </c>
      <c r="K56" s="51">
        <f t="shared" ca="1" si="20"/>
        <v>0</v>
      </c>
      <c r="L56" s="48">
        <f t="shared" ca="1" si="10"/>
        <v>0</v>
      </c>
      <c r="M56" s="51">
        <f t="shared" ca="1" si="11"/>
        <v>0</v>
      </c>
      <c r="N56" s="52">
        <f ca="1">M56*Assumptions!$B$19</f>
        <v>0</v>
      </c>
      <c r="O56" s="136">
        <f t="shared" ca="1" si="12"/>
        <v>0</v>
      </c>
      <c r="P56" s="113" t="str">
        <f t="shared" ca="1" si="21"/>
        <v/>
      </c>
      <c r="Q56" s="114" t="str">
        <f t="shared" ca="1" si="22"/>
        <v/>
      </c>
      <c r="R56" s="115"/>
      <c r="S56" s="116" t="str">
        <f ca="1">IFERROR(J56/PUC_Projection!H56,"")</f>
        <v/>
      </c>
      <c r="T56" s="116" t="str">
        <f t="shared" ca="1" si="23"/>
        <v/>
      </c>
      <c r="U56" s="117" t="str">
        <f t="shared" ca="1" si="24"/>
        <v/>
      </c>
    </row>
    <row r="57" spans="2:21" x14ac:dyDescent="0.25">
      <c r="B57" s="45" t="str">
        <f t="shared" ca="1" si="13"/>
        <v/>
      </c>
      <c r="C57" s="22" t="str">
        <f t="shared" ca="1" si="9"/>
        <v/>
      </c>
      <c r="D57" s="46" t="str">
        <f t="shared" ca="1" si="14"/>
        <v/>
      </c>
      <c r="E57" s="49" t="str">
        <f t="shared" ca="1" si="15"/>
        <v/>
      </c>
      <c r="F57" s="50" t="str">
        <f t="shared" ca="1" si="25"/>
        <v/>
      </c>
      <c r="G57" s="50" t="str">
        <f t="shared" ca="1" si="25"/>
        <v/>
      </c>
      <c r="I57" s="107">
        <f t="shared" ca="1" si="18"/>
        <v>0</v>
      </c>
      <c r="J57" s="47" t="str">
        <f t="shared" ca="1" si="19"/>
        <v/>
      </c>
      <c r="K57" s="51">
        <f t="shared" ca="1" si="20"/>
        <v>0</v>
      </c>
      <c r="L57" s="48">
        <f t="shared" ca="1" si="10"/>
        <v>0</v>
      </c>
      <c r="M57" s="51">
        <f t="shared" ca="1" si="11"/>
        <v>0</v>
      </c>
      <c r="N57" s="52">
        <f ca="1">M57*Assumptions!$B$19</f>
        <v>0</v>
      </c>
      <c r="O57" s="136">
        <f t="shared" ca="1" si="12"/>
        <v>0</v>
      </c>
      <c r="P57" s="113" t="str">
        <f t="shared" ca="1" si="21"/>
        <v/>
      </c>
      <c r="Q57" s="114" t="str">
        <f t="shared" ca="1" si="22"/>
        <v/>
      </c>
      <c r="R57" s="115"/>
      <c r="S57" s="116" t="str">
        <f ca="1">IFERROR(J57/PUC_Projection!H57,"")</f>
        <v/>
      </c>
      <c r="T57" s="116" t="str">
        <f t="shared" ca="1" si="23"/>
        <v/>
      </c>
      <c r="U57" s="117" t="str">
        <f t="shared" ca="1" si="24"/>
        <v/>
      </c>
    </row>
    <row r="58" spans="2:21" x14ac:dyDescent="0.25">
      <c r="B58" s="45" t="str">
        <f t="shared" ca="1" si="13"/>
        <v/>
      </c>
      <c r="C58" s="22" t="str">
        <f t="shared" ca="1" si="9"/>
        <v/>
      </c>
      <c r="D58" s="46" t="str">
        <f t="shared" ca="1" si="14"/>
        <v/>
      </c>
      <c r="E58" s="49" t="str">
        <f t="shared" ca="1" si="15"/>
        <v/>
      </c>
      <c r="F58" s="50" t="str">
        <f t="shared" ca="1" si="25"/>
        <v/>
      </c>
      <c r="G58" s="50" t="str">
        <f t="shared" ca="1" si="25"/>
        <v/>
      </c>
      <c r="I58" s="107">
        <f t="shared" ca="1" si="18"/>
        <v>0</v>
      </c>
      <c r="J58" s="47" t="str">
        <f t="shared" ca="1" si="19"/>
        <v/>
      </c>
      <c r="K58" s="51">
        <f t="shared" ca="1" si="20"/>
        <v>0</v>
      </c>
      <c r="L58" s="48">
        <f t="shared" ca="1" si="10"/>
        <v>0</v>
      </c>
      <c r="M58" s="51">
        <f t="shared" ca="1" si="11"/>
        <v>0</v>
      </c>
      <c r="N58" s="52">
        <f ca="1">M58*Assumptions!$B$19</f>
        <v>0</v>
      </c>
      <c r="O58" s="136">
        <f t="shared" ca="1" si="12"/>
        <v>0</v>
      </c>
      <c r="P58" s="113" t="str">
        <f t="shared" ca="1" si="21"/>
        <v/>
      </c>
      <c r="Q58" s="114" t="str">
        <f t="shared" ca="1" si="22"/>
        <v/>
      </c>
      <c r="R58" s="115"/>
      <c r="S58" s="116" t="str">
        <f ca="1">IFERROR(J58/PUC_Projection!H58,"")</f>
        <v/>
      </c>
      <c r="T58" s="116" t="str">
        <f t="shared" ca="1" si="23"/>
        <v/>
      </c>
      <c r="U58" s="117" t="str">
        <f t="shared" ca="1" si="24"/>
        <v/>
      </c>
    </row>
    <row r="59" spans="2:21" x14ac:dyDescent="0.25">
      <c r="B59" s="45" t="str">
        <f t="shared" ca="1" si="13"/>
        <v/>
      </c>
      <c r="C59" s="22" t="str">
        <f t="shared" ca="1" si="9"/>
        <v/>
      </c>
      <c r="D59" s="46" t="str">
        <f t="shared" ca="1" si="14"/>
        <v/>
      </c>
      <c r="E59" s="49" t="str">
        <f t="shared" ca="1" si="15"/>
        <v/>
      </c>
      <c r="F59" s="50" t="str">
        <f t="shared" ca="1" si="25"/>
        <v/>
      </c>
      <c r="G59" s="50" t="str">
        <f t="shared" ca="1" si="25"/>
        <v/>
      </c>
      <c r="I59" s="107">
        <f t="shared" ca="1" si="18"/>
        <v>0</v>
      </c>
      <c r="J59" s="47" t="str">
        <f t="shared" ca="1" si="19"/>
        <v/>
      </c>
      <c r="K59" s="51">
        <f t="shared" ca="1" si="20"/>
        <v>0</v>
      </c>
      <c r="L59" s="48">
        <f t="shared" ca="1" si="10"/>
        <v>0</v>
      </c>
      <c r="M59" s="51">
        <f t="shared" ca="1" si="11"/>
        <v>0</v>
      </c>
      <c r="N59" s="52">
        <f ca="1">M59*Assumptions!$B$19</f>
        <v>0</v>
      </c>
      <c r="O59" s="136">
        <f t="shared" ca="1" si="12"/>
        <v>0</v>
      </c>
      <c r="P59" s="113" t="str">
        <f t="shared" ca="1" si="21"/>
        <v/>
      </c>
      <c r="Q59" s="114" t="str">
        <f t="shared" ca="1" si="22"/>
        <v/>
      </c>
      <c r="R59" s="115"/>
      <c r="S59" s="116" t="str">
        <f ca="1">IFERROR(J59/PUC_Projection!H59,"")</f>
        <v/>
      </c>
      <c r="T59" s="116" t="str">
        <f t="shared" ca="1" si="23"/>
        <v/>
      </c>
      <c r="U59" s="117" t="str">
        <f t="shared" ca="1" si="24"/>
        <v/>
      </c>
    </row>
    <row r="60" spans="2:21" x14ac:dyDescent="0.25">
      <c r="B60" s="45" t="str">
        <f t="shared" ca="1" si="13"/>
        <v/>
      </c>
      <c r="C60" s="22" t="str">
        <f t="shared" ca="1" si="9"/>
        <v/>
      </c>
      <c r="D60" s="46" t="str">
        <f t="shared" ca="1" si="14"/>
        <v/>
      </c>
      <c r="E60" s="49" t="str">
        <f t="shared" ca="1" si="15"/>
        <v/>
      </c>
      <c r="F60" s="50" t="str">
        <f t="shared" ca="1" si="25"/>
        <v/>
      </c>
      <c r="G60" s="50" t="str">
        <f t="shared" ca="1" si="25"/>
        <v/>
      </c>
      <c r="I60" s="107">
        <f t="shared" ca="1" si="18"/>
        <v>0</v>
      </c>
      <c r="J60" s="47" t="str">
        <f t="shared" ca="1" si="19"/>
        <v/>
      </c>
      <c r="K60" s="51">
        <f t="shared" ca="1" si="20"/>
        <v>0</v>
      </c>
      <c r="L60" s="48">
        <f t="shared" ca="1" si="10"/>
        <v>0</v>
      </c>
      <c r="M60" s="51">
        <f t="shared" ca="1" si="11"/>
        <v>0</v>
      </c>
      <c r="N60" s="52">
        <f ca="1">M60*Assumptions!$B$19</f>
        <v>0</v>
      </c>
      <c r="O60" s="136">
        <f t="shared" ca="1" si="12"/>
        <v>0</v>
      </c>
      <c r="P60" s="113" t="str">
        <f t="shared" ca="1" si="21"/>
        <v/>
      </c>
      <c r="Q60" s="114" t="str">
        <f t="shared" ca="1" si="22"/>
        <v/>
      </c>
      <c r="R60" s="115"/>
      <c r="S60" s="116" t="str">
        <f ca="1">IFERROR(J60/PUC_Projection!H60,"")</f>
        <v/>
      </c>
      <c r="T60" s="116" t="str">
        <f t="shared" ca="1" si="23"/>
        <v/>
      </c>
      <c r="U60" s="117" t="str">
        <f t="shared" ca="1" si="24"/>
        <v/>
      </c>
    </row>
    <row r="61" spans="2:21" x14ac:dyDescent="0.25">
      <c r="B61" s="45" t="str">
        <f t="shared" ca="1" si="13"/>
        <v/>
      </c>
      <c r="C61" s="22" t="str">
        <f t="shared" ca="1" si="9"/>
        <v/>
      </c>
      <c r="D61" s="46" t="str">
        <f t="shared" ca="1" si="14"/>
        <v/>
      </c>
      <c r="E61" s="49" t="str">
        <f t="shared" ca="1" si="15"/>
        <v/>
      </c>
      <c r="F61" s="50" t="str">
        <f t="shared" ca="1" si="25"/>
        <v/>
      </c>
      <c r="G61" s="50" t="str">
        <f t="shared" ca="1" si="25"/>
        <v/>
      </c>
      <c r="I61" s="107">
        <f t="shared" ca="1" si="18"/>
        <v>0</v>
      </c>
      <c r="J61" s="47" t="str">
        <f t="shared" ca="1" si="19"/>
        <v/>
      </c>
      <c r="K61" s="51">
        <f t="shared" ca="1" si="20"/>
        <v>0</v>
      </c>
      <c r="L61" s="48">
        <f t="shared" ca="1" si="10"/>
        <v>0</v>
      </c>
      <c r="M61" s="51">
        <f t="shared" ca="1" si="11"/>
        <v>0</v>
      </c>
      <c r="N61" s="52">
        <f ca="1">M61*Assumptions!$B$19</f>
        <v>0</v>
      </c>
      <c r="O61" s="136">
        <f t="shared" ca="1" si="12"/>
        <v>0</v>
      </c>
      <c r="P61" s="113" t="str">
        <f t="shared" ca="1" si="21"/>
        <v/>
      </c>
      <c r="Q61" s="114" t="str">
        <f t="shared" ca="1" si="22"/>
        <v/>
      </c>
      <c r="R61" s="115"/>
      <c r="S61" s="116" t="str">
        <f ca="1">IFERROR(J61/PUC_Projection!H61,"")</f>
        <v/>
      </c>
      <c r="T61" s="116" t="str">
        <f t="shared" ca="1" si="23"/>
        <v/>
      </c>
      <c r="U61" s="117" t="str">
        <f t="shared" ca="1" si="24"/>
        <v/>
      </c>
    </row>
    <row r="62" spans="2:21" x14ac:dyDescent="0.25">
      <c r="B62" s="45" t="str">
        <f t="shared" ca="1" si="13"/>
        <v/>
      </c>
      <c r="C62" s="22" t="str">
        <f t="shared" ca="1" si="9"/>
        <v/>
      </c>
      <c r="D62" s="46" t="str">
        <f t="shared" ca="1" si="14"/>
        <v/>
      </c>
      <c r="E62" s="49" t="str">
        <f t="shared" ca="1" si="15"/>
        <v/>
      </c>
      <c r="F62" s="50" t="str">
        <f t="shared" ca="1" si="25"/>
        <v/>
      </c>
      <c r="G62" s="50" t="str">
        <f t="shared" ca="1" si="25"/>
        <v/>
      </c>
      <c r="I62" s="107">
        <f t="shared" ca="1" si="18"/>
        <v>0</v>
      </c>
      <c r="J62" s="47" t="str">
        <f t="shared" ca="1" si="19"/>
        <v/>
      </c>
      <c r="K62" s="51">
        <f t="shared" ca="1" si="20"/>
        <v>0</v>
      </c>
      <c r="L62" s="48">
        <f t="shared" ca="1" si="10"/>
        <v>0</v>
      </c>
      <c r="M62" s="51">
        <f t="shared" ca="1" si="11"/>
        <v>0</v>
      </c>
      <c r="N62" s="52">
        <f ca="1">M62*Assumptions!$B$19</f>
        <v>0</v>
      </c>
      <c r="O62" s="136">
        <f t="shared" ca="1" si="12"/>
        <v>0</v>
      </c>
      <c r="P62" s="113" t="str">
        <f t="shared" ca="1" si="21"/>
        <v/>
      </c>
      <c r="Q62" s="114" t="str">
        <f t="shared" ca="1" si="22"/>
        <v/>
      </c>
      <c r="R62" s="115"/>
      <c r="S62" s="116" t="str">
        <f ca="1">IFERROR(J62/PUC_Projection!H62,"")</f>
        <v/>
      </c>
      <c r="T62" s="116" t="str">
        <f t="shared" ca="1" si="23"/>
        <v/>
      </c>
      <c r="U62" s="117" t="str">
        <f t="shared" ca="1" si="24"/>
        <v/>
      </c>
    </row>
    <row r="63" spans="2:21" x14ac:dyDescent="0.25">
      <c r="B63" s="45" t="str">
        <f t="shared" ca="1" si="13"/>
        <v/>
      </c>
      <c r="C63" s="22" t="str">
        <f t="shared" ca="1" si="9"/>
        <v/>
      </c>
      <c r="D63" s="46" t="str">
        <f t="shared" ca="1" si="14"/>
        <v/>
      </c>
      <c r="E63" s="49" t="str">
        <f t="shared" ca="1" si="15"/>
        <v/>
      </c>
      <c r="F63" s="50" t="str">
        <f t="shared" ca="1" si="25"/>
        <v/>
      </c>
      <c r="G63" s="50" t="str">
        <f t="shared" ca="1" si="25"/>
        <v/>
      </c>
      <c r="I63" s="107">
        <f t="shared" ca="1" si="18"/>
        <v>0</v>
      </c>
      <c r="J63" s="47" t="str">
        <f t="shared" ca="1" si="19"/>
        <v/>
      </c>
      <c r="K63" s="51">
        <f t="shared" ca="1" si="20"/>
        <v>0</v>
      </c>
      <c r="L63" s="48">
        <f t="shared" ca="1" si="10"/>
        <v>0</v>
      </c>
      <c r="M63" s="51">
        <f t="shared" ca="1" si="11"/>
        <v>0</v>
      </c>
      <c r="N63" s="52">
        <f ca="1">M63*Assumptions!$B$19</f>
        <v>0</v>
      </c>
      <c r="O63" s="136">
        <f t="shared" ca="1" si="12"/>
        <v>0</v>
      </c>
      <c r="P63" s="113" t="str">
        <f t="shared" ca="1" si="21"/>
        <v/>
      </c>
      <c r="Q63" s="114" t="str">
        <f t="shared" ca="1" si="22"/>
        <v/>
      </c>
      <c r="R63" s="115"/>
      <c r="S63" s="116" t="str">
        <f ca="1">IFERROR(J63/PUC_Projection!H63,"")</f>
        <v/>
      </c>
      <c r="T63" s="116" t="str">
        <f t="shared" ca="1" si="23"/>
        <v/>
      </c>
      <c r="U63" s="117" t="str">
        <f t="shared" ca="1" si="24"/>
        <v/>
      </c>
    </row>
    <row r="64" spans="2:21" x14ac:dyDescent="0.25">
      <c r="B64" s="45" t="str">
        <f t="shared" ca="1" si="13"/>
        <v/>
      </c>
      <c r="C64" s="22" t="str">
        <f t="shared" ca="1" si="9"/>
        <v/>
      </c>
      <c r="D64" s="46" t="str">
        <f t="shared" ca="1" si="14"/>
        <v/>
      </c>
      <c r="E64" s="49" t="str">
        <f t="shared" ca="1" si="15"/>
        <v/>
      </c>
      <c r="F64" s="50" t="str">
        <f t="shared" ref="F64:G79" ca="1" si="26">IF($C64="","",F63)</f>
        <v/>
      </c>
      <c r="G64" s="50" t="str">
        <f t="shared" ca="1" si="26"/>
        <v/>
      </c>
      <c r="I64" s="107">
        <f t="shared" ca="1" si="18"/>
        <v>0</v>
      </c>
      <c r="J64" s="47" t="str">
        <f t="shared" ca="1" si="19"/>
        <v/>
      </c>
      <c r="K64" s="51">
        <f t="shared" ca="1" si="20"/>
        <v>0</v>
      </c>
      <c r="L64" s="48">
        <f t="shared" ca="1" si="10"/>
        <v>0</v>
      </c>
      <c r="M64" s="51">
        <f t="shared" ca="1" si="11"/>
        <v>0</v>
      </c>
      <c r="N64" s="52">
        <f ca="1">M64*Assumptions!$B$19</f>
        <v>0</v>
      </c>
      <c r="O64" s="136">
        <f t="shared" ca="1" si="12"/>
        <v>0</v>
      </c>
      <c r="P64" s="113" t="str">
        <f t="shared" ca="1" si="21"/>
        <v/>
      </c>
      <c r="Q64" s="114" t="str">
        <f t="shared" ca="1" si="22"/>
        <v/>
      </c>
      <c r="R64" s="115"/>
      <c r="S64" s="116" t="str">
        <f ca="1">IFERROR(J64/PUC_Projection!H64,"")</f>
        <v/>
      </c>
      <c r="T64" s="116" t="str">
        <f t="shared" ca="1" si="23"/>
        <v/>
      </c>
      <c r="U64" s="117" t="str">
        <f t="shared" ca="1" si="24"/>
        <v/>
      </c>
    </row>
    <row r="65" spans="2:21" x14ac:dyDescent="0.25">
      <c r="B65" s="45" t="str">
        <f t="shared" ca="1" si="13"/>
        <v/>
      </c>
      <c r="C65" s="22" t="str">
        <f t="shared" ca="1" si="9"/>
        <v/>
      </c>
      <c r="D65" s="46" t="str">
        <f t="shared" ca="1" si="14"/>
        <v/>
      </c>
      <c r="E65" s="49" t="str">
        <f t="shared" ca="1" si="15"/>
        <v/>
      </c>
      <c r="F65" s="50" t="str">
        <f t="shared" ca="1" si="26"/>
        <v/>
      </c>
      <c r="G65" s="50" t="str">
        <f t="shared" ca="1" si="26"/>
        <v/>
      </c>
      <c r="I65" s="107">
        <f t="shared" ca="1" si="18"/>
        <v>0</v>
      </c>
      <c r="J65" s="47" t="str">
        <f t="shared" ca="1" si="19"/>
        <v/>
      </c>
      <c r="K65" s="51">
        <f t="shared" ca="1" si="20"/>
        <v>0</v>
      </c>
      <c r="L65" s="48">
        <f t="shared" ca="1" si="10"/>
        <v>0</v>
      </c>
      <c r="M65" s="51">
        <f t="shared" ca="1" si="11"/>
        <v>0</v>
      </c>
      <c r="N65" s="52">
        <f ca="1">M65*Assumptions!$B$19</f>
        <v>0</v>
      </c>
      <c r="O65" s="136">
        <f t="shared" ca="1" si="12"/>
        <v>0</v>
      </c>
      <c r="P65" s="113" t="str">
        <f t="shared" ca="1" si="21"/>
        <v/>
      </c>
      <c r="Q65" s="114" t="str">
        <f t="shared" ca="1" si="22"/>
        <v/>
      </c>
      <c r="R65" s="115"/>
      <c r="S65" s="116" t="str">
        <f ca="1">IFERROR(J65/PUC_Projection!H65,"")</f>
        <v/>
      </c>
      <c r="T65" s="116" t="str">
        <f t="shared" ca="1" si="23"/>
        <v/>
      </c>
      <c r="U65" s="117" t="str">
        <f t="shared" ca="1" si="24"/>
        <v/>
      </c>
    </row>
    <row r="66" spans="2:21" x14ac:dyDescent="0.25">
      <c r="B66" s="45" t="str">
        <f t="shared" ca="1" si="13"/>
        <v/>
      </c>
      <c r="C66" s="22" t="str">
        <f t="shared" ca="1" si="9"/>
        <v/>
      </c>
      <c r="D66" s="46" t="str">
        <f t="shared" ca="1" si="14"/>
        <v/>
      </c>
      <c r="E66" s="49" t="str">
        <f t="shared" ca="1" si="15"/>
        <v/>
      </c>
      <c r="F66" s="50" t="str">
        <f t="shared" ca="1" si="26"/>
        <v/>
      </c>
      <c r="G66" s="50" t="str">
        <f t="shared" ca="1" si="26"/>
        <v/>
      </c>
      <c r="I66" s="107">
        <f t="shared" ca="1" si="18"/>
        <v>0</v>
      </c>
      <c r="J66" s="47" t="str">
        <f t="shared" ca="1" si="19"/>
        <v/>
      </c>
      <c r="K66" s="51">
        <f t="shared" ca="1" si="20"/>
        <v>0</v>
      </c>
      <c r="L66" s="48">
        <f t="shared" ca="1" si="10"/>
        <v>0</v>
      </c>
      <c r="M66" s="51">
        <f t="shared" ca="1" si="11"/>
        <v>0</v>
      </c>
      <c r="N66" s="52">
        <f ca="1">M66*Assumptions!$B$19</f>
        <v>0</v>
      </c>
      <c r="O66" s="136">
        <f t="shared" ca="1" si="12"/>
        <v>0</v>
      </c>
      <c r="P66" s="113" t="str">
        <f t="shared" ca="1" si="21"/>
        <v/>
      </c>
      <c r="Q66" s="114" t="str">
        <f t="shared" ca="1" si="22"/>
        <v/>
      </c>
      <c r="R66" s="115"/>
      <c r="S66" s="116" t="str">
        <f ca="1">IFERROR(J66/PUC_Projection!H66,"")</f>
        <v/>
      </c>
      <c r="T66" s="116" t="str">
        <f t="shared" ca="1" si="23"/>
        <v/>
      </c>
      <c r="U66" s="117" t="str">
        <f t="shared" ca="1" si="24"/>
        <v/>
      </c>
    </row>
    <row r="67" spans="2:21" x14ac:dyDescent="0.25">
      <c r="B67" s="45" t="str">
        <f t="shared" ca="1" si="13"/>
        <v/>
      </c>
      <c r="C67" s="22" t="str">
        <f t="shared" ca="1" si="9"/>
        <v/>
      </c>
      <c r="D67" s="46" t="str">
        <f t="shared" ca="1" si="14"/>
        <v/>
      </c>
      <c r="E67" s="49" t="str">
        <f t="shared" ca="1" si="15"/>
        <v/>
      </c>
      <c r="F67" s="50" t="str">
        <f t="shared" ca="1" si="26"/>
        <v/>
      </c>
      <c r="G67" s="50" t="str">
        <f t="shared" ca="1" si="26"/>
        <v/>
      </c>
      <c r="I67" s="107">
        <f t="shared" ca="1" si="18"/>
        <v>0</v>
      </c>
      <c r="J67" s="47" t="str">
        <f t="shared" ca="1" si="19"/>
        <v/>
      </c>
      <c r="K67" s="51">
        <f t="shared" ca="1" si="20"/>
        <v>0</v>
      </c>
      <c r="L67" s="48">
        <f t="shared" ca="1" si="10"/>
        <v>0</v>
      </c>
      <c r="M67" s="51">
        <f t="shared" ca="1" si="11"/>
        <v>0</v>
      </c>
      <c r="N67" s="52">
        <f ca="1">M67*Assumptions!$B$19</f>
        <v>0</v>
      </c>
      <c r="O67" s="136">
        <f t="shared" ca="1" si="12"/>
        <v>0</v>
      </c>
      <c r="P67" s="113" t="str">
        <f t="shared" ca="1" si="21"/>
        <v/>
      </c>
      <c r="Q67" s="114" t="str">
        <f t="shared" ca="1" si="22"/>
        <v/>
      </c>
      <c r="R67" s="115"/>
      <c r="S67" s="116" t="str">
        <f ca="1">IFERROR(J67/PUC_Projection!H67,"")</f>
        <v/>
      </c>
      <c r="T67" s="116" t="str">
        <f t="shared" ca="1" si="23"/>
        <v/>
      </c>
      <c r="U67" s="117" t="str">
        <f t="shared" ca="1" si="24"/>
        <v/>
      </c>
    </row>
    <row r="68" spans="2:21" x14ac:dyDescent="0.25">
      <c r="B68" s="45" t="str">
        <f t="shared" ca="1" si="13"/>
        <v/>
      </c>
      <c r="C68" s="22" t="str">
        <f t="shared" ca="1" si="9"/>
        <v/>
      </c>
      <c r="D68" s="46" t="str">
        <f t="shared" ca="1" si="14"/>
        <v/>
      </c>
      <c r="E68" s="49" t="str">
        <f t="shared" ca="1" si="15"/>
        <v/>
      </c>
      <c r="F68" s="50" t="str">
        <f t="shared" ca="1" si="26"/>
        <v/>
      </c>
      <c r="G68" s="50" t="str">
        <f t="shared" ca="1" si="26"/>
        <v/>
      </c>
      <c r="I68" s="107">
        <f t="shared" ca="1" si="18"/>
        <v>0</v>
      </c>
      <c r="J68" s="47" t="str">
        <f t="shared" ca="1" si="19"/>
        <v/>
      </c>
      <c r="K68" s="51">
        <f t="shared" ca="1" si="20"/>
        <v>0</v>
      </c>
      <c r="L68" s="48">
        <f t="shared" ca="1" si="10"/>
        <v>0</v>
      </c>
      <c r="M68" s="51">
        <f t="shared" ca="1" si="11"/>
        <v>0</v>
      </c>
      <c r="N68" s="52">
        <f ca="1">M68*Assumptions!$B$19</f>
        <v>0</v>
      </c>
      <c r="O68" s="136">
        <f t="shared" ca="1" si="12"/>
        <v>0</v>
      </c>
      <c r="P68" s="113" t="str">
        <f t="shared" ca="1" si="21"/>
        <v/>
      </c>
      <c r="Q68" s="114" t="str">
        <f t="shared" ca="1" si="22"/>
        <v/>
      </c>
      <c r="R68" s="115"/>
      <c r="S68" s="116" t="str">
        <f ca="1">IFERROR(J68/PUC_Projection!H68,"")</f>
        <v/>
      </c>
      <c r="T68" s="116" t="str">
        <f t="shared" ca="1" si="23"/>
        <v/>
      </c>
      <c r="U68" s="117" t="str">
        <f t="shared" ca="1" si="24"/>
        <v/>
      </c>
    </row>
    <row r="69" spans="2:21" x14ac:dyDescent="0.25">
      <c r="B69" s="45" t="str">
        <f t="shared" ca="1" si="13"/>
        <v/>
      </c>
      <c r="C69" s="22" t="str">
        <f t="shared" ca="1" si="9"/>
        <v/>
      </c>
      <c r="D69" s="46" t="str">
        <f t="shared" ca="1" si="14"/>
        <v/>
      </c>
      <c r="E69" s="49" t="str">
        <f t="shared" ca="1" si="15"/>
        <v/>
      </c>
      <c r="F69" s="50" t="str">
        <f t="shared" ca="1" si="26"/>
        <v/>
      </c>
      <c r="G69" s="50" t="str">
        <f t="shared" ca="1" si="26"/>
        <v/>
      </c>
      <c r="I69" s="107">
        <f t="shared" ca="1" si="18"/>
        <v>0</v>
      </c>
      <c r="J69" s="47" t="str">
        <f t="shared" ca="1" si="19"/>
        <v/>
      </c>
      <c r="K69" s="51">
        <f t="shared" ca="1" si="20"/>
        <v>0</v>
      </c>
      <c r="L69" s="48">
        <f t="shared" ca="1" si="10"/>
        <v>0</v>
      </c>
      <c r="M69" s="51">
        <f t="shared" ca="1" si="11"/>
        <v>0</v>
      </c>
      <c r="N69" s="52">
        <f ca="1">M69*Assumptions!$B$19</f>
        <v>0</v>
      </c>
      <c r="O69" s="136">
        <f t="shared" ca="1" si="12"/>
        <v>0</v>
      </c>
      <c r="P69" s="113" t="str">
        <f t="shared" ca="1" si="21"/>
        <v/>
      </c>
      <c r="Q69" s="114" t="str">
        <f t="shared" ca="1" si="22"/>
        <v/>
      </c>
      <c r="R69" s="115"/>
      <c r="S69" s="116" t="str">
        <f ca="1">IFERROR(J69/PUC_Projection!H69,"")</f>
        <v/>
      </c>
      <c r="T69" s="116" t="str">
        <f t="shared" ca="1" si="23"/>
        <v/>
      </c>
      <c r="U69" s="117" t="str">
        <f t="shared" ca="1" si="24"/>
        <v/>
      </c>
    </row>
    <row r="70" spans="2:21" x14ac:dyDescent="0.25">
      <c r="B70" s="45" t="str">
        <f t="shared" ca="1" si="13"/>
        <v/>
      </c>
      <c r="C70" s="22" t="str">
        <f t="shared" ca="1" si="9"/>
        <v/>
      </c>
      <c r="D70" s="46" t="str">
        <f t="shared" ca="1" si="14"/>
        <v/>
      </c>
      <c r="E70" s="49" t="str">
        <f t="shared" ca="1" si="15"/>
        <v/>
      </c>
      <c r="F70" s="50" t="str">
        <f t="shared" ca="1" si="26"/>
        <v/>
      </c>
      <c r="G70" s="50" t="str">
        <f t="shared" ca="1" si="26"/>
        <v/>
      </c>
      <c r="I70" s="107">
        <f t="shared" ca="1" si="18"/>
        <v>0</v>
      </c>
      <c r="J70" s="47" t="str">
        <f t="shared" ca="1" si="19"/>
        <v/>
      </c>
      <c r="K70" s="51">
        <f t="shared" ca="1" si="20"/>
        <v>0</v>
      </c>
      <c r="L70" s="48">
        <f t="shared" ca="1" si="10"/>
        <v>0</v>
      </c>
      <c r="M70" s="51">
        <f t="shared" ca="1" si="11"/>
        <v>0</v>
      </c>
      <c r="N70" s="52">
        <f ca="1">M70*Assumptions!$B$19</f>
        <v>0</v>
      </c>
      <c r="O70" s="136">
        <f t="shared" ca="1" si="12"/>
        <v>0</v>
      </c>
      <c r="P70" s="113" t="str">
        <f t="shared" ca="1" si="21"/>
        <v/>
      </c>
      <c r="Q70" s="114" t="str">
        <f t="shared" ca="1" si="22"/>
        <v/>
      </c>
      <c r="R70" s="115"/>
      <c r="S70" s="116" t="str">
        <f ca="1">IFERROR(J70/PUC_Projection!H70,"")</f>
        <v/>
      </c>
      <c r="T70" s="116" t="str">
        <f t="shared" ca="1" si="23"/>
        <v/>
      </c>
      <c r="U70" s="117" t="str">
        <f t="shared" ca="1" si="24"/>
        <v/>
      </c>
    </row>
    <row r="71" spans="2:21" x14ac:dyDescent="0.25">
      <c r="B71" s="45" t="str">
        <f t="shared" ca="1" si="13"/>
        <v/>
      </c>
      <c r="C71" s="22" t="str">
        <f t="shared" ca="1" si="9"/>
        <v/>
      </c>
      <c r="D71" s="46" t="str">
        <f t="shared" ca="1" si="14"/>
        <v/>
      </c>
      <c r="E71" s="49" t="str">
        <f t="shared" ca="1" si="15"/>
        <v/>
      </c>
      <c r="F71" s="50" t="str">
        <f t="shared" ca="1" si="26"/>
        <v/>
      </c>
      <c r="G71" s="50" t="str">
        <f t="shared" ca="1" si="26"/>
        <v/>
      </c>
      <c r="I71" s="107">
        <f t="shared" ca="1" si="18"/>
        <v>0</v>
      </c>
      <c r="J71" s="47" t="str">
        <f t="shared" ca="1" si="19"/>
        <v/>
      </c>
      <c r="K71" s="51">
        <f t="shared" ca="1" si="20"/>
        <v>0</v>
      </c>
      <c r="L71" s="48">
        <f t="shared" ca="1" si="10"/>
        <v>0</v>
      </c>
      <c r="M71" s="51">
        <f t="shared" ca="1" si="11"/>
        <v>0</v>
      </c>
      <c r="N71" s="52">
        <f ca="1">M71*Assumptions!$B$19</f>
        <v>0</v>
      </c>
      <c r="O71" s="136">
        <f t="shared" ca="1" si="12"/>
        <v>0</v>
      </c>
      <c r="P71" s="113" t="str">
        <f t="shared" ca="1" si="21"/>
        <v/>
      </c>
      <c r="Q71" s="114" t="str">
        <f t="shared" ca="1" si="22"/>
        <v/>
      </c>
      <c r="R71" s="115"/>
      <c r="S71" s="116" t="str">
        <f ca="1">IFERROR(J71/PUC_Projection!H71,"")</f>
        <v/>
      </c>
      <c r="T71" s="116" t="str">
        <f t="shared" ca="1" si="23"/>
        <v/>
      </c>
      <c r="U71" s="117" t="str">
        <f t="shared" ca="1" si="24"/>
        <v/>
      </c>
    </row>
    <row r="72" spans="2:21" x14ac:dyDescent="0.25">
      <c r="B72" s="45" t="str">
        <f t="shared" ca="1" si="13"/>
        <v/>
      </c>
      <c r="C72" s="22" t="str">
        <f t="shared" ca="1" si="9"/>
        <v/>
      </c>
      <c r="D72" s="46" t="str">
        <f t="shared" ca="1" si="14"/>
        <v/>
      </c>
      <c r="E72" s="49" t="str">
        <f t="shared" ca="1" si="15"/>
        <v/>
      </c>
      <c r="F72" s="50" t="str">
        <f t="shared" ca="1" si="26"/>
        <v/>
      </c>
      <c r="G72" s="50" t="str">
        <f t="shared" ca="1" si="26"/>
        <v/>
      </c>
      <c r="I72" s="107">
        <f t="shared" ca="1" si="18"/>
        <v>0</v>
      </c>
      <c r="J72" s="47" t="str">
        <f t="shared" ca="1" si="19"/>
        <v/>
      </c>
      <c r="K72" s="51">
        <f t="shared" ca="1" si="20"/>
        <v>0</v>
      </c>
      <c r="L72" s="48">
        <f t="shared" ca="1" si="10"/>
        <v>0</v>
      </c>
      <c r="M72" s="51">
        <f t="shared" ca="1" si="11"/>
        <v>0</v>
      </c>
      <c r="N72" s="52">
        <f ca="1">M72*Assumptions!$B$19</f>
        <v>0</v>
      </c>
      <c r="O72" s="136">
        <f t="shared" ca="1" si="12"/>
        <v>0</v>
      </c>
      <c r="P72" s="113" t="str">
        <f t="shared" ca="1" si="21"/>
        <v/>
      </c>
      <c r="Q72" s="114" t="str">
        <f t="shared" ca="1" si="22"/>
        <v/>
      </c>
      <c r="R72" s="115"/>
      <c r="S72" s="116" t="str">
        <f ca="1">IFERROR(J72/PUC_Projection!H72,"")</f>
        <v/>
      </c>
      <c r="T72" s="116" t="str">
        <f t="shared" ca="1" si="23"/>
        <v/>
      </c>
      <c r="U72" s="117" t="str">
        <f t="shared" ca="1" si="24"/>
        <v/>
      </c>
    </row>
    <row r="73" spans="2:21" x14ac:dyDescent="0.25">
      <c r="B73" s="45" t="str">
        <f t="shared" ca="1" si="13"/>
        <v/>
      </c>
      <c r="C73" s="22" t="str">
        <f t="shared" ca="1" si="9"/>
        <v/>
      </c>
      <c r="D73" s="46" t="str">
        <f t="shared" ca="1" si="14"/>
        <v/>
      </c>
      <c r="E73" s="49" t="str">
        <f t="shared" ca="1" si="15"/>
        <v/>
      </c>
      <c r="F73" s="50" t="str">
        <f t="shared" ca="1" si="26"/>
        <v/>
      </c>
      <c r="G73" s="50" t="str">
        <f t="shared" ca="1" si="26"/>
        <v/>
      </c>
      <c r="I73" s="107">
        <f t="shared" ca="1" si="18"/>
        <v>0</v>
      </c>
      <c r="J73" s="47" t="str">
        <f t="shared" ca="1" si="19"/>
        <v/>
      </c>
      <c r="K73" s="51">
        <f t="shared" ca="1" si="20"/>
        <v>0</v>
      </c>
      <c r="L73" s="48">
        <f t="shared" ca="1" si="10"/>
        <v>0</v>
      </c>
      <c r="M73" s="51">
        <f t="shared" ca="1" si="11"/>
        <v>0</v>
      </c>
      <c r="N73" s="52">
        <f ca="1">M73*Assumptions!$B$19</f>
        <v>0</v>
      </c>
      <c r="O73" s="136">
        <f t="shared" ca="1" si="12"/>
        <v>0</v>
      </c>
      <c r="P73" s="113" t="str">
        <f t="shared" ca="1" si="21"/>
        <v/>
      </c>
      <c r="Q73" s="114" t="str">
        <f t="shared" ca="1" si="22"/>
        <v/>
      </c>
      <c r="R73" s="115"/>
      <c r="S73" s="116" t="str">
        <f ca="1">IFERROR(J73/PUC_Projection!H73,"")</f>
        <v/>
      </c>
      <c r="T73" s="116" t="str">
        <f t="shared" ca="1" si="23"/>
        <v/>
      </c>
      <c r="U73" s="117" t="str">
        <f t="shared" ca="1" si="24"/>
        <v/>
      </c>
    </row>
    <row r="74" spans="2:21" x14ac:dyDescent="0.25">
      <c r="B74" s="45" t="str">
        <f t="shared" ca="1" si="13"/>
        <v/>
      </c>
      <c r="C74" s="22" t="str">
        <f t="shared" ca="1" si="9"/>
        <v/>
      </c>
      <c r="D74" s="46" t="str">
        <f t="shared" ca="1" si="14"/>
        <v/>
      </c>
      <c r="E74" s="49" t="str">
        <f t="shared" ca="1" si="15"/>
        <v/>
      </c>
      <c r="F74" s="50" t="str">
        <f t="shared" ca="1" si="26"/>
        <v/>
      </c>
      <c r="G74" s="50" t="str">
        <f t="shared" ca="1" si="26"/>
        <v/>
      </c>
      <c r="I74" s="107">
        <f t="shared" ca="1" si="18"/>
        <v>0</v>
      </c>
      <c r="J74" s="47" t="str">
        <f t="shared" ca="1" si="19"/>
        <v/>
      </c>
      <c r="K74" s="51">
        <f t="shared" ca="1" si="20"/>
        <v>0</v>
      </c>
      <c r="L74" s="48">
        <f t="shared" ca="1" si="10"/>
        <v>0</v>
      </c>
      <c r="M74" s="51">
        <f t="shared" ca="1" si="11"/>
        <v>0</v>
      </c>
      <c r="N74" s="52">
        <f ca="1">M74*Assumptions!$B$19</f>
        <v>0</v>
      </c>
      <c r="O74" s="136">
        <f t="shared" ca="1" si="12"/>
        <v>0</v>
      </c>
      <c r="P74" s="113" t="str">
        <f t="shared" ca="1" si="21"/>
        <v/>
      </c>
      <c r="Q74" s="114" t="str">
        <f t="shared" ca="1" si="22"/>
        <v/>
      </c>
      <c r="R74" s="115"/>
      <c r="S74" s="116" t="str">
        <f ca="1">IFERROR(J74/PUC_Projection!H74,"")</f>
        <v/>
      </c>
      <c r="T74" s="116" t="str">
        <f t="shared" ca="1" si="23"/>
        <v/>
      </c>
      <c r="U74" s="117" t="str">
        <f t="shared" ca="1" si="24"/>
        <v/>
      </c>
    </row>
    <row r="75" spans="2:21" x14ac:dyDescent="0.25">
      <c r="B75" s="45" t="str">
        <f t="shared" ca="1" si="13"/>
        <v/>
      </c>
      <c r="C75" s="22" t="str">
        <f t="shared" ca="1" si="9"/>
        <v/>
      </c>
      <c r="D75" s="46" t="str">
        <f t="shared" ca="1" si="14"/>
        <v/>
      </c>
      <c r="E75" s="49" t="str">
        <f t="shared" ca="1" si="15"/>
        <v/>
      </c>
      <c r="F75" s="50" t="str">
        <f t="shared" ca="1" si="26"/>
        <v/>
      </c>
      <c r="G75" s="50" t="str">
        <f t="shared" ca="1" si="26"/>
        <v/>
      </c>
      <c r="I75" s="107">
        <f t="shared" ca="1" si="18"/>
        <v>0</v>
      </c>
      <c r="J75" s="47" t="str">
        <f t="shared" ca="1" si="19"/>
        <v/>
      </c>
      <c r="K75" s="51">
        <f t="shared" ca="1" si="20"/>
        <v>0</v>
      </c>
      <c r="L75" s="48">
        <f t="shared" ca="1" si="10"/>
        <v>0</v>
      </c>
      <c r="M75" s="51">
        <f t="shared" ca="1" si="11"/>
        <v>0</v>
      </c>
      <c r="N75" s="52">
        <f ca="1">M75*Assumptions!$B$19</f>
        <v>0</v>
      </c>
      <c r="O75" s="136">
        <f t="shared" ca="1" si="12"/>
        <v>0</v>
      </c>
      <c r="P75" s="113" t="str">
        <f t="shared" ca="1" si="21"/>
        <v/>
      </c>
      <c r="Q75" s="114" t="str">
        <f t="shared" ca="1" si="22"/>
        <v/>
      </c>
      <c r="R75" s="115"/>
      <c r="S75" s="116" t="str">
        <f ca="1">IFERROR(J75/PUC_Projection!H75,"")</f>
        <v/>
      </c>
      <c r="T75" s="116" t="str">
        <f t="shared" ca="1" si="23"/>
        <v/>
      </c>
      <c r="U75" s="117" t="str">
        <f t="shared" ca="1" si="24"/>
        <v/>
      </c>
    </row>
    <row r="76" spans="2:21" x14ac:dyDescent="0.25">
      <c r="B76" s="45" t="str">
        <f t="shared" ca="1" si="13"/>
        <v/>
      </c>
      <c r="C76" s="22" t="str">
        <f t="shared" ca="1" si="9"/>
        <v/>
      </c>
      <c r="D76" s="46" t="str">
        <f t="shared" ca="1" si="14"/>
        <v/>
      </c>
      <c r="E76" s="49" t="str">
        <f t="shared" ca="1" si="15"/>
        <v/>
      </c>
      <c r="F76" s="50" t="str">
        <f t="shared" ca="1" si="26"/>
        <v/>
      </c>
      <c r="G76" s="50" t="str">
        <f t="shared" ca="1" si="26"/>
        <v/>
      </c>
      <c r="I76" s="107">
        <f t="shared" ca="1" si="18"/>
        <v>0</v>
      </c>
      <c r="J76" s="47" t="str">
        <f t="shared" ca="1" si="19"/>
        <v/>
      </c>
      <c r="K76" s="51">
        <f t="shared" ca="1" si="20"/>
        <v>0</v>
      </c>
      <c r="L76" s="48">
        <f t="shared" ca="1" si="10"/>
        <v>0</v>
      </c>
      <c r="M76" s="51">
        <f t="shared" ca="1" si="11"/>
        <v>0</v>
      </c>
      <c r="N76" s="52">
        <f ca="1">M76*Assumptions!$B$19</f>
        <v>0</v>
      </c>
      <c r="O76" s="136">
        <f t="shared" ca="1" si="12"/>
        <v>0</v>
      </c>
      <c r="P76" s="113" t="str">
        <f t="shared" ca="1" si="21"/>
        <v/>
      </c>
      <c r="Q76" s="114" t="str">
        <f t="shared" ca="1" si="22"/>
        <v/>
      </c>
      <c r="R76" s="115"/>
      <c r="S76" s="116" t="str">
        <f ca="1">IFERROR(J76/PUC_Projection!H76,"")</f>
        <v/>
      </c>
      <c r="T76" s="116" t="str">
        <f t="shared" ca="1" si="23"/>
        <v/>
      </c>
      <c r="U76" s="117" t="str">
        <f t="shared" ca="1" si="24"/>
        <v/>
      </c>
    </row>
    <row r="77" spans="2:21" x14ac:dyDescent="0.25">
      <c r="B77" s="45" t="str">
        <f t="shared" ca="1" si="13"/>
        <v/>
      </c>
      <c r="C77" s="22" t="str">
        <f t="shared" ca="1" si="9"/>
        <v/>
      </c>
      <c r="D77" s="46" t="str">
        <f t="shared" ca="1" si="14"/>
        <v/>
      </c>
      <c r="E77" s="49" t="str">
        <f t="shared" ca="1" si="15"/>
        <v/>
      </c>
      <c r="F77" s="50" t="str">
        <f t="shared" ca="1" si="26"/>
        <v/>
      </c>
      <c r="G77" s="50" t="str">
        <f t="shared" ca="1" si="26"/>
        <v/>
      </c>
      <c r="I77" s="107">
        <f t="shared" ca="1" si="18"/>
        <v>0</v>
      </c>
      <c r="J77" s="47" t="str">
        <f t="shared" ca="1" si="19"/>
        <v/>
      </c>
      <c r="K77" s="51">
        <f t="shared" ca="1" si="20"/>
        <v>0</v>
      </c>
      <c r="L77" s="48">
        <f t="shared" ca="1" si="10"/>
        <v>0</v>
      </c>
      <c r="M77" s="51">
        <f t="shared" ca="1" si="11"/>
        <v>0</v>
      </c>
      <c r="N77" s="52">
        <f ca="1">M77*Assumptions!$B$19</f>
        <v>0</v>
      </c>
      <c r="O77" s="136">
        <f t="shared" ca="1" si="12"/>
        <v>0</v>
      </c>
      <c r="P77" s="113" t="str">
        <f t="shared" ca="1" si="21"/>
        <v/>
      </c>
      <c r="Q77" s="114" t="str">
        <f t="shared" ca="1" si="22"/>
        <v/>
      </c>
      <c r="R77" s="115"/>
      <c r="S77" s="116" t="str">
        <f ca="1">IFERROR(J77/PUC_Projection!H77,"")</f>
        <v/>
      </c>
      <c r="T77" s="116" t="str">
        <f t="shared" ca="1" si="23"/>
        <v/>
      </c>
      <c r="U77" s="117" t="str">
        <f t="shared" ca="1" si="24"/>
        <v/>
      </c>
    </row>
    <row r="78" spans="2:21" x14ac:dyDescent="0.25">
      <c r="B78" s="45" t="str">
        <f t="shared" ca="1" si="13"/>
        <v/>
      </c>
      <c r="C78" s="22" t="str">
        <f t="shared" ca="1" si="9"/>
        <v/>
      </c>
      <c r="D78" s="46" t="str">
        <f t="shared" ca="1" si="14"/>
        <v/>
      </c>
      <c r="E78" s="49" t="str">
        <f t="shared" ca="1" si="15"/>
        <v/>
      </c>
      <c r="F78" s="50" t="str">
        <f t="shared" ca="1" si="26"/>
        <v/>
      </c>
      <c r="G78" s="50" t="str">
        <f t="shared" ca="1" si="26"/>
        <v/>
      </c>
      <c r="I78" s="107">
        <f t="shared" ref="I78:I84" ca="1" si="27">IFERROR((1-(1+$D$10)^-($D$5-$C78))/$D$10,0)</f>
        <v>0</v>
      </c>
      <c r="J78" s="47" t="str">
        <f t="shared" ref="J78:J84" ca="1" si="28">IF($C78="","",
D78*($D$5-$D$9)*((1+F78)/(1+G78))^($D$5-$D$9)/$H$14)</f>
        <v/>
      </c>
      <c r="K78" s="51">
        <f t="shared" ref="K78:K84" ca="1" si="29">IF($C79="",0,
J78*E78*(1+F78))</f>
        <v>0</v>
      </c>
      <c r="L78" s="48">
        <f t="shared" ca="1" si="10"/>
        <v>0</v>
      </c>
      <c r="M78" s="51">
        <f t="shared" ca="1" si="11"/>
        <v>0</v>
      </c>
      <c r="N78" s="52">
        <f ca="1">M78*Assumptions!$B$19</f>
        <v>0</v>
      </c>
      <c r="O78" s="136">
        <f t="shared" ca="1" si="12"/>
        <v>0</v>
      </c>
      <c r="P78" s="113" t="str">
        <f t="shared" ref="P78:P83" ca="1" si="30">IF($C79="","",L79-L78*(1+i))</f>
        <v/>
      </c>
      <c r="Q78" s="114" t="str">
        <f t="shared" ref="Q78:Q84" ca="1" si="31">IFERROR(P78-K78,"")</f>
        <v/>
      </c>
      <c r="R78" s="115"/>
      <c r="S78" s="116" t="str">
        <f ca="1">IFERROR(J78/PUC_Projection!H78,"")</f>
        <v/>
      </c>
      <c r="T78" s="116" t="str">
        <f t="shared" ref="T78:T84" ca="1" si="32">IF($C78="","",($D$5-$D$9)/$H$14*(1+$D$10)^-(C78-$D$9+1))</f>
        <v/>
      </c>
      <c r="U78" s="117" t="str">
        <f t="shared" ref="U78:U109" ca="1" si="33">IFERROR(S78-T78,"")</f>
        <v/>
      </c>
    </row>
    <row r="79" spans="2:21" x14ac:dyDescent="0.25">
      <c r="B79" s="45" t="str">
        <f t="shared" ca="1" si="13"/>
        <v/>
      </c>
      <c r="C79" s="22" t="str">
        <f t="shared" ref="C79:C84" ca="1" si="34">IF(C78="","",IF($D$2="A",C78+1,IF(C78+1&gt;$D$5,"",C78+1)))</f>
        <v/>
      </c>
      <c r="D79" s="46" t="str">
        <f t="shared" ca="1" si="14"/>
        <v/>
      </c>
      <c r="E79" s="49" t="str">
        <f t="shared" ca="1" si="15"/>
        <v/>
      </c>
      <c r="F79" s="50" t="str">
        <f t="shared" ca="1" si="26"/>
        <v/>
      </c>
      <c r="G79" s="50" t="str">
        <f t="shared" ca="1" si="26"/>
        <v/>
      </c>
      <c r="I79" s="107">
        <f t="shared" ca="1" si="27"/>
        <v>0</v>
      </c>
      <c r="J79" s="47" t="str">
        <f t="shared" ca="1" si="28"/>
        <v/>
      </c>
      <c r="K79" s="51">
        <f t="shared" ca="1" si="29"/>
        <v>0</v>
      </c>
      <c r="L79" s="48">
        <f t="shared" ref="L79:L84" ca="1" si="35">IF($C79="",0,
D79*($D$5-$D$4)*E79*((1+F79)/(1+G79))^($D$5-C79)-J79*E79*I79)</f>
        <v>0</v>
      </c>
      <c r="M79" s="51">
        <f t="shared" ref="M79:M84" ca="1" si="36">IF($C79="",0,
D79*B79*E79*((1+F79)/(1+G79))^($D$5-C79))</f>
        <v>0</v>
      </c>
      <c r="N79" s="52">
        <f ca="1">M79*Assumptions!$B$19</f>
        <v>0</v>
      </c>
      <c r="O79" s="136">
        <f t="shared" ref="O79:O84" ca="1" si="37">N79+L79</f>
        <v>0</v>
      </c>
      <c r="P79" s="113" t="str">
        <f t="shared" ca="1" si="30"/>
        <v/>
      </c>
      <c r="Q79" s="114" t="str">
        <f t="shared" ca="1" si="31"/>
        <v/>
      </c>
      <c r="R79" s="115"/>
      <c r="S79" s="116" t="str">
        <f ca="1">IFERROR(J79/PUC_Projection!H79,"")</f>
        <v/>
      </c>
      <c r="T79" s="116" t="str">
        <f t="shared" ca="1" si="32"/>
        <v/>
      </c>
      <c r="U79" s="117" t="str">
        <f t="shared" ca="1" si="33"/>
        <v/>
      </c>
    </row>
    <row r="80" spans="2:21" x14ac:dyDescent="0.25">
      <c r="B80" s="45" t="str">
        <f t="shared" ref="B80:B84" ca="1" si="38">IF($C80="","",B79+1)</f>
        <v/>
      </c>
      <c r="C80" s="22" t="str">
        <f t="shared" ca="1" si="34"/>
        <v/>
      </c>
      <c r="D80" s="46" t="str">
        <f t="shared" ref="D80:D84" ca="1" si="39">IF($C80="","",D79)</f>
        <v/>
      </c>
      <c r="E80" s="49" t="str">
        <f t="shared" ref="E80:E84" ca="1" si="40">IF($C80="","",E79*(1+F79))</f>
        <v/>
      </c>
      <c r="F80" s="50" t="str">
        <f t="shared" ref="F80:G84" ca="1" si="41">IF($C80="","",F79)</f>
        <v/>
      </c>
      <c r="G80" s="50" t="str">
        <f t="shared" ca="1" si="41"/>
        <v/>
      </c>
      <c r="I80" s="107">
        <f t="shared" ca="1" si="27"/>
        <v>0</v>
      </c>
      <c r="J80" s="47" t="str">
        <f t="shared" ca="1" si="28"/>
        <v/>
      </c>
      <c r="K80" s="51">
        <f t="shared" ca="1" si="29"/>
        <v>0</v>
      </c>
      <c r="L80" s="48">
        <f t="shared" ca="1" si="35"/>
        <v>0</v>
      </c>
      <c r="M80" s="51">
        <f t="shared" ca="1" si="36"/>
        <v>0</v>
      </c>
      <c r="N80" s="52">
        <f ca="1">M80*Assumptions!$B$19</f>
        <v>0</v>
      </c>
      <c r="O80" s="136">
        <f t="shared" ca="1" si="37"/>
        <v>0</v>
      </c>
      <c r="P80" s="113" t="str">
        <f t="shared" ca="1" si="30"/>
        <v/>
      </c>
      <c r="Q80" s="114" t="str">
        <f t="shared" ca="1" si="31"/>
        <v/>
      </c>
      <c r="R80" s="115"/>
      <c r="S80" s="116" t="str">
        <f ca="1">IFERROR(J80/PUC_Projection!H80,"")</f>
        <v/>
      </c>
      <c r="T80" s="116" t="str">
        <f t="shared" ca="1" si="32"/>
        <v/>
      </c>
      <c r="U80" s="117" t="str">
        <f t="shared" ca="1" si="33"/>
        <v/>
      </c>
    </row>
    <row r="81" spans="2:21" x14ac:dyDescent="0.25">
      <c r="B81" s="45" t="str">
        <f t="shared" ca="1" si="38"/>
        <v/>
      </c>
      <c r="C81" s="22" t="str">
        <f t="shared" ca="1" si="34"/>
        <v/>
      </c>
      <c r="D81" s="46" t="str">
        <f t="shared" ca="1" si="39"/>
        <v/>
      </c>
      <c r="E81" s="49" t="str">
        <f t="shared" ca="1" si="40"/>
        <v/>
      </c>
      <c r="F81" s="50" t="str">
        <f t="shared" ca="1" si="41"/>
        <v/>
      </c>
      <c r="G81" s="50" t="str">
        <f t="shared" ca="1" si="41"/>
        <v/>
      </c>
      <c r="I81" s="107">
        <f t="shared" ca="1" si="27"/>
        <v>0</v>
      </c>
      <c r="J81" s="47" t="str">
        <f t="shared" ca="1" si="28"/>
        <v/>
      </c>
      <c r="K81" s="51">
        <f t="shared" ca="1" si="29"/>
        <v>0</v>
      </c>
      <c r="L81" s="48">
        <f t="shared" ca="1" si="35"/>
        <v>0</v>
      </c>
      <c r="M81" s="51">
        <f t="shared" ca="1" si="36"/>
        <v>0</v>
      </c>
      <c r="N81" s="52">
        <f ca="1">M81*Assumptions!$B$19</f>
        <v>0</v>
      </c>
      <c r="O81" s="136">
        <f t="shared" ca="1" si="37"/>
        <v>0</v>
      </c>
      <c r="P81" s="113" t="str">
        <f t="shared" ca="1" si="30"/>
        <v/>
      </c>
      <c r="Q81" s="114" t="str">
        <f t="shared" ca="1" si="31"/>
        <v/>
      </c>
      <c r="R81" s="115"/>
      <c r="S81" s="116" t="str">
        <f ca="1">IFERROR(J81/PUC_Projection!H81,"")</f>
        <v/>
      </c>
      <c r="T81" s="116" t="str">
        <f t="shared" ca="1" si="32"/>
        <v/>
      </c>
      <c r="U81" s="117" t="str">
        <f t="shared" ca="1" si="33"/>
        <v/>
      </c>
    </row>
    <row r="82" spans="2:21" x14ac:dyDescent="0.25">
      <c r="B82" s="45" t="str">
        <f t="shared" ca="1" si="38"/>
        <v/>
      </c>
      <c r="C82" s="22" t="str">
        <f t="shared" ca="1" si="34"/>
        <v/>
      </c>
      <c r="D82" s="46" t="str">
        <f t="shared" ca="1" si="39"/>
        <v/>
      </c>
      <c r="E82" s="49" t="str">
        <f t="shared" ca="1" si="40"/>
        <v/>
      </c>
      <c r="F82" s="50" t="str">
        <f t="shared" ca="1" si="41"/>
        <v/>
      </c>
      <c r="G82" s="50" t="str">
        <f t="shared" ca="1" si="41"/>
        <v/>
      </c>
      <c r="I82" s="107">
        <f t="shared" ca="1" si="27"/>
        <v>0</v>
      </c>
      <c r="J82" s="47" t="str">
        <f t="shared" ca="1" si="28"/>
        <v/>
      </c>
      <c r="K82" s="51">
        <f t="shared" ca="1" si="29"/>
        <v>0</v>
      </c>
      <c r="L82" s="48">
        <f t="shared" ca="1" si="35"/>
        <v>0</v>
      </c>
      <c r="M82" s="51">
        <f t="shared" ca="1" si="36"/>
        <v>0</v>
      </c>
      <c r="N82" s="52">
        <f ca="1">M82*Assumptions!$B$19</f>
        <v>0</v>
      </c>
      <c r="O82" s="136">
        <f t="shared" ca="1" si="37"/>
        <v>0</v>
      </c>
      <c r="P82" s="113" t="str">
        <f t="shared" ca="1" si="30"/>
        <v/>
      </c>
      <c r="Q82" s="114" t="str">
        <f t="shared" ca="1" si="31"/>
        <v/>
      </c>
      <c r="R82" s="115"/>
      <c r="S82" s="116" t="str">
        <f ca="1">IFERROR(J82/PUC_Projection!H82,"")</f>
        <v/>
      </c>
      <c r="T82" s="116" t="str">
        <f t="shared" ca="1" si="32"/>
        <v/>
      </c>
      <c r="U82" s="117" t="str">
        <f t="shared" ca="1" si="33"/>
        <v/>
      </c>
    </row>
    <row r="83" spans="2:21" x14ac:dyDescent="0.25">
      <c r="B83" s="45" t="str">
        <f t="shared" ca="1" si="38"/>
        <v/>
      </c>
      <c r="C83" s="22" t="str">
        <f t="shared" ca="1" si="34"/>
        <v/>
      </c>
      <c r="D83" s="46" t="str">
        <f t="shared" ca="1" si="39"/>
        <v/>
      </c>
      <c r="E83" s="49" t="str">
        <f t="shared" ca="1" si="40"/>
        <v/>
      </c>
      <c r="F83" s="50" t="str">
        <f t="shared" ca="1" si="41"/>
        <v/>
      </c>
      <c r="G83" s="50" t="str">
        <f t="shared" ca="1" si="41"/>
        <v/>
      </c>
      <c r="I83" s="107">
        <f t="shared" ca="1" si="27"/>
        <v>0</v>
      </c>
      <c r="J83" s="47" t="str">
        <f t="shared" ca="1" si="28"/>
        <v/>
      </c>
      <c r="K83" s="51">
        <f t="shared" ca="1" si="29"/>
        <v>0</v>
      </c>
      <c r="L83" s="48">
        <f t="shared" ca="1" si="35"/>
        <v>0</v>
      </c>
      <c r="M83" s="51">
        <f t="shared" ca="1" si="36"/>
        <v>0</v>
      </c>
      <c r="N83" s="52">
        <f ca="1">M83*Assumptions!$B$19</f>
        <v>0</v>
      </c>
      <c r="O83" s="136">
        <f t="shared" ca="1" si="37"/>
        <v>0</v>
      </c>
      <c r="P83" s="113" t="str">
        <f t="shared" ca="1" si="30"/>
        <v/>
      </c>
      <c r="Q83" s="114" t="str">
        <f t="shared" ca="1" si="31"/>
        <v/>
      </c>
      <c r="R83" s="115"/>
      <c r="S83" s="116" t="str">
        <f ca="1">IFERROR(J83/PUC_Projection!H83,"")</f>
        <v/>
      </c>
      <c r="T83" s="116" t="str">
        <f t="shared" ca="1" si="32"/>
        <v/>
      </c>
      <c r="U83" s="117" t="str">
        <f t="shared" ca="1" si="33"/>
        <v/>
      </c>
    </row>
    <row r="84" spans="2:21" x14ac:dyDescent="0.25">
      <c r="B84" s="45" t="str">
        <f t="shared" ca="1" si="38"/>
        <v/>
      </c>
      <c r="C84" s="22" t="str">
        <f t="shared" ca="1" si="34"/>
        <v/>
      </c>
      <c r="D84" s="46" t="str">
        <f t="shared" ca="1" si="39"/>
        <v/>
      </c>
      <c r="E84" s="49" t="str">
        <f t="shared" ca="1" si="40"/>
        <v/>
      </c>
      <c r="F84" s="50" t="str">
        <f t="shared" ca="1" si="41"/>
        <v/>
      </c>
      <c r="G84" s="50" t="str">
        <f t="shared" ca="1" si="41"/>
        <v/>
      </c>
      <c r="I84" s="107">
        <f t="shared" ca="1" si="27"/>
        <v>0</v>
      </c>
      <c r="J84" s="47" t="str">
        <f t="shared" ca="1" si="28"/>
        <v/>
      </c>
      <c r="K84" s="51">
        <f t="shared" si="29"/>
        <v>0</v>
      </c>
      <c r="L84" s="48">
        <f t="shared" ca="1" si="35"/>
        <v>0</v>
      </c>
      <c r="M84" s="51">
        <f t="shared" ca="1" si="36"/>
        <v>0</v>
      </c>
      <c r="N84" s="52">
        <f ca="1">M84*Assumptions!$B$19</f>
        <v>0</v>
      </c>
      <c r="O84" s="136">
        <f t="shared" ca="1" si="37"/>
        <v>0</v>
      </c>
      <c r="P84" s="113" t="str">
        <f>IF($C85="","",J85-L84*(1+i))</f>
        <v/>
      </c>
      <c r="Q84" s="114" t="str">
        <f t="shared" si="31"/>
        <v/>
      </c>
      <c r="R84" s="115"/>
      <c r="S84" s="116" t="str">
        <f ca="1">IFERROR(J84/PUC_Projection!H84,"")</f>
        <v/>
      </c>
      <c r="T84" s="116" t="str">
        <f t="shared" ca="1" si="32"/>
        <v/>
      </c>
      <c r="U84" s="117" t="str">
        <f t="shared" ca="1" si="33"/>
        <v/>
      </c>
    </row>
  </sheetData>
  <conditionalFormatting sqref="Q13">
    <cfRule type="cellIs" dxfId="7" priority="7" operator="equal">
      <formula>"Pass"</formula>
    </cfRule>
    <cfRule type="cellIs" dxfId="6" priority="8" operator="equal">
      <formula>"Check!"</formula>
    </cfRule>
  </conditionalFormatting>
  <conditionalFormatting sqref="U13">
    <cfRule type="cellIs" dxfId="5" priority="5" operator="equal">
      <formula>"Pass"</formula>
    </cfRule>
    <cfRule type="cellIs" dxfId="4" priority="6" operator="equal">
      <formula>"Check!"</formula>
    </cfRule>
  </conditionalFormatting>
  <conditionalFormatting sqref="H7">
    <cfRule type="cellIs" dxfId="3" priority="3" operator="equal">
      <formula>"Pass"</formula>
    </cfRule>
    <cfRule type="cellIs" dxfId="2" priority="4" operator="equal">
      <formula>"Check!"</formula>
    </cfRule>
  </conditionalFormatting>
  <conditionalFormatting sqref="I7:Q7">
    <cfRule type="cellIs" dxfId="1" priority="1" operator="equal">
      <formula>"Pass"</formula>
    </cfRule>
    <cfRule type="cellIs" dxfId="0" priority="2" operator="equal">
      <formula>"Check!"</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sheetPr>
  <dimension ref="A1"/>
  <sheetViews>
    <sheetView showGridLines="0"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A1:H13"/>
  <sheetViews>
    <sheetView workbookViewId="0"/>
  </sheetViews>
  <sheetFormatPr defaultRowHeight="15" x14ac:dyDescent="0.25"/>
  <cols>
    <col min="3" max="3" width="11" customWidth="1"/>
    <col min="6" max="6" width="9.140625" customWidth="1"/>
  </cols>
  <sheetData>
    <row r="1" spans="1:8" ht="41.25" thickBot="1" x14ac:dyDescent="0.3">
      <c r="A1" s="29" t="s">
        <v>30</v>
      </c>
      <c r="B1" s="1" t="s">
        <v>5</v>
      </c>
      <c r="C1" s="1" t="s">
        <v>6</v>
      </c>
      <c r="D1" s="1" t="s">
        <v>7</v>
      </c>
      <c r="E1" s="1" t="s">
        <v>8</v>
      </c>
      <c r="F1" s="37" t="s">
        <v>10</v>
      </c>
      <c r="G1" s="38" t="s">
        <v>9</v>
      </c>
    </row>
    <row r="2" spans="1:8" ht="15.75" thickBot="1" x14ac:dyDescent="0.3">
      <c r="A2" s="2" t="str">
        <f>B2&amp;E2</f>
        <v>30B</v>
      </c>
      <c r="B2" s="2">
        <v>30</v>
      </c>
      <c r="C2" s="3">
        <v>210</v>
      </c>
      <c r="D2" s="4">
        <v>78000</v>
      </c>
      <c r="E2" s="35" t="s">
        <v>9</v>
      </c>
      <c r="F2" s="31"/>
      <c r="G2" s="39"/>
    </row>
    <row r="3" spans="1:8" ht="15.75" thickBot="1" x14ac:dyDescent="0.3">
      <c r="A3" s="5" t="str">
        <f t="shared" ref="A3:A13" si="0">B3&amp;E3</f>
        <v>30A</v>
      </c>
      <c r="B3" s="5">
        <v>30</v>
      </c>
      <c r="C3" s="6">
        <v>20</v>
      </c>
      <c r="D3" s="7">
        <v>100000</v>
      </c>
      <c r="E3" s="36" t="s">
        <v>10</v>
      </c>
      <c r="F3" s="30"/>
      <c r="G3" s="40"/>
    </row>
    <row r="4" spans="1:8" ht="15.75" thickBot="1" x14ac:dyDescent="0.3">
      <c r="A4" s="5" t="str">
        <f t="shared" si="0"/>
        <v>40B</v>
      </c>
      <c r="B4" s="5">
        <v>40</v>
      </c>
      <c r="C4" s="6">
        <v>220</v>
      </c>
      <c r="D4" s="7">
        <v>87000</v>
      </c>
      <c r="E4" s="36" t="s">
        <v>9</v>
      </c>
      <c r="F4" s="31"/>
      <c r="G4" s="39">
        <f>($D4/$D2)^(1/($B4-$B2))</f>
        <v>1.0109797692413225</v>
      </c>
    </row>
    <row r="5" spans="1:8" ht="15.75" thickBot="1" x14ac:dyDescent="0.3">
      <c r="A5" s="5" t="str">
        <f t="shared" si="0"/>
        <v>40A</v>
      </c>
      <c r="B5" s="5">
        <v>40</v>
      </c>
      <c r="C5" s="6">
        <v>15</v>
      </c>
      <c r="D5" s="7">
        <v>150000</v>
      </c>
      <c r="E5" s="36" t="s">
        <v>10</v>
      </c>
      <c r="F5" s="30">
        <f>($D5/$D3)^(1/($B5-$B3))</f>
        <v>1.0413797439924106</v>
      </c>
      <c r="G5" s="40"/>
    </row>
    <row r="6" spans="1:8" ht="15.75" thickBot="1" x14ac:dyDescent="0.3">
      <c r="A6" s="5" t="str">
        <f t="shared" si="0"/>
        <v>45B</v>
      </c>
      <c r="B6" s="5">
        <v>45</v>
      </c>
      <c r="C6" s="6">
        <v>240</v>
      </c>
      <c r="D6" s="7">
        <v>95000</v>
      </c>
      <c r="E6" s="36" t="s">
        <v>9</v>
      </c>
      <c r="F6" s="31"/>
      <c r="G6" s="39">
        <f>($D6/$D4)^(1/($B6-$B4))</f>
        <v>1.0177494363582376</v>
      </c>
    </row>
    <row r="7" spans="1:8" ht="15.75" thickBot="1" x14ac:dyDescent="0.3">
      <c r="A7" s="5" t="str">
        <f t="shared" si="0"/>
        <v>45A</v>
      </c>
      <c r="B7" s="5">
        <v>45</v>
      </c>
      <c r="C7" s="6">
        <v>30</v>
      </c>
      <c r="D7" s="7">
        <v>175000</v>
      </c>
      <c r="E7" s="36" t="s">
        <v>10</v>
      </c>
      <c r="F7" s="30">
        <f>($D7/$D5)^(1/($B7-$B5))</f>
        <v>1.0313103064775451</v>
      </c>
      <c r="G7" s="40"/>
    </row>
    <row r="8" spans="1:8" ht="15.75" thickBot="1" x14ac:dyDescent="0.3">
      <c r="A8" s="5" t="str">
        <f t="shared" si="0"/>
        <v>50B</v>
      </c>
      <c r="B8" s="5">
        <v>50</v>
      </c>
      <c r="C8" s="6">
        <v>180</v>
      </c>
      <c r="D8" s="7">
        <v>103000</v>
      </c>
      <c r="E8" s="36" t="s">
        <v>9</v>
      </c>
      <c r="F8" s="31"/>
      <c r="G8" s="39">
        <f>($D8/$D6)^(1/($B8-$B6))</f>
        <v>1.0163018681280294</v>
      </c>
    </row>
    <row r="9" spans="1:8" ht="15.75" thickBot="1" x14ac:dyDescent="0.3">
      <c r="A9" s="5" t="str">
        <f t="shared" si="0"/>
        <v>50A</v>
      </c>
      <c r="B9" s="5">
        <v>50</v>
      </c>
      <c r="C9" s="6">
        <v>25</v>
      </c>
      <c r="D9" s="7">
        <v>185000</v>
      </c>
      <c r="E9" s="36" t="s">
        <v>10</v>
      </c>
      <c r="F9" s="30">
        <f>($D9/$D7)^(1/($B9-$B7))</f>
        <v>1.0111759598354646</v>
      </c>
      <c r="G9" s="40"/>
    </row>
    <row r="10" spans="1:8" ht="15.75" thickBot="1" x14ac:dyDescent="0.3">
      <c r="A10" s="5" t="str">
        <f t="shared" si="0"/>
        <v>55B</v>
      </c>
      <c r="B10" s="5">
        <v>55</v>
      </c>
      <c r="C10" s="6">
        <v>50</v>
      </c>
      <c r="D10" s="7">
        <v>103000</v>
      </c>
      <c r="E10" s="36" t="s">
        <v>9</v>
      </c>
      <c r="F10" s="31"/>
      <c r="G10" s="39">
        <f>($D10/$D8)^(1/($B10-$B8))</f>
        <v>1</v>
      </c>
    </row>
    <row r="11" spans="1:8" ht="15.75" thickBot="1" x14ac:dyDescent="0.3">
      <c r="A11" s="5" t="str">
        <f t="shared" si="0"/>
        <v>55A</v>
      </c>
      <c r="B11" s="5">
        <v>55</v>
      </c>
      <c r="C11" s="6">
        <v>10</v>
      </c>
      <c r="D11" s="7">
        <v>250000</v>
      </c>
      <c r="E11" s="36" t="s">
        <v>10</v>
      </c>
      <c r="F11" s="41">
        <f>($D11/$D9)^(1/($B11-$B9))</f>
        <v>1.062071258063263</v>
      </c>
      <c r="G11" s="42"/>
      <c r="H11" s="32"/>
    </row>
    <row r="12" spans="1:8" x14ac:dyDescent="0.25">
      <c r="A12" t="str">
        <f t="shared" si="0"/>
        <v/>
      </c>
      <c r="F12" s="139">
        <f>AVERAGE(F2:F11)-1</f>
        <v>3.6484317092170926E-2</v>
      </c>
      <c r="G12" s="43">
        <f>AVERAGE(G2:G9)-1</f>
        <v>1.501035790919647E-2</v>
      </c>
      <c r="H12" s="33" t="s">
        <v>29</v>
      </c>
    </row>
    <row r="13" spans="1:8" x14ac:dyDescent="0.25">
      <c r="A13" t="str">
        <f t="shared" si="0"/>
        <v/>
      </c>
      <c r="F13" s="140"/>
      <c r="G13" s="44">
        <v>0</v>
      </c>
      <c r="H13" s="34" t="s">
        <v>28</v>
      </c>
    </row>
  </sheetData>
  <autoFilter ref="B2:B11"/>
  <mergeCells count="1">
    <mergeCell ref="F12:F1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38"/>
  <sheetViews>
    <sheetView zoomScale="85" zoomScaleNormal="85" workbookViewId="0">
      <pane xSplit="1" ySplit="1" topLeftCell="B2" activePane="bottomRight" state="frozen"/>
      <selection pane="topRight" activeCell="B1" sqref="B1"/>
      <selection pane="bottomLeft" activeCell="A2" sqref="A2"/>
      <selection pane="bottomRight" activeCell="M7" sqref="M7"/>
    </sheetView>
  </sheetViews>
  <sheetFormatPr defaultRowHeight="15" x14ac:dyDescent="0.25"/>
  <cols>
    <col min="1" max="1" width="3" bestFit="1" customWidth="1"/>
    <col min="3" max="3" width="11.5703125" bestFit="1" customWidth="1"/>
    <col min="4" max="6" width="6.7109375" customWidth="1"/>
    <col min="7" max="7" width="9.42578125" customWidth="1"/>
    <col min="8" max="8" width="17" customWidth="1"/>
    <col min="9" max="9" width="13.28515625" customWidth="1"/>
    <col min="10" max="10" width="13.7109375" bestFit="1" customWidth="1"/>
    <col min="11" max="11" width="12" bestFit="1" customWidth="1"/>
    <col min="12" max="12" width="12" customWidth="1"/>
    <col min="13" max="13" width="12.5703125" bestFit="1" customWidth="1"/>
    <col min="14" max="14" width="2.28515625" customWidth="1"/>
    <col min="17" max="19" width="6.7109375" customWidth="1"/>
    <col min="20" max="20" width="7.140625" bestFit="1" customWidth="1"/>
    <col min="21" max="21" width="14.85546875" customWidth="1"/>
    <col min="22" max="22" width="10.5703125" bestFit="1" customWidth="1"/>
    <col min="24" max="24" width="2.85546875" customWidth="1"/>
    <col min="27" max="29" width="6.7109375" customWidth="1"/>
    <col min="30" max="30" width="7.140625" bestFit="1" customWidth="1"/>
    <col min="31" max="31" width="14.5703125" customWidth="1"/>
    <col min="32" max="32" width="10.5703125" bestFit="1" customWidth="1"/>
  </cols>
  <sheetData>
    <row r="1" spans="1:33" ht="45" x14ac:dyDescent="0.25">
      <c r="A1" s="22"/>
      <c r="B1" s="22" t="s">
        <v>18</v>
      </c>
      <c r="C1" s="22" t="s">
        <v>19</v>
      </c>
      <c r="D1" s="22" t="s">
        <v>20</v>
      </c>
      <c r="E1" s="22" t="s">
        <v>21</v>
      </c>
      <c r="F1" s="22" t="s">
        <v>15</v>
      </c>
      <c r="G1" s="22" t="s">
        <v>17</v>
      </c>
      <c r="H1" s="23" t="s">
        <v>48</v>
      </c>
      <c r="I1" s="27" t="s">
        <v>25</v>
      </c>
      <c r="J1" s="21" t="s">
        <v>22</v>
      </c>
      <c r="K1" s="21" t="s">
        <v>23</v>
      </c>
      <c r="L1" s="21" t="s">
        <v>22</v>
      </c>
      <c r="M1" s="23" t="s">
        <v>26</v>
      </c>
      <c r="O1" t="s">
        <v>18</v>
      </c>
      <c r="P1" t="s">
        <v>19</v>
      </c>
      <c r="Q1" t="s">
        <v>20</v>
      </c>
      <c r="R1" t="s">
        <v>21</v>
      </c>
      <c r="S1" t="s">
        <v>15</v>
      </c>
      <c r="T1" t="s">
        <v>17</v>
      </c>
      <c r="U1" s="23" t="s">
        <v>48</v>
      </c>
      <c r="V1" t="s">
        <v>22</v>
      </c>
      <c r="W1" s="23" t="s">
        <v>24</v>
      </c>
      <c r="Y1" t="s">
        <v>18</v>
      </c>
      <c r="Z1" t="s">
        <v>19</v>
      </c>
      <c r="AA1" t="s">
        <v>20</v>
      </c>
      <c r="AB1" t="s">
        <v>21</v>
      </c>
      <c r="AC1" t="s">
        <v>15</v>
      </c>
      <c r="AD1" t="s">
        <v>17</v>
      </c>
      <c r="AE1" s="23" t="s">
        <v>48</v>
      </c>
      <c r="AF1" t="s">
        <v>22</v>
      </c>
      <c r="AG1" s="23" t="s">
        <v>24</v>
      </c>
    </row>
    <row r="2" spans="1:33" x14ac:dyDescent="0.25">
      <c r="A2">
        <v>1</v>
      </c>
      <c r="B2">
        <v>35</v>
      </c>
      <c r="C2" s="11">
        <v>100000</v>
      </c>
      <c r="D2" s="8">
        <v>0.03</v>
      </c>
      <c r="E2" s="8">
        <v>0.08</v>
      </c>
      <c r="F2">
        <v>12</v>
      </c>
      <c r="G2" s="17">
        <v>9.9996943426144277E-2</v>
      </c>
      <c r="H2" s="16">
        <f>C2*$G$2*(1+$E$2)</f>
        <v>10799.669890023582</v>
      </c>
      <c r="I2" s="25">
        <f>H2/$F$2</f>
        <v>899.97249083529857</v>
      </c>
      <c r="J2" s="19">
        <f>NPV($E$2,$H$2:H2)*(1+$E$2)^(A2)</f>
        <v>10799.669890023582</v>
      </c>
      <c r="K2" s="11">
        <f>H2</f>
        <v>10799.669890023582</v>
      </c>
      <c r="L2" s="19">
        <f>K2</f>
        <v>10799.669890023582</v>
      </c>
      <c r="M2" s="18">
        <f>J32/F2</f>
        <v>150612.00000000003</v>
      </c>
      <c r="O2" s="15">
        <v>35</v>
      </c>
      <c r="P2" s="11">
        <v>100000</v>
      </c>
      <c r="Q2" s="8">
        <v>0.03</v>
      </c>
      <c r="R2" s="8">
        <v>0.08</v>
      </c>
      <c r="S2">
        <v>12</v>
      </c>
      <c r="T2" s="17">
        <v>0.12</v>
      </c>
      <c r="U2" s="16">
        <f t="shared" ref="U2:U16" si="0">P2*$T$2*(1+$R$2)</f>
        <v>12960</v>
      </c>
      <c r="V2" s="19">
        <f>NPV($R$2,U$2:U2)*(1+$R$2)^($A2)</f>
        <v>12960</v>
      </c>
      <c r="W2" s="14">
        <f>V32/12</f>
        <v>147746.32719874696</v>
      </c>
      <c r="Y2" s="15">
        <v>35</v>
      </c>
      <c r="Z2" s="11">
        <v>100000</v>
      </c>
      <c r="AA2" s="8">
        <v>0.03</v>
      </c>
      <c r="AB2" s="8">
        <v>0.08</v>
      </c>
      <c r="AC2">
        <v>12</v>
      </c>
      <c r="AD2" s="17">
        <v>5.5399999999999998E-2</v>
      </c>
      <c r="AE2" s="16">
        <f t="shared" ref="AE2:AE16" si="1">Z2*$AD$2*(1+$AB$2)</f>
        <v>5983.2000000000007</v>
      </c>
      <c r="AF2" s="19">
        <f>NPV($R$2,AE$2:AE2)*(1+$R$2)^($A2)</f>
        <v>5983.2000000000007</v>
      </c>
      <c r="AG2" s="14">
        <f>AF32/12</f>
        <v>150654.5612740496</v>
      </c>
    </row>
    <row r="3" spans="1:33" x14ac:dyDescent="0.25">
      <c r="A3">
        <f>A2+1</f>
        <v>2</v>
      </c>
      <c r="B3">
        <f>B2+1</f>
        <v>36</v>
      </c>
      <c r="C3" s="11">
        <f>C2*(1+$D$2)</f>
        <v>103000</v>
      </c>
      <c r="H3" s="16">
        <f t="shared" ref="H3:H32" si="2">C3*$G$2*(1+$E$2)</f>
        <v>11123.659986724291</v>
      </c>
      <c r="I3" s="25">
        <f t="shared" ref="I3:I32" si="3">H3/$F$2</f>
        <v>926.97166556035756</v>
      </c>
      <c r="J3" s="19">
        <f>NPV($E$2,$H$2:H3)*(1+$E$2)^(A3)</f>
        <v>22787.303467949761</v>
      </c>
      <c r="K3" s="11">
        <f t="shared" ref="K3:K32" si="4">K2*(1+$E$2)+H3</f>
        <v>22787.303467949761</v>
      </c>
      <c r="L3" s="19">
        <f t="shared" ref="L3:L32" si="5">K3</f>
        <v>22787.303467949761</v>
      </c>
      <c r="M3" s="26">
        <f>NPV($E$2,I2:I32)*(1+$E$2)^A32</f>
        <v>150612.00000000003</v>
      </c>
      <c r="O3" s="15">
        <f>O2+1</f>
        <v>36</v>
      </c>
      <c r="P3" s="11">
        <f>P2*(1+$D$2)</f>
        <v>103000</v>
      </c>
      <c r="U3" s="16">
        <f t="shared" si="0"/>
        <v>13348.800000000001</v>
      </c>
      <c r="V3" s="19">
        <f>NPV($R$2,U$2:U3)*(1+$R$2)^($A3)</f>
        <v>27345.599999999999</v>
      </c>
      <c r="Y3" s="15">
        <f>Y2+1</f>
        <v>36</v>
      </c>
      <c r="Z3" s="11">
        <f>Z2*(1+$D$2)</f>
        <v>103000</v>
      </c>
      <c r="AE3" s="16">
        <f t="shared" si="1"/>
        <v>6162.6959999999999</v>
      </c>
      <c r="AF3" s="19">
        <f>NPV($R$2,AE$2:AE3)*(1+$R$2)^($A3)</f>
        <v>12624.552000000001</v>
      </c>
    </row>
    <row r="4" spans="1:33" x14ac:dyDescent="0.25">
      <c r="A4">
        <f t="shared" ref="A4:A17" si="6">A3+1</f>
        <v>3</v>
      </c>
      <c r="B4">
        <f t="shared" ref="B4:B17" si="7">B3+1</f>
        <v>37</v>
      </c>
      <c r="C4" s="11">
        <f t="shared" ref="C4:C31" si="8">C3*(1+$D$2)</f>
        <v>106090</v>
      </c>
      <c r="H4" s="16">
        <f t="shared" si="2"/>
        <v>11457.369786326019</v>
      </c>
      <c r="I4" s="25">
        <f t="shared" si="3"/>
        <v>954.78081552716822</v>
      </c>
      <c r="J4" s="19">
        <f>NPV($E$2,$H$2:H4)*(1+$E$2)^(A4)</f>
        <v>36067.65753171176</v>
      </c>
      <c r="K4" s="11">
        <f t="shared" si="4"/>
        <v>36067.65753171176</v>
      </c>
      <c r="L4" s="19">
        <f t="shared" si="5"/>
        <v>36067.65753171176</v>
      </c>
      <c r="M4" s="18">
        <v>150612</v>
      </c>
      <c r="O4" s="15">
        <f t="shared" ref="O4:O31" si="9">O3+1</f>
        <v>37</v>
      </c>
      <c r="P4" s="11">
        <f t="shared" ref="P4:P31" si="10">P3*(1+$D$2)</f>
        <v>106090</v>
      </c>
      <c r="U4" s="16">
        <f t="shared" si="0"/>
        <v>13749.263999999999</v>
      </c>
      <c r="V4" s="19">
        <f>NPV($R$2,U$2:U4)*(1+$R$2)^($A4)</f>
        <v>43282.512000000002</v>
      </c>
      <c r="Y4" s="15">
        <f t="shared" ref="Y4:Y31" si="11">Y3+1</f>
        <v>37</v>
      </c>
      <c r="Z4" s="11">
        <f t="shared" ref="Z4:Z31" si="12">Z3*(1+$D$2)</f>
        <v>106090</v>
      </c>
      <c r="AE4" s="16">
        <f t="shared" si="1"/>
        <v>6347.5768799999996</v>
      </c>
      <c r="AF4" s="19">
        <f>NPV($R$2,AE$2:AE4)*(1+$R$2)^($A4)</f>
        <v>19982.093040000003</v>
      </c>
    </row>
    <row r="5" spans="1:33" x14ac:dyDescent="0.25">
      <c r="A5">
        <f t="shared" si="6"/>
        <v>4</v>
      </c>
      <c r="B5">
        <f t="shared" si="7"/>
        <v>38</v>
      </c>
      <c r="C5" s="11">
        <f t="shared" si="8"/>
        <v>109272.7</v>
      </c>
      <c r="H5" s="16">
        <f t="shared" si="2"/>
        <v>11801.090879915801</v>
      </c>
      <c r="I5" s="25">
        <f t="shared" si="3"/>
        <v>983.42423999298342</v>
      </c>
      <c r="J5" s="19">
        <f>NPV($E$2,$H$2:H5)*(1+$E$2)^(A5)</f>
        <v>50754.1610141645</v>
      </c>
      <c r="K5" s="11">
        <f t="shared" si="4"/>
        <v>50754.1610141645</v>
      </c>
      <c r="L5" s="19">
        <f t="shared" si="5"/>
        <v>50754.1610141645</v>
      </c>
      <c r="M5" s="28">
        <f>$M$4/M2</f>
        <v>0.99999999999999978</v>
      </c>
      <c r="O5" s="15">
        <f t="shared" si="9"/>
        <v>38</v>
      </c>
      <c r="P5" s="11">
        <f t="shared" si="10"/>
        <v>109272.7</v>
      </c>
      <c r="U5" s="16">
        <f t="shared" si="0"/>
        <v>14161.741919999999</v>
      </c>
      <c r="V5" s="19">
        <f>NPV($R$2,U$2:U5)*(1+$R$2)^($A5)</f>
        <v>60906.854880000006</v>
      </c>
      <c r="W5" s="12">
        <f>$M$4/W2</f>
        <v>1.0193958987379643</v>
      </c>
      <c r="Y5" s="15">
        <f t="shared" si="11"/>
        <v>38</v>
      </c>
      <c r="Z5" s="11">
        <f t="shared" si="12"/>
        <v>109272.7</v>
      </c>
      <c r="AE5" s="16">
        <f t="shared" si="1"/>
        <v>6538.0041863999995</v>
      </c>
      <c r="AF5" s="19">
        <f>NPV($R$2,AE$2:AE5)*(1+$R$2)^($A5)</f>
        <v>28118.664669600006</v>
      </c>
      <c r="AG5" s="12">
        <f>$M$4/AG2</f>
        <v>0.99971749096947571</v>
      </c>
    </row>
    <row r="6" spans="1:33" x14ac:dyDescent="0.25">
      <c r="A6">
        <f t="shared" si="6"/>
        <v>5</v>
      </c>
      <c r="B6">
        <f t="shared" si="7"/>
        <v>39</v>
      </c>
      <c r="C6" s="11">
        <f t="shared" si="8"/>
        <v>112550.88099999999</v>
      </c>
      <c r="H6" s="16">
        <f t="shared" si="2"/>
        <v>12155.123606313273</v>
      </c>
      <c r="I6" s="25">
        <f t="shared" si="3"/>
        <v>1012.9269671927727</v>
      </c>
      <c r="J6" s="19">
        <f>NPV($E$2,$H$2:H6)*(1+$E$2)^(A6)</f>
        <v>66969.617501610934</v>
      </c>
      <c r="K6" s="11">
        <f t="shared" si="4"/>
        <v>66969.617501610934</v>
      </c>
      <c r="L6" s="19">
        <f t="shared" si="5"/>
        <v>66969.617501610934</v>
      </c>
      <c r="O6" s="15">
        <f t="shared" si="9"/>
        <v>39</v>
      </c>
      <c r="P6" s="11">
        <f t="shared" si="10"/>
        <v>112550.88099999999</v>
      </c>
      <c r="U6" s="16">
        <f t="shared" si="0"/>
        <v>14586.5941776</v>
      </c>
      <c r="V6" s="19">
        <f>NPV($R$2,U$2:U6)*(1+$R$2)^($A6)</f>
        <v>80365.997448000009</v>
      </c>
      <c r="Y6" s="15">
        <f t="shared" si="11"/>
        <v>39</v>
      </c>
      <c r="Z6" s="11">
        <f t="shared" si="12"/>
        <v>112550.88099999999</v>
      </c>
      <c r="AE6" s="16">
        <f t="shared" si="1"/>
        <v>6734.1443119919995</v>
      </c>
      <c r="AF6" s="19">
        <f>NPV($R$2,AE$2:AE6)*(1+$R$2)^($A6)</f>
        <v>37102.302155160003</v>
      </c>
    </row>
    <row r="7" spans="1:33" x14ac:dyDescent="0.25">
      <c r="A7">
        <f t="shared" si="6"/>
        <v>6</v>
      </c>
      <c r="B7">
        <f t="shared" si="7"/>
        <v>40</v>
      </c>
      <c r="C7" s="11">
        <f t="shared" si="8"/>
        <v>115927.40742999999</v>
      </c>
      <c r="H7" s="16">
        <f t="shared" si="2"/>
        <v>12519.777314502669</v>
      </c>
      <c r="I7" s="25">
        <f>H7/$F$2</f>
        <v>1043.3147762085557</v>
      </c>
      <c r="J7" s="19">
        <f>NPV($E$2,$H$2:H7)*(1+$E$2)^(A7)</f>
        <v>84846.964216242486</v>
      </c>
      <c r="K7" s="11">
        <f t="shared" si="4"/>
        <v>84846.964216242486</v>
      </c>
      <c r="L7" s="19">
        <f t="shared" si="5"/>
        <v>84846.964216242486</v>
      </c>
      <c r="O7" s="15">
        <f t="shared" si="9"/>
        <v>40</v>
      </c>
      <c r="P7" s="11">
        <f t="shared" si="10"/>
        <v>115927.40742999999</v>
      </c>
      <c r="U7" s="16">
        <f t="shared" si="0"/>
        <v>15024.192002928001</v>
      </c>
      <c r="V7" s="19">
        <f>NPV($R$2,U$2:U7)*(1+$R$2)^($A7)</f>
        <v>101819.46924676803</v>
      </c>
      <c r="Y7" s="15">
        <f t="shared" si="11"/>
        <v>40</v>
      </c>
      <c r="Z7" s="11">
        <f t="shared" si="12"/>
        <v>115927.40742999999</v>
      </c>
      <c r="AE7" s="16">
        <f t="shared" si="1"/>
        <v>6936.16864135176</v>
      </c>
      <c r="AF7" s="19">
        <f>NPV($R$2,AE$2:AE7)*(1+$R$2)^($A7)</f>
        <v>47006.654968924566</v>
      </c>
    </row>
    <row r="8" spans="1:33" x14ac:dyDescent="0.25">
      <c r="A8">
        <f t="shared" si="6"/>
        <v>7</v>
      </c>
      <c r="B8">
        <f t="shared" si="7"/>
        <v>41</v>
      </c>
      <c r="C8" s="11">
        <f t="shared" si="8"/>
        <v>119405.2296529</v>
      </c>
      <c r="H8" s="16">
        <f t="shared" si="2"/>
        <v>12895.370633937753</v>
      </c>
      <c r="I8" s="25">
        <f t="shared" si="3"/>
        <v>1074.6142194948127</v>
      </c>
      <c r="J8" s="19">
        <f>NPV($E$2,$H$2:H8)*(1+$E$2)^(A8)</f>
        <v>104530.09198747967</v>
      </c>
      <c r="K8" s="11">
        <f t="shared" si="4"/>
        <v>104530.09198747964</v>
      </c>
      <c r="L8" s="19">
        <f t="shared" si="5"/>
        <v>104530.09198747964</v>
      </c>
      <c r="O8" s="15">
        <f t="shared" si="9"/>
        <v>41</v>
      </c>
      <c r="P8" s="11">
        <f t="shared" si="10"/>
        <v>119405.2296529</v>
      </c>
      <c r="U8" s="16">
        <f t="shared" si="0"/>
        <v>15474.917763015841</v>
      </c>
      <c r="V8" s="19">
        <f>NPV($R$2,U$2:U8)*(1+$R$2)^($A8)</f>
        <v>125439.94454952532</v>
      </c>
      <c r="Y8" s="15">
        <f t="shared" si="11"/>
        <v>41</v>
      </c>
      <c r="Z8" s="11">
        <f t="shared" si="12"/>
        <v>119405.2296529</v>
      </c>
      <c r="AE8" s="16">
        <f t="shared" si="1"/>
        <v>7144.2537005923132</v>
      </c>
      <c r="AF8" s="19">
        <f>NPV($R$2,AE$2:AE8)*(1+$R$2)^($A8)</f>
        <v>57911.44106703085</v>
      </c>
    </row>
    <row r="9" spans="1:33" x14ac:dyDescent="0.25">
      <c r="A9">
        <f t="shared" si="6"/>
        <v>8</v>
      </c>
      <c r="B9">
        <f t="shared" si="7"/>
        <v>42</v>
      </c>
      <c r="C9" s="11">
        <f t="shared" si="8"/>
        <v>122987.386542487</v>
      </c>
      <c r="H9" s="16">
        <f t="shared" si="2"/>
        <v>13282.231752955884</v>
      </c>
      <c r="I9" s="25">
        <f t="shared" si="3"/>
        <v>1106.852646079657</v>
      </c>
      <c r="J9" s="19">
        <f>NPV($E$2,$H$2:H9)*(1+$E$2)^(A9)</f>
        <v>126174.73109943392</v>
      </c>
      <c r="K9" s="11">
        <f t="shared" si="4"/>
        <v>126174.73109943389</v>
      </c>
      <c r="L9" s="19">
        <f t="shared" si="5"/>
        <v>126174.73109943389</v>
      </c>
      <c r="O9" s="15">
        <f t="shared" si="9"/>
        <v>42</v>
      </c>
      <c r="P9" s="11">
        <f t="shared" si="10"/>
        <v>122987.386542487</v>
      </c>
      <c r="U9" s="16">
        <f t="shared" si="0"/>
        <v>15939.165295906316</v>
      </c>
      <c r="V9" s="19">
        <f>NPV($R$2,U$2:U9)*(1+$R$2)^($A9)</f>
        <v>151414.30540939365</v>
      </c>
      <c r="Y9" s="15">
        <f t="shared" si="11"/>
        <v>42</v>
      </c>
      <c r="Z9" s="11">
        <f t="shared" si="12"/>
        <v>122987.386542487</v>
      </c>
      <c r="AE9" s="16">
        <f t="shared" si="1"/>
        <v>7358.5813116100826</v>
      </c>
      <c r="AF9" s="19">
        <f>NPV($R$2,AE$2:AE9)*(1+$R$2)^($A9)</f>
        <v>69902.937664003402</v>
      </c>
    </row>
    <row r="10" spans="1:33" x14ac:dyDescent="0.25">
      <c r="A10">
        <f t="shared" si="6"/>
        <v>9</v>
      </c>
      <c r="B10">
        <f t="shared" si="7"/>
        <v>43</v>
      </c>
      <c r="C10" s="11">
        <f t="shared" si="8"/>
        <v>126677.00813876161</v>
      </c>
      <c r="H10" s="16">
        <f t="shared" si="2"/>
        <v>13680.698705544561</v>
      </c>
      <c r="I10" s="25">
        <f t="shared" si="3"/>
        <v>1140.0582254620467</v>
      </c>
      <c r="J10" s="19">
        <f>NPV($E$2,$H$2:H10)*(1+$E$2)^(A10)</f>
        <v>149949.40829293319</v>
      </c>
      <c r="K10" s="11">
        <f t="shared" si="4"/>
        <v>149949.40829293316</v>
      </c>
      <c r="L10" s="19">
        <f t="shared" si="5"/>
        <v>149949.40829293316</v>
      </c>
      <c r="O10" s="15">
        <f t="shared" si="9"/>
        <v>43</v>
      </c>
      <c r="P10" s="11">
        <f t="shared" si="10"/>
        <v>126677.00813876161</v>
      </c>
      <c r="U10" s="16">
        <f t="shared" si="0"/>
        <v>16417.340254783503</v>
      </c>
      <c r="V10" s="19">
        <f>NPV($R$2,U$2:U10)*(1+$R$2)^($A10)</f>
        <v>179944.79009692866</v>
      </c>
      <c r="Y10" s="15">
        <f t="shared" si="11"/>
        <v>43</v>
      </c>
      <c r="Z10" s="11">
        <f t="shared" si="12"/>
        <v>126677.00813876161</v>
      </c>
      <c r="AE10" s="16">
        <f t="shared" si="1"/>
        <v>7579.3387509583854</v>
      </c>
      <c r="AF10" s="19">
        <f>NPV($R$2,AE$2:AE10)*(1+$R$2)^($A10)</f>
        <v>83074.511428082071</v>
      </c>
    </row>
    <row r="11" spans="1:33" x14ac:dyDescent="0.25">
      <c r="A11">
        <f t="shared" si="6"/>
        <v>10</v>
      </c>
      <c r="B11">
        <f t="shared" si="7"/>
        <v>44</v>
      </c>
      <c r="C11" s="11">
        <f t="shared" si="8"/>
        <v>130477.31838292447</v>
      </c>
      <c r="H11" s="16">
        <f t="shared" si="2"/>
        <v>14091.119666710898</v>
      </c>
      <c r="I11" s="25">
        <f t="shared" si="3"/>
        <v>1174.2599722259081</v>
      </c>
      <c r="J11" s="19">
        <f>NPV($E$2,$H$2:H11)*(1+$E$2)^(A11)</f>
        <v>176036.48062307877</v>
      </c>
      <c r="K11" s="11">
        <f t="shared" si="4"/>
        <v>176036.48062307874</v>
      </c>
      <c r="L11" s="19">
        <f t="shared" si="5"/>
        <v>176036.48062307874</v>
      </c>
      <c r="O11" s="15">
        <f t="shared" si="9"/>
        <v>44</v>
      </c>
      <c r="P11" s="11">
        <f t="shared" si="10"/>
        <v>130477.31838292447</v>
      </c>
      <c r="U11" s="16">
        <f t="shared" si="0"/>
        <v>16909.860462427012</v>
      </c>
      <c r="V11" s="19">
        <f>NPV($R$2,U$2:U11)*(1+$R$2)^($A11)</f>
        <v>211250.23376710998</v>
      </c>
      <c r="Y11" s="15">
        <f t="shared" si="11"/>
        <v>44</v>
      </c>
      <c r="Z11" s="11">
        <f t="shared" si="12"/>
        <v>130477.31838292447</v>
      </c>
      <c r="AE11" s="16">
        <f t="shared" si="1"/>
        <v>7806.7189134871369</v>
      </c>
      <c r="AF11" s="19">
        <f>NPV($R$2,AE$2:AE11)*(1+$R$2)^($A11)</f>
        <v>97527.191255815778</v>
      </c>
    </row>
    <row r="12" spans="1:33" x14ac:dyDescent="0.25">
      <c r="A12">
        <f t="shared" si="6"/>
        <v>11</v>
      </c>
      <c r="B12">
        <f t="shared" si="7"/>
        <v>45</v>
      </c>
      <c r="C12" s="11">
        <f t="shared" si="8"/>
        <v>134391.6379344122</v>
      </c>
      <c r="H12" s="16">
        <f t="shared" si="2"/>
        <v>14513.853256712226</v>
      </c>
      <c r="I12" s="25">
        <f t="shared" si="3"/>
        <v>1209.4877713926855</v>
      </c>
      <c r="J12" s="19">
        <f>NPV($E$2,$H$2:H12)*(1+$E$2)^(A12)</f>
        <v>204633.25232963727</v>
      </c>
      <c r="K12" s="11">
        <f t="shared" si="4"/>
        <v>204633.25232963727</v>
      </c>
      <c r="L12" s="19">
        <f t="shared" si="5"/>
        <v>204633.25232963727</v>
      </c>
      <c r="O12" s="15">
        <f t="shared" si="9"/>
        <v>45</v>
      </c>
      <c r="P12" s="11">
        <f t="shared" si="10"/>
        <v>134391.6379344122</v>
      </c>
      <c r="U12" s="16">
        <f t="shared" si="0"/>
        <v>17417.156276299822</v>
      </c>
      <c r="V12" s="19">
        <f>NPV($R$2,U$2:U12)*(1+$R$2)^($A12)</f>
        <v>245567.40874477857</v>
      </c>
      <c r="Y12" s="15">
        <f t="shared" si="11"/>
        <v>45</v>
      </c>
      <c r="Z12" s="11">
        <f t="shared" si="12"/>
        <v>134391.6379344122</v>
      </c>
      <c r="AE12" s="16">
        <f t="shared" si="1"/>
        <v>8040.9204808917502</v>
      </c>
      <c r="AF12" s="19">
        <f>NPV($R$2,AE$2:AE12)*(1+$R$2)^($A12)</f>
        <v>113370.28703717278</v>
      </c>
    </row>
    <row r="13" spans="1:33" x14ac:dyDescent="0.25">
      <c r="A13">
        <f t="shared" si="6"/>
        <v>12</v>
      </c>
      <c r="B13">
        <f t="shared" si="7"/>
        <v>46</v>
      </c>
      <c r="C13" s="11">
        <f t="shared" si="8"/>
        <v>138423.38707244457</v>
      </c>
      <c r="H13" s="16">
        <f t="shared" si="2"/>
        <v>14949.268854413593</v>
      </c>
      <c r="I13" s="25">
        <f t="shared" si="3"/>
        <v>1245.772404534466</v>
      </c>
      <c r="J13" s="19">
        <f>NPV($E$2,$H$2:H13)*(1+$E$2)^(A13)</f>
        <v>235953.18137042187</v>
      </c>
      <c r="K13" s="11">
        <f t="shared" si="4"/>
        <v>235953.18137042187</v>
      </c>
      <c r="L13" s="19">
        <f t="shared" si="5"/>
        <v>235953.18137042187</v>
      </c>
      <c r="O13" s="15">
        <f t="shared" si="9"/>
        <v>46</v>
      </c>
      <c r="P13" s="11">
        <f t="shared" si="10"/>
        <v>138423.38707244457</v>
      </c>
      <c r="U13" s="16">
        <f t="shared" si="0"/>
        <v>17939.670964588815</v>
      </c>
      <c r="V13" s="19">
        <f>NPV($R$2,U$2:U13)*(1+$R$2)^($A13)</f>
        <v>283152.47240894969</v>
      </c>
      <c r="Y13" s="15">
        <f t="shared" si="11"/>
        <v>46</v>
      </c>
      <c r="Z13" s="11">
        <f t="shared" si="12"/>
        <v>138423.38707244457</v>
      </c>
      <c r="AE13" s="16">
        <f t="shared" si="1"/>
        <v>8282.1480953185037</v>
      </c>
      <c r="AF13" s="19">
        <f>NPV($R$2,AE$2:AE13)*(1+$R$2)^($A13)</f>
        <v>130722.05809546511</v>
      </c>
    </row>
    <row r="14" spans="1:33" x14ac:dyDescent="0.25">
      <c r="A14">
        <f t="shared" si="6"/>
        <v>13</v>
      </c>
      <c r="B14">
        <f t="shared" si="7"/>
        <v>47</v>
      </c>
      <c r="C14" s="11">
        <f t="shared" si="8"/>
        <v>142576.08868461792</v>
      </c>
      <c r="H14" s="16">
        <f t="shared" si="2"/>
        <v>15397.746920046002</v>
      </c>
      <c r="I14" s="25">
        <f t="shared" si="3"/>
        <v>1283.1455766705001</v>
      </c>
      <c r="J14" s="19">
        <f>NPV($E$2,$H$2:H14)*(1+$E$2)^(A14)</f>
        <v>270227.18280010164</v>
      </c>
      <c r="K14" s="11">
        <f t="shared" si="4"/>
        <v>270227.18280010164</v>
      </c>
      <c r="L14" s="19">
        <f t="shared" si="5"/>
        <v>270227.18280010164</v>
      </c>
      <c r="O14" s="15">
        <f t="shared" si="9"/>
        <v>47</v>
      </c>
      <c r="P14" s="11">
        <f t="shared" si="10"/>
        <v>142576.08868461792</v>
      </c>
      <c r="U14" s="16">
        <f t="shared" si="0"/>
        <v>18477.861093526481</v>
      </c>
      <c r="V14" s="19">
        <f>NPV($R$2,U$2:U14)*(1+$R$2)^($A14)</f>
        <v>324282.53129519214</v>
      </c>
      <c r="Y14" s="15">
        <f t="shared" si="11"/>
        <v>47</v>
      </c>
      <c r="Z14" s="11">
        <f t="shared" si="12"/>
        <v>142576.08868461792</v>
      </c>
      <c r="AE14" s="16">
        <f t="shared" si="1"/>
        <v>8530.6125381780603</v>
      </c>
      <c r="AF14" s="19">
        <f>NPV($R$2,AE$2:AE14)*(1+$R$2)^($A14)</f>
        <v>149710.43528128037</v>
      </c>
    </row>
    <row r="15" spans="1:33" x14ac:dyDescent="0.25">
      <c r="A15">
        <f t="shared" si="6"/>
        <v>14</v>
      </c>
      <c r="B15">
        <f t="shared" si="7"/>
        <v>48</v>
      </c>
      <c r="C15" s="11">
        <f t="shared" si="8"/>
        <v>146853.37134515645</v>
      </c>
      <c r="H15" s="16">
        <f t="shared" si="2"/>
        <v>15859.679327647382</v>
      </c>
      <c r="I15" s="25">
        <f t="shared" si="3"/>
        <v>1321.6399439706151</v>
      </c>
      <c r="J15" s="19">
        <f>NPV($E$2,$H$2:H15)*(1+$E$2)^(A15)</f>
        <v>307705.0367517572</v>
      </c>
      <c r="K15" s="11">
        <f t="shared" si="4"/>
        <v>307705.03675175714</v>
      </c>
      <c r="L15" s="19">
        <f t="shared" si="5"/>
        <v>307705.03675175714</v>
      </c>
      <c r="O15" s="15">
        <f t="shared" si="9"/>
        <v>48</v>
      </c>
      <c r="P15" s="11">
        <f t="shared" si="10"/>
        <v>146853.37134515645</v>
      </c>
      <c r="U15" s="16">
        <f t="shared" si="0"/>
        <v>19032.196926332279</v>
      </c>
      <c r="V15" s="19">
        <f>NPV($R$2,U$2:U15)*(1+$R$2)^($A15)</f>
        <v>369257.33072513988</v>
      </c>
      <c r="Y15" s="15">
        <f t="shared" si="11"/>
        <v>48</v>
      </c>
      <c r="Z15" s="11">
        <f t="shared" si="12"/>
        <v>146853.37134515645</v>
      </c>
      <c r="AE15" s="16">
        <f t="shared" si="1"/>
        <v>8786.5309143234008</v>
      </c>
      <c r="AF15" s="19">
        <f>NPV($R$2,AE$2:AE15)*(1+$R$2)^($A15)</f>
        <v>170473.80101810626</v>
      </c>
    </row>
    <row r="16" spans="1:33" x14ac:dyDescent="0.25">
      <c r="A16">
        <f t="shared" si="6"/>
        <v>15</v>
      </c>
      <c r="B16">
        <f t="shared" si="7"/>
        <v>49</v>
      </c>
      <c r="C16" s="11">
        <f t="shared" si="8"/>
        <v>151258.97248551116</v>
      </c>
      <c r="H16" s="16">
        <f t="shared" si="2"/>
        <v>16335.469707476805</v>
      </c>
      <c r="I16" s="25">
        <f t="shared" si="3"/>
        <v>1361.2891422897337</v>
      </c>
      <c r="J16" s="19">
        <f>NPV($E$2,$H$2:H16)*(1+$E$2)^(A16)</f>
        <v>348656.90939937456</v>
      </c>
      <c r="K16" s="11">
        <f t="shared" si="4"/>
        <v>348656.9093993745</v>
      </c>
      <c r="L16" s="19">
        <f t="shared" si="5"/>
        <v>348656.9093993745</v>
      </c>
      <c r="O16" s="15">
        <f t="shared" si="9"/>
        <v>49</v>
      </c>
      <c r="P16" s="11">
        <f t="shared" si="10"/>
        <v>151258.97248551116</v>
      </c>
      <c r="U16" s="16">
        <f t="shared" si="0"/>
        <v>19603.162834122246</v>
      </c>
      <c r="V16" s="19">
        <f>NPV($R$2,U$2:U16)*(1+$R$2)^($A16)</f>
        <v>418401.08001727331</v>
      </c>
      <c r="Y16" s="15">
        <f t="shared" si="11"/>
        <v>49</v>
      </c>
      <c r="Z16" s="11">
        <f t="shared" si="12"/>
        <v>151258.97248551116</v>
      </c>
      <c r="AE16" s="16">
        <f t="shared" si="1"/>
        <v>9050.1268417531046</v>
      </c>
      <c r="AF16" s="19">
        <f>NPV($R$2,AE$2:AE16)*(1+$R$2)^($A16)</f>
        <v>193161.83194130784</v>
      </c>
    </row>
    <row r="17" spans="1:32" x14ac:dyDescent="0.25">
      <c r="A17">
        <f t="shared" si="6"/>
        <v>16</v>
      </c>
      <c r="B17">
        <f t="shared" si="7"/>
        <v>50</v>
      </c>
      <c r="C17" s="11">
        <f t="shared" si="8"/>
        <v>155796.74166007648</v>
      </c>
      <c r="H17" s="16">
        <f t="shared" si="2"/>
        <v>16825.533798701108</v>
      </c>
      <c r="I17" s="25">
        <f t="shared" si="3"/>
        <v>1402.1278165584256</v>
      </c>
      <c r="J17" s="19">
        <f>NPV($E$2,$H$2:H17)*(1+$E$2)^(A17)</f>
        <v>393374.99595002568</v>
      </c>
      <c r="K17" s="11">
        <f t="shared" si="4"/>
        <v>393374.99595002562</v>
      </c>
      <c r="L17" s="19">
        <f t="shared" si="5"/>
        <v>393374.99595002562</v>
      </c>
      <c r="O17">
        <f t="shared" si="9"/>
        <v>50</v>
      </c>
      <c r="P17" s="11">
        <f t="shared" si="10"/>
        <v>155796.74166007648</v>
      </c>
      <c r="T17" s="17">
        <v>5.5399999999999998E-2</v>
      </c>
      <c r="U17" s="16">
        <f>P17*$T$17*(1+$R$2)</f>
        <v>9321.630647005697</v>
      </c>
      <c r="V17" s="19">
        <f>NPV($R$2,U$2:U17)*(1+$R$2)^($A17)</f>
        <v>461194.79706566088</v>
      </c>
      <c r="Y17">
        <f t="shared" si="11"/>
        <v>50</v>
      </c>
      <c r="Z17" s="11">
        <f t="shared" si="12"/>
        <v>155796.74166007648</v>
      </c>
      <c r="AD17" s="17">
        <v>0.187</v>
      </c>
      <c r="AE17" s="16">
        <f>Z17*$AD$17*(1+$AB$2)</f>
        <v>31464.709945669052</v>
      </c>
      <c r="AF17" s="19">
        <f>NPV($R$2,AE$2:AE17)*(1+$R$2)^($A17)</f>
        <v>240079.48844228152</v>
      </c>
    </row>
    <row r="18" spans="1:32" x14ac:dyDescent="0.25">
      <c r="A18">
        <f t="shared" ref="A18:A28" si="13">A17+1</f>
        <v>17</v>
      </c>
      <c r="B18">
        <f t="shared" ref="B18:B28" si="14">B17+1</f>
        <v>51</v>
      </c>
      <c r="C18" s="11">
        <f t="shared" si="8"/>
        <v>160470.6439098788</v>
      </c>
      <c r="H18" s="16">
        <f t="shared" si="2"/>
        <v>17330.299812662142</v>
      </c>
      <c r="I18" s="25">
        <f t="shared" si="3"/>
        <v>1444.1916510551785</v>
      </c>
      <c r="J18" s="19">
        <f>NPV($E$2,$H$2:H18)*(1+$E$2)^(A18)</f>
        <v>442175.29543868982</v>
      </c>
      <c r="K18" s="11">
        <f t="shared" si="4"/>
        <v>442175.29543868982</v>
      </c>
      <c r="L18" s="19">
        <f t="shared" si="5"/>
        <v>442175.29543868982</v>
      </c>
      <c r="O18">
        <f t="shared" si="9"/>
        <v>51</v>
      </c>
      <c r="P18" s="11">
        <f t="shared" si="10"/>
        <v>160470.6439098788</v>
      </c>
      <c r="U18" s="16">
        <f t="shared" ref="U18:U31" si="15">P18*$T$17*(1+$R$2)</f>
        <v>9601.2795664158675</v>
      </c>
      <c r="V18" s="19">
        <f>NPV($R$2,U$2:U18)*(1+$R$2)^($A18)</f>
        <v>507691.66039732966</v>
      </c>
      <c r="Y18">
        <f t="shared" si="11"/>
        <v>51</v>
      </c>
      <c r="Z18" s="11">
        <f t="shared" si="12"/>
        <v>160470.6439098788</v>
      </c>
      <c r="AE18" s="16">
        <f t="shared" ref="AE18:AE32" si="16">Z18*$AD$17*(1+$AB$2)</f>
        <v>32408.651244039123</v>
      </c>
      <c r="AF18" s="19">
        <f>NPV($R$2,AE$2:AE18)*(1+$R$2)^($A18)</f>
        <v>291694.4987617032</v>
      </c>
    </row>
    <row r="19" spans="1:32" x14ac:dyDescent="0.25">
      <c r="A19">
        <f t="shared" si="13"/>
        <v>18</v>
      </c>
      <c r="B19">
        <f t="shared" si="14"/>
        <v>52</v>
      </c>
      <c r="C19" s="11">
        <f t="shared" si="8"/>
        <v>165284.76322717516</v>
      </c>
      <c r="H19" s="16">
        <f t="shared" si="2"/>
        <v>17850.20880704201</v>
      </c>
      <c r="I19" s="25">
        <f t="shared" si="3"/>
        <v>1487.5174005868341</v>
      </c>
      <c r="J19" s="19">
        <f>NPV($E$2,$H$2:H19)*(1+$E$2)^(A19)</f>
        <v>495399.52788082708</v>
      </c>
      <c r="K19" s="11">
        <f t="shared" si="4"/>
        <v>495399.52788082702</v>
      </c>
      <c r="L19" s="19">
        <f t="shared" si="5"/>
        <v>495399.52788082702</v>
      </c>
      <c r="O19">
        <f t="shared" si="9"/>
        <v>52</v>
      </c>
      <c r="P19" s="11">
        <f t="shared" si="10"/>
        <v>165284.76322717516</v>
      </c>
      <c r="U19" s="16">
        <f t="shared" si="15"/>
        <v>9889.3179534083447</v>
      </c>
      <c r="V19" s="19">
        <f>NPV($R$2,U$2:U19)*(1+$R$2)^($A19)</f>
        <v>558196.31118252431</v>
      </c>
      <c r="Y19">
        <f t="shared" si="11"/>
        <v>52</v>
      </c>
      <c r="Z19" s="11">
        <f t="shared" si="12"/>
        <v>165284.76322717516</v>
      </c>
      <c r="AE19" s="16">
        <f t="shared" si="16"/>
        <v>33380.910781360297</v>
      </c>
      <c r="AF19" s="19">
        <f>NPV($R$2,AE$2:AE19)*(1+$R$2)^($A19)</f>
        <v>348410.96944399975</v>
      </c>
    </row>
    <row r="20" spans="1:32" x14ac:dyDescent="0.25">
      <c r="A20">
        <f t="shared" si="13"/>
        <v>19</v>
      </c>
      <c r="B20">
        <f t="shared" si="14"/>
        <v>53</v>
      </c>
      <c r="C20" s="11">
        <f t="shared" si="8"/>
        <v>170243.30612399042</v>
      </c>
      <c r="H20" s="16">
        <f t="shared" si="2"/>
        <v>18385.715071253268</v>
      </c>
      <c r="I20" s="25">
        <f t="shared" si="3"/>
        <v>1532.142922604439</v>
      </c>
      <c r="J20" s="19">
        <f>NPV($E$2,$H$2:H20)*(1+$E$2)^(A20)</f>
        <v>553417.20518254652</v>
      </c>
      <c r="K20" s="11">
        <f t="shared" si="4"/>
        <v>553417.20518254652</v>
      </c>
      <c r="L20" s="19">
        <f t="shared" si="5"/>
        <v>553417.20518254652</v>
      </c>
      <c r="O20">
        <f t="shared" si="9"/>
        <v>53</v>
      </c>
      <c r="P20" s="11">
        <f t="shared" si="10"/>
        <v>170243.30612399042</v>
      </c>
      <c r="U20" s="16">
        <f t="shared" si="15"/>
        <v>10185.997492010596</v>
      </c>
      <c r="V20" s="19">
        <f>NPV($R$2,U$2:U20)*(1+$R$2)^($A20)</f>
        <v>613038.01356913697</v>
      </c>
      <c r="Y20">
        <f t="shared" si="11"/>
        <v>53</v>
      </c>
      <c r="Z20" s="11">
        <f t="shared" si="12"/>
        <v>170243.30612399042</v>
      </c>
      <c r="AE20" s="16">
        <f t="shared" si="16"/>
        <v>34382.338104801107</v>
      </c>
      <c r="AF20" s="19">
        <f>NPV($R$2,AE$2:AE20)*(1+$R$2)^($A20)</f>
        <v>410666.18510432082</v>
      </c>
    </row>
    <row r="21" spans="1:32" x14ac:dyDescent="0.25">
      <c r="A21">
        <f t="shared" si="13"/>
        <v>20</v>
      </c>
      <c r="B21">
        <f t="shared" si="14"/>
        <v>54</v>
      </c>
      <c r="C21" s="11">
        <f t="shared" si="8"/>
        <v>175350.60530771012</v>
      </c>
      <c r="H21" s="16">
        <f t="shared" si="2"/>
        <v>18937.286523390863</v>
      </c>
      <c r="I21" s="25">
        <f t="shared" si="3"/>
        <v>1578.1072102825719</v>
      </c>
      <c r="J21" s="19">
        <f>NPV($E$2,$H$2:H21)*(1+$E$2)^(A21)</f>
        <v>616627.8681205411</v>
      </c>
      <c r="K21" s="11">
        <f t="shared" si="4"/>
        <v>616627.86812054121</v>
      </c>
      <c r="L21" s="19">
        <f t="shared" si="5"/>
        <v>616627.86812054121</v>
      </c>
      <c r="O21">
        <f t="shared" si="9"/>
        <v>54</v>
      </c>
      <c r="P21" s="11">
        <f t="shared" si="10"/>
        <v>175350.60530771012</v>
      </c>
      <c r="U21" s="16">
        <f t="shared" si="15"/>
        <v>10491.577416770913</v>
      </c>
      <c r="V21" s="19">
        <f>NPV($R$2,U$2:U21)*(1+$R$2)^($A21)</f>
        <v>672572.63207143883</v>
      </c>
      <c r="Y21">
        <f t="shared" si="11"/>
        <v>54</v>
      </c>
      <c r="Z21" s="11">
        <f t="shared" si="12"/>
        <v>175350.60530771012</v>
      </c>
      <c r="AE21" s="16">
        <f t="shared" si="16"/>
        <v>35413.808247945133</v>
      </c>
      <c r="AF21" s="19">
        <f>NPV($R$2,AE$2:AE21)*(1+$R$2)^($A21)</f>
        <v>478933.28816061158</v>
      </c>
    </row>
    <row r="22" spans="1:32" x14ac:dyDescent="0.25">
      <c r="A22">
        <f t="shared" si="13"/>
        <v>21</v>
      </c>
      <c r="B22">
        <f t="shared" si="14"/>
        <v>55</v>
      </c>
      <c r="C22" s="11">
        <f t="shared" si="8"/>
        <v>180611.12346694144</v>
      </c>
      <c r="H22" s="16">
        <f t="shared" si="2"/>
        <v>19505.405119092593</v>
      </c>
      <c r="I22" s="25">
        <f t="shared" si="3"/>
        <v>1625.4504265910493</v>
      </c>
      <c r="J22" s="19">
        <f>NPV($E$2,$H$2:H22)*(1+$E$2)^(A22)</f>
        <v>685463.50268927705</v>
      </c>
      <c r="K22" s="11">
        <f t="shared" si="4"/>
        <v>685463.50268927705</v>
      </c>
      <c r="L22" s="19">
        <f t="shared" si="5"/>
        <v>685463.50268927705</v>
      </c>
      <c r="O22">
        <f t="shared" si="9"/>
        <v>55</v>
      </c>
      <c r="P22" s="11">
        <f t="shared" si="10"/>
        <v>180611.12346694144</v>
      </c>
      <c r="U22" s="16">
        <f t="shared" si="15"/>
        <v>10806.32473927404</v>
      </c>
      <c r="V22" s="19">
        <f>NPV($R$2,U$2:U22)*(1+$R$2)^($A22)</f>
        <v>737184.76737642812</v>
      </c>
      <c r="Y22">
        <f t="shared" si="11"/>
        <v>55</v>
      </c>
      <c r="Z22" s="11">
        <f t="shared" si="12"/>
        <v>180611.12346694144</v>
      </c>
      <c r="AE22" s="16">
        <f t="shared" si="16"/>
        <v>36476.222495383496</v>
      </c>
      <c r="AF22" s="19">
        <f>NPV($R$2,AE$2:AE22)*(1+$R$2)^($A22)</f>
        <v>553724.173708844</v>
      </c>
    </row>
    <row r="23" spans="1:32" x14ac:dyDescent="0.25">
      <c r="A23">
        <f t="shared" si="13"/>
        <v>22</v>
      </c>
      <c r="B23">
        <f t="shared" si="14"/>
        <v>56</v>
      </c>
      <c r="C23" s="11">
        <f t="shared" si="8"/>
        <v>186029.4571709497</v>
      </c>
      <c r="H23" s="16">
        <f t="shared" si="2"/>
        <v>20090.567272665368</v>
      </c>
      <c r="I23" s="25">
        <f t="shared" si="3"/>
        <v>1674.2139393887808</v>
      </c>
      <c r="J23" s="19">
        <f>NPV($E$2,$H$2:H23)*(1+$E$2)^(A23)</f>
        <v>760391.15017708461</v>
      </c>
      <c r="K23" s="11">
        <f t="shared" si="4"/>
        <v>760391.15017708461</v>
      </c>
      <c r="L23" s="19">
        <f t="shared" si="5"/>
        <v>760391.15017708461</v>
      </c>
      <c r="O23">
        <f t="shared" si="9"/>
        <v>56</v>
      </c>
      <c r="P23" s="11">
        <f t="shared" si="10"/>
        <v>186029.4571709497</v>
      </c>
      <c r="U23" s="16">
        <f t="shared" si="15"/>
        <v>11130.514481452263</v>
      </c>
      <c r="V23" s="19">
        <f>NPV($R$2,U$2:U23)*(1+$R$2)^($A23)</f>
        <v>807290.06324799475</v>
      </c>
      <c r="Y23">
        <f t="shared" si="11"/>
        <v>56</v>
      </c>
      <c r="Z23" s="11">
        <f t="shared" si="12"/>
        <v>186029.4571709497</v>
      </c>
      <c r="AE23" s="16">
        <f t="shared" si="16"/>
        <v>37570.509170245001</v>
      </c>
      <c r="AF23" s="19">
        <f>NPV($R$2,AE$2:AE23)*(1+$R$2)^($A23)</f>
        <v>635592.61677579663</v>
      </c>
    </row>
    <row r="24" spans="1:32" x14ac:dyDescent="0.25">
      <c r="A24">
        <f t="shared" si="13"/>
        <v>23</v>
      </c>
      <c r="B24">
        <f t="shared" si="14"/>
        <v>57</v>
      </c>
      <c r="C24" s="11">
        <f t="shared" si="8"/>
        <v>191610.34088607819</v>
      </c>
      <c r="H24" s="16">
        <f t="shared" si="2"/>
        <v>20693.284290845331</v>
      </c>
      <c r="I24" s="25">
        <f t="shared" si="3"/>
        <v>1724.4403575704443</v>
      </c>
      <c r="J24" s="19">
        <f>NPV($E$2,$H$2:H24)*(1+$E$2)^(A24)</f>
        <v>841915.72648209671</v>
      </c>
      <c r="K24" s="11">
        <f t="shared" si="4"/>
        <v>841915.72648209683</v>
      </c>
      <c r="L24" s="19">
        <f t="shared" si="5"/>
        <v>841915.72648209683</v>
      </c>
      <c r="O24">
        <f t="shared" si="9"/>
        <v>57</v>
      </c>
      <c r="P24" s="11">
        <f t="shared" si="10"/>
        <v>191610.34088607819</v>
      </c>
      <c r="U24" s="16">
        <f t="shared" si="15"/>
        <v>11464.429915895831</v>
      </c>
      <c r="V24" s="19">
        <f>NPV($R$2,U$2:U24)*(1+$R$2)^($A24)</f>
        <v>883337.69822372997</v>
      </c>
      <c r="Y24">
        <f t="shared" si="11"/>
        <v>57</v>
      </c>
      <c r="Z24" s="11">
        <f t="shared" si="12"/>
        <v>191610.34088607819</v>
      </c>
      <c r="AE24" s="16">
        <f t="shared" si="16"/>
        <v>38697.624445352354</v>
      </c>
      <c r="AF24" s="19">
        <f>NPV($R$2,AE$2:AE24)*(1+$R$2)^($A24)</f>
        <v>725137.65056321269</v>
      </c>
    </row>
    <row r="25" spans="1:32" x14ac:dyDescent="0.25">
      <c r="A25">
        <f t="shared" si="13"/>
        <v>24</v>
      </c>
      <c r="B25">
        <f t="shared" si="14"/>
        <v>58</v>
      </c>
      <c r="C25" s="11">
        <f t="shared" si="8"/>
        <v>197358.65111266053</v>
      </c>
      <c r="H25" s="16">
        <f t="shared" si="2"/>
        <v>21314.082819570693</v>
      </c>
      <c r="I25" s="25">
        <f t="shared" si="3"/>
        <v>1776.1735682975577</v>
      </c>
      <c r="J25" s="19">
        <f>NPV($E$2,$H$2:H25)*(1+$E$2)^(A25)</f>
        <v>930583.06742023514</v>
      </c>
      <c r="K25" s="11">
        <f t="shared" si="4"/>
        <v>930583.06742023525</v>
      </c>
      <c r="L25" s="19">
        <f t="shared" si="5"/>
        <v>930583.06742023525</v>
      </c>
      <c r="O25">
        <f t="shared" si="9"/>
        <v>58</v>
      </c>
      <c r="P25" s="11">
        <f t="shared" si="10"/>
        <v>197358.65111266053</v>
      </c>
      <c r="U25" s="16">
        <f t="shared" si="15"/>
        <v>11808.362813372705</v>
      </c>
      <c r="V25" s="19">
        <f>NPV($R$2,U$2:U25)*(1+$R$2)^($A25)</f>
        <v>965813.07689500134</v>
      </c>
      <c r="Y25">
        <f t="shared" si="11"/>
        <v>58</v>
      </c>
      <c r="Z25" s="11">
        <f t="shared" si="12"/>
        <v>197358.65111266053</v>
      </c>
      <c r="AE25" s="16">
        <f t="shared" si="16"/>
        <v>39858.553178712922</v>
      </c>
      <c r="AF25" s="19">
        <f>NPV($R$2,AE$2:AE25)*(1+$R$2)^($A25)</f>
        <v>823007.21578698256</v>
      </c>
    </row>
    <row r="26" spans="1:32" x14ac:dyDescent="0.25">
      <c r="A26">
        <f t="shared" si="13"/>
        <v>25</v>
      </c>
      <c r="B26">
        <f t="shared" si="14"/>
        <v>59</v>
      </c>
      <c r="C26" s="11">
        <f t="shared" si="8"/>
        <v>203279.41064604034</v>
      </c>
      <c r="H26" s="16">
        <f t="shared" si="2"/>
        <v>21953.505304157814</v>
      </c>
      <c r="I26" s="25">
        <f t="shared" si="3"/>
        <v>1829.4587753464846</v>
      </c>
      <c r="J26" s="19">
        <f>NPV($E$2,$H$2:H26)*(1+$E$2)^(A26)</f>
        <v>1026983.218118012</v>
      </c>
      <c r="K26" s="11">
        <f t="shared" si="4"/>
        <v>1026983.218118012</v>
      </c>
      <c r="L26" s="19">
        <f t="shared" si="5"/>
        <v>1026983.218118012</v>
      </c>
      <c r="O26">
        <f t="shared" si="9"/>
        <v>59</v>
      </c>
      <c r="P26" s="11">
        <f t="shared" si="10"/>
        <v>203279.41064604034</v>
      </c>
      <c r="U26" s="16">
        <f t="shared" si="15"/>
        <v>12162.613697773886</v>
      </c>
      <c r="V26" s="19">
        <f>NPV($R$2,U$2:U26)*(1+$R$2)^($A26)</f>
        <v>1055240.7367443757</v>
      </c>
      <c r="Y26">
        <f t="shared" si="11"/>
        <v>59</v>
      </c>
      <c r="Z26" s="11">
        <f t="shared" si="12"/>
        <v>203279.41064604034</v>
      </c>
      <c r="AE26" s="16">
        <f t="shared" si="16"/>
        <v>41054.309774074311</v>
      </c>
      <c r="AF26" s="19">
        <f>NPV($R$2,AE$2:AE26)*(1+$R$2)^($A26)</f>
        <v>929902.10282401566</v>
      </c>
    </row>
    <row r="27" spans="1:32" x14ac:dyDescent="0.25">
      <c r="A27">
        <f t="shared" si="13"/>
        <v>26</v>
      </c>
      <c r="B27">
        <f t="shared" si="14"/>
        <v>60</v>
      </c>
      <c r="C27" s="11">
        <f t="shared" si="8"/>
        <v>209377.79296542157</v>
      </c>
      <c r="H27" s="16">
        <f t="shared" si="2"/>
        <v>22612.110463282548</v>
      </c>
      <c r="I27" s="25">
        <f t="shared" si="3"/>
        <v>1884.3425386068791</v>
      </c>
      <c r="J27" s="19">
        <f>NPV($E$2,$H$2:H27)*(1+$E$2)^(A27)</f>
        <v>1131753.9860307353</v>
      </c>
      <c r="K27" s="11">
        <f t="shared" si="4"/>
        <v>1131753.9860307355</v>
      </c>
      <c r="L27" s="19">
        <f t="shared" si="5"/>
        <v>1131753.9860307355</v>
      </c>
      <c r="O27">
        <f t="shared" si="9"/>
        <v>60</v>
      </c>
      <c r="P27" s="11">
        <f t="shared" si="10"/>
        <v>209377.79296542157</v>
      </c>
      <c r="U27" s="16">
        <f t="shared" si="15"/>
        <v>12527.492108707103</v>
      </c>
      <c r="V27" s="19">
        <f>NPV($R$2,U$2:U27)*(1+$R$2)^($A27)</f>
        <v>1152187.4877926323</v>
      </c>
      <c r="Y27">
        <f t="shared" si="11"/>
        <v>60</v>
      </c>
      <c r="Z27" s="11">
        <f t="shared" si="12"/>
        <v>209377.79296542157</v>
      </c>
      <c r="AE27" s="16">
        <f t="shared" si="16"/>
        <v>42285.939067296546</v>
      </c>
      <c r="AF27" s="19">
        <f>NPV($R$2,AE$2:AE27)*(1+$R$2)^($A27)</f>
        <v>1046580.2101172333</v>
      </c>
    </row>
    <row r="28" spans="1:32" x14ac:dyDescent="0.25">
      <c r="A28">
        <f t="shared" si="13"/>
        <v>27</v>
      </c>
      <c r="B28">
        <f t="shared" si="14"/>
        <v>61</v>
      </c>
      <c r="C28" s="11">
        <f t="shared" si="8"/>
        <v>215659.12675438423</v>
      </c>
      <c r="H28" s="16">
        <f t="shared" si="2"/>
        <v>23290.473777181025</v>
      </c>
      <c r="I28" s="25">
        <f t="shared" si="3"/>
        <v>1940.8728147650854</v>
      </c>
      <c r="J28" s="19">
        <f>NPV($E$2,$H$2:H28)*(1+$E$2)^(A28)</f>
        <v>1245584.7786903752</v>
      </c>
      <c r="K28" s="11">
        <f t="shared" si="4"/>
        <v>1245584.7786903754</v>
      </c>
      <c r="L28" s="19">
        <f t="shared" si="5"/>
        <v>1245584.7786903754</v>
      </c>
      <c r="O28">
        <f t="shared" si="9"/>
        <v>61</v>
      </c>
      <c r="P28" s="11">
        <f t="shared" si="10"/>
        <v>215659.12675438423</v>
      </c>
      <c r="U28" s="16">
        <f t="shared" si="15"/>
        <v>12903.316871968318</v>
      </c>
      <c r="V28" s="19">
        <f>NPV($R$2,U$2:U28)*(1+$R$2)^($A28)</f>
        <v>1257265.8036880114</v>
      </c>
      <c r="Y28">
        <f t="shared" si="11"/>
        <v>61</v>
      </c>
      <c r="Z28" s="11">
        <f t="shared" si="12"/>
        <v>215659.12675438423</v>
      </c>
      <c r="AE28" s="16">
        <f t="shared" si="16"/>
        <v>43554.517239315443</v>
      </c>
      <c r="AF28" s="19">
        <f>NPV($R$2,AE$2:AE28)*(1+$R$2)^($A28)</f>
        <v>1173861.1441659275</v>
      </c>
    </row>
    <row r="29" spans="1:32" x14ac:dyDescent="0.25">
      <c r="A29">
        <f t="shared" ref="A29:A31" si="17">A28+1</f>
        <v>28</v>
      </c>
      <c r="B29">
        <f t="shared" ref="B29:B31" si="18">B28+1</f>
        <v>62</v>
      </c>
      <c r="C29" s="11">
        <f t="shared" si="8"/>
        <v>222128.90055701576</v>
      </c>
      <c r="H29" s="16">
        <f t="shared" si="2"/>
        <v>23989.187990496455</v>
      </c>
      <c r="I29" s="25">
        <f t="shared" si="3"/>
        <v>1999.0989992080379</v>
      </c>
      <c r="J29" s="19">
        <f>NPV($E$2,$H$2:H29)*(1+$E$2)^(A29)</f>
        <v>1369220.7489761016</v>
      </c>
      <c r="K29" s="11">
        <f t="shared" si="4"/>
        <v>1369220.7489761019</v>
      </c>
      <c r="L29" s="19">
        <f t="shared" si="5"/>
        <v>1369220.7489761019</v>
      </c>
      <c r="O29">
        <f t="shared" si="9"/>
        <v>62</v>
      </c>
      <c r="P29" s="11">
        <f t="shared" si="10"/>
        <v>222128.90055701576</v>
      </c>
      <c r="U29" s="16">
        <f t="shared" si="15"/>
        <v>13290.416378127367</v>
      </c>
      <c r="V29" s="19">
        <f>NPV($R$2,U$2:U29)*(1+$R$2)^($A29)</f>
        <v>1371137.4843611796</v>
      </c>
      <c r="Y29">
        <f t="shared" si="11"/>
        <v>62</v>
      </c>
      <c r="Z29" s="11">
        <f t="shared" si="12"/>
        <v>222128.90055701576</v>
      </c>
      <c r="AE29" s="16">
        <f t="shared" si="16"/>
        <v>44861.152756494906</v>
      </c>
      <c r="AF29" s="19">
        <f>NPV($R$2,AE$2:AE29)*(1+$R$2)^($A29)</f>
        <v>1312631.1884556967</v>
      </c>
    </row>
    <row r="30" spans="1:32" x14ac:dyDescent="0.25">
      <c r="A30">
        <f t="shared" si="17"/>
        <v>29</v>
      </c>
      <c r="B30">
        <f t="shared" si="18"/>
        <v>63</v>
      </c>
      <c r="C30" s="11">
        <f t="shared" si="8"/>
        <v>228792.76757372625</v>
      </c>
      <c r="H30" s="16">
        <f t="shared" si="2"/>
        <v>24708.863630211352</v>
      </c>
      <c r="I30" s="25">
        <f t="shared" si="3"/>
        <v>2059.0719691842792</v>
      </c>
      <c r="J30" s="19">
        <f>NPV($E$2,$H$2:H30)*(1+$E$2)^(A30)</f>
        <v>1503467.2725244013</v>
      </c>
      <c r="K30" s="11">
        <f t="shared" si="4"/>
        <v>1503467.2725244015</v>
      </c>
      <c r="L30" s="19">
        <f t="shared" si="5"/>
        <v>1503467.2725244015</v>
      </c>
      <c r="O30">
        <f t="shared" si="9"/>
        <v>63</v>
      </c>
      <c r="P30" s="11">
        <f t="shared" si="10"/>
        <v>228792.76757372625</v>
      </c>
      <c r="U30" s="16">
        <f t="shared" si="15"/>
        <v>13689.128869471189</v>
      </c>
      <c r="V30" s="19">
        <f>NPV($R$2,U$2:U30)*(1+$R$2)^($A30)</f>
        <v>1494517.6119795453</v>
      </c>
      <c r="Y30">
        <f t="shared" si="11"/>
        <v>63</v>
      </c>
      <c r="Z30" s="11">
        <f t="shared" si="12"/>
        <v>228792.76757372625</v>
      </c>
      <c r="AE30" s="16">
        <f t="shared" si="16"/>
        <v>46206.987339189756</v>
      </c>
      <c r="AF30" s="19">
        <f>NPV($R$2,AE$2:AE30)*(1+$R$2)^($A30)</f>
        <v>1463848.6708713423</v>
      </c>
    </row>
    <row r="31" spans="1:32" x14ac:dyDescent="0.25">
      <c r="A31">
        <f t="shared" si="17"/>
        <v>30</v>
      </c>
      <c r="B31">
        <f t="shared" si="18"/>
        <v>64</v>
      </c>
      <c r="C31" s="11">
        <f t="shared" si="8"/>
        <v>235656.55060093803</v>
      </c>
      <c r="H31" s="16">
        <f t="shared" si="2"/>
        <v>25450.129539117694</v>
      </c>
      <c r="I31" s="25">
        <f t="shared" si="3"/>
        <v>2120.8441282598078</v>
      </c>
      <c r="J31" s="19">
        <f>NPV($E$2,$H$2:H31)*(1+$E$2)^(A31)</f>
        <v>1649194.7838654709</v>
      </c>
      <c r="K31" s="11">
        <f t="shared" si="4"/>
        <v>1649194.7838654714</v>
      </c>
      <c r="L31" s="19">
        <f t="shared" si="5"/>
        <v>1649194.7838654714</v>
      </c>
      <c r="O31">
        <f t="shared" si="9"/>
        <v>64</v>
      </c>
      <c r="P31" s="11">
        <f t="shared" si="10"/>
        <v>235656.55060093803</v>
      </c>
      <c r="U31" s="16">
        <f t="shared" si="15"/>
        <v>14099.802735555326</v>
      </c>
      <c r="V31" s="19">
        <f>NPV($R$2,U$2:U31)*(1+$R$2)^($A31)</f>
        <v>1628178.8236734644</v>
      </c>
      <c r="Y31">
        <f t="shared" si="11"/>
        <v>64</v>
      </c>
      <c r="Z31" s="11">
        <f t="shared" si="12"/>
        <v>235656.55060093803</v>
      </c>
      <c r="AE31" s="16">
        <f t="shared" si="16"/>
        <v>47593.19695936545</v>
      </c>
      <c r="AF31" s="19">
        <f>NPV($R$2,AE$2:AE31)*(1+$R$2)^($A31)</f>
        <v>1628549.7615004152</v>
      </c>
    </row>
    <row r="32" spans="1:32" ht="17.25" x14ac:dyDescent="0.4">
      <c r="A32">
        <f t="shared" ref="A32" si="19">A31+1</f>
        <v>31</v>
      </c>
      <c r="B32">
        <f t="shared" ref="B32" si="20">B31+1</f>
        <v>65</v>
      </c>
      <c r="C32" s="11">
        <f t="shared" ref="C32" si="21">C31*(1+$D$2)</f>
        <v>242726.24711896619</v>
      </c>
      <c r="H32" s="16">
        <f t="shared" si="2"/>
        <v>26213.633425291224</v>
      </c>
      <c r="I32" s="25">
        <f t="shared" si="3"/>
        <v>2184.4694521076021</v>
      </c>
      <c r="J32" s="24">
        <f>NPV($E$2,$H$2:H32)*(1+$E$2)^(A32)</f>
        <v>1807344.0000000002</v>
      </c>
      <c r="K32" s="11">
        <f t="shared" si="4"/>
        <v>1807344.0000000005</v>
      </c>
      <c r="L32" s="19">
        <f t="shared" si="5"/>
        <v>1807344.0000000005</v>
      </c>
      <c r="O32">
        <f t="shared" ref="O32" si="22">O31+1</f>
        <v>65</v>
      </c>
      <c r="P32" s="11">
        <f t="shared" ref="P32" si="23">P31*(1+$D$2)</f>
        <v>242726.24711896619</v>
      </c>
      <c r="U32" s="16">
        <f t="shared" ref="U32" si="24">P32*$T$17*(1+$R$2)</f>
        <v>14522.796817621986</v>
      </c>
      <c r="V32" s="19">
        <f>NPV($R$2,U$2:U32)*(1+$R$2)^($A32)</f>
        <v>1772955.9263849636</v>
      </c>
      <c r="Y32">
        <f t="shared" ref="Y32" si="25">Y31+1</f>
        <v>65</v>
      </c>
      <c r="Z32" s="11">
        <f t="shared" ref="Z32" si="26">Z31*(1+$D$2)</f>
        <v>242726.24711896619</v>
      </c>
      <c r="AE32" s="16">
        <f t="shared" si="16"/>
        <v>49020.992868146415</v>
      </c>
      <c r="AF32" s="19">
        <f>NPV($R$2,AE$2:AE32)*(1+$R$2)^($A32)</f>
        <v>1807854.7352885951</v>
      </c>
    </row>
    <row r="33" spans="9:12" x14ac:dyDescent="0.25">
      <c r="I33" s="16"/>
      <c r="J33" s="20">
        <f>$M$2</f>
        <v>150612.00000000003</v>
      </c>
      <c r="L33" s="13"/>
    </row>
    <row r="34" spans="9:12" x14ac:dyDescent="0.25">
      <c r="I34" s="16"/>
      <c r="J34" s="20">
        <f t="shared" ref="J34:J38" si="27">$M$2</f>
        <v>150612.00000000003</v>
      </c>
      <c r="L34" s="13"/>
    </row>
    <row r="35" spans="9:12" x14ac:dyDescent="0.25">
      <c r="I35" s="16"/>
      <c r="J35" s="20">
        <f t="shared" si="27"/>
        <v>150612.00000000003</v>
      </c>
      <c r="L35" s="13"/>
    </row>
    <row r="36" spans="9:12" x14ac:dyDescent="0.25">
      <c r="I36" s="16"/>
      <c r="J36" s="20">
        <f t="shared" si="27"/>
        <v>150612.00000000003</v>
      </c>
      <c r="L36" s="13"/>
    </row>
    <row r="37" spans="9:12" x14ac:dyDescent="0.25">
      <c r="I37" s="16"/>
      <c r="J37" s="20">
        <f t="shared" si="27"/>
        <v>150612.00000000003</v>
      </c>
      <c r="L37" s="13"/>
    </row>
    <row r="38" spans="9:12" x14ac:dyDescent="0.25">
      <c r="I38" s="16"/>
      <c r="J38" s="20">
        <f t="shared" si="27"/>
        <v>150612.00000000003</v>
      </c>
      <c r="L38" s="1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Note</vt:lpstr>
      <vt:lpstr>Assumptions</vt:lpstr>
      <vt:lpstr>Calculation --&gt;</vt:lpstr>
      <vt:lpstr>Decrements</vt:lpstr>
      <vt:lpstr>PUC_Projection</vt:lpstr>
      <vt:lpstr>EAN_Projection</vt:lpstr>
      <vt:lpstr>Input --&gt;</vt:lpstr>
      <vt:lpstr>opening demographics</vt:lpstr>
      <vt:lpstr>Figure 9.1</vt:lpstr>
      <vt:lpstr>accrual_rate_A</vt:lpstr>
      <vt:lpstr>accrual_rate_B</vt:lpstr>
      <vt:lpstr>e_A</vt:lpstr>
      <vt:lpstr>e_B</vt:lpstr>
      <vt:lpstr>i</vt:lpstr>
      <vt:lpstr>mort_rate_A</vt:lpstr>
      <vt:lpstr>NRA_A</vt:lpstr>
      <vt:lpstr>NRA_B</vt:lpstr>
      <vt:lpstr>retire_rate_A</vt:lpstr>
      <vt:lpstr>withdraw_rate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 Jinfeng</dc:creator>
  <cp:lastModifiedBy>Zhu, Vincent</cp:lastModifiedBy>
  <dcterms:created xsi:type="dcterms:W3CDTF">2006-09-16T00:00:00Z</dcterms:created>
  <dcterms:modified xsi:type="dcterms:W3CDTF">2020-02-17T15:10:16Z</dcterms:modified>
</cp:coreProperties>
</file>