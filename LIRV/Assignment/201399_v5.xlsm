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izhu\Desktop\LIRV\Assignment\"/>
    </mc:Choice>
  </mc:AlternateContent>
  <bookViews>
    <workbookView xWindow="240" yWindow="105" windowWidth="14805" windowHeight="8010" tabRatio="703" activeTab="1"/>
  </bookViews>
  <sheets>
    <sheet name="Note" sheetId="9" r:id="rId1"/>
    <sheet name="1.a Assumptions" sheetId="1" r:id="rId2"/>
    <sheet name="1.b Flowchart" sheetId="11" r:id="rId3"/>
    <sheet name="1.c Calculation --&gt;" sheetId="6" r:id="rId4"/>
    <sheet name="1.c Decrements" sheetId="8" r:id="rId5"/>
    <sheet name="1.c PUC_Projection" sheetId="2" r:id="rId6"/>
    <sheet name="1.c EAN_Projection" sheetId="10" r:id="rId7"/>
    <sheet name="Input --&gt;" sheetId="7" r:id="rId8"/>
    <sheet name="opening demographics" sheetId="3" r:id="rId9"/>
    <sheet name="RP-2014-White Collar Male" sheetId="12" r:id="rId10"/>
    <sheet name="RP-2014-White Collar Female" sheetId="13" r:id="rId11"/>
  </sheets>
  <definedNames>
    <definedName name="_xlnm._FilterDatabase" localSheetId="8" hidden="1">'opening demographics'!$B$2:$B$11</definedName>
    <definedName name="accrual_rate_A">'1.a Assumptions'!$C$3</definedName>
    <definedName name="accrual_rate_B">'1.a Assumptions'!$C$4</definedName>
    <definedName name="e_A">'1.a Assumptions'!$C$23</definedName>
    <definedName name="e_B">'1.a Assumptions'!$C$24</definedName>
    <definedName name="EA_A">'1.a Assumptions'!$C$27</definedName>
    <definedName name="EA_B">'1.a Assumptions'!$C$28</definedName>
    <definedName name="i">'1.a Assumptions'!$C$12</definedName>
    <definedName name="NRA_A">'1.a Assumptions'!$C$7</definedName>
    <definedName name="NRA_B">'1.a Assumptions'!$C$8</definedName>
    <definedName name="turnover_rate_A">'1.a Assumptions'!$C$19</definedName>
    <definedName name="turnover_rate_B">'1.a Assumptions'!$C$20</definedName>
    <definedName name="withdraw_rate_A">'1.a Assumptions'!$C$15</definedName>
    <definedName name="withdraw_rate_B">'1.a Assumptions'!$C$16</definedName>
  </definedNames>
  <calcPr calcId="152511"/>
</workbook>
</file>

<file path=xl/calcChain.xml><?xml version="1.0" encoding="utf-8"?>
<calcChain xmlns="http://schemas.openxmlformats.org/spreadsheetml/2006/main">
  <c r="B3" i="2" l="1"/>
  <c r="B3" i="8" s="1"/>
  <c r="J11" i="2"/>
  <c r="C28" i="1"/>
  <c r="C27" i="1"/>
  <c r="I11" i="3"/>
  <c r="I10" i="3"/>
  <c r="I9" i="3"/>
  <c r="I8" i="3"/>
  <c r="I7" i="3"/>
  <c r="I6" i="3"/>
  <c r="I5" i="3"/>
  <c r="I4" i="3"/>
  <c r="I3" i="3"/>
  <c r="I2" i="3"/>
  <c r="H11" i="3"/>
  <c r="H10" i="3"/>
  <c r="H9" i="3"/>
  <c r="H8" i="3"/>
  <c r="H7" i="3"/>
  <c r="H6" i="3"/>
  <c r="H5" i="3"/>
  <c r="H4" i="3"/>
  <c r="H3" i="3"/>
  <c r="H2" i="3"/>
  <c r="I15" i="1"/>
  <c r="I16" i="1"/>
  <c r="I17" i="1"/>
  <c r="I18" i="1"/>
  <c r="I19" i="1"/>
  <c r="I20" i="1"/>
  <c r="I21" i="1"/>
  <c r="I22" i="1"/>
  <c r="I23" i="1"/>
  <c r="I24" i="1"/>
  <c r="I25" i="1"/>
  <c r="I26" i="1"/>
  <c r="I27" i="1"/>
  <c r="I28" i="1"/>
  <c r="I14" i="1"/>
  <c r="C20" i="1"/>
  <c r="C19" i="1"/>
  <c r="H15" i="1"/>
  <c r="H16" i="1" s="1"/>
  <c r="H17" i="1" s="1"/>
  <c r="H18" i="1" s="1"/>
  <c r="H19" i="1" s="1"/>
  <c r="H20" i="1" s="1"/>
  <c r="H21" i="1" s="1"/>
  <c r="H22" i="1" s="1"/>
  <c r="H23" i="1" s="1"/>
  <c r="H24" i="1" s="1"/>
  <c r="H25" i="1" s="1"/>
  <c r="H26" i="1" s="1"/>
  <c r="H27" i="1" s="1"/>
  <c r="H28" i="1" s="1"/>
  <c r="G12" i="3"/>
  <c r="F7" i="2"/>
  <c r="F7" i="10"/>
  <c r="L10" i="8" l="1"/>
  <c r="M10" i="8" s="1"/>
  <c r="N10" i="8" s="1"/>
  <c r="O10" i="8" s="1"/>
  <c r="P10" i="8" s="1"/>
  <c r="Q10" i="8" s="1"/>
  <c r="R10" i="8" s="1"/>
  <c r="S10" i="8" s="1"/>
  <c r="T10" i="8" s="1"/>
  <c r="U10" i="8" s="1"/>
  <c r="V10" i="8" s="1"/>
  <c r="W10" i="8" s="1"/>
  <c r="X10" i="8" s="1"/>
  <c r="Y10" i="8" s="1"/>
  <c r="G15" i="1" l="1"/>
  <c r="G16" i="1" s="1"/>
  <c r="G17" i="1" s="1"/>
  <c r="G18" i="1" s="1"/>
  <c r="G19" i="1" s="1"/>
  <c r="G20" i="1" s="1"/>
  <c r="G21" i="1" s="1"/>
  <c r="G22" i="1" s="1"/>
  <c r="G23" i="1" s="1"/>
  <c r="G24" i="1" s="1"/>
  <c r="G25" i="1" s="1"/>
  <c r="G26" i="1" s="1"/>
  <c r="G27" i="1" s="1"/>
  <c r="G28" i="1" s="1"/>
  <c r="G29" i="1" s="1"/>
  <c r="I87" i="2" l="1"/>
  <c r="Q9" i="10" l="1"/>
  <c r="P9" i="10"/>
  <c r="O9" i="10"/>
  <c r="N9" i="10"/>
  <c r="M9" i="10"/>
  <c r="L9" i="10"/>
  <c r="K9" i="10"/>
  <c r="J9" i="10"/>
  <c r="I9" i="10"/>
  <c r="H9" i="10"/>
  <c r="I11" i="2"/>
  <c r="K85" i="10" l="1"/>
  <c r="G15" i="10"/>
  <c r="G3" i="10" l="1"/>
  <c r="D4" i="10"/>
  <c r="C15" i="10" s="1"/>
  <c r="D2" i="10"/>
  <c r="G3" i="2"/>
  <c r="J10" i="2"/>
  <c r="I10" i="2"/>
  <c r="T87" i="2"/>
  <c r="D9" i="10"/>
  <c r="D6" i="10"/>
  <c r="D5" i="10"/>
  <c r="C16" i="10" l="1"/>
  <c r="D15" i="10"/>
  <c r="I12" i="2"/>
  <c r="J12" i="2"/>
  <c r="D4" i="8"/>
  <c r="C11" i="8" s="1"/>
  <c r="J11" i="8" s="1"/>
  <c r="D2" i="8"/>
  <c r="A3" i="3"/>
  <c r="D7" i="8" s="1"/>
  <c r="A4" i="3"/>
  <c r="A5" i="3"/>
  <c r="A6" i="3"/>
  <c r="A7" i="3"/>
  <c r="A8" i="3"/>
  <c r="A9" i="3"/>
  <c r="A10" i="3"/>
  <c r="A11" i="3"/>
  <c r="A12" i="3"/>
  <c r="A2" i="3"/>
  <c r="G4" i="3"/>
  <c r="C24" i="1" s="1"/>
  <c r="G6" i="3"/>
  <c r="G8" i="3"/>
  <c r="G10" i="3"/>
  <c r="F11" i="3"/>
  <c r="F9" i="3"/>
  <c r="F7" i="3"/>
  <c r="F5" i="3"/>
  <c r="F12" i="3" s="1"/>
  <c r="C23" i="1" s="1"/>
  <c r="D8" i="10"/>
  <c r="D6" i="8"/>
  <c r="D8" i="8"/>
  <c r="D3" i="10" l="1"/>
  <c r="G4" i="10" s="1"/>
  <c r="D7" i="10"/>
  <c r="E15" i="10" s="1"/>
  <c r="D7" i="2"/>
  <c r="E17" i="2" s="1"/>
  <c r="D3" i="8"/>
  <c r="K11" i="8" s="1"/>
  <c r="F15" i="10"/>
  <c r="C17" i="10"/>
  <c r="G11" i="8"/>
  <c r="D10" i="10"/>
  <c r="G16" i="10"/>
  <c r="B16" i="10"/>
  <c r="D16" i="10"/>
  <c r="D3" i="2"/>
  <c r="G4" i="2" s="1"/>
  <c r="D2" i="2"/>
  <c r="D4" i="2"/>
  <c r="C17" i="2" s="1"/>
  <c r="G17" i="2"/>
  <c r="M11" i="8"/>
  <c r="N11" i="8"/>
  <c r="O11" i="8"/>
  <c r="S11" i="8"/>
  <c r="W11" i="8"/>
  <c r="V11" i="8"/>
  <c r="P11" i="8"/>
  <c r="T11" i="8"/>
  <c r="X11" i="8"/>
  <c r="R11" i="8"/>
  <c r="Q11" i="8"/>
  <c r="U11" i="8"/>
  <c r="Y11" i="8"/>
  <c r="L11" i="8"/>
  <c r="D5" i="2"/>
  <c r="D6" i="2"/>
  <c r="D8" i="2"/>
  <c r="D5" i="8"/>
  <c r="E11" i="8" s="1"/>
  <c r="E16" i="10" l="1"/>
  <c r="G6" i="10" s="1"/>
  <c r="F16" i="10"/>
  <c r="F17" i="10" s="1"/>
  <c r="I15" i="10"/>
  <c r="M15" i="10"/>
  <c r="C18" i="10"/>
  <c r="C18" i="2"/>
  <c r="B18" i="2" s="1"/>
  <c r="F11" i="8"/>
  <c r="H15" i="10"/>
  <c r="I16" i="10"/>
  <c r="G17" i="10"/>
  <c r="I17" i="10"/>
  <c r="B17" i="10"/>
  <c r="D17" i="10"/>
  <c r="F17" i="2"/>
  <c r="D17" i="2"/>
  <c r="C12" i="8"/>
  <c r="J12" i="8" s="1"/>
  <c r="E17" i="10" l="1"/>
  <c r="F18" i="10"/>
  <c r="M16" i="10"/>
  <c r="C19" i="10"/>
  <c r="H17" i="2"/>
  <c r="I17" i="2" s="1"/>
  <c r="M17" i="2" s="1"/>
  <c r="C19" i="2"/>
  <c r="J17" i="2"/>
  <c r="K17" i="2" s="1"/>
  <c r="J16" i="10"/>
  <c r="L16" i="10" s="1"/>
  <c r="J15" i="10"/>
  <c r="L15" i="10" s="1"/>
  <c r="I18" i="10"/>
  <c r="B18" i="10"/>
  <c r="G18" i="10"/>
  <c r="D18" i="10"/>
  <c r="E18" i="2"/>
  <c r="G18" i="2"/>
  <c r="D18" i="2"/>
  <c r="F18" i="2"/>
  <c r="B12" i="8"/>
  <c r="C13" i="8"/>
  <c r="J13" i="8" s="1"/>
  <c r="F19" i="10" l="1"/>
  <c r="S15" i="10"/>
  <c r="H11" i="8"/>
  <c r="V15" i="10"/>
  <c r="M17" i="10"/>
  <c r="P15" i="10"/>
  <c r="C20" i="10"/>
  <c r="Q15" i="10"/>
  <c r="K15" i="10"/>
  <c r="O15" i="10" s="1"/>
  <c r="H18" i="2"/>
  <c r="C20" i="2"/>
  <c r="J18" i="2"/>
  <c r="P17" i="2" s="1"/>
  <c r="N17" i="2"/>
  <c r="E18" i="10"/>
  <c r="E19" i="10" s="1"/>
  <c r="J17" i="10"/>
  <c r="L17" i="10" s="1"/>
  <c r="V16" i="10" s="1"/>
  <c r="K16" i="10"/>
  <c r="G6" i="2"/>
  <c r="G19" i="10"/>
  <c r="I19" i="10"/>
  <c r="B19" i="10"/>
  <c r="J18" i="10"/>
  <c r="D19" i="10"/>
  <c r="B19" i="2"/>
  <c r="E19" i="2"/>
  <c r="F19" i="2"/>
  <c r="D19" i="2"/>
  <c r="C14" i="8"/>
  <c r="J14" i="8" s="1"/>
  <c r="B13" i="8"/>
  <c r="G19" i="2"/>
  <c r="F20" i="10" l="1"/>
  <c r="S85" i="10"/>
  <c r="S16" i="10"/>
  <c r="S18" i="10"/>
  <c r="S17" i="10"/>
  <c r="Q18" i="2"/>
  <c r="Q87" i="2"/>
  <c r="Q17" i="2"/>
  <c r="R15" i="10"/>
  <c r="Y16" i="10"/>
  <c r="M19" i="10"/>
  <c r="M18" i="10"/>
  <c r="Y15" i="10"/>
  <c r="Z15" i="10"/>
  <c r="W15" i="10"/>
  <c r="L18" i="10"/>
  <c r="V17" i="10" s="1"/>
  <c r="O17" i="2"/>
  <c r="K18" i="2"/>
  <c r="C21" i="10"/>
  <c r="G5" i="10"/>
  <c r="H19" i="2"/>
  <c r="C21" i="2"/>
  <c r="J19" i="2"/>
  <c r="K19" i="2" s="1"/>
  <c r="D12" i="8"/>
  <c r="I18" i="2"/>
  <c r="G5" i="2"/>
  <c r="K17" i="10"/>
  <c r="G20" i="10"/>
  <c r="I20" i="10"/>
  <c r="B20" i="10"/>
  <c r="S19" i="10" s="1"/>
  <c r="E20" i="10"/>
  <c r="K18" i="10"/>
  <c r="J19" i="10"/>
  <c r="L19" i="10" s="1"/>
  <c r="D20" i="10"/>
  <c r="B20" i="2"/>
  <c r="Q19" i="2" s="1"/>
  <c r="G20" i="2"/>
  <c r="D20" i="2"/>
  <c r="E20" i="2"/>
  <c r="F20" i="2"/>
  <c r="C15" i="8"/>
  <c r="J15" i="8" s="1"/>
  <c r="B14" i="8"/>
  <c r="F21" i="10" l="1"/>
  <c r="U12" i="8"/>
  <c r="S12" i="8"/>
  <c r="M12" i="8"/>
  <c r="Q12" i="8"/>
  <c r="P12" i="8"/>
  <c r="R12" i="8"/>
  <c r="T12" i="8"/>
  <c r="N12" i="8"/>
  <c r="O12" i="8"/>
  <c r="V12" i="8"/>
  <c r="W12" i="8"/>
  <c r="X12" i="8"/>
  <c r="L12" i="8"/>
  <c r="K12" i="8"/>
  <c r="V18" i="10"/>
  <c r="Z16" i="10"/>
  <c r="AA16" i="10" s="1"/>
  <c r="W16" i="10"/>
  <c r="Y17" i="10"/>
  <c r="M18" i="2"/>
  <c r="P18" i="2" s="1"/>
  <c r="M20" i="10"/>
  <c r="AA15" i="10"/>
  <c r="C22" i="10"/>
  <c r="H20" i="2"/>
  <c r="C22" i="2"/>
  <c r="J20" i="2"/>
  <c r="K20" i="2" s="1"/>
  <c r="G12" i="8"/>
  <c r="O16" i="10"/>
  <c r="I19" i="2"/>
  <c r="T17" i="2"/>
  <c r="U17" i="2" s="1"/>
  <c r="I21" i="10"/>
  <c r="B21" i="10"/>
  <c r="S20" i="10" s="1"/>
  <c r="G21" i="10"/>
  <c r="D21" i="10"/>
  <c r="E21" i="10"/>
  <c r="K19" i="10"/>
  <c r="J20" i="10"/>
  <c r="L20" i="10" s="1"/>
  <c r="V19" i="10" s="1"/>
  <c r="G21" i="2"/>
  <c r="B21" i="2"/>
  <c r="Q20" i="2" s="1"/>
  <c r="D21" i="2"/>
  <c r="E21" i="2"/>
  <c r="F21" i="2"/>
  <c r="B15" i="8"/>
  <c r="C16" i="8"/>
  <c r="J16" i="8" s="1"/>
  <c r="E12" i="8"/>
  <c r="F22" i="10" l="1"/>
  <c r="F12" i="8"/>
  <c r="R16" i="10"/>
  <c r="Z17" i="10"/>
  <c r="AA17" i="10" s="1"/>
  <c r="W17" i="10"/>
  <c r="W19" i="10"/>
  <c r="M21" i="10"/>
  <c r="W18" i="10"/>
  <c r="Z18" i="10"/>
  <c r="Y18" i="10"/>
  <c r="C23" i="10"/>
  <c r="H21" i="2"/>
  <c r="C23" i="2"/>
  <c r="J21" i="2"/>
  <c r="K21" i="2" s="1"/>
  <c r="I20" i="2"/>
  <c r="I22" i="10"/>
  <c r="E22" i="10"/>
  <c r="G22" i="10"/>
  <c r="B22" i="10"/>
  <c r="S21" i="10" s="1"/>
  <c r="J21" i="10"/>
  <c r="L21" i="10" s="1"/>
  <c r="V20" i="10" s="1"/>
  <c r="D22" i="10"/>
  <c r="K20" i="10"/>
  <c r="G22" i="2"/>
  <c r="B22" i="2"/>
  <c r="Q21" i="2" s="1"/>
  <c r="D22" i="2"/>
  <c r="E22" i="2"/>
  <c r="F22" i="2"/>
  <c r="B16" i="8"/>
  <c r="C17" i="8"/>
  <c r="J17" i="8" s="1"/>
  <c r="F23" i="10" l="1"/>
  <c r="Q16" i="10"/>
  <c r="H12" i="8"/>
  <c r="Z19" i="10"/>
  <c r="W20" i="10"/>
  <c r="M22" i="10"/>
  <c r="P16" i="10"/>
  <c r="AA18" i="10"/>
  <c r="Y19" i="10"/>
  <c r="C24" i="10"/>
  <c r="H22" i="2"/>
  <c r="C24" i="2"/>
  <c r="J22" i="2"/>
  <c r="K22" i="2" s="1"/>
  <c r="N18" i="2"/>
  <c r="O18" i="2"/>
  <c r="I21" i="2"/>
  <c r="T18" i="2"/>
  <c r="U18" i="2" s="1"/>
  <c r="K21" i="10"/>
  <c r="J22" i="10"/>
  <c r="L22" i="10" s="1"/>
  <c r="V21" i="10" s="1"/>
  <c r="D23" i="10"/>
  <c r="I23" i="10"/>
  <c r="G23" i="10"/>
  <c r="E23" i="10"/>
  <c r="B23" i="10"/>
  <c r="S22" i="10" s="1"/>
  <c r="F23" i="2"/>
  <c r="G23" i="2"/>
  <c r="D23" i="2"/>
  <c r="B23" i="2"/>
  <c r="Q22" i="2" s="1"/>
  <c r="E23" i="2"/>
  <c r="C18" i="8"/>
  <c r="J18" i="8" s="1"/>
  <c r="B17" i="8"/>
  <c r="F24" i="10" l="1"/>
  <c r="D13" i="8"/>
  <c r="Z20" i="10"/>
  <c r="AA19" i="10"/>
  <c r="Z21" i="10"/>
  <c r="M23" i="10"/>
  <c r="Y20" i="10"/>
  <c r="C25" i="10"/>
  <c r="H23" i="2"/>
  <c r="C25" i="2"/>
  <c r="J23" i="2"/>
  <c r="K23" i="2" s="1"/>
  <c r="I22" i="2"/>
  <c r="T19" i="2"/>
  <c r="U19" i="2" s="1"/>
  <c r="K22" i="10"/>
  <c r="J23" i="10"/>
  <c r="L23" i="10" s="1"/>
  <c r="V22" i="10" s="1"/>
  <c r="D24" i="10"/>
  <c r="B24" i="10"/>
  <c r="S23" i="10" s="1"/>
  <c r="G24" i="10"/>
  <c r="I24" i="10"/>
  <c r="E24" i="10"/>
  <c r="F24" i="2"/>
  <c r="D24" i="2"/>
  <c r="B24" i="2"/>
  <c r="Q23" i="2" s="1"/>
  <c r="G24" i="2"/>
  <c r="E24" i="2"/>
  <c r="C19" i="8"/>
  <c r="J19" i="8" s="1"/>
  <c r="B18" i="8"/>
  <c r="F25" i="10" l="1"/>
  <c r="O17" i="10"/>
  <c r="R17" i="10" s="1"/>
  <c r="G13" i="8"/>
  <c r="V13" i="8"/>
  <c r="W13" i="8"/>
  <c r="S13" i="8"/>
  <c r="P13" i="8"/>
  <c r="Q13" i="8"/>
  <c r="M13" i="8"/>
  <c r="U13" i="8"/>
  <c r="O13" i="8"/>
  <c r="N13" i="8"/>
  <c r="T13" i="8"/>
  <c r="R13" i="8"/>
  <c r="K13" i="8"/>
  <c r="L13" i="8"/>
  <c r="M19" i="2"/>
  <c r="P19" i="2" s="1"/>
  <c r="AA20" i="10"/>
  <c r="W21" i="10"/>
  <c r="W22" i="10"/>
  <c r="M24" i="10"/>
  <c r="Y21" i="10"/>
  <c r="AA21" i="10" s="1"/>
  <c r="C26" i="10"/>
  <c r="H24" i="2"/>
  <c r="C26" i="2"/>
  <c r="J24" i="2"/>
  <c r="K24" i="2" s="1"/>
  <c r="I23" i="2"/>
  <c r="K23" i="10"/>
  <c r="I25" i="10"/>
  <c r="J24" i="10"/>
  <c r="L24" i="10" s="1"/>
  <c r="V23" i="10" s="1"/>
  <c r="D25" i="10"/>
  <c r="E25" i="10"/>
  <c r="B25" i="10"/>
  <c r="S24" i="10" s="1"/>
  <c r="G25" i="10"/>
  <c r="F25" i="2"/>
  <c r="E25" i="2"/>
  <c r="B25" i="2"/>
  <c r="Q24" i="2" s="1"/>
  <c r="D25" i="2"/>
  <c r="G25" i="2"/>
  <c r="B19" i="8"/>
  <c r="C20" i="8"/>
  <c r="J20" i="8" s="1"/>
  <c r="E13" i="8"/>
  <c r="F13" i="8" l="1"/>
  <c r="O19" i="2" s="1"/>
  <c r="F26" i="10"/>
  <c r="Y22" i="10"/>
  <c r="Z22" i="10"/>
  <c r="Z23" i="10"/>
  <c r="M25" i="10"/>
  <c r="C27" i="10"/>
  <c r="H25" i="2"/>
  <c r="C27" i="2"/>
  <c r="J25" i="2"/>
  <c r="K25" i="2" s="1"/>
  <c r="I24" i="2"/>
  <c r="T20" i="2"/>
  <c r="U20" i="2" s="1"/>
  <c r="K24" i="10"/>
  <c r="J25" i="10"/>
  <c r="L25" i="10" s="1"/>
  <c r="V24" i="10" s="1"/>
  <c r="I26" i="10"/>
  <c r="D26" i="10"/>
  <c r="E26" i="10"/>
  <c r="G26" i="10"/>
  <c r="B26" i="10"/>
  <c r="S25" i="10" s="1"/>
  <c r="F26" i="2"/>
  <c r="D26" i="2"/>
  <c r="B26" i="2"/>
  <c r="Q25" i="2" s="1"/>
  <c r="G26" i="2"/>
  <c r="E26" i="2"/>
  <c r="B20" i="8"/>
  <c r="C21" i="8"/>
  <c r="J21" i="8" s="1"/>
  <c r="Q17" i="10" l="1"/>
  <c r="F27" i="10"/>
  <c r="H13" i="8"/>
  <c r="D14" i="8" s="1"/>
  <c r="N19" i="2"/>
  <c r="P17" i="10"/>
  <c r="Y23" i="10"/>
  <c r="AA23" i="10" s="1"/>
  <c r="AA22" i="10"/>
  <c r="W23" i="10"/>
  <c r="W24" i="10"/>
  <c r="C28" i="2"/>
  <c r="M26" i="10"/>
  <c r="C28" i="10"/>
  <c r="H26" i="2"/>
  <c r="J26" i="2"/>
  <c r="K26" i="2" s="1"/>
  <c r="I25" i="2"/>
  <c r="K25" i="10"/>
  <c r="G27" i="10"/>
  <c r="I27" i="10"/>
  <c r="J26" i="10"/>
  <c r="L26" i="10" s="1"/>
  <c r="V25" i="10" s="1"/>
  <c r="B27" i="10"/>
  <c r="S26" i="10" s="1"/>
  <c r="E27" i="10"/>
  <c r="D27" i="10"/>
  <c r="E27" i="2"/>
  <c r="G27" i="2"/>
  <c r="B27" i="2"/>
  <c r="Q26" i="2" s="1"/>
  <c r="D27" i="2"/>
  <c r="F27" i="2"/>
  <c r="C22" i="8"/>
  <c r="J22" i="8" s="1"/>
  <c r="B21" i="8"/>
  <c r="F28" i="10" l="1"/>
  <c r="G14" i="8"/>
  <c r="O18" i="10"/>
  <c r="R18" i="10" s="1"/>
  <c r="M20" i="2"/>
  <c r="P20" i="2" s="1"/>
  <c r="V14" i="8"/>
  <c r="N14" i="8"/>
  <c r="T14" i="8"/>
  <c r="R14" i="8"/>
  <c r="O14" i="8"/>
  <c r="S14" i="8"/>
  <c r="Q14" i="8"/>
  <c r="M14" i="8"/>
  <c r="U14" i="8"/>
  <c r="P14" i="8"/>
  <c r="K14" i="8"/>
  <c r="L14" i="8"/>
  <c r="Z24" i="10"/>
  <c r="W25" i="10"/>
  <c r="C29" i="2"/>
  <c r="M27" i="10"/>
  <c r="Y24" i="10"/>
  <c r="C29" i="10"/>
  <c r="H27" i="2"/>
  <c r="J27" i="2"/>
  <c r="K27" i="2" s="1"/>
  <c r="I26" i="2"/>
  <c r="T21" i="2"/>
  <c r="U21" i="2" s="1"/>
  <c r="I28" i="10"/>
  <c r="G28" i="10"/>
  <c r="B28" i="10"/>
  <c r="S27" i="10" s="1"/>
  <c r="K26" i="10"/>
  <c r="J27" i="10"/>
  <c r="L27" i="10" s="1"/>
  <c r="V26" i="10" s="1"/>
  <c r="E28" i="10"/>
  <c r="D28" i="10"/>
  <c r="B28" i="2"/>
  <c r="Q27" i="2" s="1"/>
  <c r="E28" i="2"/>
  <c r="D28" i="2"/>
  <c r="G28" i="2"/>
  <c r="F28" i="2"/>
  <c r="C23" i="8"/>
  <c r="J23" i="8" s="1"/>
  <c r="B22" i="8"/>
  <c r="E14" i="8"/>
  <c r="F14" i="8" l="1"/>
  <c r="O20" i="2" s="1"/>
  <c r="F29" i="10"/>
  <c r="AA24" i="10"/>
  <c r="Z25" i="10"/>
  <c r="W26" i="10"/>
  <c r="C30" i="2"/>
  <c r="M28" i="10"/>
  <c r="Y25" i="10"/>
  <c r="C30" i="10"/>
  <c r="H28" i="2"/>
  <c r="J28" i="2"/>
  <c r="K28" i="2" s="1"/>
  <c r="I27" i="2"/>
  <c r="K27" i="10"/>
  <c r="B29" i="10"/>
  <c r="S28" i="10" s="1"/>
  <c r="I29" i="10"/>
  <c r="G29" i="10"/>
  <c r="J28" i="10"/>
  <c r="L28" i="10" s="1"/>
  <c r="V27" i="10" s="1"/>
  <c r="E29" i="10"/>
  <c r="D29" i="10"/>
  <c r="B29" i="2"/>
  <c r="Q28" i="2" s="1"/>
  <c r="G29" i="2"/>
  <c r="D29" i="2"/>
  <c r="F29" i="2"/>
  <c r="E29" i="2"/>
  <c r="B23" i="8"/>
  <c r="C24" i="8"/>
  <c r="J24" i="8" s="1"/>
  <c r="Q18" i="10" l="1"/>
  <c r="F30" i="10"/>
  <c r="P18" i="10"/>
  <c r="H14" i="8"/>
  <c r="D15" i="8" s="1"/>
  <c r="N20" i="2"/>
  <c r="AA25" i="10"/>
  <c r="Z26" i="10"/>
  <c r="W27" i="10"/>
  <c r="C31" i="2"/>
  <c r="M29" i="10"/>
  <c r="Y26" i="10"/>
  <c r="C31" i="10"/>
  <c r="H29" i="2"/>
  <c r="J29" i="2"/>
  <c r="K29" i="2" s="1"/>
  <c r="I28" i="2"/>
  <c r="T22" i="2"/>
  <c r="U22" i="2" s="1"/>
  <c r="K28" i="10"/>
  <c r="I30" i="10"/>
  <c r="G30" i="10"/>
  <c r="D30" i="10"/>
  <c r="B30" i="10"/>
  <c r="S29" i="10" s="1"/>
  <c r="E30" i="10"/>
  <c r="J29" i="10"/>
  <c r="L29" i="10" s="1"/>
  <c r="V28" i="10" s="1"/>
  <c r="B30" i="2"/>
  <c r="Q29" i="2" s="1"/>
  <c r="F30" i="2"/>
  <c r="E30" i="2"/>
  <c r="D30" i="2"/>
  <c r="G30" i="2"/>
  <c r="B24" i="8"/>
  <c r="C25" i="8"/>
  <c r="J25" i="8" s="1"/>
  <c r="F31" i="10" l="1"/>
  <c r="G15" i="8"/>
  <c r="U15" i="8"/>
  <c r="P15" i="8"/>
  <c r="O15" i="8"/>
  <c r="N15" i="8"/>
  <c r="T15" i="8"/>
  <c r="R15" i="8"/>
  <c r="S15" i="8"/>
  <c r="Q15" i="8"/>
  <c r="M15" i="8"/>
  <c r="K15" i="8"/>
  <c r="L15" i="8"/>
  <c r="M21" i="2"/>
  <c r="P21" i="2" s="1"/>
  <c r="O19" i="10"/>
  <c r="R19" i="10" s="1"/>
  <c r="AA26" i="10"/>
  <c r="Z27" i="10"/>
  <c r="W28" i="10"/>
  <c r="C32" i="2"/>
  <c r="M30" i="10"/>
  <c r="Y27" i="10"/>
  <c r="C32" i="10"/>
  <c r="H30" i="2"/>
  <c r="J30" i="2"/>
  <c r="K30" i="2" s="1"/>
  <c r="I29" i="2"/>
  <c r="J30" i="10"/>
  <c r="L30" i="10" s="1"/>
  <c r="V29" i="10" s="1"/>
  <c r="B31" i="10"/>
  <c r="S30" i="10" s="1"/>
  <c r="G31" i="10"/>
  <c r="D31" i="10"/>
  <c r="E31" i="10"/>
  <c r="I31" i="10"/>
  <c r="K29" i="10"/>
  <c r="G31" i="2"/>
  <c r="B31" i="2"/>
  <c r="Q30" i="2" s="1"/>
  <c r="D31" i="2"/>
  <c r="E31" i="2"/>
  <c r="F31" i="2"/>
  <c r="B25" i="8"/>
  <c r="C26" i="8"/>
  <c r="E15" i="8"/>
  <c r="F15" i="8" l="1"/>
  <c r="O21" i="2" s="1"/>
  <c r="F32" i="10"/>
  <c r="AA27" i="10"/>
  <c r="Z28" i="10"/>
  <c r="Z29" i="10"/>
  <c r="C33" i="2"/>
  <c r="M31" i="10"/>
  <c r="Y28" i="10"/>
  <c r="C33" i="10"/>
  <c r="H31" i="2"/>
  <c r="J31" i="2"/>
  <c r="K31" i="2" s="1"/>
  <c r="I30" i="2"/>
  <c r="T23" i="2"/>
  <c r="U23" i="2" s="1"/>
  <c r="D32" i="10"/>
  <c r="K30" i="10"/>
  <c r="I32" i="10"/>
  <c r="G32" i="10"/>
  <c r="B32" i="10"/>
  <c r="S31" i="10" s="1"/>
  <c r="E32" i="10"/>
  <c r="J31" i="10"/>
  <c r="L31" i="10" s="1"/>
  <c r="V30" i="10" s="1"/>
  <c r="G32" i="2"/>
  <c r="D32" i="2"/>
  <c r="F32" i="2"/>
  <c r="B32" i="2"/>
  <c r="Q31" i="2" s="1"/>
  <c r="E32" i="2"/>
  <c r="B26" i="8"/>
  <c r="C27" i="8"/>
  <c r="Q19" i="10" l="1"/>
  <c r="F33" i="10"/>
  <c r="N21" i="2"/>
  <c r="H15" i="8"/>
  <c r="D16" i="8" s="1"/>
  <c r="P19" i="10"/>
  <c r="AA28" i="10"/>
  <c r="W29" i="10"/>
  <c r="Z30" i="10"/>
  <c r="C34" i="2"/>
  <c r="M32" i="10"/>
  <c r="Y29" i="10"/>
  <c r="AA29" i="10" s="1"/>
  <c r="C34" i="10"/>
  <c r="H32" i="2"/>
  <c r="J32" i="2"/>
  <c r="K32" i="2" s="1"/>
  <c r="I31" i="2"/>
  <c r="G33" i="10"/>
  <c r="D33" i="10"/>
  <c r="B33" i="10"/>
  <c r="S32" i="10" s="1"/>
  <c r="I33" i="10"/>
  <c r="E33" i="10"/>
  <c r="J32" i="10"/>
  <c r="L32" i="10" s="1"/>
  <c r="V31" i="10" s="1"/>
  <c r="K31" i="10"/>
  <c r="D33" i="2"/>
  <c r="B33" i="2"/>
  <c r="Q32" i="2" s="1"/>
  <c r="G33" i="2"/>
  <c r="E33" i="2"/>
  <c r="F33" i="2"/>
  <c r="B27" i="8"/>
  <c r="C28" i="8"/>
  <c r="F34" i="10" l="1"/>
  <c r="O20" i="10"/>
  <c r="R20" i="10" s="1"/>
  <c r="G16" i="8"/>
  <c r="M22" i="2"/>
  <c r="P22" i="2" s="1"/>
  <c r="Q16" i="8"/>
  <c r="M16" i="8"/>
  <c r="P16" i="8"/>
  <c r="O16" i="8"/>
  <c r="N16" i="8"/>
  <c r="T16" i="8"/>
  <c r="R16" i="8"/>
  <c r="S16" i="8"/>
  <c r="K16" i="8"/>
  <c r="L16" i="8"/>
  <c r="W30" i="10"/>
  <c r="Y30" i="10"/>
  <c r="AA30" i="10" s="1"/>
  <c r="Z31" i="10"/>
  <c r="C35" i="2"/>
  <c r="M33" i="10"/>
  <c r="C35" i="10"/>
  <c r="H33" i="2"/>
  <c r="J33" i="2"/>
  <c r="K33" i="2" s="1"/>
  <c r="I32" i="2"/>
  <c r="G34" i="10"/>
  <c r="D34" i="10"/>
  <c r="B34" i="10"/>
  <c r="S33" i="10" s="1"/>
  <c r="I34" i="10"/>
  <c r="E34" i="10"/>
  <c r="J33" i="10"/>
  <c r="L33" i="10" s="1"/>
  <c r="V32" i="10" s="1"/>
  <c r="K32" i="10"/>
  <c r="F34" i="2"/>
  <c r="B34" i="2"/>
  <c r="Q33" i="2" s="1"/>
  <c r="D34" i="2"/>
  <c r="G34" i="2"/>
  <c r="E34" i="2"/>
  <c r="C29" i="8"/>
  <c r="B28" i="8"/>
  <c r="E16" i="8"/>
  <c r="F35" i="10" l="1"/>
  <c r="F16" i="8"/>
  <c r="O22" i="2" s="1"/>
  <c r="W31" i="10"/>
  <c r="W32" i="10"/>
  <c r="C36" i="2"/>
  <c r="P20" i="10"/>
  <c r="M34" i="10"/>
  <c r="Y31" i="10"/>
  <c r="AA31" i="10" s="1"/>
  <c r="C36" i="10"/>
  <c r="H34" i="2"/>
  <c r="J34" i="2"/>
  <c r="K34" i="2" s="1"/>
  <c r="N22" i="2"/>
  <c r="I33" i="2"/>
  <c r="T24" i="2"/>
  <c r="U24" i="2" s="1"/>
  <c r="G35" i="10"/>
  <c r="I35" i="10"/>
  <c r="J34" i="10"/>
  <c r="L34" i="10" s="1"/>
  <c r="V33" i="10" s="1"/>
  <c r="D35" i="10"/>
  <c r="K33" i="10"/>
  <c r="B35" i="10"/>
  <c r="S34" i="10" s="1"/>
  <c r="E35" i="10"/>
  <c r="F35" i="2"/>
  <c r="E35" i="2"/>
  <c r="G35" i="2"/>
  <c r="B35" i="2"/>
  <c r="Q34" i="2" s="1"/>
  <c r="D35" i="2"/>
  <c r="B29" i="8"/>
  <c r="C30" i="8"/>
  <c r="F36" i="10" l="1"/>
  <c r="H16" i="8"/>
  <c r="D17" i="8" s="1"/>
  <c r="Q20" i="10"/>
  <c r="Z32" i="10"/>
  <c r="W33" i="10"/>
  <c r="C37" i="2"/>
  <c r="M35" i="10"/>
  <c r="Y32" i="10"/>
  <c r="C37" i="10"/>
  <c r="F37" i="10" s="1"/>
  <c r="H35" i="2"/>
  <c r="J35" i="2"/>
  <c r="K35" i="2" s="1"/>
  <c r="I34" i="2"/>
  <c r="T25" i="2"/>
  <c r="U25" i="2" s="1"/>
  <c r="B36" i="10"/>
  <c r="S35" i="10" s="1"/>
  <c r="K34" i="10"/>
  <c r="D36" i="10"/>
  <c r="I36" i="10"/>
  <c r="G36" i="10"/>
  <c r="J35" i="10"/>
  <c r="K35" i="10" s="1"/>
  <c r="E36" i="10"/>
  <c r="F36" i="2"/>
  <c r="G36" i="2"/>
  <c r="B36" i="2"/>
  <c r="Q35" i="2" s="1"/>
  <c r="D36" i="2"/>
  <c r="E36" i="2"/>
  <c r="B30" i="8"/>
  <c r="C31" i="8"/>
  <c r="O21" i="10" l="1"/>
  <c r="R21" i="10" s="1"/>
  <c r="M23" i="2"/>
  <c r="P23" i="2" s="1"/>
  <c r="S17" i="8"/>
  <c r="Q17" i="8"/>
  <c r="M17" i="8"/>
  <c r="N17" i="8"/>
  <c r="R17" i="8"/>
  <c r="P17" i="8"/>
  <c r="O17" i="8"/>
  <c r="G17" i="8"/>
  <c r="L17" i="8"/>
  <c r="K17" i="8"/>
  <c r="AA32" i="10"/>
  <c r="Z33" i="10"/>
  <c r="C38" i="2"/>
  <c r="M36" i="10"/>
  <c r="Y33" i="10"/>
  <c r="L35" i="10"/>
  <c r="V34" i="10" s="1"/>
  <c r="C38" i="10"/>
  <c r="F38" i="10" s="1"/>
  <c r="H36" i="2"/>
  <c r="J36" i="2"/>
  <c r="K36" i="2" s="1"/>
  <c r="I35" i="2"/>
  <c r="B37" i="10"/>
  <c r="S36" i="10" s="1"/>
  <c r="D37" i="10"/>
  <c r="G37" i="10"/>
  <c r="E37" i="10"/>
  <c r="I37" i="10"/>
  <c r="J36" i="10"/>
  <c r="L36" i="10" s="1"/>
  <c r="B37" i="2"/>
  <c r="Q36" i="2" s="1"/>
  <c r="F37" i="2"/>
  <c r="G37" i="2"/>
  <c r="D37" i="2"/>
  <c r="E37" i="2"/>
  <c r="B31" i="8"/>
  <c r="C32" i="8"/>
  <c r="E17" i="8"/>
  <c r="V35" i="10" l="1"/>
  <c r="W35" i="10" s="1"/>
  <c r="F17" i="8"/>
  <c r="AA33" i="10"/>
  <c r="Z34" i="10"/>
  <c r="C39" i="2"/>
  <c r="M37" i="10"/>
  <c r="C39" i="10"/>
  <c r="F39" i="10" s="1"/>
  <c r="H37" i="2"/>
  <c r="I37" i="2" s="1"/>
  <c r="I36" i="2"/>
  <c r="J37" i="2"/>
  <c r="K37" i="2" s="1"/>
  <c r="T26" i="2"/>
  <c r="U26" i="2" s="1"/>
  <c r="E38" i="10"/>
  <c r="J37" i="10"/>
  <c r="K37" i="10" s="1"/>
  <c r="I38" i="10"/>
  <c r="D38" i="10"/>
  <c r="K36" i="10"/>
  <c r="B38" i="10"/>
  <c r="S37" i="10" s="1"/>
  <c r="G38" i="10"/>
  <c r="D38" i="2"/>
  <c r="F38" i="2"/>
  <c r="E38" i="2"/>
  <c r="G38" i="2"/>
  <c r="B38" i="2"/>
  <c r="Q37" i="2" s="1"/>
  <c r="C33" i="8"/>
  <c r="B32" i="8"/>
  <c r="P21" i="10" l="1"/>
  <c r="N23" i="2"/>
  <c r="Q21" i="10"/>
  <c r="O23" i="2"/>
  <c r="H17" i="8"/>
  <c r="D18" i="8" s="1"/>
  <c r="Y34" i="10"/>
  <c r="AA34" i="10" s="1"/>
  <c r="W34" i="10"/>
  <c r="C40" i="2"/>
  <c r="M38" i="10"/>
  <c r="Z35" i="10"/>
  <c r="Y35" i="10"/>
  <c r="L37" i="10"/>
  <c r="V36" i="10" s="1"/>
  <c r="C40" i="10"/>
  <c r="F40" i="10" s="1"/>
  <c r="H38" i="2"/>
  <c r="I38" i="2" s="1"/>
  <c r="J38" i="2"/>
  <c r="K38" i="2" s="1"/>
  <c r="J38" i="10"/>
  <c r="K38" i="10" s="1"/>
  <c r="E39" i="10"/>
  <c r="B39" i="10"/>
  <c r="S38" i="10" s="1"/>
  <c r="G39" i="10"/>
  <c r="D39" i="10"/>
  <c r="I39" i="10"/>
  <c r="E39" i="2"/>
  <c r="F39" i="2"/>
  <c r="B39" i="2"/>
  <c r="Q38" i="2" s="1"/>
  <c r="D39" i="2"/>
  <c r="G39" i="2"/>
  <c r="C34" i="8"/>
  <c r="B33" i="8"/>
  <c r="N18" i="8" l="1"/>
  <c r="R18" i="8"/>
  <c r="P18" i="8"/>
  <c r="Q18" i="8"/>
  <c r="M18" i="8"/>
  <c r="O18" i="8"/>
  <c r="G18" i="8"/>
  <c r="O22" i="10"/>
  <c r="R22" i="10" s="1"/>
  <c r="K18" i="8"/>
  <c r="L18" i="8"/>
  <c r="M24" i="2"/>
  <c r="P24" i="2" s="1"/>
  <c r="W36" i="10"/>
  <c r="C41" i="2"/>
  <c r="M39" i="10"/>
  <c r="AA35" i="10"/>
  <c r="L38" i="10"/>
  <c r="V37" i="10" s="1"/>
  <c r="C41" i="10"/>
  <c r="F41" i="10" s="1"/>
  <c r="H39" i="2"/>
  <c r="I39" i="2" s="1"/>
  <c r="J39" i="2"/>
  <c r="K39" i="2" s="1"/>
  <c r="T27" i="2"/>
  <c r="U27" i="2" s="1"/>
  <c r="B40" i="10"/>
  <c r="S39" i="10" s="1"/>
  <c r="D40" i="10"/>
  <c r="J39" i="10"/>
  <c r="K39" i="10" s="1"/>
  <c r="G40" i="10"/>
  <c r="I40" i="10"/>
  <c r="E40" i="10"/>
  <c r="B40" i="2"/>
  <c r="Q39" i="2" s="1"/>
  <c r="F40" i="2"/>
  <c r="G40" i="2"/>
  <c r="E40" i="2"/>
  <c r="D40" i="2"/>
  <c r="C35" i="8"/>
  <c r="B34" i="8"/>
  <c r="E18" i="8"/>
  <c r="F18" i="8" l="1"/>
  <c r="Q22" i="10" s="1"/>
  <c r="Y36" i="10"/>
  <c r="Z36" i="10"/>
  <c r="W37" i="10"/>
  <c r="C42" i="2"/>
  <c r="M40" i="10"/>
  <c r="L39" i="10"/>
  <c r="V38" i="10" s="1"/>
  <c r="C42" i="10"/>
  <c r="F42" i="10" s="1"/>
  <c r="H40" i="2"/>
  <c r="I40" i="2" s="1"/>
  <c r="J40" i="2"/>
  <c r="K40" i="2" s="1"/>
  <c r="I41" i="10"/>
  <c r="D41" i="10"/>
  <c r="G41" i="10"/>
  <c r="B41" i="10"/>
  <c r="S40" i="10" s="1"/>
  <c r="E41" i="10"/>
  <c r="J40" i="10"/>
  <c r="L40" i="10" s="1"/>
  <c r="F41" i="2"/>
  <c r="G41" i="2"/>
  <c r="D41" i="2"/>
  <c r="B41" i="2"/>
  <c r="Q40" i="2" s="1"/>
  <c r="E41" i="2"/>
  <c r="B35" i="8"/>
  <c r="C36" i="8"/>
  <c r="O24" i="2" l="1"/>
  <c r="N24" i="2"/>
  <c r="V39" i="10"/>
  <c r="W39" i="10" s="1"/>
  <c r="AA36" i="10"/>
  <c r="P22" i="10"/>
  <c r="H18" i="8"/>
  <c r="D19" i="8" s="1"/>
  <c r="Y37" i="10"/>
  <c r="Z37" i="10"/>
  <c r="Z38" i="10"/>
  <c r="C43" i="2"/>
  <c r="M41" i="10"/>
  <c r="C43" i="10"/>
  <c r="F43" i="10" s="1"/>
  <c r="H41" i="2"/>
  <c r="I41" i="2" s="1"/>
  <c r="J41" i="2"/>
  <c r="K41" i="2" s="1"/>
  <c r="T28" i="2"/>
  <c r="U28" i="2" s="1"/>
  <c r="D42" i="10"/>
  <c r="G42" i="10"/>
  <c r="I42" i="10"/>
  <c r="B42" i="10"/>
  <c r="S41" i="10" s="1"/>
  <c r="J41" i="10"/>
  <c r="K41" i="10" s="1"/>
  <c r="E42" i="10"/>
  <c r="K40" i="10"/>
  <c r="G42" i="2"/>
  <c r="F42" i="2"/>
  <c r="D42" i="2"/>
  <c r="E42" i="2"/>
  <c r="B42" i="2"/>
  <c r="Q41" i="2" s="1"/>
  <c r="B36" i="8"/>
  <c r="C37" i="8"/>
  <c r="AA37" i="10" l="1"/>
  <c r="G19" i="8"/>
  <c r="O23" i="10"/>
  <c r="R23" i="10" s="1"/>
  <c r="M25" i="2"/>
  <c r="P25" i="2" s="1"/>
  <c r="K19" i="8"/>
  <c r="O19" i="8"/>
  <c r="N19" i="8"/>
  <c r="P19" i="8"/>
  <c r="Q19" i="8"/>
  <c r="M19" i="8"/>
  <c r="L19" i="8"/>
  <c r="Y38" i="10"/>
  <c r="AA38" i="10" s="1"/>
  <c r="W38" i="10"/>
  <c r="C44" i="2"/>
  <c r="M42" i="10"/>
  <c r="Z39" i="10"/>
  <c r="L41" i="10"/>
  <c r="V40" i="10" s="1"/>
  <c r="Y39" i="10"/>
  <c r="C44" i="10"/>
  <c r="F44" i="10" s="1"/>
  <c r="H42" i="2"/>
  <c r="I42" i="2" s="1"/>
  <c r="J42" i="2"/>
  <c r="K42" i="2" s="1"/>
  <c r="I43" i="10"/>
  <c r="G43" i="10"/>
  <c r="D43" i="10"/>
  <c r="B43" i="10"/>
  <c r="S42" i="10" s="1"/>
  <c r="J42" i="10"/>
  <c r="K42" i="10" s="1"/>
  <c r="E43" i="10"/>
  <c r="E43" i="2"/>
  <c r="G43" i="2"/>
  <c r="D43" i="2"/>
  <c r="B43" i="2"/>
  <c r="Q42" i="2" s="1"/>
  <c r="F43" i="2"/>
  <c r="C38" i="8"/>
  <c r="B37" i="8"/>
  <c r="E19" i="8"/>
  <c r="AA39" i="10" l="1"/>
  <c r="F19" i="8"/>
  <c r="O25" i="2" s="1"/>
  <c r="Z40" i="10"/>
  <c r="C45" i="2"/>
  <c r="M43" i="10"/>
  <c r="N25" i="2"/>
  <c r="P23" i="10"/>
  <c r="L42" i="10"/>
  <c r="V41" i="10" s="1"/>
  <c r="C45" i="10"/>
  <c r="F45" i="10" s="1"/>
  <c r="H43" i="2"/>
  <c r="I43" i="2" s="1"/>
  <c r="J43" i="2"/>
  <c r="K43" i="2" s="1"/>
  <c r="T29" i="2"/>
  <c r="U29" i="2" s="1"/>
  <c r="I44" i="10"/>
  <c r="J43" i="10"/>
  <c r="L43" i="10" s="1"/>
  <c r="G44" i="10"/>
  <c r="D44" i="10"/>
  <c r="B44" i="10"/>
  <c r="S43" i="10" s="1"/>
  <c r="E44" i="10"/>
  <c r="D44" i="2"/>
  <c r="G44" i="2"/>
  <c r="F44" i="2"/>
  <c r="B44" i="2"/>
  <c r="Q43" i="2" s="1"/>
  <c r="E44" i="2"/>
  <c r="C39" i="8"/>
  <c r="B38" i="8"/>
  <c r="V42" i="10" l="1"/>
  <c r="W42" i="10" s="1"/>
  <c r="H19" i="8"/>
  <c r="D20" i="8" s="1"/>
  <c r="Q23" i="10"/>
  <c r="Y40" i="10"/>
  <c r="AA40" i="10" s="1"/>
  <c r="W40" i="10"/>
  <c r="W41" i="10"/>
  <c r="C46" i="2"/>
  <c r="M44" i="10"/>
  <c r="C46" i="10"/>
  <c r="F46" i="10" s="1"/>
  <c r="H44" i="2"/>
  <c r="I44" i="2" s="1"/>
  <c r="J44" i="2"/>
  <c r="K44" i="2" s="1"/>
  <c r="K43" i="10"/>
  <c r="I45" i="10"/>
  <c r="D45" i="10"/>
  <c r="E45" i="10"/>
  <c r="B45" i="10"/>
  <c r="S44" i="10" s="1"/>
  <c r="G45" i="10"/>
  <c r="J44" i="10"/>
  <c r="K44" i="10" s="1"/>
  <c r="G45" i="2"/>
  <c r="F45" i="2"/>
  <c r="D45" i="2"/>
  <c r="B45" i="2"/>
  <c r="Q44" i="2" s="1"/>
  <c r="E45" i="2"/>
  <c r="B39" i="8"/>
  <c r="C40" i="8"/>
  <c r="V45" i="10" l="1"/>
  <c r="AA45" i="10" s="1"/>
  <c r="G20" i="8"/>
  <c r="O20" i="8"/>
  <c r="N20" i="8"/>
  <c r="P20" i="8"/>
  <c r="M20" i="8"/>
  <c r="K20" i="8"/>
  <c r="L20" i="8"/>
  <c r="O24" i="10"/>
  <c r="R24" i="10" s="1"/>
  <c r="M26" i="2"/>
  <c r="P26" i="2" s="1"/>
  <c r="Z41" i="10"/>
  <c r="Y41" i="10"/>
  <c r="Z42" i="10"/>
  <c r="C47" i="2"/>
  <c r="M45" i="10"/>
  <c r="Y42" i="10"/>
  <c r="L44" i="10"/>
  <c r="V43" i="10" s="1"/>
  <c r="C47" i="10"/>
  <c r="F47" i="10" s="1"/>
  <c r="H45" i="2"/>
  <c r="I45" i="2" s="1"/>
  <c r="J45" i="2"/>
  <c r="K45" i="2" s="1"/>
  <c r="T30" i="2"/>
  <c r="U30" i="2" s="1"/>
  <c r="D46" i="10"/>
  <c r="E46" i="10"/>
  <c r="I46" i="10"/>
  <c r="B46" i="10"/>
  <c r="S45" i="10" s="1"/>
  <c r="G46" i="10"/>
  <c r="J45" i="10"/>
  <c r="L45" i="10" s="1"/>
  <c r="G46" i="2"/>
  <c r="D46" i="2"/>
  <c r="B46" i="2"/>
  <c r="Q45" i="2" s="1"/>
  <c r="F46" i="2"/>
  <c r="E46" i="2"/>
  <c r="B40" i="8"/>
  <c r="C41" i="8"/>
  <c r="E20" i="8"/>
  <c r="F20" i="8" l="1"/>
  <c r="V46" i="10"/>
  <c r="Y46" i="10" s="1"/>
  <c r="AA42" i="10"/>
  <c r="V44" i="10"/>
  <c r="W44" i="10" s="1"/>
  <c r="AA41" i="10"/>
  <c r="W43" i="10"/>
  <c r="C48" i="2"/>
  <c r="M46" i="10"/>
  <c r="Z45" i="10"/>
  <c r="Y45" i="10"/>
  <c r="W45" i="10"/>
  <c r="L46" i="10"/>
  <c r="C48" i="10"/>
  <c r="F48" i="10" s="1"/>
  <c r="H46" i="2"/>
  <c r="I46" i="2" s="1"/>
  <c r="J46" i="2"/>
  <c r="K46" i="2" s="1"/>
  <c r="J46" i="10"/>
  <c r="K45" i="10"/>
  <c r="E47" i="10"/>
  <c r="I47" i="10"/>
  <c r="B47" i="10"/>
  <c r="S46" i="10" s="1"/>
  <c r="D47" i="10"/>
  <c r="G47" i="10"/>
  <c r="B47" i="2"/>
  <c r="G47" i="2"/>
  <c r="D47" i="2"/>
  <c r="E47" i="2"/>
  <c r="F47" i="2"/>
  <c r="C42" i="8"/>
  <c r="B41" i="8"/>
  <c r="V47" i="10" l="1"/>
  <c r="W47" i="10" s="1"/>
  <c r="Z44" i="10"/>
  <c r="Z43" i="10"/>
  <c r="Y43" i="10"/>
  <c r="C49" i="2"/>
  <c r="M47" i="10"/>
  <c r="W46" i="10"/>
  <c r="AA46" i="10"/>
  <c r="Z46" i="10"/>
  <c r="Y44" i="10"/>
  <c r="L47" i="10"/>
  <c r="C49" i="10"/>
  <c r="F49" i="10" s="1"/>
  <c r="H47" i="2"/>
  <c r="I47" i="2" s="1"/>
  <c r="J47" i="2"/>
  <c r="K47" i="2" s="1"/>
  <c r="K46" i="10"/>
  <c r="J47" i="10"/>
  <c r="E48" i="10"/>
  <c r="G48" i="10"/>
  <c r="B48" i="10"/>
  <c r="S47" i="10" s="1"/>
  <c r="I48" i="10"/>
  <c r="D48" i="10"/>
  <c r="E48" i="2"/>
  <c r="B48" i="2"/>
  <c r="Q47" i="2" s="1"/>
  <c r="D48" i="2"/>
  <c r="G48" i="2"/>
  <c r="F48" i="2"/>
  <c r="B42" i="8"/>
  <c r="C43" i="8"/>
  <c r="V48" i="10" l="1"/>
  <c r="Z48" i="10" s="1"/>
  <c r="AA44" i="10"/>
  <c r="AA43" i="10"/>
  <c r="C50" i="2"/>
  <c r="M48" i="10"/>
  <c r="AA47" i="10"/>
  <c r="Z47" i="10"/>
  <c r="Y47" i="10"/>
  <c r="L48" i="10"/>
  <c r="C50" i="10"/>
  <c r="F50" i="10" s="1"/>
  <c r="H48" i="2"/>
  <c r="I48" i="2" s="1"/>
  <c r="J48" i="2"/>
  <c r="K48" i="2" s="1"/>
  <c r="T31" i="2"/>
  <c r="U31" i="2" s="1"/>
  <c r="K47" i="10"/>
  <c r="J48" i="10"/>
  <c r="G49" i="10"/>
  <c r="I49" i="10"/>
  <c r="E49" i="10"/>
  <c r="D49" i="10"/>
  <c r="B49" i="10"/>
  <c r="S48" i="10" s="1"/>
  <c r="F49" i="2"/>
  <c r="B49" i="2"/>
  <c r="Q48" i="2" s="1"/>
  <c r="D49" i="2"/>
  <c r="G49" i="2"/>
  <c r="E49" i="2"/>
  <c r="B43" i="8"/>
  <c r="C44" i="8"/>
  <c r="V49" i="10" l="1"/>
  <c r="Y49" i="10" s="1"/>
  <c r="C51" i="2"/>
  <c r="M49" i="10"/>
  <c r="Y48" i="10"/>
  <c r="W48" i="10"/>
  <c r="AA48" i="10"/>
  <c r="L49" i="10"/>
  <c r="C51" i="10"/>
  <c r="F51" i="10" s="1"/>
  <c r="H49" i="2"/>
  <c r="I49" i="2" s="1"/>
  <c r="J49" i="2"/>
  <c r="K49" i="2" s="1"/>
  <c r="T32" i="2"/>
  <c r="U32" i="2" s="1"/>
  <c r="T47" i="2"/>
  <c r="U47" i="2" s="1"/>
  <c r="K48" i="10"/>
  <c r="J49" i="10"/>
  <c r="E50" i="10"/>
  <c r="D50" i="10"/>
  <c r="I50" i="10"/>
  <c r="B50" i="10"/>
  <c r="S49" i="10" s="1"/>
  <c r="G50" i="10"/>
  <c r="G50" i="2"/>
  <c r="D50" i="2"/>
  <c r="F50" i="2"/>
  <c r="E50" i="2"/>
  <c r="B50" i="2"/>
  <c r="Q49" i="2" s="1"/>
  <c r="B44" i="8"/>
  <c r="C45" i="8"/>
  <c r="V50" i="10" l="1"/>
  <c r="Y50" i="10" s="1"/>
  <c r="C52" i="2"/>
  <c r="M50" i="10"/>
  <c r="W49" i="10"/>
  <c r="AA49" i="10"/>
  <c r="Z49" i="10"/>
  <c r="M51" i="10"/>
  <c r="L51" i="10"/>
  <c r="L50" i="10"/>
  <c r="C52" i="10"/>
  <c r="F52" i="10" s="1"/>
  <c r="H50" i="2"/>
  <c r="I50" i="2" s="1"/>
  <c r="J50" i="2"/>
  <c r="K50" i="2" s="1"/>
  <c r="T48" i="2"/>
  <c r="U48" i="2" s="1"/>
  <c r="D51" i="10"/>
  <c r="K49" i="10"/>
  <c r="J50" i="10"/>
  <c r="G51" i="10"/>
  <c r="I51" i="10"/>
  <c r="E51" i="10"/>
  <c r="B51" i="10"/>
  <c r="S50" i="10" s="1"/>
  <c r="B51" i="2"/>
  <c r="Q50" i="2" s="1"/>
  <c r="F51" i="2"/>
  <c r="D51" i="2"/>
  <c r="E51" i="2"/>
  <c r="G51" i="2"/>
  <c r="C46" i="8"/>
  <c r="B45" i="8"/>
  <c r="V51" i="10" l="1"/>
  <c r="Z51" i="10" s="1"/>
  <c r="C53" i="2"/>
  <c r="M53" i="2" s="1"/>
  <c r="W50" i="10"/>
  <c r="AA50" i="10"/>
  <c r="Z50" i="10"/>
  <c r="M52" i="10"/>
  <c r="L52" i="10"/>
  <c r="C53" i="10"/>
  <c r="F53" i="10" s="1"/>
  <c r="H51" i="2"/>
  <c r="I51" i="2" s="1"/>
  <c r="J51" i="2"/>
  <c r="K51" i="2" s="1"/>
  <c r="T49" i="2"/>
  <c r="U49" i="2" s="1"/>
  <c r="K50" i="10"/>
  <c r="J51" i="10"/>
  <c r="B52" i="10"/>
  <c r="S51" i="10" s="1"/>
  <c r="G52" i="10"/>
  <c r="E52" i="10"/>
  <c r="I52" i="10"/>
  <c r="D52" i="10"/>
  <c r="D52" i="2"/>
  <c r="B52" i="2"/>
  <c r="Q51" i="2" s="1"/>
  <c r="F52" i="2"/>
  <c r="G52" i="2"/>
  <c r="E52" i="2"/>
  <c r="B46" i="8"/>
  <c r="C47" i="8"/>
  <c r="V52" i="10" l="1"/>
  <c r="Y52" i="10" s="1"/>
  <c r="H53" i="2"/>
  <c r="C54" i="2"/>
  <c r="M54" i="2" s="1"/>
  <c r="Y51" i="10"/>
  <c r="W51" i="10"/>
  <c r="M53" i="10"/>
  <c r="AA51" i="10"/>
  <c r="L53" i="10"/>
  <c r="C54" i="10"/>
  <c r="F54" i="10" s="1"/>
  <c r="H52" i="2"/>
  <c r="J52" i="2"/>
  <c r="K52" i="2" s="1"/>
  <c r="T33" i="2"/>
  <c r="U33" i="2" s="1"/>
  <c r="T50" i="2"/>
  <c r="U50" i="2" s="1"/>
  <c r="J52" i="10"/>
  <c r="K51" i="10"/>
  <c r="I52" i="2"/>
  <c r="G53" i="10"/>
  <c r="D53" i="10"/>
  <c r="I53" i="10"/>
  <c r="E53" i="10"/>
  <c r="B53" i="10"/>
  <c r="S52" i="10" s="1"/>
  <c r="D53" i="2"/>
  <c r="F53" i="2"/>
  <c r="B53" i="2"/>
  <c r="Q52" i="2" s="1"/>
  <c r="G53" i="2"/>
  <c r="E53" i="2"/>
  <c r="B47" i="8"/>
  <c r="C48" i="8"/>
  <c r="V53" i="10" l="1"/>
  <c r="Z53" i="10" s="1"/>
  <c r="H54" i="2"/>
  <c r="C55" i="2"/>
  <c r="M55" i="2" s="1"/>
  <c r="W52" i="10"/>
  <c r="AA52" i="10"/>
  <c r="Z52" i="10"/>
  <c r="M54" i="10"/>
  <c r="L54" i="10"/>
  <c r="C55" i="10"/>
  <c r="F55" i="10" s="1"/>
  <c r="J53" i="2"/>
  <c r="K53" i="2" s="1"/>
  <c r="T51" i="2"/>
  <c r="U51" i="2" s="1"/>
  <c r="K52" i="10"/>
  <c r="J53" i="10"/>
  <c r="I54" i="10"/>
  <c r="G54" i="10"/>
  <c r="E54" i="10"/>
  <c r="D54" i="10"/>
  <c r="B54" i="10"/>
  <c r="S53" i="10" s="1"/>
  <c r="I53" i="2"/>
  <c r="F54" i="2"/>
  <c r="B54" i="2"/>
  <c r="Q53" i="2" s="1"/>
  <c r="D54" i="2"/>
  <c r="G54" i="2"/>
  <c r="E54" i="2"/>
  <c r="B48" i="8"/>
  <c r="C49" i="8"/>
  <c r="V54" i="10" l="1"/>
  <c r="Z54" i="10" s="1"/>
  <c r="H55" i="2"/>
  <c r="C56" i="2"/>
  <c r="M56" i="2" s="1"/>
  <c r="Y53" i="10"/>
  <c r="W53" i="10"/>
  <c r="M55" i="10"/>
  <c r="AA53" i="10"/>
  <c r="L55" i="10"/>
  <c r="C56" i="10"/>
  <c r="F56" i="10" s="1"/>
  <c r="J54" i="2"/>
  <c r="T34" i="2"/>
  <c r="U34" i="2" s="1"/>
  <c r="T52" i="2"/>
  <c r="U52" i="2" s="1"/>
  <c r="K53" i="10"/>
  <c r="J54" i="10"/>
  <c r="B55" i="10"/>
  <c r="S54" i="10" s="1"/>
  <c r="D55" i="10"/>
  <c r="G55" i="10"/>
  <c r="E55" i="10"/>
  <c r="I55" i="10"/>
  <c r="I54" i="2"/>
  <c r="D55" i="2"/>
  <c r="B55" i="2"/>
  <c r="Q54" i="2" s="1"/>
  <c r="G55" i="2"/>
  <c r="F55" i="2"/>
  <c r="E55" i="2"/>
  <c r="C50" i="8"/>
  <c r="B49" i="8"/>
  <c r="V55" i="10" l="1"/>
  <c r="Z55" i="10" s="1"/>
  <c r="K54" i="2"/>
  <c r="H56" i="2"/>
  <c r="C57" i="2"/>
  <c r="M57" i="2" s="1"/>
  <c r="Y54" i="10"/>
  <c r="AA54" i="10"/>
  <c r="W54" i="10"/>
  <c r="M56" i="10"/>
  <c r="L56" i="10"/>
  <c r="C57" i="10"/>
  <c r="F57" i="10" s="1"/>
  <c r="J55" i="2"/>
  <c r="T35" i="2"/>
  <c r="U35" i="2" s="1"/>
  <c r="T53" i="2"/>
  <c r="U53" i="2" s="1"/>
  <c r="K54" i="10"/>
  <c r="J55" i="10"/>
  <c r="E56" i="10"/>
  <c r="D56" i="10"/>
  <c r="G56" i="10"/>
  <c r="B56" i="10"/>
  <c r="S55" i="10" s="1"/>
  <c r="I56" i="10"/>
  <c r="I55" i="2"/>
  <c r="B56" i="2"/>
  <c r="Q55" i="2" s="1"/>
  <c r="D56" i="2"/>
  <c r="F56" i="2"/>
  <c r="G56" i="2"/>
  <c r="E56" i="2"/>
  <c r="C51" i="8"/>
  <c r="B50" i="8"/>
  <c r="V56" i="10" l="1"/>
  <c r="AA56" i="10" s="1"/>
  <c r="K55" i="2"/>
  <c r="H57" i="2"/>
  <c r="C58" i="2"/>
  <c r="M58" i="2" s="1"/>
  <c r="Y55" i="10"/>
  <c r="AA55" i="10"/>
  <c r="W55" i="10"/>
  <c r="M57" i="10"/>
  <c r="L57" i="10"/>
  <c r="C58" i="10"/>
  <c r="F58" i="10" s="1"/>
  <c r="J56" i="2"/>
  <c r="I57" i="10"/>
  <c r="T54" i="2"/>
  <c r="U54" i="2" s="1"/>
  <c r="K55" i="10"/>
  <c r="J56" i="10"/>
  <c r="D57" i="10"/>
  <c r="B57" i="10"/>
  <c r="S56" i="10" s="1"/>
  <c r="E57" i="10"/>
  <c r="G57" i="10"/>
  <c r="I56" i="2"/>
  <c r="G57" i="2"/>
  <c r="D57" i="2"/>
  <c r="F57" i="2"/>
  <c r="B57" i="2"/>
  <c r="Q56" i="2" s="1"/>
  <c r="E57" i="2"/>
  <c r="B51" i="8"/>
  <c r="C52" i="8"/>
  <c r="V57" i="10" l="1"/>
  <c r="Z57" i="10" s="1"/>
  <c r="K56" i="2"/>
  <c r="H58" i="2"/>
  <c r="C59" i="2"/>
  <c r="M59" i="2" s="1"/>
  <c r="W56" i="10"/>
  <c r="Z56" i="10"/>
  <c r="Y56" i="10"/>
  <c r="M58" i="10"/>
  <c r="L58" i="10"/>
  <c r="C59" i="10"/>
  <c r="F59" i="10" s="1"/>
  <c r="J57" i="2"/>
  <c r="T55" i="2"/>
  <c r="U55" i="2" s="1"/>
  <c r="K56" i="10"/>
  <c r="J57" i="10"/>
  <c r="E58" i="10"/>
  <c r="B58" i="10"/>
  <c r="S57" i="10" s="1"/>
  <c r="D58" i="10"/>
  <c r="G58" i="10"/>
  <c r="I58" i="10"/>
  <c r="I57" i="2"/>
  <c r="F58" i="2"/>
  <c r="D58" i="2"/>
  <c r="B58" i="2"/>
  <c r="Q57" i="2" s="1"/>
  <c r="G58" i="2"/>
  <c r="E58" i="2"/>
  <c r="C53" i="8"/>
  <c r="B52" i="8"/>
  <c r="V58" i="10" l="1"/>
  <c r="Y58" i="10" s="1"/>
  <c r="K57" i="2"/>
  <c r="H59" i="2"/>
  <c r="C60" i="2"/>
  <c r="M60" i="2" s="1"/>
  <c r="Y57" i="10"/>
  <c r="AA57" i="10"/>
  <c r="W57" i="10"/>
  <c r="M59" i="10"/>
  <c r="L59" i="10"/>
  <c r="C60" i="10"/>
  <c r="F60" i="10" s="1"/>
  <c r="J58" i="2"/>
  <c r="T36" i="2"/>
  <c r="U36" i="2" s="1"/>
  <c r="T56" i="2"/>
  <c r="U56" i="2" s="1"/>
  <c r="K57" i="10"/>
  <c r="J58" i="10"/>
  <c r="E59" i="10"/>
  <c r="B59" i="10"/>
  <c r="S58" i="10" s="1"/>
  <c r="G59" i="10"/>
  <c r="D59" i="10"/>
  <c r="I59" i="10"/>
  <c r="I58" i="2"/>
  <c r="G59" i="2"/>
  <c r="F59" i="2"/>
  <c r="E59" i="2"/>
  <c r="D59" i="2"/>
  <c r="B59" i="2"/>
  <c r="Q58" i="2" s="1"/>
  <c r="C54" i="8"/>
  <c r="B53" i="8"/>
  <c r="V59" i="10" l="1"/>
  <c r="Y59" i="10" s="1"/>
  <c r="K58" i="2"/>
  <c r="H60" i="2"/>
  <c r="C61" i="2"/>
  <c r="M61" i="2" s="1"/>
  <c r="W58" i="10"/>
  <c r="AA58" i="10"/>
  <c r="M60" i="10"/>
  <c r="Z58" i="10"/>
  <c r="L60" i="10"/>
  <c r="C61" i="10"/>
  <c r="F61" i="10" s="1"/>
  <c r="J59" i="2"/>
  <c r="T57" i="2"/>
  <c r="U57" i="2" s="1"/>
  <c r="K58" i="10"/>
  <c r="J59" i="10"/>
  <c r="G60" i="10"/>
  <c r="E60" i="10"/>
  <c r="B60" i="10"/>
  <c r="S59" i="10" s="1"/>
  <c r="I60" i="10"/>
  <c r="D60" i="10"/>
  <c r="I59" i="2"/>
  <c r="F60" i="2"/>
  <c r="D60" i="2"/>
  <c r="G60" i="2"/>
  <c r="B60" i="2"/>
  <c r="Q59" i="2" s="1"/>
  <c r="E60" i="2"/>
  <c r="C55" i="8"/>
  <c r="B54" i="8"/>
  <c r="V60" i="10" l="1"/>
  <c r="Z60" i="10" s="1"/>
  <c r="K59" i="2"/>
  <c r="H61" i="2"/>
  <c r="C62" i="2"/>
  <c r="M62" i="2" s="1"/>
  <c r="W59" i="10"/>
  <c r="AA59" i="10"/>
  <c r="M61" i="10"/>
  <c r="Z59" i="10"/>
  <c r="L61" i="10"/>
  <c r="C62" i="10"/>
  <c r="F62" i="10" s="1"/>
  <c r="J60" i="2"/>
  <c r="T37" i="2"/>
  <c r="U37" i="2" s="1"/>
  <c r="T58" i="2"/>
  <c r="U58" i="2" s="1"/>
  <c r="K59" i="10"/>
  <c r="J60" i="10"/>
  <c r="E61" i="10"/>
  <c r="G61" i="10"/>
  <c r="B61" i="10"/>
  <c r="S60" i="10" s="1"/>
  <c r="I61" i="10"/>
  <c r="D61" i="10"/>
  <c r="I60" i="2"/>
  <c r="D61" i="2"/>
  <c r="B61" i="2"/>
  <c r="Q60" i="2" s="1"/>
  <c r="G61" i="2"/>
  <c r="F61" i="2"/>
  <c r="E61" i="2"/>
  <c r="B55" i="8"/>
  <c r="C56" i="8"/>
  <c r="V61" i="10" l="1"/>
  <c r="AA61" i="10" s="1"/>
  <c r="K60" i="2"/>
  <c r="H62" i="2"/>
  <c r="C63" i="2"/>
  <c r="M63" i="2" s="1"/>
  <c r="Y60" i="10"/>
  <c r="AA60" i="10"/>
  <c r="W60" i="10"/>
  <c r="M62" i="10"/>
  <c r="L62" i="10"/>
  <c r="C63" i="10"/>
  <c r="F63" i="10" s="1"/>
  <c r="J61" i="2"/>
  <c r="T59" i="2"/>
  <c r="U59" i="2" s="1"/>
  <c r="K60" i="10"/>
  <c r="J61" i="10"/>
  <c r="B62" i="10"/>
  <c r="S61" i="10" s="1"/>
  <c r="G62" i="10"/>
  <c r="D62" i="10"/>
  <c r="E62" i="10"/>
  <c r="I62" i="10"/>
  <c r="I61" i="2"/>
  <c r="E62" i="2"/>
  <c r="G62" i="2"/>
  <c r="F62" i="2"/>
  <c r="D62" i="2"/>
  <c r="B62" i="2"/>
  <c r="Q61" i="2" s="1"/>
  <c r="B56" i="8"/>
  <c r="C57" i="8"/>
  <c r="V62" i="10" l="1"/>
  <c r="Z62" i="10" s="1"/>
  <c r="K61" i="2"/>
  <c r="H63" i="2"/>
  <c r="C64" i="2"/>
  <c r="M64" i="2" s="1"/>
  <c r="W61" i="10"/>
  <c r="Z61" i="10"/>
  <c r="Y61" i="10"/>
  <c r="M63" i="10"/>
  <c r="L63" i="10"/>
  <c r="C64" i="10"/>
  <c r="F64" i="10" s="1"/>
  <c r="J62" i="2"/>
  <c r="T38" i="2"/>
  <c r="U38" i="2" s="1"/>
  <c r="T60" i="2"/>
  <c r="U60" i="2" s="1"/>
  <c r="K61" i="10"/>
  <c r="J62" i="10"/>
  <c r="E63" i="10"/>
  <c r="B63" i="10"/>
  <c r="S62" i="10" s="1"/>
  <c r="I63" i="10"/>
  <c r="G63" i="10"/>
  <c r="D63" i="10"/>
  <c r="I62" i="2"/>
  <c r="F63" i="2"/>
  <c r="G63" i="2"/>
  <c r="B63" i="2"/>
  <c r="Q62" i="2" s="1"/>
  <c r="E63" i="2"/>
  <c r="D63" i="2"/>
  <c r="B57" i="8"/>
  <c r="C58" i="8"/>
  <c r="V63" i="10" l="1"/>
  <c r="Z63" i="10" s="1"/>
  <c r="K62" i="2"/>
  <c r="H64" i="2"/>
  <c r="C65" i="2"/>
  <c r="M65" i="2" s="1"/>
  <c r="Y62" i="10"/>
  <c r="W62" i="10"/>
  <c r="M64" i="10"/>
  <c r="AA62" i="10"/>
  <c r="L64" i="10"/>
  <c r="C65" i="10"/>
  <c r="F65" i="10" s="1"/>
  <c r="J63" i="2"/>
  <c r="T61" i="2"/>
  <c r="U61" i="2" s="1"/>
  <c r="K62" i="10"/>
  <c r="J63" i="10"/>
  <c r="G64" i="10"/>
  <c r="B64" i="10"/>
  <c r="S63" i="10" s="1"/>
  <c r="I64" i="10"/>
  <c r="E64" i="10"/>
  <c r="D64" i="10"/>
  <c r="I63" i="2"/>
  <c r="G64" i="2"/>
  <c r="F64" i="2"/>
  <c r="E64" i="2"/>
  <c r="D64" i="2"/>
  <c r="B64" i="2"/>
  <c r="Q63" i="2" s="1"/>
  <c r="C59" i="8"/>
  <c r="B58" i="8"/>
  <c r="V64" i="10" l="1"/>
  <c r="Z64" i="10" s="1"/>
  <c r="K63" i="2"/>
  <c r="H65" i="2"/>
  <c r="C66" i="2"/>
  <c r="M66" i="2" s="1"/>
  <c r="W63" i="10"/>
  <c r="AA63" i="10"/>
  <c r="Y63" i="10"/>
  <c r="M65" i="10"/>
  <c r="L65" i="10"/>
  <c r="C66" i="10"/>
  <c r="F66" i="10" s="1"/>
  <c r="J64" i="2"/>
  <c r="T39" i="2"/>
  <c r="U39" i="2" s="1"/>
  <c r="T62" i="2"/>
  <c r="U62" i="2" s="1"/>
  <c r="J64" i="10"/>
  <c r="K63" i="10"/>
  <c r="D65" i="10"/>
  <c r="I65" i="10"/>
  <c r="G65" i="10"/>
  <c r="E65" i="10"/>
  <c r="B65" i="10"/>
  <c r="S64" i="10" s="1"/>
  <c r="I64" i="2"/>
  <c r="E65" i="2"/>
  <c r="D65" i="2"/>
  <c r="B65" i="2"/>
  <c r="Q64" i="2" s="1"/>
  <c r="F65" i="2"/>
  <c r="G65" i="2"/>
  <c r="C60" i="8"/>
  <c r="B59" i="8"/>
  <c r="V65" i="10" l="1"/>
  <c r="Y65" i="10" s="1"/>
  <c r="K64" i="2"/>
  <c r="H66" i="2"/>
  <c r="C67" i="2"/>
  <c r="M67" i="2" s="1"/>
  <c r="Y64" i="10"/>
  <c r="W64" i="10"/>
  <c r="AA64" i="10"/>
  <c r="M66" i="10"/>
  <c r="L66" i="10"/>
  <c r="C67" i="10"/>
  <c r="F67" i="10" s="1"/>
  <c r="J65" i="2"/>
  <c r="I66" i="10"/>
  <c r="T63" i="2"/>
  <c r="U63" i="2" s="1"/>
  <c r="J65" i="10"/>
  <c r="K64" i="10"/>
  <c r="B66" i="10"/>
  <c r="S65" i="10" s="1"/>
  <c r="D66" i="10"/>
  <c r="E66" i="10"/>
  <c r="G66" i="10"/>
  <c r="I65" i="2"/>
  <c r="G66" i="2"/>
  <c r="E66" i="2"/>
  <c r="F66" i="2"/>
  <c r="B66" i="2"/>
  <c r="Q65" i="2" s="1"/>
  <c r="D66" i="2"/>
  <c r="B60" i="8"/>
  <c r="C61" i="8"/>
  <c r="V66" i="10" l="1"/>
  <c r="Y66" i="10" s="1"/>
  <c r="K65" i="2"/>
  <c r="H67" i="2"/>
  <c r="C68" i="2"/>
  <c r="M68" i="2" s="1"/>
  <c r="W65" i="10"/>
  <c r="AA65" i="10"/>
  <c r="Z65" i="10"/>
  <c r="M67" i="10"/>
  <c r="L67" i="10"/>
  <c r="C68" i="10"/>
  <c r="F68" i="10" s="1"/>
  <c r="J66" i="2"/>
  <c r="T40" i="2"/>
  <c r="U40" i="2" s="1"/>
  <c r="T64" i="2"/>
  <c r="U64" i="2" s="1"/>
  <c r="K65" i="10"/>
  <c r="I66" i="2"/>
  <c r="J66" i="10"/>
  <c r="D67" i="10"/>
  <c r="E67" i="10"/>
  <c r="I67" i="10"/>
  <c r="B67" i="10"/>
  <c r="S66" i="10" s="1"/>
  <c r="G67" i="10"/>
  <c r="D67" i="2"/>
  <c r="E67" i="2"/>
  <c r="G67" i="2"/>
  <c r="B67" i="2"/>
  <c r="Q66" i="2" s="1"/>
  <c r="F67" i="2"/>
  <c r="B61" i="8"/>
  <c r="C62" i="8"/>
  <c r="V67" i="10" l="1"/>
  <c r="Y67" i="10" s="1"/>
  <c r="K66" i="2"/>
  <c r="H68" i="2"/>
  <c r="C69" i="2"/>
  <c r="M69" i="2" s="1"/>
  <c r="W66" i="10"/>
  <c r="AA66" i="10"/>
  <c r="Z66" i="10"/>
  <c r="M68" i="10"/>
  <c r="L68" i="10"/>
  <c r="C69" i="10"/>
  <c r="F69" i="10" s="1"/>
  <c r="J67" i="2"/>
  <c r="T65" i="2"/>
  <c r="U65" i="2" s="1"/>
  <c r="K66" i="10"/>
  <c r="J67" i="10"/>
  <c r="K67" i="10" s="1"/>
  <c r="B68" i="10"/>
  <c r="S67" i="10" s="1"/>
  <c r="G68" i="10"/>
  <c r="I68" i="10"/>
  <c r="E68" i="10"/>
  <c r="D68" i="10"/>
  <c r="I67" i="2"/>
  <c r="B68" i="2"/>
  <c r="Q67" i="2" s="1"/>
  <c r="F68" i="2"/>
  <c r="E68" i="2"/>
  <c r="D68" i="2"/>
  <c r="G68" i="2"/>
  <c r="C63" i="8"/>
  <c r="B62" i="8"/>
  <c r="V68" i="10" l="1"/>
  <c r="W68" i="10" s="1"/>
  <c r="K67" i="2"/>
  <c r="H69" i="2"/>
  <c r="C70" i="2"/>
  <c r="M70" i="2" s="1"/>
  <c r="W67" i="10"/>
  <c r="AA67" i="10"/>
  <c r="M69" i="10"/>
  <c r="Z67" i="10"/>
  <c r="L69" i="10"/>
  <c r="C70" i="10"/>
  <c r="F70" i="10" s="1"/>
  <c r="J68" i="2"/>
  <c r="T41" i="2"/>
  <c r="U41" i="2" s="1"/>
  <c r="T66" i="2"/>
  <c r="U66" i="2" s="1"/>
  <c r="J68" i="10"/>
  <c r="B69" i="10"/>
  <c r="S68" i="10" s="1"/>
  <c r="D69" i="10"/>
  <c r="E69" i="10"/>
  <c r="I69" i="10"/>
  <c r="G69" i="10"/>
  <c r="I68" i="2"/>
  <c r="E69" i="2"/>
  <c r="G69" i="2"/>
  <c r="B69" i="2"/>
  <c r="Q68" i="2" s="1"/>
  <c r="D69" i="2"/>
  <c r="F69" i="2"/>
  <c r="C64" i="8"/>
  <c r="B63" i="8"/>
  <c r="V69" i="10" l="1"/>
  <c r="AA69" i="10" s="1"/>
  <c r="K68" i="2"/>
  <c r="H70" i="2"/>
  <c r="C71" i="2"/>
  <c r="M71" i="2" s="1"/>
  <c r="Y68" i="10"/>
  <c r="AA68" i="10"/>
  <c r="Z68" i="10"/>
  <c r="M70" i="10"/>
  <c r="L70" i="10"/>
  <c r="C71" i="10"/>
  <c r="F71" i="10" s="1"/>
  <c r="J69" i="2"/>
  <c r="T67" i="2"/>
  <c r="U67" i="2" s="1"/>
  <c r="K68" i="10"/>
  <c r="J69" i="10"/>
  <c r="I69" i="2"/>
  <c r="G70" i="10"/>
  <c r="D70" i="10"/>
  <c r="B70" i="10"/>
  <c r="S69" i="10" s="1"/>
  <c r="I70" i="10"/>
  <c r="E70" i="10"/>
  <c r="E70" i="2"/>
  <c r="F70" i="2"/>
  <c r="B70" i="2"/>
  <c r="Q69" i="2" s="1"/>
  <c r="D70" i="2"/>
  <c r="G70" i="2"/>
  <c r="B64" i="8"/>
  <c r="C65" i="8"/>
  <c r="V70" i="10" l="1"/>
  <c r="Y70" i="10" s="1"/>
  <c r="K69" i="2"/>
  <c r="H71" i="2"/>
  <c r="C72" i="2"/>
  <c r="M72" i="2" s="1"/>
  <c r="W69" i="10"/>
  <c r="Z69" i="10"/>
  <c r="Y69" i="10"/>
  <c r="M71" i="10"/>
  <c r="L71" i="10"/>
  <c r="C72" i="10"/>
  <c r="F72" i="10" s="1"/>
  <c r="J70" i="2"/>
  <c r="T42" i="2"/>
  <c r="U42" i="2" s="1"/>
  <c r="I71" i="10"/>
  <c r="T68" i="2"/>
  <c r="U68" i="2" s="1"/>
  <c r="K69" i="10"/>
  <c r="J70" i="10"/>
  <c r="B71" i="10"/>
  <c r="S70" i="10" s="1"/>
  <c r="G71" i="10"/>
  <c r="E71" i="10"/>
  <c r="D71" i="10"/>
  <c r="I70" i="2"/>
  <c r="B71" i="2"/>
  <c r="Q70" i="2" s="1"/>
  <c r="G71" i="2"/>
  <c r="F71" i="2"/>
  <c r="D71" i="2"/>
  <c r="E71" i="2"/>
  <c r="B65" i="8"/>
  <c r="C66" i="8"/>
  <c r="V71" i="10" l="1"/>
  <c r="Y71" i="10" s="1"/>
  <c r="K70" i="2"/>
  <c r="H72" i="2"/>
  <c r="C73" i="2"/>
  <c r="M73" i="2" s="1"/>
  <c r="W70" i="10"/>
  <c r="AA70" i="10"/>
  <c r="Z70" i="10"/>
  <c r="M72" i="10"/>
  <c r="L72" i="10"/>
  <c r="C73" i="10"/>
  <c r="F73" i="10" s="1"/>
  <c r="J71" i="2"/>
  <c r="T69" i="2"/>
  <c r="U69" i="2" s="1"/>
  <c r="K70" i="10"/>
  <c r="J71" i="10"/>
  <c r="E72" i="10"/>
  <c r="B72" i="10"/>
  <c r="S71" i="10" s="1"/>
  <c r="D72" i="10"/>
  <c r="I72" i="10"/>
  <c r="G72" i="10"/>
  <c r="I71" i="2"/>
  <c r="E72" i="2"/>
  <c r="D72" i="2"/>
  <c r="G72" i="2"/>
  <c r="F72" i="2"/>
  <c r="B72" i="2"/>
  <c r="Q71" i="2" s="1"/>
  <c r="C67" i="8"/>
  <c r="B66" i="8"/>
  <c r="V72" i="10" l="1"/>
  <c r="W72" i="10" s="1"/>
  <c r="K71" i="2"/>
  <c r="H73" i="2"/>
  <c r="C74" i="2"/>
  <c r="M74" i="2" s="1"/>
  <c r="AA71" i="10"/>
  <c r="W71" i="10"/>
  <c r="M73" i="10"/>
  <c r="Z71" i="10"/>
  <c r="L73" i="10"/>
  <c r="C74" i="10"/>
  <c r="F74" i="10" s="1"/>
  <c r="J72" i="2"/>
  <c r="T43" i="2"/>
  <c r="U43" i="2" s="1"/>
  <c r="T70" i="2"/>
  <c r="U70" i="2" s="1"/>
  <c r="K71" i="10"/>
  <c r="J72" i="10"/>
  <c r="D73" i="10"/>
  <c r="E73" i="10"/>
  <c r="I73" i="10"/>
  <c r="G73" i="10"/>
  <c r="B73" i="10"/>
  <c r="S72" i="10" s="1"/>
  <c r="I72" i="2"/>
  <c r="F73" i="2"/>
  <c r="G73" i="2"/>
  <c r="D73" i="2"/>
  <c r="B73" i="2"/>
  <c r="Q72" i="2" s="1"/>
  <c r="E73" i="2"/>
  <c r="C68" i="8"/>
  <c r="B67" i="8"/>
  <c r="V73" i="10" l="1"/>
  <c r="Y73" i="10" s="1"/>
  <c r="K72" i="2"/>
  <c r="H74" i="2"/>
  <c r="C75" i="2"/>
  <c r="M75" i="2" s="1"/>
  <c r="AA72" i="10"/>
  <c r="Z72" i="10"/>
  <c r="Y72" i="10"/>
  <c r="M74" i="10"/>
  <c r="L74" i="10"/>
  <c r="C75" i="10"/>
  <c r="F75" i="10" s="1"/>
  <c r="J73" i="2"/>
  <c r="T71" i="2"/>
  <c r="U71" i="2" s="1"/>
  <c r="B74" i="10"/>
  <c r="S73" i="10" s="1"/>
  <c r="D74" i="10"/>
  <c r="K72" i="10"/>
  <c r="J73" i="10"/>
  <c r="E74" i="10"/>
  <c r="I74" i="10"/>
  <c r="G74" i="10"/>
  <c r="I73" i="2"/>
  <c r="E74" i="2"/>
  <c r="B74" i="2"/>
  <c r="Q73" i="2" s="1"/>
  <c r="D74" i="2"/>
  <c r="F74" i="2"/>
  <c r="G74" i="2"/>
  <c r="B68" i="8"/>
  <c r="C69" i="8"/>
  <c r="V74" i="10" l="1"/>
  <c r="AA74" i="10" s="1"/>
  <c r="K73" i="2"/>
  <c r="H75" i="2"/>
  <c r="C76" i="2"/>
  <c r="M76" i="2" s="1"/>
  <c r="W73" i="10"/>
  <c r="Z73" i="10"/>
  <c r="AA73" i="10"/>
  <c r="M75" i="10"/>
  <c r="L75" i="10"/>
  <c r="C76" i="10"/>
  <c r="F76" i="10" s="1"/>
  <c r="J74" i="2"/>
  <c r="T44" i="2"/>
  <c r="U44" i="2" s="1"/>
  <c r="I75" i="10"/>
  <c r="T72" i="2"/>
  <c r="U72" i="2" s="1"/>
  <c r="B75" i="10"/>
  <c r="S74" i="10" s="1"/>
  <c r="K73" i="10"/>
  <c r="J74" i="10"/>
  <c r="K74" i="10" s="1"/>
  <c r="G75" i="10"/>
  <c r="E75" i="10"/>
  <c r="D75" i="10"/>
  <c r="I74" i="2"/>
  <c r="E75" i="2"/>
  <c r="G75" i="2"/>
  <c r="D75" i="2"/>
  <c r="F75" i="2"/>
  <c r="B75" i="2"/>
  <c r="Q74" i="2" s="1"/>
  <c r="B69" i="8"/>
  <c r="C70" i="8"/>
  <c r="V75" i="10" l="1"/>
  <c r="Y75" i="10" s="1"/>
  <c r="K74" i="2"/>
  <c r="H76" i="2"/>
  <c r="C77" i="2"/>
  <c r="M77" i="2" s="1"/>
  <c r="W74" i="10"/>
  <c r="Z74" i="10"/>
  <c r="Y74" i="10"/>
  <c r="M76" i="10"/>
  <c r="L76" i="10"/>
  <c r="C77" i="10"/>
  <c r="F77" i="10" s="1"/>
  <c r="J75" i="2"/>
  <c r="T73" i="2"/>
  <c r="U73" i="2" s="1"/>
  <c r="B76" i="10"/>
  <c r="S75" i="10" s="1"/>
  <c r="J75" i="10"/>
  <c r="K75" i="10" s="1"/>
  <c r="E76" i="10"/>
  <c r="D76" i="10"/>
  <c r="G76" i="10"/>
  <c r="I76" i="10"/>
  <c r="I75" i="2"/>
  <c r="G76" i="2"/>
  <c r="B76" i="2"/>
  <c r="Q75" i="2" s="1"/>
  <c r="D76" i="2"/>
  <c r="F76" i="2"/>
  <c r="E76" i="2"/>
  <c r="C71" i="8"/>
  <c r="B70" i="8"/>
  <c r="V76" i="10" l="1"/>
  <c r="W76" i="10" s="1"/>
  <c r="K75" i="2"/>
  <c r="H77" i="2"/>
  <c r="C78" i="2"/>
  <c r="M78" i="2" s="1"/>
  <c r="W75" i="10"/>
  <c r="AA75" i="10"/>
  <c r="M77" i="10"/>
  <c r="Z75" i="10"/>
  <c r="L77" i="10"/>
  <c r="C78" i="10"/>
  <c r="F78" i="10" s="1"/>
  <c r="J76" i="2"/>
  <c r="T45" i="2"/>
  <c r="U45" i="2" s="1"/>
  <c r="B77" i="10"/>
  <c r="S76" i="10" s="1"/>
  <c r="T74" i="2"/>
  <c r="U74" i="2" s="1"/>
  <c r="G77" i="10"/>
  <c r="I77" i="10"/>
  <c r="D77" i="10"/>
  <c r="E77" i="10"/>
  <c r="J76" i="10"/>
  <c r="K76" i="10" s="1"/>
  <c r="I76" i="2"/>
  <c r="E77" i="2"/>
  <c r="F77" i="2"/>
  <c r="D77" i="2"/>
  <c r="B77" i="2"/>
  <c r="Q76" i="2" s="1"/>
  <c r="G77" i="2"/>
  <c r="C72" i="8"/>
  <c r="B71" i="8"/>
  <c r="V77" i="10" l="1"/>
  <c r="AA77" i="10" s="1"/>
  <c r="K76" i="2"/>
  <c r="H78" i="2"/>
  <c r="C79" i="2"/>
  <c r="M79" i="2" s="1"/>
  <c r="AA76" i="10"/>
  <c r="Z76" i="10"/>
  <c r="Y76" i="10"/>
  <c r="M78" i="10"/>
  <c r="L78" i="10"/>
  <c r="C79" i="10"/>
  <c r="F79" i="10" s="1"/>
  <c r="J77" i="2"/>
  <c r="T46" i="2"/>
  <c r="U46" i="2" s="1"/>
  <c r="T75" i="2"/>
  <c r="U75" i="2" s="1"/>
  <c r="D78" i="10"/>
  <c r="I78" i="10"/>
  <c r="B78" i="10"/>
  <c r="S77" i="10" s="1"/>
  <c r="E78" i="10"/>
  <c r="J77" i="10"/>
  <c r="K77" i="10" s="1"/>
  <c r="G78" i="10"/>
  <c r="I77" i="2"/>
  <c r="G78" i="2"/>
  <c r="F78" i="2"/>
  <c r="B78" i="2"/>
  <c r="Q77" i="2" s="1"/>
  <c r="D78" i="2"/>
  <c r="E78" i="2"/>
  <c r="B72" i="8"/>
  <c r="C73" i="8"/>
  <c r="V78" i="10" l="1"/>
  <c r="AA78" i="10" s="1"/>
  <c r="K77" i="2"/>
  <c r="H79" i="2"/>
  <c r="C80" i="2"/>
  <c r="M80" i="2" s="1"/>
  <c r="Y77" i="10"/>
  <c r="W77" i="10"/>
  <c r="Z77" i="10"/>
  <c r="M79" i="10"/>
  <c r="L79" i="10"/>
  <c r="C80" i="10"/>
  <c r="F80" i="10" s="1"/>
  <c r="J78" i="2"/>
  <c r="T76" i="2"/>
  <c r="U76" i="2" s="1"/>
  <c r="I79" i="10"/>
  <c r="G79" i="10"/>
  <c r="D79" i="10"/>
  <c r="J78" i="10"/>
  <c r="K78" i="10" s="1"/>
  <c r="B79" i="10"/>
  <c r="S78" i="10" s="1"/>
  <c r="E79" i="10"/>
  <c r="I78" i="2"/>
  <c r="B79" i="2"/>
  <c r="Q78" i="2" s="1"/>
  <c r="G79" i="2"/>
  <c r="E79" i="2"/>
  <c r="D79" i="2"/>
  <c r="F79" i="2"/>
  <c r="B73" i="8"/>
  <c r="C74" i="8"/>
  <c r="V79" i="10" l="1"/>
  <c r="Y79" i="10" s="1"/>
  <c r="K78" i="2"/>
  <c r="H80" i="2"/>
  <c r="C81" i="2"/>
  <c r="M81" i="2" s="1"/>
  <c r="W78" i="10"/>
  <c r="Z78" i="10"/>
  <c r="Y78" i="10"/>
  <c r="M80" i="10"/>
  <c r="L80" i="10"/>
  <c r="C81" i="10"/>
  <c r="F81" i="10" s="1"/>
  <c r="J79" i="2"/>
  <c r="D80" i="10"/>
  <c r="I80" i="10"/>
  <c r="B80" i="10"/>
  <c r="S79" i="10" s="1"/>
  <c r="G80" i="10"/>
  <c r="T77" i="2"/>
  <c r="U77" i="2" s="1"/>
  <c r="J79" i="10"/>
  <c r="K79" i="10" s="1"/>
  <c r="E80" i="10"/>
  <c r="I79" i="2"/>
  <c r="E80" i="2"/>
  <c r="F80" i="2"/>
  <c r="G80" i="2"/>
  <c r="D80" i="2"/>
  <c r="B80" i="2"/>
  <c r="Q79" i="2" s="1"/>
  <c r="C75" i="8"/>
  <c r="B74" i="8"/>
  <c r="V80" i="10" l="1"/>
  <c r="Y80" i="10" s="1"/>
  <c r="K79" i="2"/>
  <c r="H81" i="2"/>
  <c r="C82" i="2"/>
  <c r="M82" i="2" s="1"/>
  <c r="W79" i="10"/>
  <c r="AA79" i="10"/>
  <c r="Z79" i="10"/>
  <c r="M81" i="10"/>
  <c r="L81" i="10"/>
  <c r="C82" i="10"/>
  <c r="F82" i="10" s="1"/>
  <c r="J80" i="2"/>
  <c r="J80" i="10"/>
  <c r="B81" i="10"/>
  <c r="S80" i="10" s="1"/>
  <c r="I81" i="10"/>
  <c r="D81" i="10"/>
  <c r="G81" i="10"/>
  <c r="E81" i="10"/>
  <c r="T78" i="2"/>
  <c r="U78" i="2" s="1"/>
  <c r="I80" i="2"/>
  <c r="G81" i="2"/>
  <c r="B81" i="2"/>
  <c r="Q80" i="2" s="1"/>
  <c r="D81" i="2"/>
  <c r="F81" i="2"/>
  <c r="E81" i="2"/>
  <c r="C76" i="8"/>
  <c r="B75" i="8"/>
  <c r="V81" i="10" l="1"/>
  <c r="Y81" i="10" s="1"/>
  <c r="K80" i="2"/>
  <c r="H82" i="2"/>
  <c r="C83" i="2"/>
  <c r="M83" i="2" s="1"/>
  <c r="W80" i="10"/>
  <c r="Z80" i="10"/>
  <c r="AA80" i="10"/>
  <c r="M82" i="10"/>
  <c r="L82" i="10"/>
  <c r="C83" i="10"/>
  <c r="F83" i="10" s="1"/>
  <c r="J81" i="2"/>
  <c r="K80" i="10"/>
  <c r="J81" i="10"/>
  <c r="E82" i="10"/>
  <c r="G82" i="10"/>
  <c r="D82" i="10"/>
  <c r="I82" i="10"/>
  <c r="B82" i="10"/>
  <c r="S81" i="10" s="1"/>
  <c r="T79" i="2"/>
  <c r="U79" i="2" s="1"/>
  <c r="I81" i="2"/>
  <c r="B82" i="2"/>
  <c r="Q81" i="2" s="1"/>
  <c r="E82" i="2"/>
  <c r="F82" i="2"/>
  <c r="D82" i="2"/>
  <c r="G82" i="2"/>
  <c r="B76" i="8"/>
  <c r="C77" i="8"/>
  <c r="V82" i="10" l="1"/>
  <c r="W82" i="10" s="1"/>
  <c r="K81" i="2"/>
  <c r="H83" i="2"/>
  <c r="C84" i="2"/>
  <c r="M84" i="2" s="1"/>
  <c r="AA81" i="10"/>
  <c r="W81" i="10"/>
  <c r="M83" i="10"/>
  <c r="Z81" i="10"/>
  <c r="L83" i="10"/>
  <c r="C84" i="10"/>
  <c r="F84" i="10" s="1"/>
  <c r="J82" i="2"/>
  <c r="K81" i="10"/>
  <c r="J82" i="10"/>
  <c r="G83" i="10"/>
  <c r="I83" i="10"/>
  <c r="E83" i="10"/>
  <c r="D83" i="10"/>
  <c r="B83" i="10"/>
  <c r="S82" i="10" s="1"/>
  <c r="T80" i="2"/>
  <c r="U80" i="2" s="1"/>
  <c r="I82" i="2"/>
  <c r="B83" i="2"/>
  <c r="Q82" i="2" s="1"/>
  <c r="F83" i="2"/>
  <c r="D83" i="2"/>
  <c r="G83" i="2"/>
  <c r="E83" i="2"/>
  <c r="B77" i="8"/>
  <c r="C78" i="8"/>
  <c r="V83" i="10" l="1"/>
  <c r="Y83" i="10" s="1"/>
  <c r="K82" i="2"/>
  <c r="H84" i="2"/>
  <c r="C85" i="2"/>
  <c r="M85" i="2" s="1"/>
  <c r="AA82" i="10"/>
  <c r="Z82" i="10"/>
  <c r="Y82" i="10"/>
  <c r="M84" i="10"/>
  <c r="L84" i="10"/>
  <c r="C85" i="10"/>
  <c r="F85" i="10" s="1"/>
  <c r="J83" i="2"/>
  <c r="K82" i="10"/>
  <c r="J83" i="10"/>
  <c r="D84" i="10"/>
  <c r="B84" i="10"/>
  <c r="S83" i="10" s="1"/>
  <c r="I84" i="10"/>
  <c r="G84" i="10"/>
  <c r="E84" i="10"/>
  <c r="T81" i="2"/>
  <c r="U81" i="2" s="1"/>
  <c r="I83" i="2"/>
  <c r="E84" i="2"/>
  <c r="D84" i="2"/>
  <c r="G84" i="2"/>
  <c r="F84" i="2"/>
  <c r="B84" i="2"/>
  <c r="Q83" i="2" s="1"/>
  <c r="C79" i="8"/>
  <c r="B78" i="8"/>
  <c r="V84" i="10" l="1"/>
  <c r="AA84" i="10" s="1"/>
  <c r="K83" i="2"/>
  <c r="H85" i="2"/>
  <c r="C86" i="2"/>
  <c r="M86" i="2" s="1"/>
  <c r="AA83" i="10"/>
  <c r="W83" i="10"/>
  <c r="Z83" i="10"/>
  <c r="M85" i="10"/>
  <c r="L85" i="10"/>
  <c r="J84" i="2"/>
  <c r="K83" i="10"/>
  <c r="J84" i="10"/>
  <c r="D85" i="10"/>
  <c r="G85" i="10"/>
  <c r="I85" i="10"/>
  <c r="E85" i="10"/>
  <c r="B85" i="10"/>
  <c r="S84" i="10" s="1"/>
  <c r="T82" i="2"/>
  <c r="U82" i="2" s="1"/>
  <c r="I84" i="2"/>
  <c r="F85" i="2"/>
  <c r="B85" i="2"/>
  <c r="Q84" i="2" s="1"/>
  <c r="D85" i="2"/>
  <c r="G85" i="2"/>
  <c r="E85" i="2"/>
  <c r="C80" i="8"/>
  <c r="B79" i="8"/>
  <c r="K84" i="2" l="1"/>
  <c r="H86" i="2"/>
  <c r="C87" i="2"/>
  <c r="M87" i="2" s="1"/>
  <c r="W84" i="10"/>
  <c r="Z84" i="10"/>
  <c r="Y84" i="10"/>
  <c r="J85" i="2"/>
  <c r="K84" i="10"/>
  <c r="J85" i="10"/>
  <c r="T83" i="2"/>
  <c r="U83" i="2" s="1"/>
  <c r="I85" i="2"/>
  <c r="B86" i="2"/>
  <c r="Q85" i="2" s="1"/>
  <c r="G86" i="2"/>
  <c r="D86" i="2"/>
  <c r="E86" i="2"/>
  <c r="F86" i="2"/>
  <c r="B80" i="8"/>
  <c r="C81" i="8"/>
  <c r="K85" i="2" l="1"/>
  <c r="W14" i="10"/>
  <c r="G8" i="10" s="1"/>
  <c r="H87" i="2"/>
  <c r="J86" i="2"/>
  <c r="T84" i="2"/>
  <c r="U84" i="2" s="1"/>
  <c r="I86" i="2"/>
  <c r="F87" i="2"/>
  <c r="B87" i="2"/>
  <c r="Q86" i="2" s="1"/>
  <c r="E87" i="2"/>
  <c r="G87" i="2"/>
  <c r="D87" i="2"/>
  <c r="B81" i="8"/>
  <c r="K86" i="2" l="1"/>
  <c r="J87" i="2"/>
  <c r="T85" i="2"/>
  <c r="U85" i="2" s="1"/>
  <c r="K87" i="2" l="1"/>
  <c r="AA14" i="10"/>
  <c r="T86" i="2"/>
  <c r="U86" i="2" s="1"/>
  <c r="U87" i="2"/>
  <c r="U16" i="2" l="1"/>
  <c r="G8" i="2" s="1"/>
  <c r="Q24" i="10"/>
  <c r="H20" i="8" l="1"/>
  <c r="N26" i="2"/>
  <c r="O26" i="2"/>
  <c r="P24" i="10"/>
  <c r="D21" i="8" l="1"/>
  <c r="M21" i="8" l="1"/>
  <c r="O21" i="8"/>
  <c r="N21" i="8"/>
  <c r="K21" i="8"/>
  <c r="L21" i="8"/>
  <c r="G21" i="8"/>
  <c r="M27" i="2"/>
  <c r="P27" i="2" s="1"/>
  <c r="O25" i="10"/>
  <c r="R25" i="10" s="1"/>
  <c r="E21" i="8"/>
  <c r="F21" i="8" l="1"/>
  <c r="P25" i="10"/>
  <c r="N27" i="2"/>
  <c r="O27" i="2" l="1"/>
  <c r="Q25" i="10"/>
  <c r="H21" i="8"/>
  <c r="D22" i="8" l="1"/>
  <c r="G22" i="8" l="1"/>
  <c r="K22" i="8"/>
  <c r="N22" i="8"/>
  <c r="M22" i="8"/>
  <c r="O26" i="10"/>
  <c r="R26" i="10" s="1"/>
  <c r="M28" i="2"/>
  <c r="P28" i="2" s="1"/>
  <c r="L22" i="8"/>
  <c r="E22" i="8"/>
  <c r="N28" i="2" l="1"/>
  <c r="P26" i="10"/>
  <c r="F22" i="8"/>
  <c r="H22" i="8" s="1"/>
  <c r="D23" i="8" s="1"/>
  <c r="Q26" i="10" l="1"/>
  <c r="O27" i="10" s="1"/>
  <c r="R27" i="10" s="1"/>
  <c r="O28" i="2"/>
  <c r="M29" i="2" s="1"/>
  <c r="P29" i="2" s="1"/>
  <c r="M23" i="8"/>
  <c r="K23" i="8"/>
  <c r="L23" i="8"/>
  <c r="G23" i="8"/>
  <c r="E23" i="8"/>
  <c r="F23" i="8" l="1"/>
  <c r="Q27" i="10" s="1"/>
  <c r="O29" i="2" l="1"/>
  <c r="H23" i="8"/>
  <c r="D24" i="8" s="1"/>
  <c r="N29" i="2"/>
  <c r="P27" i="10"/>
  <c r="K24" i="8" l="1"/>
  <c r="L24" i="8"/>
  <c r="G24" i="8"/>
  <c r="M30" i="2"/>
  <c r="P30" i="2" s="1"/>
  <c r="O28" i="10"/>
  <c r="R28" i="10" s="1"/>
  <c r="E24" i="8"/>
  <c r="F24" i="8" l="1"/>
  <c r="Q28" i="10" s="1"/>
  <c r="O30" i="2" l="1"/>
  <c r="H24" i="8"/>
  <c r="D25" i="8" s="1"/>
  <c r="P28" i="10"/>
  <c r="N30" i="2"/>
  <c r="O29" i="10" l="1"/>
  <c r="R29" i="10" s="1"/>
  <c r="G25" i="8"/>
  <c r="M31" i="2"/>
  <c r="P31" i="2" s="1"/>
  <c r="K25" i="8"/>
  <c r="E25" i="8"/>
  <c r="K27" i="8" l="1"/>
  <c r="F25" i="8"/>
  <c r="O31" i="2" s="1"/>
  <c r="H25" i="8" l="1"/>
  <c r="D26" i="8" s="1"/>
  <c r="N31" i="2"/>
  <c r="Q29" i="10"/>
  <c r="P29" i="10"/>
  <c r="M32" i="2" l="1"/>
  <c r="P32" i="2" s="1"/>
  <c r="O30" i="10"/>
  <c r="R30" i="10" s="1"/>
  <c r="G26" i="8"/>
  <c r="E26" i="8"/>
  <c r="F26" i="8" l="1"/>
  <c r="Q30" i="10" s="1"/>
  <c r="O32" i="2" l="1"/>
  <c r="H26" i="8"/>
  <c r="D27" i="8" s="1"/>
  <c r="N32" i="2"/>
  <c r="P30" i="10"/>
  <c r="G27" i="8" l="1"/>
  <c r="F27" i="8" s="1"/>
  <c r="O33" i="2" s="1"/>
  <c r="O31" i="10"/>
  <c r="R31" i="10" s="1"/>
  <c r="M33" i="2"/>
  <c r="P33" i="2" s="1"/>
  <c r="E27" i="8"/>
  <c r="Q31" i="10" l="1"/>
  <c r="N33" i="2"/>
  <c r="P31" i="10"/>
  <c r="H27" i="8"/>
  <c r="D28" i="8" s="1"/>
  <c r="M34" i="2" l="1"/>
  <c r="P34" i="2" s="1"/>
  <c r="G28" i="8"/>
  <c r="O32" i="10"/>
  <c r="R32" i="10" s="1"/>
  <c r="E28" i="8"/>
  <c r="F28" i="8" l="1"/>
  <c r="H28" i="8" s="1"/>
  <c r="D29" i="8" s="1"/>
  <c r="P32" i="10"/>
  <c r="N34" i="2"/>
  <c r="O34" i="2" l="1"/>
  <c r="M35" i="2" s="1"/>
  <c r="P35" i="2" s="1"/>
  <c r="Q32" i="10"/>
  <c r="O33" i="10" s="1"/>
  <c r="G29" i="8"/>
  <c r="E29" i="8"/>
  <c r="R33" i="10" l="1"/>
  <c r="F29" i="8"/>
  <c r="H29" i="8" l="1"/>
  <c r="P33" i="10"/>
  <c r="N35" i="2"/>
  <c r="O35" i="2"/>
  <c r="Q33" i="10"/>
  <c r="D30" i="8" l="1"/>
  <c r="M36" i="2" l="1"/>
  <c r="P36" i="2" s="1"/>
  <c r="G30" i="8"/>
  <c r="O34" i="10"/>
  <c r="R34" i="10" s="1"/>
  <c r="E30" i="8"/>
  <c r="F30" i="8" l="1"/>
  <c r="O36" i="2" s="1"/>
  <c r="Q34" i="10" l="1"/>
  <c r="H30" i="8"/>
  <c r="D31" i="8" s="1"/>
  <c r="N36" i="2"/>
  <c r="P34" i="10"/>
  <c r="G31" i="8" l="1"/>
  <c r="F31" i="8" s="1"/>
  <c r="O35" i="10"/>
  <c r="R35" i="10" s="1"/>
  <c r="M37" i="2"/>
  <c r="P37" i="2" s="1"/>
  <c r="E31" i="8"/>
  <c r="H31" i="8" l="1"/>
  <c r="D32" i="8" s="1"/>
  <c r="N37" i="2"/>
  <c r="P35" i="10"/>
  <c r="Q35" i="10"/>
  <c r="O37" i="2"/>
  <c r="M38" i="2" l="1"/>
  <c r="P38" i="2" s="1"/>
  <c r="O36" i="10"/>
  <c r="G32" i="8"/>
  <c r="E32" i="8"/>
  <c r="R36" i="10" l="1"/>
  <c r="F32" i="8"/>
  <c r="H32" i="8" l="1"/>
  <c r="D33" i="8" s="1"/>
  <c r="P36" i="10"/>
  <c r="N38" i="2"/>
  <c r="Q36" i="10"/>
  <c r="O38" i="2"/>
  <c r="M39" i="2" l="1"/>
  <c r="P39" i="2" s="1"/>
  <c r="O37" i="10"/>
  <c r="G33" i="8"/>
  <c r="E33" i="8"/>
  <c r="R37" i="10" l="1"/>
  <c r="F33" i="8"/>
  <c r="H33" i="8" l="1"/>
  <c r="D34" i="8" s="1"/>
  <c r="N39" i="2"/>
  <c r="P37" i="10"/>
  <c r="O39" i="2"/>
  <c r="Q37" i="10"/>
  <c r="M40" i="2" l="1"/>
  <c r="P40" i="2" s="1"/>
  <c r="O38" i="10"/>
  <c r="G34" i="8"/>
  <c r="E34" i="8"/>
  <c r="R38" i="10" l="1"/>
  <c r="F34" i="8"/>
  <c r="H34" i="8" l="1"/>
  <c r="D35" i="8" s="1"/>
  <c r="N40" i="2"/>
  <c r="P38" i="10"/>
  <c r="O40" i="2"/>
  <c r="Q38" i="10"/>
  <c r="M41" i="2" l="1"/>
  <c r="P41" i="2" s="1"/>
  <c r="O39" i="10"/>
  <c r="G35" i="8"/>
  <c r="E35" i="8"/>
  <c r="R39" i="10" l="1"/>
  <c r="F35" i="8"/>
  <c r="H35" i="8" l="1"/>
  <c r="D36" i="8" s="1"/>
  <c r="O41" i="2"/>
  <c r="Q39" i="10"/>
  <c r="P39" i="10"/>
  <c r="N41" i="2"/>
  <c r="M42" i="2" l="1"/>
  <c r="P42" i="2" s="1"/>
  <c r="O40" i="10"/>
  <c r="G36" i="8"/>
  <c r="E36" i="8"/>
  <c r="R40" i="10" l="1"/>
  <c r="F36" i="8"/>
  <c r="H36" i="8" l="1"/>
  <c r="D37" i="8" s="1"/>
  <c r="O42" i="2"/>
  <c r="Q40" i="10"/>
  <c r="P40" i="10"/>
  <c r="N42" i="2"/>
  <c r="M43" i="2" l="1"/>
  <c r="P43" i="2" s="1"/>
  <c r="O41" i="10"/>
  <c r="G37" i="8"/>
  <c r="E37" i="8"/>
  <c r="R41" i="10" l="1"/>
  <c r="F37" i="8"/>
  <c r="H37" i="8" l="1"/>
  <c r="D38" i="8" s="1"/>
  <c r="O43" i="2"/>
  <c r="Q41" i="10"/>
  <c r="N43" i="2"/>
  <c r="P41" i="10"/>
  <c r="M44" i="2" l="1"/>
  <c r="P44" i="2" s="1"/>
  <c r="O42" i="10"/>
  <c r="G38" i="8"/>
  <c r="E38" i="8"/>
  <c r="F38" i="8" l="1"/>
  <c r="Q42" i="10" s="1"/>
  <c r="R42" i="10"/>
  <c r="O44" i="2" l="1"/>
  <c r="H38" i="8"/>
  <c r="D39" i="8" s="1"/>
  <c r="P42" i="10"/>
  <c r="N44" i="2"/>
  <c r="M45" i="2" l="1"/>
  <c r="P45" i="2" s="1"/>
  <c r="O43" i="10"/>
  <c r="G39" i="8"/>
  <c r="E39" i="8"/>
  <c r="F39" i="8" l="1"/>
  <c r="Q43" i="10" s="1"/>
  <c r="R43" i="10"/>
  <c r="O45" i="2" l="1"/>
  <c r="H39" i="8"/>
  <c r="D40" i="8" s="1"/>
  <c r="N45" i="2"/>
  <c r="P43" i="10"/>
  <c r="M46" i="2" l="1"/>
  <c r="P46" i="2" s="1"/>
  <c r="O44" i="10"/>
  <c r="G40" i="8"/>
  <c r="E40" i="8"/>
  <c r="F40" i="8" l="1"/>
  <c r="Q44" i="10" s="1"/>
  <c r="R44" i="10"/>
  <c r="O46" i="2" l="1"/>
  <c r="H40" i="8"/>
  <c r="D41" i="8" s="1"/>
  <c r="P44" i="10"/>
  <c r="N46" i="2"/>
  <c r="M47" i="2" l="1"/>
  <c r="P47" i="2" s="1"/>
  <c r="O45" i="10"/>
  <c r="G41" i="8"/>
  <c r="E41" i="8"/>
  <c r="F41" i="8" l="1"/>
  <c r="O47" i="2" s="1"/>
  <c r="R45" i="10"/>
  <c r="Q45" i="10" l="1"/>
  <c r="H41" i="8"/>
  <c r="D42" i="8" s="1"/>
  <c r="P45" i="10"/>
  <c r="N47" i="2"/>
  <c r="M48" i="2" l="1"/>
  <c r="P48" i="2" s="1"/>
  <c r="O46" i="10"/>
  <c r="G42" i="8"/>
  <c r="E42" i="8"/>
  <c r="F42" i="8" l="1"/>
  <c r="O48" i="2" s="1"/>
  <c r="R46" i="10"/>
  <c r="Q46" i="10" l="1"/>
  <c r="H42" i="8"/>
  <c r="D43" i="8" s="1"/>
  <c r="P46" i="10"/>
  <c r="N48" i="2"/>
  <c r="M49" i="2" l="1"/>
  <c r="P49" i="2" s="1"/>
  <c r="O47" i="10"/>
  <c r="G43" i="8"/>
  <c r="E43" i="8"/>
  <c r="F43" i="8" l="1"/>
  <c r="Q47" i="10" s="1"/>
  <c r="R47" i="10"/>
  <c r="O49" i="2" l="1"/>
  <c r="H43" i="8"/>
  <c r="D44" i="8" s="1"/>
  <c r="P47" i="10"/>
  <c r="N49" i="2"/>
  <c r="M50" i="2" l="1"/>
  <c r="P50" i="2" s="1"/>
  <c r="O48" i="10"/>
  <c r="G44" i="8"/>
  <c r="E44" i="8"/>
  <c r="F44" i="8" l="1"/>
  <c r="O50" i="2" s="1"/>
  <c r="R48" i="10"/>
  <c r="Q48" i="10" l="1"/>
  <c r="H44" i="8"/>
  <c r="D45" i="8" s="1"/>
  <c r="P48" i="10"/>
  <c r="N50" i="2"/>
  <c r="M51" i="2" l="1"/>
  <c r="P51" i="2" s="1"/>
  <c r="O49" i="10"/>
  <c r="G45" i="8"/>
  <c r="E45" i="8"/>
  <c r="F45" i="8" l="1"/>
  <c r="Q49" i="10" s="1"/>
  <c r="R49" i="10"/>
  <c r="O51" i="2" l="1"/>
  <c r="N51" i="2"/>
  <c r="H45" i="8"/>
  <c r="D46" i="8" s="1"/>
  <c r="P49" i="10"/>
  <c r="O51" i="10"/>
  <c r="M52" i="2" l="1"/>
  <c r="P52" i="2" s="1"/>
  <c r="O50" i="10"/>
  <c r="G46" i="8"/>
  <c r="E46" i="8"/>
  <c r="F46" i="8" l="1"/>
  <c r="O52" i="2" s="1"/>
  <c r="R50" i="10"/>
  <c r="Q50" i="10" l="1"/>
  <c r="P50" i="10"/>
  <c r="H46" i="8"/>
  <c r="D47" i="8" s="1"/>
  <c r="N52" i="2"/>
  <c r="O52" i="10"/>
  <c r="P53" i="2" l="1"/>
  <c r="R51" i="10"/>
  <c r="G47" i="8"/>
  <c r="F47" i="8" s="1"/>
  <c r="O53" i="2" s="1"/>
  <c r="E47" i="8"/>
  <c r="Q51" i="10" l="1"/>
  <c r="H47" i="8" l="1"/>
  <c r="D48" i="8" s="1"/>
  <c r="P51" i="10"/>
  <c r="N53" i="2"/>
  <c r="O53" i="10"/>
  <c r="P54" i="2" l="1"/>
  <c r="R52" i="10"/>
  <c r="G48" i="8"/>
  <c r="F48" i="8" s="1"/>
  <c r="O54" i="2" s="1"/>
  <c r="E48" i="8"/>
  <c r="Q52" i="10" l="1"/>
  <c r="O54" i="10"/>
  <c r="H48" i="8" l="1"/>
  <c r="D49" i="8" s="1"/>
  <c r="P52" i="10"/>
  <c r="N54" i="2"/>
  <c r="P55" i="2" l="1"/>
  <c r="G49" i="8"/>
  <c r="F49" i="8" s="1"/>
  <c r="R53" i="10"/>
  <c r="E49" i="8"/>
  <c r="N55" i="2" l="1"/>
  <c r="Q53" i="10"/>
  <c r="O55" i="2"/>
  <c r="O55" i="10"/>
  <c r="P53" i="10" l="1"/>
  <c r="H49" i="8"/>
  <c r="D50" i="8" s="1"/>
  <c r="G50" i="8" s="1"/>
  <c r="P56" i="2" l="1"/>
  <c r="F50" i="8"/>
  <c r="Q54" i="10" s="1"/>
  <c r="R54" i="10"/>
  <c r="E50" i="8"/>
  <c r="O56" i="2" l="1"/>
  <c r="H50" i="8"/>
  <c r="D51" i="8" s="1"/>
  <c r="N56" i="2"/>
  <c r="P54" i="10"/>
  <c r="O56" i="10"/>
  <c r="P57" i="2" l="1"/>
  <c r="R55" i="10"/>
  <c r="G51" i="8"/>
  <c r="F51" i="8" s="1"/>
  <c r="E51" i="8"/>
  <c r="O57" i="2" l="1"/>
  <c r="Q55" i="10"/>
  <c r="H51" i="8" l="1"/>
  <c r="D52" i="8" s="1"/>
  <c r="N57" i="2"/>
  <c r="P55" i="10"/>
  <c r="P58" i="2" l="1"/>
  <c r="R56" i="10"/>
  <c r="G52" i="8"/>
  <c r="F52" i="8" s="1"/>
  <c r="E52" i="8"/>
  <c r="Q56" i="10" l="1"/>
  <c r="O58" i="2"/>
  <c r="O58" i="10"/>
  <c r="H52" i="8" l="1"/>
  <c r="D53" i="8" s="1"/>
  <c r="P56" i="10"/>
  <c r="O57" i="10" s="1"/>
  <c r="N58" i="2"/>
  <c r="P59" i="2" l="1"/>
  <c r="R57" i="10"/>
  <c r="G53" i="8"/>
  <c r="F53" i="8" s="1"/>
  <c r="E53" i="8"/>
  <c r="Q57" i="10" l="1"/>
  <c r="O59" i="2"/>
  <c r="O59" i="10"/>
  <c r="H53" i="8" l="1"/>
  <c r="D54" i="8" s="1"/>
  <c r="P57" i="10"/>
  <c r="N59" i="2"/>
  <c r="P60" i="2" l="1"/>
  <c r="R58" i="10"/>
  <c r="G54" i="8"/>
  <c r="F54" i="8" s="1"/>
  <c r="E54" i="8"/>
  <c r="Q58" i="10" l="1"/>
  <c r="O60" i="2"/>
  <c r="O60" i="10"/>
  <c r="H54" i="8" l="1"/>
  <c r="D55" i="8" s="1"/>
  <c r="P58" i="10"/>
  <c r="N60" i="2"/>
  <c r="P61" i="2" l="1"/>
  <c r="R59" i="10"/>
  <c r="G55" i="8"/>
  <c r="F55" i="8" s="1"/>
  <c r="O61" i="10"/>
  <c r="E55" i="8"/>
  <c r="Q59" i="10" l="1"/>
  <c r="O61" i="2"/>
  <c r="H55" i="8" l="1"/>
  <c r="D56" i="8" s="1"/>
  <c r="P59" i="10"/>
  <c r="N61" i="2"/>
  <c r="P62" i="2" l="1"/>
  <c r="R60" i="10"/>
  <c r="G56" i="8"/>
  <c r="F56" i="8" s="1"/>
  <c r="O62" i="10"/>
  <c r="E56" i="8"/>
  <c r="O62" i="2" l="1"/>
  <c r="Q60" i="10"/>
  <c r="H56" i="8" l="1"/>
  <c r="D57" i="8" s="1"/>
  <c r="P60" i="10"/>
  <c r="N62" i="2"/>
  <c r="P63" i="2" l="1"/>
  <c r="R61" i="10"/>
  <c r="G57" i="8"/>
  <c r="F57" i="8" s="1"/>
  <c r="O63" i="10"/>
  <c r="E57" i="8"/>
  <c r="O63" i="2" l="1"/>
  <c r="Q61" i="10"/>
  <c r="H57" i="8" l="1"/>
  <c r="D58" i="8" s="1"/>
  <c r="N63" i="2"/>
  <c r="P61" i="10"/>
  <c r="O64" i="10"/>
  <c r="P64" i="2" l="1"/>
  <c r="R62" i="10"/>
  <c r="G58" i="8"/>
  <c r="F58" i="8" s="1"/>
  <c r="E58" i="8"/>
  <c r="Q62" i="10" l="1"/>
  <c r="O64" i="2"/>
  <c r="H58" i="8" l="1"/>
  <c r="D59" i="8" s="1"/>
  <c r="N64" i="2"/>
  <c r="P62" i="10"/>
  <c r="P65" i="2" l="1"/>
  <c r="R63" i="10"/>
  <c r="G59" i="8"/>
  <c r="F59" i="8" s="1"/>
  <c r="E59" i="8"/>
  <c r="Q63" i="10" l="1"/>
  <c r="O65" i="2"/>
  <c r="O66" i="10"/>
  <c r="H59" i="8" l="1"/>
  <c r="D60" i="8" s="1"/>
  <c r="N65" i="2"/>
  <c r="P63" i="10"/>
  <c r="P66" i="2" l="1"/>
  <c r="R64" i="10"/>
  <c r="G60" i="8"/>
  <c r="F60" i="8" s="1"/>
  <c r="E60" i="8"/>
  <c r="O66" i="2" l="1"/>
  <c r="Q64" i="10"/>
  <c r="O67" i="10"/>
  <c r="H60" i="8" l="1"/>
  <c r="D61" i="8" s="1"/>
  <c r="P64" i="10"/>
  <c r="O65" i="10" s="1"/>
  <c r="N66" i="2"/>
  <c r="P67" i="2" l="1"/>
  <c r="R65" i="10"/>
  <c r="G61" i="8"/>
  <c r="F61" i="8" s="1"/>
  <c r="E61" i="8"/>
  <c r="Q65" i="10" l="1"/>
  <c r="O67" i="2"/>
  <c r="O68" i="10"/>
  <c r="H61" i="8" l="1"/>
  <c r="D62" i="8" s="1"/>
  <c r="N67" i="2"/>
  <c r="P65" i="10"/>
  <c r="P68" i="2" l="1"/>
  <c r="R66" i="10"/>
  <c r="G62" i="8"/>
  <c r="F62" i="8" s="1"/>
  <c r="E62" i="8"/>
  <c r="O68" i="2" l="1"/>
  <c r="Q66" i="10"/>
  <c r="O69" i="10"/>
  <c r="H62" i="8" l="1"/>
  <c r="D63" i="8" s="1"/>
  <c r="N68" i="2"/>
  <c r="P66" i="10"/>
  <c r="P69" i="2" l="1"/>
  <c r="R67" i="10"/>
  <c r="G63" i="8"/>
  <c r="F63" i="8" s="1"/>
  <c r="E63" i="8"/>
  <c r="Q67" i="10" l="1"/>
  <c r="O69" i="2"/>
  <c r="O70" i="10"/>
  <c r="H63" i="8" l="1"/>
  <c r="D64" i="8" s="1"/>
  <c r="N69" i="2"/>
  <c r="P67" i="10"/>
  <c r="P70" i="2" l="1"/>
  <c r="R68" i="10"/>
  <c r="G64" i="8"/>
  <c r="F64" i="8" s="1"/>
  <c r="E64" i="8"/>
  <c r="Q68" i="10" l="1"/>
  <c r="O70" i="2"/>
  <c r="O71" i="10"/>
  <c r="H64" i="8" l="1"/>
  <c r="D65" i="8" s="1"/>
  <c r="N70" i="2"/>
  <c r="P68" i="10"/>
  <c r="P71" i="2" l="1"/>
  <c r="R69" i="10"/>
  <c r="G65" i="8"/>
  <c r="F65" i="8" s="1"/>
  <c r="O71" i="2" s="1"/>
  <c r="E65" i="8"/>
  <c r="Q69" i="10" l="1"/>
  <c r="O72" i="10"/>
  <c r="H65" i="8" l="1"/>
  <c r="D66" i="8" s="1"/>
  <c r="N71" i="2"/>
  <c r="P69" i="10"/>
  <c r="P72" i="2" l="1"/>
  <c r="G66" i="8"/>
  <c r="F66" i="8" s="1"/>
  <c r="O72" i="2" s="1"/>
  <c r="R70" i="10"/>
  <c r="E66" i="8"/>
  <c r="H66" i="8" l="1"/>
  <c r="D67" i="8" s="1"/>
  <c r="Q70" i="10"/>
  <c r="O73" i="10"/>
  <c r="P73" i="2" l="1"/>
  <c r="P70" i="10"/>
  <c r="N72" i="2"/>
  <c r="R71" i="10"/>
  <c r="G67" i="8"/>
  <c r="F67" i="8" s="1"/>
  <c r="E67" i="8"/>
  <c r="O73" i="2" l="1"/>
  <c r="Q71" i="10"/>
  <c r="H67" i="8" l="1"/>
  <c r="D68" i="8" s="1"/>
  <c r="N73" i="2"/>
  <c r="P71" i="10"/>
  <c r="O74" i="10"/>
  <c r="P74" i="2" l="1"/>
  <c r="R72" i="10"/>
  <c r="G68" i="8"/>
  <c r="F68" i="8" s="1"/>
  <c r="E68" i="8"/>
  <c r="O74" i="2" l="1"/>
  <c r="Q72" i="10"/>
  <c r="H68" i="8" l="1"/>
  <c r="D69" i="8" s="1"/>
  <c r="N74" i="2"/>
  <c r="P72" i="10"/>
  <c r="O75" i="10"/>
  <c r="P75" i="2" l="1"/>
  <c r="R73" i="10"/>
  <c r="G69" i="8"/>
  <c r="F69" i="8" s="1"/>
  <c r="O75" i="2" s="1"/>
  <c r="E69" i="8"/>
  <c r="Q73" i="10" l="1"/>
  <c r="H69" i="8" l="1"/>
  <c r="D70" i="8" s="1"/>
  <c r="P73" i="10"/>
  <c r="N75" i="2"/>
  <c r="O76" i="10"/>
  <c r="P76" i="2" l="1"/>
  <c r="G70" i="8"/>
  <c r="F70" i="8" s="1"/>
  <c r="O76" i="2" s="1"/>
  <c r="R74" i="10"/>
  <c r="E70" i="8"/>
  <c r="H70" i="8" l="1"/>
  <c r="D71" i="8" s="1"/>
  <c r="Q74" i="10"/>
  <c r="P77" i="2" l="1"/>
  <c r="P74" i="10"/>
  <c r="N76" i="2"/>
  <c r="R75" i="10"/>
  <c r="G71" i="8"/>
  <c r="F71" i="8" s="1"/>
  <c r="Q75" i="10" s="1"/>
  <c r="O77" i="10"/>
  <c r="E71" i="8"/>
  <c r="O77" i="2" l="1"/>
  <c r="H71" i="8" l="1"/>
  <c r="D72" i="8" s="1"/>
  <c r="P75" i="10"/>
  <c r="N77" i="2"/>
  <c r="P78" i="2" l="1"/>
  <c r="G72" i="8"/>
  <c r="F72" i="8" s="1"/>
  <c r="Q76" i="10" s="1"/>
  <c r="R76" i="10"/>
  <c r="O78" i="10"/>
  <c r="E72" i="8"/>
  <c r="H72" i="8" l="1"/>
  <c r="D73" i="8" s="1"/>
  <c r="O78" i="2"/>
  <c r="P79" i="2" l="1"/>
  <c r="N78" i="2"/>
  <c r="P76" i="10"/>
  <c r="R77" i="10"/>
  <c r="G73" i="8"/>
  <c r="E73" i="8"/>
  <c r="F73" i="8" l="1"/>
  <c r="O79" i="10"/>
  <c r="H73" i="8" l="1"/>
  <c r="D74" i="8" s="1"/>
  <c r="N79" i="2"/>
  <c r="P77" i="10"/>
  <c r="Q77" i="10"/>
  <c r="O79" i="2"/>
  <c r="P80" i="2" l="1"/>
  <c r="R78" i="10"/>
  <c r="G74" i="8"/>
  <c r="F74" i="8" s="1"/>
  <c r="E74" i="8"/>
  <c r="O80" i="2" l="1"/>
  <c r="Q78" i="10"/>
  <c r="O80" i="10"/>
  <c r="P78" i="10" l="1"/>
  <c r="H74" i="8"/>
  <c r="D75" i="8" s="1"/>
  <c r="N80" i="2"/>
  <c r="P81" i="2" l="1"/>
  <c r="R79" i="10"/>
  <c r="G75" i="8"/>
  <c r="E75" i="8"/>
  <c r="F75" i="8" l="1"/>
  <c r="P79" i="10"/>
  <c r="N81" i="2"/>
  <c r="O81" i="10"/>
  <c r="H75" i="8" l="1"/>
  <c r="D76" i="8" s="1"/>
  <c r="Q79" i="10"/>
  <c r="O81" i="2"/>
  <c r="P82" i="2" l="1"/>
  <c r="R80" i="10"/>
  <c r="G76" i="8"/>
  <c r="E76" i="8"/>
  <c r="F76" i="8" l="1"/>
  <c r="H76" i="8" s="1"/>
  <c r="D77" i="8" s="1"/>
  <c r="P80" i="10"/>
  <c r="N82" i="2"/>
  <c r="O82" i="10"/>
  <c r="P83" i="2" l="1"/>
  <c r="R81" i="10"/>
  <c r="Q80" i="10"/>
  <c r="O82" i="2"/>
  <c r="G77" i="8"/>
  <c r="E77" i="8"/>
  <c r="F77" i="8" l="1"/>
  <c r="H77" i="8" l="1"/>
  <c r="D78" i="8" s="1"/>
  <c r="O83" i="2"/>
  <c r="Q81" i="10"/>
  <c r="N83" i="2"/>
  <c r="P81" i="10"/>
  <c r="O83" i="10"/>
  <c r="P84" i="2" l="1"/>
  <c r="R82" i="10"/>
  <c r="G78" i="8"/>
  <c r="F78" i="8" s="1"/>
  <c r="E78" i="8"/>
  <c r="Q82" i="10" l="1"/>
  <c r="O84" i="2"/>
  <c r="H78" i="8" l="1"/>
  <c r="D79" i="8" s="1"/>
  <c r="P82" i="10"/>
  <c r="N84" i="2"/>
  <c r="O84" i="10"/>
  <c r="P85" i="2" l="1"/>
  <c r="R83" i="10"/>
  <c r="G79" i="8"/>
  <c r="F79" i="8" s="1"/>
  <c r="E79" i="8"/>
  <c r="O85" i="2" l="1"/>
  <c r="Q83" i="10"/>
  <c r="H79" i="8" l="1"/>
  <c r="D80" i="8" s="1"/>
  <c r="P83" i="10"/>
  <c r="N85" i="2"/>
  <c r="P86" i="2" l="1"/>
  <c r="R84" i="10"/>
  <c r="G80" i="8"/>
  <c r="E80" i="8"/>
  <c r="N86" i="2" l="1"/>
  <c r="P84" i="10"/>
  <c r="F80" i="8"/>
  <c r="H80" i="8" s="1"/>
  <c r="O86" i="2" l="1"/>
  <c r="Q84" i="10"/>
  <c r="O85" i="10" s="1"/>
  <c r="D81" i="8"/>
  <c r="P87" i="2" l="1"/>
  <c r="R17" i="2" s="1"/>
  <c r="G7" i="2" s="1"/>
  <c r="R85" i="10"/>
  <c r="T15" i="10" s="1"/>
  <c r="G7" i="10" s="1"/>
  <c r="G81" i="8"/>
  <c r="E81" i="8"/>
  <c r="P85" i="10" l="1"/>
  <c r="N87" i="2"/>
  <c r="F81" i="8"/>
  <c r="H81" i="8" s="1"/>
  <c r="O87" i="2" l="1"/>
  <c r="Q85" i="10"/>
</calcChain>
</file>

<file path=xl/comments1.xml><?xml version="1.0" encoding="utf-8"?>
<comments xmlns="http://schemas.openxmlformats.org/spreadsheetml/2006/main">
  <authors>
    <author>Zhu, Vincent</author>
  </authors>
  <commentList>
    <comment ref="H16" authorId="0" shapeId="0">
      <text>
        <r>
          <rPr>
            <b/>
            <sz val="10"/>
            <color indexed="81"/>
            <rFont val="Tahoma"/>
            <family val="2"/>
          </rPr>
          <t>For grade A, SCR =</t>
        </r>
        <r>
          <rPr>
            <sz val="10"/>
            <color indexed="81"/>
            <rFont val="Tahoma"/>
            <family val="2"/>
          </rPr>
          <t xml:space="preserve">
before NRA: k*[(1+e)/(1+i)]^(NRA-x-1)
post NRA: k*[P(e-i)+(1+e)]/(1+e)</t>
        </r>
      </text>
    </comment>
    <comment ref="J16" authorId="0" shapeId="0">
      <text>
        <r>
          <rPr>
            <b/>
            <sz val="10"/>
            <color indexed="81"/>
            <rFont val="Tahoma"/>
            <family val="2"/>
          </rPr>
          <t>For grade A, AL =</t>
        </r>
        <r>
          <rPr>
            <sz val="10"/>
            <color indexed="81"/>
            <rFont val="Tahoma"/>
            <family val="2"/>
          </rPr>
          <t xml:space="preserve">
before NRA: k*P*S*[(1+e)/(1+i)]^(NRA-x)
post NRA: k*P*S</t>
        </r>
      </text>
    </comment>
    <comment ref="K16" authorId="0" shapeId="0">
      <text>
        <r>
          <rPr>
            <sz val="10"/>
            <color indexed="81"/>
            <rFont val="Tahoma"/>
            <family val="2"/>
          </rPr>
          <t>AR = VPS</t>
        </r>
      </text>
    </comment>
    <comment ref="T16" authorId="0" shapeId="0">
      <text>
        <r>
          <rPr>
            <sz val="10"/>
            <color indexed="81"/>
            <rFont val="Tahoma"/>
            <family val="2"/>
          </rPr>
          <t>AL</t>
        </r>
        <r>
          <rPr>
            <vertAlign val="subscript"/>
            <sz val="10"/>
            <color indexed="81"/>
            <rFont val="Tahoma"/>
            <family val="2"/>
          </rPr>
          <t>x</t>
        </r>
        <r>
          <rPr>
            <sz val="10"/>
            <color indexed="81"/>
            <rFont val="Tahoma"/>
            <family val="2"/>
          </rPr>
          <t xml:space="preserve"> with one year interest plus contribution should equal to AL</t>
        </r>
        <r>
          <rPr>
            <vertAlign val="subscript"/>
            <sz val="10"/>
            <color indexed="81"/>
            <rFont val="Tahoma"/>
            <family val="2"/>
          </rPr>
          <t>x+1</t>
        </r>
      </text>
    </comment>
  </commentList>
</comments>
</file>

<file path=xl/comments2.xml><?xml version="1.0" encoding="utf-8"?>
<comments xmlns="http://schemas.openxmlformats.org/spreadsheetml/2006/main">
  <authors>
    <author>Zhu, Vincent</author>
  </authors>
  <commentList>
    <comment ref="H14" authorId="0" shapeId="0">
      <text>
        <r>
          <rPr>
            <sz val="10"/>
            <color indexed="81"/>
            <rFont val="Tahoma"/>
            <family val="2"/>
          </rPr>
          <t>Assume that there are no withdrawals or deaths prior to the retirement age when determining AL at each valuation date.</t>
        </r>
      </text>
    </comment>
    <comment ref="L14" authorId="0" shapeId="0">
      <text>
        <r>
          <rPr>
            <b/>
            <sz val="10"/>
            <color indexed="81"/>
            <rFont val="Tahoma"/>
            <family val="2"/>
          </rPr>
          <t>For grade A, AL=</t>
        </r>
        <r>
          <rPr>
            <sz val="10"/>
            <color indexed="81"/>
            <rFont val="Tahoma"/>
            <family val="2"/>
          </rPr>
          <t xml:space="preserve">
before NRA: 
k*(P+F)*S*[(1+e)/(1+i)]^(NRA-x) - SCR*(S*a</t>
        </r>
        <r>
          <rPr>
            <vertAlign val="subscript"/>
            <sz val="10"/>
            <color indexed="81"/>
            <rFont val="Tahoma"/>
            <family val="2"/>
          </rPr>
          <t>NRA-x</t>
        </r>
        <r>
          <rPr>
            <sz val="10"/>
            <color indexed="81"/>
            <rFont val="Tahoma"/>
            <family val="2"/>
          </rPr>
          <t>)
post NRA: k*P*S</t>
        </r>
      </text>
    </comment>
    <comment ref="M14" authorId="0" shapeId="0">
      <text>
        <r>
          <rPr>
            <sz val="10"/>
            <color indexed="81"/>
            <rFont val="Tahoma"/>
            <family val="2"/>
          </rPr>
          <t>AR = VPS</t>
        </r>
      </text>
    </comment>
    <comment ref="V14" authorId="0" shapeId="0">
      <text>
        <r>
          <rPr>
            <sz val="10"/>
            <color indexed="81"/>
            <rFont val="Tahoma"/>
            <family val="2"/>
          </rPr>
          <t>AL</t>
        </r>
        <r>
          <rPr>
            <vertAlign val="subscript"/>
            <sz val="10"/>
            <color indexed="81"/>
            <rFont val="Tahoma"/>
            <family val="2"/>
          </rPr>
          <t>x</t>
        </r>
        <r>
          <rPr>
            <sz val="10"/>
            <color indexed="81"/>
            <rFont val="Tahoma"/>
            <family val="2"/>
          </rPr>
          <t xml:space="preserve"> with one year interest plus contribution should equal to AL</t>
        </r>
        <r>
          <rPr>
            <vertAlign val="subscript"/>
            <sz val="10"/>
            <color indexed="81"/>
            <rFont val="Tahoma"/>
            <family val="2"/>
          </rPr>
          <t>x+1</t>
        </r>
      </text>
    </comment>
    <comment ref="Y14" authorId="0" shapeId="0">
      <text>
        <r>
          <rPr>
            <sz val="10"/>
            <color indexed="81"/>
            <rFont val="Tahoma"/>
            <family val="2"/>
          </rPr>
          <t>The relationship (F/a</t>
        </r>
        <r>
          <rPr>
            <vertAlign val="subscript"/>
            <sz val="10"/>
            <color indexed="81"/>
            <rFont val="Tahoma"/>
            <family val="2"/>
          </rPr>
          <t>F</t>
        </r>
        <r>
          <rPr>
            <sz val="10"/>
            <color indexed="81"/>
            <rFont val="Tahoma"/>
            <family val="2"/>
          </rPr>
          <t>*v'</t>
        </r>
        <r>
          <rPr>
            <vertAlign val="superscript"/>
            <sz val="10"/>
            <color indexed="81"/>
            <rFont val="Tahoma"/>
            <family val="2"/>
          </rPr>
          <t xml:space="preserve">x-EA </t>
        </r>
        <r>
          <rPr>
            <sz val="10"/>
            <color indexed="81"/>
            <rFont val="Tahoma"/>
            <family val="2"/>
          </rPr>
          <t>) between SCR</t>
        </r>
        <r>
          <rPr>
            <vertAlign val="subscript"/>
            <sz val="10"/>
            <color indexed="81"/>
            <rFont val="Tahoma"/>
            <family val="2"/>
          </rPr>
          <t xml:space="preserve">EAN </t>
        </r>
        <r>
          <rPr>
            <sz val="10"/>
            <color indexed="81"/>
            <rFont val="Tahoma"/>
            <family val="2"/>
          </rPr>
          <t>and SCR</t>
        </r>
        <r>
          <rPr>
            <vertAlign val="subscript"/>
            <sz val="10"/>
            <color indexed="81"/>
            <rFont val="Tahoma"/>
            <family val="2"/>
          </rPr>
          <t>PUC</t>
        </r>
        <r>
          <rPr>
            <sz val="10"/>
            <color indexed="81"/>
            <rFont val="Tahoma"/>
            <family val="2"/>
          </rPr>
          <t xml:space="preserve"> should always holds.</t>
        </r>
      </text>
    </comment>
    <comment ref="O15" authorId="0" shapeId="0">
      <text>
        <r>
          <rPr>
            <sz val="10"/>
            <color indexed="81"/>
            <rFont val="Tahoma"/>
            <family val="2"/>
          </rPr>
          <t>Assume: do not fund the initial deficit if there is any.</t>
        </r>
      </text>
    </comment>
  </commentList>
</comments>
</file>

<file path=xl/sharedStrings.xml><?xml version="1.0" encoding="utf-8"?>
<sst xmlns="http://schemas.openxmlformats.org/spreadsheetml/2006/main" count="861" uniqueCount="497">
  <si>
    <t>Withdraw</t>
  </si>
  <si>
    <t>Age at start of year</t>
  </si>
  <si>
    <t>Number of employees</t>
  </si>
  <si>
    <t>Average Salary $</t>
  </si>
  <si>
    <t xml:space="preserve">Grade </t>
  </si>
  <si>
    <t>B</t>
  </si>
  <si>
    <t>A</t>
  </si>
  <si>
    <t>Accrual rate</t>
  </si>
  <si>
    <t>Grade A</t>
  </si>
  <si>
    <t>Grade B</t>
  </si>
  <si>
    <t>Investment return</t>
  </si>
  <si>
    <t>Normal Retirement Age</t>
  </si>
  <si>
    <t>Group</t>
  </si>
  <si>
    <t>30A</t>
  </si>
  <si>
    <t>Accrual rate
(k)</t>
  </si>
  <si>
    <t>Investment return
(i)</t>
  </si>
  <si>
    <t>Current age
BOY
(X)</t>
  </si>
  <si>
    <t>Pensionable salary
BOY
(S)</t>
  </si>
  <si>
    <t>Check</t>
  </si>
  <si>
    <t>Grade:</t>
  </si>
  <si>
    <t>Age at start of year:</t>
  </si>
  <si>
    <t>NRA:</t>
  </si>
  <si>
    <t>Accrual rate:</t>
  </si>
  <si>
    <t>Average Salary:</t>
  </si>
  <si>
    <t>Salary increase:</t>
  </si>
  <si>
    <t>Entry Age:</t>
  </si>
  <si>
    <t>Inforce
BOY</t>
  </si>
  <si>
    <t>Inforce
EOY</t>
  </si>
  <si>
    <t>Mortality after retirement</t>
  </si>
  <si>
    <t>Decrement table</t>
  </si>
  <si>
    <t>Assumptions</t>
  </si>
  <si>
    <t>Contribution
EOY</t>
  </si>
  <si>
    <t>Description</t>
  </si>
  <si>
    <t>Includes assumptions required</t>
  </si>
  <si>
    <t>Data</t>
  </si>
  <si>
    <t>Includes a breakdown of expenses and policy statistics from 2017 to 2019 as well as forecast policy statistics for 2020</t>
  </si>
  <si>
    <t>Solutions</t>
  </si>
  <si>
    <t>Includes calculation of 2020 recommended expenses and 2020 expenses derived from applying inflation to 2017 expenses for comparison</t>
  </si>
  <si>
    <t>Depreciation</t>
  </si>
  <si>
    <t>breakdown of the derivation of depreciation assumptions</t>
  </si>
  <si>
    <t>Macro</t>
  </si>
  <si>
    <t>PUC Projection</t>
  </si>
  <si>
    <t>EAN Projection</t>
  </si>
  <si>
    <t>30B</t>
  </si>
  <si>
    <t>40B</t>
  </si>
  <si>
    <t>40A</t>
  </si>
  <si>
    <t>45B</t>
  </si>
  <si>
    <t>45A</t>
  </si>
  <si>
    <t>50B</t>
  </si>
  <si>
    <t>50A</t>
  </si>
  <si>
    <t>55B</t>
  </si>
  <si>
    <t>55A</t>
  </si>
  <si>
    <t>Total Contribution</t>
  </si>
  <si>
    <t>Total Salary</t>
  </si>
  <si>
    <t>Initial SCR</t>
  </si>
  <si>
    <t>Current Group</t>
  </si>
  <si>
    <t>No. of Employees</t>
  </si>
  <si>
    <t>No. of years of past service
(P)</t>
  </si>
  <si>
    <t>Salary EOY</t>
  </si>
  <si>
    <t>No. of employees:</t>
  </si>
  <si>
    <t>Data table - Summary for all the groups as of the end of year 1</t>
  </si>
  <si>
    <t>Reasonability check on contribution</t>
  </si>
  <si>
    <t>Grade</t>
  </si>
  <si>
    <t>i'=(1+i)/(1+e)-1</t>
  </si>
  <si>
    <t>When close to new member</t>
  </si>
  <si>
    <t>Actuarial Reserve
BOY
(AR)</t>
  </si>
  <si>
    <t>VEA
EOY</t>
  </si>
  <si>
    <t>Salary inflation
(e)</t>
  </si>
  <si>
    <t>Actuarial Liability
BOY
(AL)</t>
  </si>
  <si>
    <t>CF Projection
==&gt;</t>
  </si>
  <si>
    <t>Withdraw Benefit
EOY</t>
  </si>
  <si>
    <t>Retirement Benefit
EOY</t>
  </si>
  <si>
    <r>
      <t>Check btw EAN and PUC
SCR</t>
    </r>
    <r>
      <rPr>
        <vertAlign val="subscript"/>
        <sz val="10"/>
        <color theme="0"/>
        <rFont val="Century Gothic"/>
        <family val="2"/>
      </rPr>
      <t>EAN</t>
    </r>
    <r>
      <rPr>
        <sz val="10"/>
        <color theme="0"/>
        <rFont val="Century Gothic"/>
        <family val="2"/>
      </rPr>
      <t>/SCR</t>
    </r>
    <r>
      <rPr>
        <vertAlign val="subscript"/>
        <sz val="10"/>
        <color theme="0"/>
        <rFont val="Century Gothic"/>
        <family val="2"/>
      </rPr>
      <t>PUC</t>
    </r>
  </si>
  <si>
    <r>
      <t>F/a</t>
    </r>
    <r>
      <rPr>
        <vertAlign val="subscript"/>
        <sz val="10"/>
        <color theme="0"/>
        <rFont val="Century Gothic"/>
        <family val="2"/>
      </rPr>
      <t>F</t>
    </r>
    <r>
      <rPr>
        <sz val="10"/>
        <color theme="0"/>
        <rFont val="Century Gothic"/>
        <family val="2"/>
      </rPr>
      <t>*v'</t>
    </r>
    <r>
      <rPr>
        <vertAlign val="superscript"/>
        <sz val="10"/>
        <color theme="0"/>
        <rFont val="Century Gothic"/>
        <family val="2"/>
      </rPr>
      <t>x-EA</t>
    </r>
  </si>
  <si>
    <r>
      <rPr>
        <sz val="11"/>
        <color theme="0"/>
        <rFont val="Century Gothic"/>
        <family val="2"/>
      </rPr>
      <t>a</t>
    </r>
    <r>
      <rPr>
        <vertAlign val="subscript"/>
        <sz val="10"/>
        <color theme="0"/>
        <rFont val="Century Gothic"/>
        <family val="2"/>
      </rPr>
      <t xml:space="preserve">NRA-EA </t>
    </r>
    <r>
      <rPr>
        <sz val="10"/>
        <color theme="0"/>
        <rFont val="Century Gothic"/>
        <family val="2"/>
      </rPr>
      <t>@ i'</t>
    </r>
  </si>
  <si>
    <r>
      <rPr>
        <sz val="11"/>
        <color theme="0"/>
        <rFont val="Century Gothic"/>
        <family val="2"/>
      </rPr>
      <t>a</t>
    </r>
    <r>
      <rPr>
        <vertAlign val="subscript"/>
        <sz val="10"/>
        <color theme="0"/>
        <rFont val="Century Gothic"/>
        <family val="2"/>
      </rPr>
      <t xml:space="preserve">NRA-x </t>
    </r>
    <r>
      <rPr>
        <sz val="10"/>
        <color theme="0"/>
        <rFont val="Century Gothic"/>
        <family val="2"/>
      </rPr>
      <t>@ i'</t>
    </r>
  </si>
  <si>
    <r>
      <t>SCR = k*(NRA-EA)*[(1+e)/(1+i)]^(NRA-EA)/a</t>
    </r>
    <r>
      <rPr>
        <vertAlign val="subscript"/>
        <sz val="10"/>
        <color theme="0"/>
        <rFont val="Century Gothic"/>
        <family val="2"/>
      </rPr>
      <t>NRA-EA</t>
    </r>
  </si>
  <si>
    <r>
      <t>Redundancy</t>
    </r>
    <r>
      <rPr>
        <sz val="10"/>
        <color theme="1"/>
        <rFont val="Century Gothic"/>
        <family val="2"/>
      </rPr>
      <t xml:space="preserve"> benefits are probably less likely than withdrawal/retirement, but may be more generous than the withdrawal benefit or the accrued retirement benefit.  What is the expected experience? Why would you set an decrement assumption other than 0% if the employer has no stated redundancy program? I am aware of some employers that do have publicised voluntary redundancy programs from time to time and these are readily then incorporated into a scheme's valuation assumptions as another decrement.</t>
    </r>
  </si>
  <si>
    <r>
      <t xml:space="preserve">For general interest, note that </t>
    </r>
    <r>
      <rPr>
        <b/>
        <sz val="10"/>
        <color theme="1"/>
        <rFont val="Century Gothic"/>
        <family val="2"/>
      </rPr>
      <t xml:space="preserve">in Australia </t>
    </r>
    <r>
      <rPr>
        <sz val="10"/>
        <color theme="1"/>
        <rFont val="Century Gothic"/>
        <family val="2"/>
      </rPr>
      <t>, there are redundancy benefits paid outside superannuation. So schemes may not have an explicit redundancy benefit. It may be reasonable to ignore redundancies altogether when preparing valuations or contribution rate advice, but to assess at a given date whether the scheme has sufficient assets to pay everyone their redundancy benefits (if the employer was wound up and everyone lost their jobs) and/or termination benefits (if the scheme was wound up for any reason).</t>
    </r>
  </si>
  <si>
    <t xml:space="preserve">Mortality Rate </t>
  </si>
  <si>
    <t>SCR</t>
  </si>
  <si>
    <t>Retirement and mortality post-NRA for Grade A</t>
  </si>
  <si>
    <t>Age</t>
  </si>
  <si>
    <t>Retirement Rate</t>
  </si>
  <si>
    <t>Retirement</t>
  </si>
  <si>
    <t>Flowchart</t>
  </si>
  <si>
    <t>Legend</t>
  </si>
  <si>
    <t>The following flowchart shows the calculation logic for the determination of the initial contribution rate using PUC method under each grade.</t>
  </si>
  <si>
    <t>Surplus/Deficit
EOY</t>
  </si>
  <si>
    <t>Average Entry Age</t>
  </si>
  <si>
    <t>Salary inflation</t>
  </si>
  <si>
    <t>Total Surplus/Deficit
EOY</t>
  </si>
  <si>
    <t>Time T</t>
  </si>
  <si>
    <t>Employee turnover rate</t>
  </si>
  <si>
    <t>No. of NEW entrants for the last T year(s)</t>
  </si>
  <si>
    <t>Initial contribution</t>
  </si>
  <si>
    <t>Time (diagonal)</t>
  </si>
  <si>
    <t>for age 30, 40, 45, 50, 55</t>
  </si>
  <si>
    <t>for all ages</t>
  </si>
  <si>
    <t>p.a.</t>
  </si>
  <si>
    <t>of AR</t>
  </si>
  <si>
    <t>Withdrawal benefit</t>
  </si>
  <si>
    <t>for EAN method only</t>
  </si>
  <si>
    <t>Table Name:</t>
  </si>
  <si>
    <t>RP-2014 Rates-White Collar</t>
  </si>
  <si>
    <t>Table Identity:</t>
  </si>
  <si>
    <t>3127</t>
  </si>
  <si>
    <t>Provider Domain:</t>
  </si>
  <si>
    <t>soa.org</t>
  </si>
  <si>
    <t>Provider Name:</t>
  </si>
  <si>
    <t>Retirement Plans Experience Committee</t>
  </si>
  <si>
    <t>Table Reference:</t>
  </si>
  <si>
    <t>Society of Actuaries, research-2014-rp-mort-tab-rates-exposure.xlsx, Sheet "White Collar", https://www.soa.org/files/research/exp-study/research-2014-rp-mort-tab-rates-exposure.xlsx</t>
  </si>
  <si>
    <t>Content Type:</t>
  </si>
  <si>
    <t>Annuitant Mortality</t>
  </si>
  <si>
    <t>Table Description:</t>
  </si>
  <si>
    <t>RP-2014 Rates-White Collar Male</t>
  </si>
  <si>
    <t>EffDate:</t>
  </si>
  <si>
    <t/>
  </si>
  <si>
    <t>Comments:</t>
  </si>
  <si>
    <t>Data Certified: 07/2018.</t>
  </si>
  <si>
    <t>Keywords:</t>
  </si>
  <si>
    <t>Aggregate,Annuitant Mortality,United States of America</t>
  </si>
  <si>
    <t xml:space="preserve">Table # </t>
  </si>
  <si>
    <t>1</t>
  </si>
  <si>
    <t>RP-2014 Rates-White Collar-Employee-Male</t>
  </si>
  <si>
    <t>Nation:</t>
  </si>
  <si>
    <t>United States of America</t>
  </si>
  <si>
    <t>Scaling Factor:</t>
  </si>
  <si>
    <t>0</t>
  </si>
  <si>
    <t>Data Type:</t>
  </si>
  <si>
    <t>Floating Point</t>
  </si>
  <si>
    <t>Row, Column (if applicable)-&gt;id:</t>
  </si>
  <si>
    <t>Row, Column (if applicable)-&gt;ScaleType:</t>
  </si>
  <si>
    <t>Row, Column (if applicable)-&gt;AxisName:</t>
  </si>
  <si>
    <t>Row, Column (if applicable)-&gt;MinScaleValue:</t>
  </si>
  <si>
    <t>18</t>
  </si>
  <si>
    <t>Row, Column (if applicable)-&gt;MaxScaleValue:</t>
  </si>
  <si>
    <t>80</t>
  </si>
  <si>
    <t>Row, Column (if applicable)-&gt;Increment:</t>
  </si>
  <si>
    <t>Row\Column</t>
  </si>
  <si>
    <t>0.00023</t>
  </si>
  <si>
    <t>19</t>
  </si>
  <si>
    <t>0.000259</t>
  </si>
  <si>
    <t>20</t>
  </si>
  <si>
    <t>0.000285</t>
  </si>
  <si>
    <t>21</t>
  </si>
  <si>
    <t>0.000315</t>
  </si>
  <si>
    <t>22</t>
  </si>
  <si>
    <t>0.000342</t>
  </si>
  <si>
    <t>23</t>
  </si>
  <si>
    <t>0.000357</t>
  </si>
  <si>
    <t>24</t>
  </si>
  <si>
    <t>0.000362</t>
  </si>
  <si>
    <t>25</t>
  </si>
  <si>
    <t>0.000339</t>
  </si>
  <si>
    <t>26</t>
  </si>
  <si>
    <t>0.000324</t>
  </si>
  <si>
    <t>27</t>
  </si>
  <si>
    <t>28</t>
  </si>
  <si>
    <t>0.000311</t>
  </si>
  <si>
    <t>29</t>
  </si>
  <si>
    <t>0.000313</t>
  </si>
  <si>
    <t>30</t>
  </si>
  <si>
    <t>0.000317</t>
  </si>
  <si>
    <t>31</t>
  </si>
  <si>
    <t>0.000325</t>
  </si>
  <si>
    <t>32</t>
  </si>
  <si>
    <t>0.000335</t>
  </si>
  <si>
    <t>33</t>
  </si>
  <si>
    <t>0.000345</t>
  </si>
  <si>
    <t>34</t>
  </si>
  <si>
    <t>0.000356</t>
  </si>
  <si>
    <t>35</t>
  </si>
  <si>
    <t>0.000367</t>
  </si>
  <si>
    <t>36</t>
  </si>
  <si>
    <t>0.000376</t>
  </si>
  <si>
    <t>37</t>
  </si>
  <si>
    <t>0.000386</t>
  </si>
  <si>
    <t>38</t>
  </si>
  <si>
    <t>0.0004</t>
  </si>
  <si>
    <t>39</t>
  </si>
  <si>
    <t>0.000417</t>
  </si>
  <si>
    <t>40</t>
  </si>
  <si>
    <t>0.00044</t>
  </si>
  <si>
    <t>41</t>
  </si>
  <si>
    <t>0.000471</t>
  </si>
  <si>
    <t>42</t>
  </si>
  <si>
    <t>0.000508</t>
  </si>
  <si>
    <t>43</t>
  </si>
  <si>
    <t>0.000556</t>
  </si>
  <si>
    <t>44</t>
  </si>
  <si>
    <t>0.000614</t>
  </si>
  <si>
    <t>45</t>
  </si>
  <si>
    <t>0.000682</t>
  </si>
  <si>
    <t>46</t>
  </si>
  <si>
    <t>0.000762</t>
  </si>
  <si>
    <t>47</t>
  </si>
  <si>
    <t>0.000852</t>
  </si>
  <si>
    <t>48</t>
  </si>
  <si>
    <t>0.000952</t>
  </si>
  <si>
    <t>49</t>
  </si>
  <si>
    <t>0.001062</t>
  </si>
  <si>
    <t>50</t>
  </si>
  <si>
    <t>0.001182</t>
  </si>
  <si>
    <t>51</t>
  </si>
  <si>
    <t>0.001312</t>
  </si>
  <si>
    <t>52</t>
  </si>
  <si>
    <t>0.001453</t>
  </si>
  <si>
    <t>53</t>
  </si>
  <si>
    <t>0.001605</t>
  </si>
  <si>
    <t>54</t>
  </si>
  <si>
    <t>0.001772</t>
  </si>
  <si>
    <t>55</t>
  </si>
  <si>
    <t>0.001955</t>
  </si>
  <si>
    <t>56</t>
  </si>
  <si>
    <t>0.002159</t>
  </si>
  <si>
    <t>57</t>
  </si>
  <si>
    <t>0.002389</t>
  </si>
  <si>
    <t>58</t>
  </si>
  <si>
    <t>0.00265</t>
  </si>
  <si>
    <t>59</t>
  </si>
  <si>
    <t>0.002948</t>
  </si>
  <si>
    <t>60</t>
  </si>
  <si>
    <t>0.003288</t>
  </si>
  <si>
    <t>61</t>
  </si>
  <si>
    <t>0.003675</t>
  </si>
  <si>
    <t>62</t>
  </si>
  <si>
    <t>0.004114</t>
  </si>
  <si>
    <t>63</t>
  </si>
  <si>
    <t>0.004612</t>
  </si>
  <si>
    <t>64</t>
  </si>
  <si>
    <t>0.005173</t>
  </si>
  <si>
    <t>65</t>
  </si>
  <si>
    <t>0.005805</t>
  </si>
  <si>
    <t>66</t>
  </si>
  <si>
    <t>0.006508</t>
  </si>
  <si>
    <t>67</t>
  </si>
  <si>
    <t>0.007296</t>
  </si>
  <si>
    <t>68</t>
  </si>
  <si>
    <t>0.008179</t>
  </si>
  <si>
    <t>69</t>
  </si>
  <si>
    <t>0.009169</t>
  </si>
  <si>
    <t>70</t>
  </si>
  <si>
    <t>0.010279</t>
  </si>
  <si>
    <t>71</t>
  </si>
  <si>
    <t>0.011523</t>
  </si>
  <si>
    <t>72</t>
  </si>
  <si>
    <t>0.012917</t>
  </si>
  <si>
    <t>73</t>
  </si>
  <si>
    <t>0.01448</t>
  </si>
  <si>
    <t>74</t>
  </si>
  <si>
    <t>0.016232</t>
  </si>
  <si>
    <t>75</t>
  </si>
  <si>
    <t>0.018196</t>
  </si>
  <si>
    <t>76</t>
  </si>
  <si>
    <t>0.020398</t>
  </si>
  <si>
    <t>77</t>
  </si>
  <si>
    <t>0.022867</t>
  </si>
  <si>
    <t>78</t>
  </si>
  <si>
    <t>0.025634</t>
  </si>
  <si>
    <t>79</t>
  </si>
  <si>
    <t>0.028736</t>
  </si>
  <si>
    <t>0.032214</t>
  </si>
  <si>
    <t>2</t>
  </si>
  <si>
    <t>RP-2014 Rates-White Collar-Healthy Annuitant-Male</t>
  </si>
  <si>
    <t>120</t>
  </si>
  <si>
    <t>0.002764</t>
  </si>
  <si>
    <t>0.002981</t>
  </si>
  <si>
    <t>0.003202</t>
  </si>
  <si>
    <t>0.003429</t>
  </si>
  <si>
    <t>0.003661</t>
  </si>
  <si>
    <t>0.003908</t>
  </si>
  <si>
    <t>0.004121</t>
  </si>
  <si>
    <t>0.004356</t>
  </si>
  <si>
    <t>0.004616</t>
  </si>
  <si>
    <t>0.004905</t>
  </si>
  <si>
    <t>0.005225</t>
  </si>
  <si>
    <t>0.005582</t>
  </si>
  <si>
    <t>0.005984</t>
  </si>
  <si>
    <t>0.006442</t>
  </si>
  <si>
    <t>0.006969</t>
  </si>
  <si>
    <t>0.00758</t>
  </si>
  <si>
    <t>0.00829</t>
  </si>
  <si>
    <t>0.009114</t>
  </si>
  <si>
    <t>0.010066</t>
  </si>
  <si>
    <t>0.011159</t>
  </si>
  <si>
    <t>0.012402</t>
  </si>
  <si>
    <t>0.013803</t>
  </si>
  <si>
    <t>0.015375</t>
  </si>
  <si>
    <t>0.01713</t>
  </si>
  <si>
    <t>0.019088</t>
  </si>
  <si>
    <t>0.021279</t>
  </si>
  <si>
    <t>0.023738</t>
  </si>
  <si>
    <t>0.02651</t>
  </si>
  <si>
    <t>0.029651</t>
  </si>
  <si>
    <t>0.033225</t>
  </si>
  <si>
    <t>0.037307</t>
  </si>
  <si>
    <t>81</t>
  </si>
  <si>
    <t>0.04198</t>
  </si>
  <si>
    <t>82</t>
  </si>
  <si>
    <t>0.047333</t>
  </si>
  <si>
    <t>83</t>
  </si>
  <si>
    <t>0.053459</t>
  </si>
  <si>
    <t>84</t>
  </si>
  <si>
    <t>0.060449</t>
  </si>
  <si>
    <t>85</t>
  </si>
  <si>
    <t>0.068396</t>
  </si>
  <si>
    <t>86</t>
  </si>
  <si>
    <t>0.077396</t>
  </si>
  <si>
    <t>87</t>
  </si>
  <si>
    <t>0.087552</t>
  </si>
  <si>
    <t>88</t>
  </si>
  <si>
    <t>0.098978</t>
  </si>
  <si>
    <t>89</t>
  </si>
  <si>
    <t>0.111806</t>
  </si>
  <si>
    <t>90</t>
  </si>
  <si>
    <t>0.12619</t>
  </si>
  <si>
    <t>91</t>
  </si>
  <si>
    <t>0.141713</t>
  </si>
  <si>
    <t>92</t>
  </si>
  <si>
    <t>0.15813</t>
  </si>
  <si>
    <t>93</t>
  </si>
  <si>
    <t>0.175288</t>
  </si>
  <si>
    <t>94</t>
  </si>
  <si>
    <t>0.193131</t>
  </si>
  <si>
    <t>95</t>
  </si>
  <si>
    <t>0.211674</t>
  </si>
  <si>
    <t>96</t>
  </si>
  <si>
    <t>0.230976</t>
  </si>
  <si>
    <t>97</t>
  </si>
  <si>
    <t>0.251106</t>
  </si>
  <si>
    <t>98</t>
  </si>
  <si>
    <t>0.272113</t>
  </si>
  <si>
    <t>99</t>
  </si>
  <si>
    <t>0.293848</t>
  </si>
  <si>
    <t>100</t>
  </si>
  <si>
    <t>0.313988</t>
  </si>
  <si>
    <t>101</t>
  </si>
  <si>
    <t>0.334365</t>
  </si>
  <si>
    <t>102</t>
  </si>
  <si>
    <t>0.354599</t>
  </si>
  <si>
    <t>103</t>
  </si>
  <si>
    <t>0.374524</t>
  </si>
  <si>
    <t>104</t>
  </si>
  <si>
    <t>0.393982</t>
  </si>
  <si>
    <t>105</t>
  </si>
  <si>
    <t>0.412831</t>
  </si>
  <si>
    <t>106</t>
  </si>
  <si>
    <t>0.430946</t>
  </si>
  <si>
    <t>107</t>
  </si>
  <si>
    <t>0.448227</t>
  </si>
  <si>
    <t>108</t>
  </si>
  <si>
    <t>0.464592</t>
  </si>
  <si>
    <t>109</t>
  </si>
  <si>
    <t>0.479987</t>
  </si>
  <si>
    <t>110</t>
  </si>
  <si>
    <t>0.494376</t>
  </si>
  <si>
    <t>111</t>
  </si>
  <si>
    <t>0.5</t>
  </si>
  <si>
    <t>112</t>
  </si>
  <si>
    <t>113</t>
  </si>
  <si>
    <t>114</t>
  </si>
  <si>
    <t>115</t>
  </si>
  <si>
    <t>116</t>
  </si>
  <si>
    <t>117</t>
  </si>
  <si>
    <t>118</t>
  </si>
  <si>
    <t>119</t>
  </si>
  <si>
    <t>3128</t>
  </si>
  <si>
    <t>RP-2014 Rates-White Collar Female</t>
  </si>
  <si>
    <t>RP-2014 Rates-White Collar-Employee-Female</t>
  </si>
  <si>
    <t>0.000132</t>
  </si>
  <si>
    <t>0.000137</t>
  </si>
  <si>
    <t>0.00014</t>
  </si>
  <si>
    <t>0.000143</t>
  </si>
  <si>
    <t>0.000146</t>
  </si>
  <si>
    <t>0.000151</t>
  </si>
  <si>
    <t>0.000158</t>
  </si>
  <si>
    <t>0.000165</t>
  </si>
  <si>
    <t>0.000174</t>
  </si>
  <si>
    <t>0.000184</t>
  </si>
  <si>
    <t>0.000195</t>
  </si>
  <si>
    <t>0.000206</t>
  </si>
  <si>
    <t>0.000218</t>
  </si>
  <si>
    <t>0.000241</t>
  </si>
  <si>
    <t>0.000253</t>
  </si>
  <si>
    <t>0.000268</t>
  </si>
  <si>
    <t>0.000286</t>
  </si>
  <si>
    <t>0.000308</t>
  </si>
  <si>
    <t>0.000334</t>
  </si>
  <si>
    <t>0.000365</t>
  </si>
  <si>
    <t>0.000402</t>
  </si>
  <si>
    <t>0.000446</t>
  </si>
  <si>
    <t>0.000497</t>
  </si>
  <si>
    <t>0.000554</t>
  </si>
  <si>
    <t>0.000618</t>
  </si>
  <si>
    <t>0.000689</t>
  </si>
  <si>
    <t>0.000764</t>
  </si>
  <si>
    <t>0.000845</t>
  </si>
  <si>
    <t>0.00093</t>
  </si>
  <si>
    <t>0.001018</t>
  </si>
  <si>
    <t>0.00111</t>
  </si>
  <si>
    <t>0.001206</t>
  </si>
  <si>
    <t>0.001306</t>
  </si>
  <si>
    <t>0.001412</t>
  </si>
  <si>
    <t>0.001523</t>
  </si>
  <si>
    <t>0.001642</t>
  </si>
  <si>
    <t>0.001769</t>
  </si>
  <si>
    <t>0.001908</t>
  </si>
  <si>
    <t>0.00206</t>
  </si>
  <si>
    <t>0.002229</t>
  </si>
  <si>
    <t>0.002417</t>
  </si>
  <si>
    <t>0.002627</t>
  </si>
  <si>
    <t>0.002859</t>
  </si>
  <si>
    <t>0.003119</t>
  </si>
  <si>
    <t>0.003485</t>
  </si>
  <si>
    <t>0.003894</t>
  </si>
  <si>
    <t>0.004351</t>
  </si>
  <si>
    <t>0.004862</t>
  </si>
  <si>
    <t>0.005433</t>
  </si>
  <si>
    <t>0.006071</t>
  </si>
  <si>
    <t>0.006784</t>
  </si>
  <si>
    <t>0.007581</t>
  </si>
  <si>
    <t>0.008472</t>
  </si>
  <si>
    <t>0.009467</t>
  </si>
  <si>
    <t>0.010579</t>
  </si>
  <si>
    <t>0.011822</t>
  </si>
  <si>
    <t>0.013211</t>
  </si>
  <si>
    <t>0.014763</t>
  </si>
  <si>
    <t>0.016497</t>
  </si>
  <si>
    <t>RP-2014 Rates-White Collar-Healthy Annuitant-Female</t>
  </si>
  <si>
    <t>0.002076</t>
  </si>
  <si>
    <t>0.002179</t>
  </si>
  <si>
    <t>0.002292</t>
  </si>
  <si>
    <t>0.002419</t>
  </si>
  <si>
    <t>0.002559</t>
  </si>
  <si>
    <t>0.002716</t>
  </si>
  <si>
    <t>0.002894</t>
  </si>
  <si>
    <t>0.003096</t>
  </si>
  <si>
    <t>0.003327</t>
  </si>
  <si>
    <t>0.003591</t>
  </si>
  <si>
    <t>0.003891</t>
  </si>
  <si>
    <t>0.004367</t>
  </si>
  <si>
    <t>0.004867</t>
  </si>
  <si>
    <t>0.005394</t>
  </si>
  <si>
    <t>0.005952</t>
  </si>
  <si>
    <t>0.006549</t>
  </si>
  <si>
    <t>0.007197</t>
  </si>
  <si>
    <t>0.007907</t>
  </si>
  <si>
    <t>0.008694</t>
  </si>
  <si>
    <t>0.009572</t>
  </si>
  <si>
    <t>0.010554</t>
  </si>
  <si>
    <t>0.011653</t>
  </si>
  <si>
    <t>0.012886</t>
  </si>
  <si>
    <t>0.01427</t>
  </si>
  <si>
    <t>0.015825</t>
  </si>
  <si>
    <t>0.017577</t>
  </si>
  <si>
    <t>0.019555</t>
  </si>
  <si>
    <t>0.021789</t>
  </si>
  <si>
    <t>0.024315</t>
  </si>
  <si>
    <t>0.027176</t>
  </si>
  <si>
    <t>0.030419</t>
  </si>
  <si>
    <t>0.034101</t>
  </si>
  <si>
    <t>0.038286</t>
  </si>
  <si>
    <t>0.043044</t>
  </si>
  <si>
    <t>0.048457</t>
  </si>
  <si>
    <t>0.054613</t>
  </si>
  <si>
    <t>0.061611</t>
  </si>
  <si>
    <t>0.069553</t>
  </si>
  <si>
    <t>0.07855</t>
  </si>
  <si>
    <t>0.088723</t>
  </si>
  <si>
    <t>0.100207</t>
  </si>
  <si>
    <t>0.112848</t>
  </si>
  <si>
    <t>0.126555</t>
  </si>
  <si>
    <t>0.141281</t>
  </si>
  <si>
    <t>0.157007</t>
  </si>
  <si>
    <t>0.173736</t>
  </si>
  <si>
    <t>0.191477</t>
  </si>
  <si>
    <t>0.210235</t>
  </si>
  <si>
    <t>0.229998</t>
  </si>
  <si>
    <t>0.250723</t>
  </si>
  <si>
    <t>0.270858</t>
  </si>
  <si>
    <t>0.29104</t>
  </si>
  <si>
    <t>0.311444</t>
  </si>
  <si>
    <t>0.3319</t>
  </si>
  <si>
    <t>0.352232</t>
  </si>
  <si>
    <t>0.372273</t>
  </si>
  <si>
    <t>0.39186</t>
  </si>
  <si>
    <t>0.410849</t>
  </si>
  <si>
    <t>0.429112</t>
  </si>
  <si>
    <t>0.446544</t>
  </si>
  <si>
    <t>0.463061</t>
  </si>
  <si>
    <t>0.478604</t>
  </si>
  <si>
    <t>0.493137</t>
  </si>
  <si>
    <t>A indicator</t>
  </si>
  <si>
    <t>B indicator</t>
  </si>
  <si>
    <t>No. of existing members</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</si>
</sst>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0.0%"/>
    <numFmt numFmtId="167" formatCode="_(* #,##0.0000_);_(* \(#,##0.0000\);_(* &quot;-&quot;??_);_(@_)"/>
    <numFmt numFmtId="168" formatCode="_-* #,##0.00_-;\-* #,##0.00_-;_-* &quot;-&quot;??_-;_-@_-"/>
    <numFmt numFmtId="169" formatCode="_(* #,##0.00_);_(* \(#,##0.00\);_(* &quot;-&quot;????_);_(@_)"/>
    <numFmt numFmtId="178" formatCode="0.0000%"/>
    <numFmt numFmtId="181" formatCode="0.000000"/>
  </numFmts>
  <fonts count="35" x14ac:knownFonts="1">
    <font>
      <sz val="11"/>
      <color theme="1"/>
      <name val="Calibri"/>
      <family val="2"/>
      <scheme val="minor"/>
    </font>
    <font>
      <sz val="11"/>
      <color theme="1"/>
      <name val="Calibri"/>
      <family val="2"/>
      <scheme val="minor"/>
    </font>
    <font>
      <sz val="10"/>
      <color rgb="FFFFFFFF"/>
      <name val="Century Gothic"/>
      <family val="2"/>
    </font>
    <font>
      <sz val="10"/>
      <color rgb="FF000000"/>
      <name val="Century Gothic"/>
      <family val="2"/>
    </font>
    <font>
      <sz val="10"/>
      <color theme="1"/>
      <name val="Century Gothic"/>
      <family val="2"/>
    </font>
    <font>
      <sz val="10"/>
      <name val="Arial"/>
    </font>
    <font>
      <sz val="10"/>
      <name val="Century Gothic"/>
      <family val="2"/>
    </font>
    <font>
      <b/>
      <sz val="10"/>
      <name val="Century Gothic"/>
      <family val="2"/>
    </font>
    <font>
      <sz val="10"/>
      <color indexed="81"/>
      <name val="Tahoma"/>
      <family val="2"/>
    </font>
    <font>
      <vertAlign val="subscript"/>
      <sz val="10"/>
      <color indexed="81"/>
      <name val="Tahoma"/>
      <family val="2"/>
    </font>
    <font>
      <sz val="11"/>
      <color theme="1"/>
      <name val="Century Gothic"/>
      <family val="2"/>
    </font>
    <font>
      <b/>
      <i/>
      <sz val="10"/>
      <color theme="1"/>
      <name val="Century Gothic"/>
      <family val="2"/>
    </font>
    <font>
      <b/>
      <sz val="10"/>
      <color theme="1"/>
      <name val="Century Gothic"/>
      <family val="2"/>
    </font>
    <font>
      <i/>
      <sz val="10"/>
      <color theme="1"/>
      <name val="Century Gothic"/>
      <family val="2"/>
    </font>
    <font>
      <b/>
      <i/>
      <sz val="10"/>
      <name val="Century Gothic"/>
      <family val="2"/>
    </font>
    <font>
      <b/>
      <u/>
      <sz val="10"/>
      <color rgb="FFC00000"/>
      <name val="Century Gothic"/>
      <family val="2"/>
    </font>
    <font>
      <i/>
      <sz val="10"/>
      <color theme="0" tint="-0.499984740745262"/>
      <name val="Century Gothic"/>
      <family val="2"/>
    </font>
    <font>
      <b/>
      <i/>
      <u/>
      <sz val="10"/>
      <color rgb="FFC00000"/>
      <name val="Century Gothic"/>
      <family val="2"/>
    </font>
    <font>
      <u/>
      <sz val="10"/>
      <color theme="1"/>
      <name val="Century Gothic"/>
      <family val="2"/>
    </font>
    <font>
      <sz val="10"/>
      <color theme="0" tint="-0.499984740745262"/>
      <name val="Century Gothic"/>
      <family val="2"/>
    </font>
    <font>
      <sz val="10"/>
      <color theme="0"/>
      <name val="Century Gothic"/>
      <family val="2"/>
    </font>
    <font>
      <vertAlign val="subscript"/>
      <sz val="10"/>
      <color theme="0"/>
      <name val="Century Gothic"/>
      <family val="2"/>
    </font>
    <font>
      <vertAlign val="superscript"/>
      <sz val="10"/>
      <color theme="0"/>
      <name val="Century Gothic"/>
      <family val="2"/>
    </font>
    <font>
      <sz val="11"/>
      <color theme="0"/>
      <name val="Century Gothic"/>
      <family val="2"/>
    </font>
    <font>
      <i/>
      <sz val="10"/>
      <color rgb="FF0070C0"/>
      <name val="Century Gothic"/>
      <family val="2"/>
    </font>
    <font>
      <sz val="10"/>
      <color rgb="FFFF0000"/>
      <name val="Century Gothic"/>
      <family val="2"/>
    </font>
    <font>
      <b/>
      <sz val="10"/>
      <color rgb="FFC00000"/>
      <name val="Century Gothic"/>
      <family val="2"/>
    </font>
    <font>
      <b/>
      <sz val="10"/>
      <color indexed="81"/>
      <name val="Tahoma"/>
      <family val="2"/>
    </font>
    <font>
      <b/>
      <i/>
      <sz val="11"/>
      <color theme="1"/>
      <name val="Century Gothic"/>
      <family val="2"/>
    </font>
    <font>
      <b/>
      <sz val="11"/>
      <color theme="1"/>
      <name val="Century Gothic"/>
      <family val="2"/>
    </font>
    <font>
      <i/>
      <sz val="11"/>
      <color theme="1"/>
      <name val="Century Gothic"/>
      <family val="2"/>
    </font>
    <font>
      <vertAlign val="superscript"/>
      <sz val="10"/>
      <color indexed="81"/>
      <name val="Tahoma"/>
      <family val="2"/>
    </font>
    <font>
      <sz val="11"/>
      <color rgb="FFC00000"/>
      <name val="Century Gothic"/>
      <family val="2"/>
    </font>
    <font>
      <i/>
      <sz val="10"/>
      <name val="Century Gothic"/>
      <family val="2"/>
    </font>
    <font>
      <sz val="10"/>
      <name val="Arial"/>
      <family val="2"/>
    </font>
  </fonts>
  <fills count="16">
    <fill>
      <patternFill patternType="none"/>
    </fill>
    <fill>
      <patternFill patternType="gray125"/>
    </fill>
    <fill>
      <patternFill patternType="solid">
        <fgColor rgb="FF00206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249977111117893"/>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499984740745262"/>
        <bgColor indexed="64"/>
      </patternFill>
    </fill>
    <fill>
      <patternFill patternType="solid">
        <fgColor theme="0" tint="-0.249977111117893"/>
        <bgColor indexed="64"/>
      </patternFill>
    </fill>
    <fill>
      <patternFill patternType="solid">
        <fgColor rgb="FFF2A9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6" tint="0.79998168889431442"/>
        <bgColor indexed="64"/>
      </patternFill>
    </fill>
  </fills>
  <borders count="36">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right style="thin">
        <color indexed="64"/>
      </right>
      <top style="medium">
        <color indexed="64"/>
      </top>
      <bottom/>
      <diagonal/>
    </border>
    <border>
      <left/>
      <right style="medium">
        <color indexed="64"/>
      </right>
      <top style="medium">
        <color indexed="64"/>
      </top>
      <bottom/>
      <diagonal/>
    </border>
    <border>
      <left/>
      <right style="thin">
        <color indexed="64"/>
      </right>
      <top/>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indexed="64"/>
      </top>
      <bottom/>
      <diagonal/>
    </border>
  </borders>
  <cellStyleXfs count="8">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5" fillId="0" borderId="0"/>
    <xf numFmtId="168" fontId="5" fillId="0" borderId="0" applyFont="0" applyFill="0" applyBorder="0" applyAlignment="0" applyProtection="0"/>
    <xf numFmtId="9" fontId="5" fillId="0" borderId="0" applyFont="0" applyFill="0" applyBorder="0" applyAlignment="0" applyProtection="0"/>
    <xf numFmtId="0" fontId="34" fillId="0" borderId="0">
      <alignment vertical="center"/>
    </xf>
  </cellStyleXfs>
  <cellXfs count="159">
    <xf numFmtId="0" fontId="0" fillId="0" borderId="0" xfId="0"/>
    <xf numFmtId="0" fontId="2" fillId="2" borderId="0" xfId="0" applyFont="1" applyFill="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3" fontId="3" fillId="0" borderId="2" xfId="0" applyNumberFormat="1"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3" fontId="3" fillId="0" borderId="4" xfId="0" applyNumberFormat="1" applyFont="1" applyBorder="1" applyAlignment="1">
      <alignment horizontal="center" vertical="center"/>
    </xf>
    <xf numFmtId="0" fontId="2" fillId="5" borderId="0" xfId="0" applyFont="1" applyFill="1" applyAlignment="1">
      <alignment horizontal="center" vertical="center" wrapText="1"/>
    </xf>
    <xf numFmtId="0" fontId="3" fillId="0" borderId="11" xfId="0" applyFont="1" applyBorder="1" applyAlignment="1">
      <alignment horizontal="center" vertical="center"/>
    </xf>
    <xf numFmtId="0" fontId="3" fillId="0" borderId="12" xfId="0" applyFont="1" applyBorder="1" applyAlignment="1">
      <alignment horizontal="center" vertical="center"/>
    </xf>
    <xf numFmtId="0" fontId="2" fillId="5" borderId="8" xfId="0" applyFont="1" applyFill="1" applyBorder="1" applyAlignment="1">
      <alignment horizontal="center" vertical="center" wrapText="1"/>
    </xf>
    <xf numFmtId="0" fontId="2" fillId="5" borderId="13" xfId="0" applyFont="1" applyFill="1" applyBorder="1" applyAlignment="1">
      <alignment horizontal="center" vertical="center" wrapText="1"/>
    </xf>
    <xf numFmtId="0" fontId="4" fillId="0" borderId="0" xfId="0" applyFont="1"/>
    <xf numFmtId="0" fontId="6" fillId="0" borderId="0" xfId="4" applyFont="1"/>
    <xf numFmtId="0" fontId="7" fillId="0" borderId="0" xfId="4" applyFont="1"/>
    <xf numFmtId="0" fontId="6" fillId="10" borderId="0" xfId="4" applyFont="1" applyFill="1"/>
    <xf numFmtId="0" fontId="10" fillId="0" borderId="0" xfId="0" applyFont="1"/>
    <xf numFmtId="0" fontId="12" fillId="6" borderId="31" xfId="0" applyFont="1" applyFill="1" applyBorder="1" applyAlignment="1">
      <alignment horizontal="center" vertical="center"/>
    </xf>
    <xf numFmtId="0" fontId="11" fillId="7" borderId="0" xfId="0" applyFont="1" applyFill="1" applyAlignment="1">
      <alignment horizontal="right" vertical="center"/>
    </xf>
    <xf numFmtId="0" fontId="13" fillId="7" borderId="0" xfId="0" applyFont="1" applyFill="1" applyAlignment="1">
      <alignment horizontal="right"/>
    </xf>
    <xf numFmtId="0" fontId="14" fillId="12" borderId="0" xfId="0" applyFont="1" applyFill="1" applyAlignment="1">
      <alignment horizontal="centerContinuous"/>
    </xf>
    <xf numFmtId="0" fontId="6" fillId="12" borderId="0" xfId="0" applyFont="1" applyFill="1" applyAlignment="1">
      <alignment horizontal="centerContinuous"/>
    </xf>
    <xf numFmtId="0" fontId="12" fillId="6" borderId="3" xfId="0" applyFont="1" applyFill="1" applyBorder="1" applyAlignment="1">
      <alignment horizontal="center" vertical="center"/>
    </xf>
    <xf numFmtId="0" fontId="11" fillId="11" borderId="16" xfId="0" applyFont="1" applyFill="1" applyBorder="1" applyAlignment="1">
      <alignment horizontal="right" vertical="center"/>
    </xf>
    <xf numFmtId="0" fontId="13" fillId="11" borderId="19" xfId="0" applyFont="1" applyFill="1" applyBorder="1" applyAlignment="1">
      <alignment horizontal="right" vertical="center"/>
    </xf>
    <xf numFmtId="0" fontId="12" fillId="0" borderId="16" xfId="0" applyFont="1" applyBorder="1" applyAlignment="1">
      <alignment horizontal="center" vertical="center"/>
    </xf>
    <xf numFmtId="0" fontId="12" fillId="0" borderId="27" xfId="0" applyFont="1" applyBorder="1" applyAlignment="1">
      <alignment horizontal="center" vertical="center"/>
    </xf>
    <xf numFmtId="0" fontId="12" fillId="0" borderId="18" xfId="0" applyFont="1" applyBorder="1" applyAlignment="1">
      <alignment horizontal="center" vertical="center"/>
    </xf>
    <xf numFmtId="0" fontId="12" fillId="0" borderId="25" xfId="0" applyFont="1" applyBorder="1" applyAlignment="1">
      <alignment horizontal="center" vertical="center"/>
    </xf>
    <xf numFmtId="0" fontId="12" fillId="0" borderId="19" xfId="0" applyFont="1" applyBorder="1" applyAlignment="1">
      <alignment horizontal="center" vertical="center"/>
    </xf>
    <xf numFmtId="0" fontId="11" fillId="11" borderId="17" xfId="0" applyFont="1" applyFill="1" applyBorder="1" applyAlignment="1">
      <alignment horizontal="right" vertical="center"/>
    </xf>
    <xf numFmtId="0" fontId="13" fillId="11" borderId="21" xfId="0" applyFont="1" applyFill="1" applyBorder="1" applyAlignment="1">
      <alignment vertical="center"/>
    </xf>
    <xf numFmtId="164" fontId="4" fillId="0" borderId="17" xfId="1" applyNumberFormat="1" applyFont="1" applyBorder="1" applyAlignment="1">
      <alignment horizontal="center" vertical="center"/>
    </xf>
    <xf numFmtId="164" fontId="4" fillId="0" borderId="0" xfId="1" applyNumberFormat="1" applyFont="1" applyBorder="1" applyAlignment="1">
      <alignment horizontal="center" vertical="center"/>
    </xf>
    <xf numFmtId="164" fontId="4" fillId="0" borderId="20" xfId="1" applyNumberFormat="1" applyFont="1" applyBorder="1" applyAlignment="1">
      <alignment horizontal="center" vertical="center"/>
    </xf>
    <xf numFmtId="164" fontId="4" fillId="0" borderId="6" xfId="1" applyNumberFormat="1" applyFont="1" applyBorder="1" applyAlignment="1">
      <alignment horizontal="center" vertical="center"/>
    </xf>
    <xf numFmtId="164" fontId="4" fillId="0" borderId="21" xfId="1" applyNumberFormat="1" applyFont="1" applyBorder="1" applyAlignment="1">
      <alignment horizontal="center" vertical="center"/>
    </xf>
    <xf numFmtId="164" fontId="13" fillId="11" borderId="21" xfId="1" applyNumberFormat="1" applyFont="1" applyFill="1" applyBorder="1" applyAlignment="1">
      <alignment vertical="center"/>
    </xf>
    <xf numFmtId="9" fontId="13" fillId="7" borderId="0" xfId="3" applyFont="1" applyFill="1" applyAlignment="1">
      <alignment horizontal="right"/>
    </xf>
    <xf numFmtId="165" fontId="13" fillId="7" borderId="0" xfId="2" applyNumberFormat="1" applyFont="1" applyFill="1" applyAlignment="1">
      <alignment horizontal="right"/>
    </xf>
    <xf numFmtId="0" fontId="11" fillId="11" borderId="30" xfId="0" applyFont="1" applyFill="1" applyBorder="1" applyAlignment="1">
      <alignment horizontal="right" vertical="center"/>
    </xf>
    <xf numFmtId="164" fontId="13" fillId="11" borderId="4" xfId="1" applyNumberFormat="1" applyFont="1" applyFill="1" applyBorder="1" applyAlignment="1">
      <alignment horizontal="right" vertical="center"/>
    </xf>
    <xf numFmtId="0" fontId="11" fillId="9" borderId="22" xfId="0" applyFont="1" applyFill="1" applyBorder="1" applyAlignment="1">
      <alignment horizontal="right" vertical="center" wrapText="1"/>
    </xf>
    <xf numFmtId="0" fontId="11" fillId="9" borderId="5" xfId="0" applyFont="1" applyFill="1" applyBorder="1" applyAlignment="1">
      <alignment horizontal="right" vertical="center" wrapText="1"/>
    </xf>
    <xf numFmtId="0" fontId="11" fillId="9" borderId="10" xfId="0" applyFont="1" applyFill="1" applyBorder="1" applyAlignment="1">
      <alignment horizontal="right" vertical="center" wrapText="1"/>
    </xf>
    <xf numFmtId="0" fontId="11" fillId="9" borderId="23" xfId="0" applyFont="1" applyFill="1" applyBorder="1" applyAlignment="1">
      <alignment horizontal="right" vertical="center" wrapText="1"/>
    </xf>
    <xf numFmtId="10" fontId="13" fillId="7" borderId="0" xfId="3" applyNumberFormat="1" applyFont="1" applyFill="1" applyAlignment="1">
      <alignment horizontal="right"/>
    </xf>
    <xf numFmtId="0" fontId="11" fillId="4" borderId="34" xfId="1" applyNumberFormat="1" applyFont="1" applyFill="1" applyBorder="1" applyAlignment="1">
      <alignment horizontal="right"/>
    </xf>
    <xf numFmtId="0" fontId="11" fillId="4" borderId="15" xfId="0" applyFont="1" applyFill="1" applyBorder="1" applyAlignment="1">
      <alignment horizontal="center"/>
    </xf>
    <xf numFmtId="0" fontId="4" fillId="0" borderId="0" xfId="0" applyFont="1" applyBorder="1"/>
    <xf numFmtId="0" fontId="4" fillId="0" borderId="21" xfId="0" applyFont="1" applyBorder="1"/>
    <xf numFmtId="0" fontId="11" fillId="4" borderId="28" xfId="1" applyNumberFormat="1" applyFont="1" applyFill="1" applyBorder="1" applyAlignment="1">
      <alignment horizontal="right"/>
    </xf>
    <xf numFmtId="164" fontId="4" fillId="4" borderId="26" xfId="1" applyNumberFormat="1" applyFont="1" applyFill="1" applyBorder="1"/>
    <xf numFmtId="0" fontId="11" fillId="4" borderId="29" xfId="3" applyNumberFormat="1" applyFont="1" applyFill="1" applyBorder="1" applyAlignment="1">
      <alignment horizontal="right"/>
    </xf>
    <xf numFmtId="10" fontId="15" fillId="4" borderId="24" xfId="3" applyNumberFormat="1" applyFont="1" applyFill="1" applyBorder="1"/>
    <xf numFmtId="0" fontId="4" fillId="0" borderId="12" xfId="0" applyFont="1" applyBorder="1"/>
    <xf numFmtId="0" fontId="4" fillId="0" borderId="4" xfId="0" applyFont="1" applyBorder="1"/>
    <xf numFmtId="0" fontId="4" fillId="0" borderId="0" xfId="0" applyFont="1" applyAlignment="1"/>
    <xf numFmtId="0" fontId="11" fillId="9" borderId="0" xfId="0" applyFont="1" applyFill="1" applyAlignment="1">
      <alignment horizontal="center" vertical="center" wrapText="1"/>
    </xf>
    <xf numFmtId="0" fontId="4" fillId="0" borderId="0" xfId="0" applyFont="1" applyAlignment="1">
      <alignment horizontal="center"/>
    </xf>
    <xf numFmtId="0" fontId="4" fillId="7" borderId="0" xfId="0" applyFont="1" applyFill="1" applyAlignment="1">
      <alignment horizontal="center" vertical="center"/>
    </xf>
    <xf numFmtId="9" fontId="4" fillId="7" borderId="0" xfId="3" applyFont="1" applyFill="1" applyAlignment="1">
      <alignment horizontal="center" vertical="center"/>
    </xf>
    <xf numFmtId="3" fontId="4" fillId="7" borderId="0" xfId="0" applyNumberFormat="1" applyFont="1" applyFill="1" applyAlignment="1">
      <alignment horizontal="center" vertical="center"/>
    </xf>
    <xf numFmtId="166" fontId="4" fillId="7" borderId="0" xfId="3" applyNumberFormat="1" applyFont="1" applyFill="1" applyAlignment="1">
      <alignment horizontal="center" vertical="center"/>
    </xf>
    <xf numFmtId="166" fontId="4" fillId="0" borderId="0" xfId="3" applyNumberFormat="1" applyFont="1" applyAlignment="1">
      <alignment horizontal="center" vertical="center"/>
    </xf>
    <xf numFmtId="10" fontId="4" fillId="0" borderId="0" xfId="3" applyNumberFormat="1" applyFont="1" applyAlignment="1">
      <alignment horizontal="center" vertical="center"/>
    </xf>
    <xf numFmtId="43" fontId="4" fillId="0" borderId="0" xfId="1" applyNumberFormat="1" applyFont="1" applyAlignment="1">
      <alignment horizontal="center" vertical="center"/>
    </xf>
    <xf numFmtId="43" fontId="4" fillId="0" borderId="0" xfId="1" applyFont="1" applyAlignment="1">
      <alignment horizontal="center" vertical="center"/>
    </xf>
    <xf numFmtId="43" fontId="4" fillId="0" borderId="0" xfId="0" applyNumberFormat="1" applyFont="1" applyAlignment="1">
      <alignment horizontal="center" vertical="center"/>
    </xf>
    <xf numFmtId="43" fontId="4" fillId="0" borderId="0" xfId="3" applyNumberFormat="1" applyFont="1"/>
    <xf numFmtId="43" fontId="4" fillId="0" borderId="0" xfId="0" applyNumberFormat="1" applyFont="1"/>
    <xf numFmtId="164" fontId="16" fillId="0" borderId="0" xfId="0" applyNumberFormat="1" applyFont="1" applyAlignment="1">
      <alignment horizontal="center" vertical="center"/>
    </xf>
    <xf numFmtId="43" fontId="16" fillId="0" borderId="0" xfId="0" applyNumberFormat="1" applyFont="1"/>
    <xf numFmtId="0" fontId="4" fillId="0" borderId="0" xfId="0" applyFont="1" applyAlignment="1">
      <alignment horizontal="center" vertical="center"/>
    </xf>
    <xf numFmtId="9" fontId="4" fillId="0" borderId="0" xfId="3" applyFont="1" applyAlignment="1">
      <alignment horizontal="center" vertical="center"/>
    </xf>
    <xf numFmtId="3" fontId="4" fillId="0" borderId="0" xfId="0" applyNumberFormat="1" applyFont="1" applyAlignment="1">
      <alignment horizontal="center" vertical="center"/>
    </xf>
    <xf numFmtId="164" fontId="4" fillId="0" borderId="0" xfId="1" applyNumberFormat="1" applyFont="1"/>
    <xf numFmtId="9" fontId="4" fillId="0" borderId="0" xfId="3" applyFont="1"/>
    <xf numFmtId="166" fontId="4" fillId="0" borderId="6" xfId="0" applyNumberFormat="1" applyFont="1" applyBorder="1"/>
    <xf numFmtId="166" fontId="4" fillId="0" borderId="14" xfId="3" applyNumberFormat="1" applyFont="1" applyBorder="1"/>
    <xf numFmtId="166" fontId="4" fillId="0" borderId="6" xfId="3" applyNumberFormat="1" applyFont="1" applyBorder="1"/>
    <xf numFmtId="166" fontId="4" fillId="0" borderId="14" xfId="0" applyNumberFormat="1" applyFont="1" applyBorder="1"/>
    <xf numFmtId="166" fontId="4" fillId="0" borderId="7" xfId="3" applyNumberFormat="1" applyFont="1" applyBorder="1"/>
    <xf numFmtId="166" fontId="4" fillId="0" borderId="15" xfId="0" applyNumberFormat="1" applyFont="1" applyBorder="1"/>
    <xf numFmtId="0" fontId="4" fillId="0" borderId="10" xfId="0" applyFont="1" applyBorder="1"/>
    <xf numFmtId="0" fontId="13" fillId="11" borderId="27" xfId="0" applyFont="1" applyFill="1" applyBorder="1" applyAlignment="1">
      <alignment horizontal="right" vertical="center"/>
    </xf>
    <xf numFmtId="0" fontId="13" fillId="11" borderId="0" xfId="0" applyFont="1" applyFill="1" applyBorder="1" applyAlignment="1">
      <alignment vertical="center"/>
    </xf>
    <xf numFmtId="164" fontId="13" fillId="11" borderId="0" xfId="1" applyNumberFormat="1" applyFont="1" applyFill="1" applyBorder="1" applyAlignment="1">
      <alignment vertical="center"/>
    </xf>
    <xf numFmtId="164" fontId="13" fillId="11" borderId="12" xfId="1" applyNumberFormat="1" applyFont="1" applyFill="1" applyBorder="1" applyAlignment="1">
      <alignment horizontal="right" vertical="center"/>
    </xf>
    <xf numFmtId="0" fontId="11" fillId="4" borderId="32" xfId="3" applyNumberFormat="1" applyFont="1" applyFill="1" applyBorder="1" applyAlignment="1">
      <alignment horizontal="right"/>
    </xf>
    <xf numFmtId="10" fontId="17" fillId="4" borderId="30" xfId="3" applyNumberFormat="1" applyFont="1" applyFill="1" applyBorder="1" applyAlignment="1">
      <alignment horizontal="right"/>
    </xf>
    <xf numFmtId="10" fontId="11" fillId="4" borderId="12" xfId="3" applyNumberFormat="1" applyFont="1" applyFill="1" applyBorder="1" applyAlignment="1">
      <alignment horizontal="right"/>
    </xf>
    <xf numFmtId="10" fontId="11" fillId="4" borderId="33" xfId="3" applyNumberFormat="1" applyFont="1" applyFill="1" applyBorder="1" applyAlignment="1">
      <alignment horizontal="right"/>
    </xf>
    <xf numFmtId="10" fontId="17" fillId="4" borderId="12" xfId="3" applyNumberFormat="1" applyFont="1" applyFill="1" applyBorder="1" applyAlignment="1">
      <alignment horizontal="right"/>
    </xf>
    <xf numFmtId="10" fontId="11" fillId="4" borderId="4" xfId="3" applyNumberFormat="1" applyFont="1" applyFill="1" applyBorder="1" applyAlignment="1">
      <alignment horizontal="right"/>
    </xf>
    <xf numFmtId="0" fontId="18" fillId="0" borderId="0" xfId="0" applyFont="1"/>
    <xf numFmtId="43" fontId="4" fillId="0" borderId="0" xfId="1" applyFont="1"/>
    <xf numFmtId="0" fontId="19" fillId="0" borderId="0" xfId="0" applyFont="1"/>
    <xf numFmtId="10" fontId="16" fillId="0" borderId="0" xfId="3" applyNumberFormat="1" applyFont="1"/>
    <xf numFmtId="10" fontId="16" fillId="0" borderId="0" xfId="0" applyNumberFormat="1" applyFont="1"/>
    <xf numFmtId="0" fontId="20" fillId="13" borderId="0" xfId="0" applyFont="1" applyFill="1" applyAlignment="1">
      <alignment horizontal="center" vertical="center" wrapText="1"/>
    </xf>
    <xf numFmtId="0" fontId="20" fillId="8" borderId="0" xfId="0" applyFont="1" applyFill="1" applyAlignment="1">
      <alignment horizontal="center" vertical="center" wrapText="1"/>
    </xf>
    <xf numFmtId="0" fontId="12" fillId="0" borderId="0" xfId="0" applyFont="1"/>
    <xf numFmtId="0" fontId="24" fillId="0" borderId="0" xfId="0" applyFont="1" applyAlignment="1">
      <alignment horizontal="center" vertical="center" wrapText="1"/>
    </xf>
    <xf numFmtId="167" fontId="4" fillId="7" borderId="0" xfId="1" applyNumberFormat="1" applyFont="1" applyFill="1" applyAlignment="1">
      <alignment horizontal="center" vertical="center"/>
    </xf>
    <xf numFmtId="167" fontId="4" fillId="0" borderId="0" xfId="1" applyNumberFormat="1" applyFont="1" applyAlignment="1">
      <alignment horizontal="center" vertical="center"/>
    </xf>
    <xf numFmtId="9" fontId="4" fillId="3" borderId="0" xfId="0" applyNumberFormat="1" applyFont="1" applyFill="1"/>
    <xf numFmtId="0" fontId="25" fillId="0" borderId="0" xfId="0" applyFont="1"/>
    <xf numFmtId="0" fontId="26" fillId="0" borderId="0" xfId="0" applyFont="1"/>
    <xf numFmtId="9" fontId="4" fillId="3" borderId="0" xfId="3" applyFont="1" applyFill="1"/>
    <xf numFmtId="0" fontId="4" fillId="0" borderId="0" xfId="0" applyFont="1" applyAlignment="1">
      <alignment horizontal="right"/>
    </xf>
    <xf numFmtId="0" fontId="28" fillId="0" borderId="0" xfId="0" applyFont="1"/>
    <xf numFmtId="0" fontId="29" fillId="0" borderId="0" xfId="0" applyFont="1"/>
    <xf numFmtId="0" fontId="30" fillId="0" borderId="0" xfId="0" applyFont="1"/>
    <xf numFmtId="0" fontId="7" fillId="14" borderId="0" xfId="0" applyFont="1" applyFill="1" applyAlignment="1">
      <alignment horizontal="center" vertical="center" wrapText="1"/>
    </xf>
    <xf numFmtId="169" fontId="10" fillId="0" borderId="0" xfId="0" applyNumberFormat="1" applyFont="1"/>
    <xf numFmtId="43" fontId="10" fillId="0" borderId="0" xfId="0" applyNumberFormat="1" applyFont="1"/>
    <xf numFmtId="43" fontId="29" fillId="0" borderId="0" xfId="0" applyNumberFormat="1" applyFont="1"/>
    <xf numFmtId="0" fontId="10" fillId="0" borderId="0" xfId="0" quotePrefix="1" applyFont="1" applyAlignment="1">
      <alignment horizontal="center"/>
    </xf>
    <xf numFmtId="0" fontId="10" fillId="0" borderId="0" xfId="0" applyFont="1" applyAlignment="1">
      <alignment horizontal="center" vertical="center"/>
    </xf>
    <xf numFmtId="43" fontId="12" fillId="0" borderId="0" xfId="0" applyNumberFormat="1" applyFont="1"/>
    <xf numFmtId="0" fontId="26" fillId="7" borderId="0" xfId="0" applyFont="1" applyFill="1" applyAlignment="1">
      <alignment horizontal="center" vertical="center"/>
    </xf>
    <xf numFmtId="0" fontId="12" fillId="7" borderId="0" xfId="0" applyFont="1" applyFill="1" applyAlignment="1">
      <alignment horizontal="center" vertical="center"/>
    </xf>
    <xf numFmtId="0" fontId="11" fillId="11" borderId="17" xfId="0" applyFont="1" applyFill="1" applyBorder="1" applyAlignment="1">
      <alignment horizontal="right" vertical="center" wrapText="1"/>
    </xf>
    <xf numFmtId="0" fontId="13" fillId="7" borderId="0" xfId="0" applyFont="1" applyFill="1" applyAlignment="1">
      <alignment horizontal="right" vertical="center"/>
    </xf>
    <xf numFmtId="9" fontId="13" fillId="7" borderId="0" xfId="3" applyFont="1" applyFill="1" applyAlignment="1">
      <alignment horizontal="right" vertical="center"/>
    </xf>
    <xf numFmtId="165" fontId="13" fillId="7" borderId="0" xfId="2" applyNumberFormat="1" applyFont="1" applyFill="1" applyAlignment="1">
      <alignment horizontal="right" vertical="center"/>
    </xf>
    <xf numFmtId="10" fontId="13" fillId="7" borderId="0" xfId="3" applyNumberFormat="1" applyFont="1" applyFill="1" applyAlignment="1">
      <alignment horizontal="right" vertical="center"/>
    </xf>
    <xf numFmtId="0" fontId="30" fillId="0" borderId="0" xfId="0" applyFont="1" applyAlignment="1">
      <alignment horizontal="center"/>
    </xf>
    <xf numFmtId="43" fontId="28" fillId="4" borderId="0" xfId="0" applyNumberFormat="1" applyFont="1" applyFill="1"/>
    <xf numFmtId="43" fontId="0" fillId="0" borderId="0" xfId="0" applyNumberFormat="1"/>
    <xf numFmtId="164" fontId="4" fillId="0" borderId="0" xfId="0" applyNumberFormat="1" applyFont="1"/>
    <xf numFmtId="164" fontId="4" fillId="0" borderId="0" xfId="0" applyNumberFormat="1" applyFont="1" applyAlignment="1">
      <alignment horizontal="center" vertical="center"/>
    </xf>
    <xf numFmtId="169" fontId="32" fillId="0" borderId="35" xfId="0" applyNumberFormat="1" applyFont="1" applyBorder="1"/>
    <xf numFmtId="169" fontId="32" fillId="12" borderId="35" xfId="0" applyNumberFormat="1" applyFont="1" applyFill="1" applyBorder="1"/>
    <xf numFmtId="169" fontId="10" fillId="0" borderId="0" xfId="0" applyNumberFormat="1" applyFont="1" applyBorder="1"/>
    <xf numFmtId="169" fontId="10" fillId="12" borderId="0" xfId="0" applyNumberFormat="1" applyFont="1" applyFill="1" applyBorder="1"/>
    <xf numFmtId="169" fontId="10" fillId="0" borderId="6" xfId="0" applyNumberFormat="1" applyFont="1" applyBorder="1"/>
    <xf numFmtId="169" fontId="10" fillId="12" borderId="6" xfId="0" applyNumberFormat="1" applyFont="1" applyFill="1" applyBorder="1"/>
    <xf numFmtId="0" fontId="10" fillId="12" borderId="0" xfId="0" applyFont="1" applyFill="1" applyAlignment="1">
      <alignment horizontal="center" vertical="center"/>
    </xf>
    <xf numFmtId="169" fontId="32" fillId="12" borderId="8" xfId="0" applyNumberFormat="1" applyFont="1" applyFill="1" applyBorder="1"/>
    <xf numFmtId="0" fontId="33" fillId="0" borderId="0" xfId="0" applyFont="1"/>
    <xf numFmtId="10" fontId="11" fillId="0" borderId="26" xfId="0" applyNumberFormat="1" applyFont="1" applyBorder="1" applyAlignment="1">
      <alignment horizontal="center" vertical="center"/>
    </xf>
    <xf numFmtId="10" fontId="4" fillId="3" borderId="0" xfId="0" applyNumberFormat="1" applyFont="1" applyFill="1"/>
    <xf numFmtId="0" fontId="13" fillId="0" borderId="0" xfId="0" applyFont="1"/>
    <xf numFmtId="0" fontId="34" fillId="0" borderId="0" xfId="7">
      <alignment vertical="center"/>
    </xf>
    <xf numFmtId="10" fontId="4" fillId="3" borderId="0" xfId="3" applyNumberFormat="1" applyFont="1" applyFill="1"/>
    <xf numFmtId="178" fontId="4" fillId="3" borderId="0" xfId="3" applyNumberFormat="1" applyFont="1" applyFill="1"/>
    <xf numFmtId="43" fontId="4" fillId="3" borderId="0" xfId="1" applyNumberFormat="1" applyFont="1" applyFill="1"/>
    <xf numFmtId="0" fontId="4" fillId="0" borderId="20" xfId="0" applyFont="1" applyBorder="1"/>
    <xf numFmtId="0" fontId="2" fillId="5" borderId="9" xfId="0" applyFont="1" applyFill="1" applyBorder="1" applyAlignment="1">
      <alignment horizontal="center" vertical="center" wrapText="1"/>
    </xf>
    <xf numFmtId="0" fontId="4" fillId="0" borderId="14" xfId="0" applyFont="1" applyBorder="1"/>
    <xf numFmtId="0" fontId="4" fillId="0" borderId="15" xfId="0" applyFont="1" applyBorder="1"/>
    <xf numFmtId="181" fontId="13" fillId="0" borderId="0" xfId="0" applyNumberFormat="1" applyFont="1"/>
    <xf numFmtId="43" fontId="13" fillId="7" borderId="0" xfId="1" applyNumberFormat="1" applyFont="1" applyFill="1" applyAlignment="1">
      <alignment horizontal="right" vertical="center"/>
    </xf>
    <xf numFmtId="9" fontId="4" fillId="15" borderId="0" xfId="0" applyNumberFormat="1" applyFont="1" applyFill="1"/>
    <xf numFmtId="0" fontId="4" fillId="15" borderId="0" xfId="0" applyFont="1" applyFill="1"/>
    <xf numFmtId="166" fontId="4" fillId="15" borderId="0" xfId="0" applyNumberFormat="1" applyFont="1" applyFill="1"/>
  </cellXfs>
  <cellStyles count="8">
    <cellStyle name="Comma" xfId="1" builtinId="3"/>
    <cellStyle name="Comma 2" xfId="5"/>
    <cellStyle name="Currency" xfId="2" builtinId="4"/>
    <cellStyle name="Normal" xfId="0" builtinId="0"/>
    <cellStyle name="Normal 2" xfId="4"/>
    <cellStyle name="Normal 3" xfId="7"/>
    <cellStyle name="Percent" xfId="3" builtinId="5"/>
    <cellStyle name="Percent 2" xfId="6"/>
  </cellStyles>
  <dxfs count="1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Medium9"/>
  <colors>
    <mruColors>
      <color rgb="FFECA402"/>
      <color rgb="FF43CE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47624</xdr:colOff>
      <xdr:row>13</xdr:row>
      <xdr:rowOff>0</xdr:rowOff>
    </xdr:from>
    <xdr:to>
      <xdr:col>16</xdr:col>
      <xdr:colOff>457200</xdr:colOff>
      <xdr:row>31</xdr:row>
      <xdr:rowOff>171450</xdr:rowOff>
    </xdr:to>
    <xdr:grpSp>
      <xdr:nvGrpSpPr>
        <xdr:cNvPr id="2" name="Group 1"/>
        <xdr:cNvGrpSpPr/>
      </xdr:nvGrpSpPr>
      <xdr:grpSpPr>
        <a:xfrm>
          <a:off x="209549" y="2190750"/>
          <a:ext cx="9553576" cy="3600450"/>
          <a:chOff x="141698" y="3857922"/>
          <a:chExt cx="9027428" cy="2889019"/>
        </a:xfrm>
      </xdr:grpSpPr>
      <xdr:sp macro="" textlink="">
        <xdr:nvSpPr>
          <xdr:cNvPr id="3" name="Rectangle 2"/>
          <xdr:cNvSpPr/>
        </xdr:nvSpPr>
        <xdr:spPr bwMode="auto">
          <a:xfrm>
            <a:off x="735439" y="4370663"/>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k</a:t>
            </a:r>
            <a:endParaRPr lang="en-US" sz="900">
              <a:solidFill>
                <a:schemeClr val="tx1"/>
              </a:solidFill>
              <a:latin typeface="Century Gothic" panose="020B0502020202020204" pitchFamily="34" charset="0"/>
            </a:endParaRPr>
          </a:p>
        </xdr:txBody>
      </xdr:sp>
      <xdr:sp macro="" textlink="">
        <xdr:nvSpPr>
          <xdr:cNvPr id="4" name="Rectangle 3"/>
          <xdr:cNvSpPr/>
        </xdr:nvSpPr>
        <xdr:spPr bwMode="auto">
          <a:xfrm>
            <a:off x="735439" y="478418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sp macro="" textlink="">
        <xdr:nvSpPr>
          <xdr:cNvPr id="5" name="Rectangle 4"/>
          <xdr:cNvSpPr/>
        </xdr:nvSpPr>
        <xdr:spPr bwMode="auto">
          <a:xfrm>
            <a:off x="735439" y="520449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a:t>
            </a:r>
            <a:endParaRPr lang="en-US" sz="900">
              <a:solidFill>
                <a:schemeClr val="tx1"/>
              </a:solidFill>
              <a:latin typeface="Century Gothic" panose="020B0502020202020204" pitchFamily="34" charset="0"/>
            </a:endParaRPr>
          </a:p>
        </xdr:txBody>
      </xdr:sp>
      <xdr:cxnSp macro="">
        <xdr:nvCxnSpPr>
          <xdr:cNvPr id="6" name="Straight Arrow Connector 5"/>
          <xdr:cNvCxnSpPr/>
        </xdr:nvCxnSpPr>
        <xdr:spPr>
          <a:xfrm>
            <a:off x="1347888" y="4937869"/>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7" name="Rectangle 6"/>
          <xdr:cNvSpPr/>
        </xdr:nvSpPr>
        <xdr:spPr bwMode="auto">
          <a:xfrm>
            <a:off x="1797523" y="4784187"/>
            <a:ext cx="372126" cy="312731"/>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SCR</a:t>
            </a:r>
            <a:endParaRPr lang="en-US" sz="900">
              <a:solidFill>
                <a:schemeClr val="tx1"/>
              </a:solidFill>
              <a:latin typeface="Century Gothic" panose="020B0502020202020204" pitchFamily="34" charset="0"/>
            </a:endParaRPr>
          </a:p>
        </xdr:txBody>
      </xdr:sp>
      <xdr:sp macro="" textlink="">
        <xdr:nvSpPr>
          <xdr:cNvPr id="8" name="Rectangle 7"/>
          <xdr:cNvSpPr/>
        </xdr:nvSpPr>
        <xdr:spPr bwMode="auto">
          <a:xfrm>
            <a:off x="1797523" y="520449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9" name="Rectangle 8"/>
          <xdr:cNvSpPr/>
        </xdr:nvSpPr>
        <xdr:spPr bwMode="auto">
          <a:xfrm>
            <a:off x="229464" y="4599945"/>
            <a:ext cx="372126" cy="312731"/>
          </a:xfrm>
          <a:prstGeom prst="rect">
            <a:avLst/>
          </a:prstGeom>
          <a:solidFill>
            <a:srgbClr val="ECA402"/>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10" name="Rectangle 9"/>
          <xdr:cNvSpPr/>
        </xdr:nvSpPr>
        <xdr:spPr bwMode="auto">
          <a:xfrm>
            <a:off x="229464" y="5013469"/>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NRA</a:t>
            </a:r>
            <a:endParaRPr lang="en-US" sz="900">
              <a:solidFill>
                <a:schemeClr val="tx1"/>
              </a:solidFill>
              <a:latin typeface="Century Gothic" panose="020B0502020202020204" pitchFamily="34" charset="0"/>
            </a:endParaRPr>
          </a:p>
        </xdr:txBody>
      </xdr:sp>
      <xdr:sp macro="" textlink="">
        <xdr:nvSpPr>
          <xdr:cNvPr id="11" name="Rectangle 10"/>
          <xdr:cNvSpPr/>
        </xdr:nvSpPr>
        <xdr:spPr bwMode="auto">
          <a:xfrm>
            <a:off x="1797523" y="4363877"/>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cxnSp macro="">
        <xdr:nvCxnSpPr>
          <xdr:cNvPr id="12" name="Straight Arrow Connector 11"/>
          <xdr:cNvCxnSpPr/>
        </xdr:nvCxnSpPr>
        <xdr:spPr>
          <a:xfrm>
            <a:off x="2453593" y="4981827"/>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3" name="Right Brace 12"/>
          <xdr:cNvSpPr/>
        </xdr:nvSpPr>
        <xdr:spPr>
          <a:xfrm>
            <a:off x="2246732" y="4596179"/>
            <a:ext cx="197709" cy="77129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14" name="Rectangle 13"/>
          <xdr:cNvSpPr/>
        </xdr:nvSpPr>
        <xdr:spPr bwMode="auto">
          <a:xfrm>
            <a:off x="2921822" y="4771672"/>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Contribution</a:t>
            </a:r>
            <a:r>
              <a:rPr lang="en-US" sz="900">
                <a:solidFill>
                  <a:schemeClr val="tx1"/>
                </a:solidFill>
                <a:latin typeface="Century Gothic" panose="020B0502020202020204" pitchFamily="34" charset="0"/>
              </a:rPr>
              <a:t> for each member</a:t>
            </a:r>
          </a:p>
        </xdr:txBody>
      </xdr:sp>
      <xdr:sp macro="" textlink="">
        <xdr:nvSpPr>
          <xdr:cNvPr id="15" name="Right Brace 14"/>
          <xdr:cNvSpPr/>
        </xdr:nvSpPr>
        <xdr:spPr>
          <a:xfrm>
            <a:off x="1150179" y="4552221"/>
            <a:ext cx="197709" cy="77129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cxnSp macro="">
        <xdr:nvCxnSpPr>
          <xdr:cNvPr id="16" name="Straight Arrow Connector 15"/>
          <xdr:cNvCxnSpPr/>
        </xdr:nvCxnSpPr>
        <xdr:spPr>
          <a:xfrm>
            <a:off x="3977010" y="5199084"/>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17" name="Right Brace 16"/>
          <xdr:cNvSpPr/>
        </xdr:nvSpPr>
        <xdr:spPr>
          <a:xfrm>
            <a:off x="3779301" y="4953252"/>
            <a:ext cx="197709" cy="491665"/>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18" name="Rectangle 17"/>
          <xdr:cNvSpPr/>
        </xdr:nvSpPr>
        <xdr:spPr bwMode="auto">
          <a:xfrm>
            <a:off x="4454391" y="4988929"/>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Contribution</a:t>
            </a:r>
            <a:r>
              <a:rPr lang="en-US" sz="900">
                <a:solidFill>
                  <a:schemeClr val="tx1"/>
                </a:solidFill>
                <a:latin typeface="Century Gothic" panose="020B0502020202020204" pitchFamily="34" charset="0"/>
              </a:rPr>
              <a:t> for each group</a:t>
            </a:r>
          </a:p>
        </xdr:txBody>
      </xdr:sp>
      <xdr:sp macro="" textlink="">
        <xdr:nvSpPr>
          <xdr:cNvPr id="19" name="Rectangle 18"/>
          <xdr:cNvSpPr/>
        </xdr:nvSpPr>
        <xdr:spPr bwMode="auto">
          <a:xfrm>
            <a:off x="3330589" y="5803509"/>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sp macro="" textlink="">
        <xdr:nvSpPr>
          <xdr:cNvPr id="20" name="Rectangle 19"/>
          <xdr:cNvSpPr/>
        </xdr:nvSpPr>
        <xdr:spPr bwMode="auto">
          <a:xfrm>
            <a:off x="3330589" y="6255718"/>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endParaRPr lang="en-US" sz="900">
              <a:solidFill>
                <a:schemeClr val="tx1"/>
              </a:solidFill>
              <a:latin typeface="Century Gothic" panose="020B0502020202020204" pitchFamily="34" charset="0"/>
            </a:endParaRPr>
          </a:p>
        </xdr:txBody>
      </xdr:sp>
      <xdr:cxnSp macro="">
        <xdr:nvCxnSpPr>
          <xdr:cNvPr id="21" name="Straight Arrow Connector 20"/>
          <xdr:cNvCxnSpPr/>
        </xdr:nvCxnSpPr>
        <xdr:spPr>
          <a:xfrm>
            <a:off x="7875586" y="5571209"/>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2" name="Right Brace 21"/>
          <xdr:cNvSpPr/>
        </xdr:nvSpPr>
        <xdr:spPr>
          <a:xfrm>
            <a:off x="7677877" y="5185676"/>
            <a:ext cx="197709" cy="77106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23" name="Rectangle 22"/>
          <xdr:cNvSpPr/>
        </xdr:nvSpPr>
        <xdr:spPr bwMode="auto">
          <a:xfrm>
            <a:off x="4454391" y="5749719"/>
            <a:ext cx="791983" cy="420310"/>
          </a:xfrm>
          <a:prstGeom prst="rect">
            <a:avLst/>
          </a:prstGeom>
          <a:solidFill>
            <a:schemeClr val="accent1">
              <a:lumMod val="20000"/>
              <a:lumOff val="80000"/>
            </a:schemeClr>
          </a:solidFill>
          <a:ln w="12700">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Salary </a:t>
            </a:r>
            <a:r>
              <a:rPr lang="en-US" sz="900">
                <a:solidFill>
                  <a:schemeClr val="tx1"/>
                </a:solidFill>
                <a:latin typeface="Century Gothic" panose="020B0502020202020204" pitchFamily="34" charset="0"/>
              </a:rPr>
              <a:t>for each group</a:t>
            </a:r>
          </a:p>
        </xdr:txBody>
      </xdr:sp>
      <xdr:sp macro="" textlink="">
        <xdr:nvSpPr>
          <xdr:cNvPr id="24" name="Rectangle 23"/>
          <xdr:cNvSpPr/>
        </xdr:nvSpPr>
        <xdr:spPr bwMode="auto">
          <a:xfrm>
            <a:off x="3330589" y="5351300"/>
            <a:ext cx="372126" cy="312731"/>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a:t>
            </a:r>
            <a:r>
              <a:rPr lang="en-US" sz="900" b="1" baseline="-25000">
                <a:solidFill>
                  <a:schemeClr val="tx1"/>
                </a:solidFill>
                <a:latin typeface="Century Gothic" panose="020B0502020202020204" pitchFamily="34" charset="0"/>
              </a:rPr>
              <a:t>x</a:t>
            </a:r>
            <a:endParaRPr lang="en-US" sz="900">
              <a:solidFill>
                <a:schemeClr val="tx1"/>
              </a:solidFill>
              <a:latin typeface="Century Gothic" panose="020B0502020202020204" pitchFamily="34" charset="0"/>
            </a:endParaRPr>
          </a:p>
        </xdr:txBody>
      </xdr:sp>
      <xdr:cxnSp macro="">
        <xdr:nvCxnSpPr>
          <xdr:cNvPr id="25" name="Straight Arrow Connector 24"/>
          <xdr:cNvCxnSpPr/>
        </xdr:nvCxnSpPr>
        <xdr:spPr>
          <a:xfrm>
            <a:off x="5442500" y="5191982"/>
            <a:ext cx="1266772"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6" name="TextBox 11"/>
          <xdr:cNvSpPr txBox="1"/>
        </xdr:nvSpPr>
        <xdr:spPr>
          <a:xfrm>
            <a:off x="5377185" y="4937380"/>
            <a:ext cx="1400667" cy="18764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1" i="1">
                <a:latin typeface="Century Gothic" panose="020B0502020202020204" pitchFamily="34" charset="0"/>
              </a:rPr>
              <a:t>Sum across all groups</a:t>
            </a:r>
          </a:p>
        </xdr:txBody>
      </xdr:sp>
      <xdr:cxnSp macro="">
        <xdr:nvCxnSpPr>
          <xdr:cNvPr id="27" name="Straight Arrow Connector 26"/>
          <xdr:cNvCxnSpPr/>
        </xdr:nvCxnSpPr>
        <xdr:spPr>
          <a:xfrm>
            <a:off x="5442500" y="5959874"/>
            <a:ext cx="1266772"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28" name="TextBox 88"/>
          <xdr:cNvSpPr txBox="1"/>
        </xdr:nvSpPr>
        <xdr:spPr>
          <a:xfrm>
            <a:off x="5377185" y="5705272"/>
            <a:ext cx="1400667" cy="18764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900" b="1" i="1">
                <a:latin typeface="Century Gothic" panose="020B0502020202020204" pitchFamily="34" charset="0"/>
              </a:rPr>
              <a:t>Sum across all groups</a:t>
            </a:r>
          </a:p>
        </xdr:txBody>
      </xdr:sp>
      <xdr:sp macro="" textlink="">
        <xdr:nvSpPr>
          <xdr:cNvPr id="29" name="Rectangle 28"/>
          <xdr:cNvSpPr/>
        </xdr:nvSpPr>
        <xdr:spPr bwMode="auto">
          <a:xfrm>
            <a:off x="6812088" y="4889856"/>
            <a:ext cx="791983" cy="604252"/>
          </a:xfrm>
          <a:prstGeom prst="rect">
            <a:avLst/>
          </a:prstGeom>
          <a:solidFill>
            <a:schemeClr val="accent1">
              <a:lumMod val="20000"/>
              <a:lumOff val="8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Contribution</a:t>
            </a:r>
            <a:r>
              <a:rPr lang="en-US" sz="900">
                <a:solidFill>
                  <a:schemeClr val="tx1"/>
                </a:solidFill>
                <a:latin typeface="Century Gothic" panose="020B0502020202020204" pitchFamily="34" charset="0"/>
              </a:rPr>
              <a:t> for all members</a:t>
            </a:r>
          </a:p>
        </xdr:txBody>
      </xdr:sp>
      <xdr:sp macro="" textlink="">
        <xdr:nvSpPr>
          <xdr:cNvPr id="30" name="Rectangle 29"/>
          <xdr:cNvSpPr/>
        </xdr:nvSpPr>
        <xdr:spPr bwMode="auto">
          <a:xfrm>
            <a:off x="6812088" y="5649826"/>
            <a:ext cx="791983" cy="605892"/>
          </a:xfrm>
          <a:prstGeom prst="rect">
            <a:avLst/>
          </a:prstGeom>
          <a:solidFill>
            <a:schemeClr val="accent1">
              <a:lumMod val="20000"/>
              <a:lumOff val="80000"/>
            </a:schemeClr>
          </a:solidFill>
          <a:ln>
            <a:solidFill>
              <a:schemeClr val="accent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Total Salary </a:t>
            </a:r>
            <a:r>
              <a:rPr lang="en-US" sz="900">
                <a:solidFill>
                  <a:schemeClr val="tx1"/>
                </a:solidFill>
                <a:latin typeface="Century Gothic" panose="020B0502020202020204" pitchFamily="34" charset="0"/>
              </a:rPr>
              <a:t>for all members</a:t>
            </a:r>
          </a:p>
        </xdr:txBody>
      </xdr:sp>
      <xdr:sp macro="" textlink="">
        <xdr:nvSpPr>
          <xdr:cNvPr id="31" name="Rectangle 30"/>
          <xdr:cNvSpPr/>
        </xdr:nvSpPr>
        <xdr:spPr bwMode="auto">
          <a:xfrm>
            <a:off x="8377143" y="5268263"/>
            <a:ext cx="791983" cy="605892"/>
          </a:xfrm>
          <a:prstGeom prst="rect">
            <a:avLst/>
          </a:prstGeom>
          <a:solidFill>
            <a:schemeClr val="accent3">
              <a:lumMod val="20000"/>
              <a:lumOff val="80000"/>
            </a:schemeClr>
          </a:solidFill>
          <a:ln>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Initial Contribution Rate</a:t>
            </a:r>
            <a:endParaRPr lang="en-US" sz="900">
              <a:solidFill>
                <a:schemeClr val="tx1"/>
              </a:solidFill>
              <a:latin typeface="Century Gothic" panose="020B0502020202020204" pitchFamily="34" charset="0"/>
            </a:endParaRPr>
          </a:p>
        </xdr:txBody>
      </xdr:sp>
      <xdr:cxnSp macro="">
        <xdr:nvCxnSpPr>
          <xdr:cNvPr id="32" name="Straight Arrow Connector 31"/>
          <xdr:cNvCxnSpPr/>
        </xdr:nvCxnSpPr>
        <xdr:spPr>
          <a:xfrm>
            <a:off x="3993506" y="5956742"/>
            <a:ext cx="400795" cy="0"/>
          </a:xfrm>
          <a:prstGeom prst="straightConnector1">
            <a:avLst/>
          </a:prstGeom>
          <a:ln w="12700">
            <a:solidFill>
              <a:schemeClr val="tx1"/>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
        <xdr:nvSpPr>
          <xdr:cNvPr id="33" name="Right Brace 32"/>
          <xdr:cNvSpPr/>
        </xdr:nvSpPr>
        <xdr:spPr>
          <a:xfrm>
            <a:off x="3795797" y="5571209"/>
            <a:ext cx="197709" cy="771066"/>
          </a:xfrm>
          <a:prstGeom prst="rightBrace">
            <a:avLst>
              <a:gd name="adj1" fmla="val 37500"/>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US"/>
          </a:p>
        </xdr:txBody>
      </xdr:sp>
      <xdr:sp macro="" textlink="">
        <xdr:nvSpPr>
          <xdr:cNvPr id="34" name="Rectangle 33"/>
          <xdr:cNvSpPr/>
        </xdr:nvSpPr>
        <xdr:spPr bwMode="auto">
          <a:xfrm>
            <a:off x="145431" y="4262159"/>
            <a:ext cx="5231754" cy="2484782"/>
          </a:xfrm>
          <a:prstGeom prst="rect">
            <a:avLst/>
          </a:prstGeom>
          <a:noFill/>
          <a:ln w="19050">
            <a:solidFill>
              <a:schemeClr val="tx1"/>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35" name="Rectangle 34"/>
          <xdr:cNvSpPr/>
        </xdr:nvSpPr>
        <xdr:spPr>
          <a:xfrm>
            <a:off x="141698" y="3857922"/>
            <a:ext cx="5235487" cy="349353"/>
          </a:xfrm>
          <a:prstGeom prst="rect">
            <a:avLst/>
          </a:prstGeom>
          <a:solidFill>
            <a:srgbClr val="ECA402"/>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100" b="1" i="1">
                <a:latin typeface="Century Gothic" panose="020B0502020202020204" pitchFamily="34" charset="0"/>
              </a:rPr>
              <a:t>Run the calculation for each group X</a:t>
            </a:r>
          </a:p>
        </xdr:txBody>
      </xdr:sp>
    </xdr:grpSp>
    <xdr:clientData/>
  </xdr:twoCellAnchor>
  <xdr:twoCellAnchor>
    <xdr:from>
      <xdr:col>1</xdr:col>
      <xdr:colOff>19050</xdr:colOff>
      <xdr:row>3</xdr:row>
      <xdr:rowOff>85725</xdr:rowOff>
    </xdr:from>
    <xdr:to>
      <xdr:col>16</xdr:col>
      <xdr:colOff>470675</xdr:colOff>
      <xdr:row>9</xdr:row>
      <xdr:rowOff>87920</xdr:rowOff>
    </xdr:to>
    <xdr:grpSp>
      <xdr:nvGrpSpPr>
        <xdr:cNvPr id="36" name="Group 35"/>
        <xdr:cNvGrpSpPr/>
      </xdr:nvGrpSpPr>
      <xdr:grpSpPr>
        <a:xfrm>
          <a:off x="180975" y="561975"/>
          <a:ext cx="9595625" cy="1049945"/>
          <a:chOff x="141698" y="147342"/>
          <a:chExt cx="9595625" cy="1126145"/>
        </a:xfrm>
      </xdr:grpSpPr>
      <xdr:sp macro="" textlink="">
        <xdr:nvSpPr>
          <xdr:cNvPr id="37" name="Rectangle 36"/>
          <xdr:cNvSpPr/>
        </xdr:nvSpPr>
        <xdr:spPr bwMode="auto">
          <a:xfrm>
            <a:off x="141698" y="147342"/>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Financial Assumptions</a:t>
            </a:r>
          </a:p>
        </xdr:txBody>
      </xdr:sp>
      <xdr:sp macro="" textlink="">
        <xdr:nvSpPr>
          <xdr:cNvPr id="38" name="Rectangle 37"/>
          <xdr:cNvSpPr/>
        </xdr:nvSpPr>
        <xdr:spPr bwMode="auto">
          <a:xfrm>
            <a:off x="1310099" y="2189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e</a:t>
            </a:r>
            <a:r>
              <a:rPr lang="en-US" sz="900">
                <a:solidFill>
                  <a:schemeClr val="tx1"/>
                </a:solidFill>
                <a:latin typeface="Century Gothic" panose="020B0502020202020204" pitchFamily="34" charset="0"/>
              </a:rPr>
              <a:t>: Salary inflation</a:t>
            </a:r>
          </a:p>
        </xdr:txBody>
      </xdr:sp>
      <xdr:sp macro="" textlink="">
        <xdr:nvSpPr>
          <xdr:cNvPr id="39" name="Rectangle 38"/>
          <xdr:cNvSpPr/>
        </xdr:nvSpPr>
        <xdr:spPr bwMode="auto">
          <a:xfrm>
            <a:off x="1310098" y="714920"/>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i</a:t>
            </a:r>
            <a:r>
              <a:rPr lang="en-US" sz="900">
                <a:solidFill>
                  <a:schemeClr val="tx1"/>
                </a:solidFill>
                <a:latin typeface="Century Gothic" panose="020B0502020202020204" pitchFamily="34" charset="0"/>
              </a:rPr>
              <a:t>: Investment rate</a:t>
            </a:r>
          </a:p>
        </xdr:txBody>
      </xdr:sp>
      <xdr:sp macro="" textlink="">
        <xdr:nvSpPr>
          <xdr:cNvPr id="40" name="Rectangle 39"/>
          <xdr:cNvSpPr/>
        </xdr:nvSpPr>
        <xdr:spPr bwMode="auto">
          <a:xfrm>
            <a:off x="2797711" y="15635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Demographic Assumptions</a:t>
            </a:r>
          </a:p>
        </xdr:txBody>
      </xdr:sp>
      <xdr:sp macro="" textlink="">
        <xdr:nvSpPr>
          <xdr:cNvPr id="41" name="Rectangle 40"/>
          <xdr:cNvSpPr/>
        </xdr:nvSpPr>
        <xdr:spPr bwMode="auto">
          <a:xfrm>
            <a:off x="5014392" y="2411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S</a:t>
            </a:r>
            <a:r>
              <a:rPr lang="en-US" sz="900" b="1" baseline="-25000">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Pensionable salary</a:t>
            </a:r>
          </a:p>
        </xdr:txBody>
      </xdr:sp>
      <xdr:sp macro="" textlink="">
        <xdr:nvSpPr>
          <xdr:cNvPr id="42" name="Rectangle 41"/>
          <xdr:cNvSpPr/>
        </xdr:nvSpPr>
        <xdr:spPr bwMode="auto">
          <a:xfrm>
            <a:off x="3941241" y="241103"/>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Current age</a:t>
            </a:r>
          </a:p>
        </xdr:txBody>
      </xdr:sp>
      <xdr:sp macro="" textlink="">
        <xdr:nvSpPr>
          <xdr:cNvPr id="43" name="Rectangle 42"/>
          <xdr:cNvSpPr/>
        </xdr:nvSpPr>
        <xdr:spPr bwMode="auto">
          <a:xfrm>
            <a:off x="7599899" y="225108"/>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k</a:t>
            </a:r>
            <a:r>
              <a:rPr lang="en-US" sz="900">
                <a:solidFill>
                  <a:schemeClr val="tx1"/>
                </a:solidFill>
                <a:latin typeface="Century Gothic" panose="020B0502020202020204" pitchFamily="34" charset="0"/>
              </a:rPr>
              <a:t>: Accrual rate</a:t>
            </a:r>
          </a:p>
        </xdr:txBody>
      </xdr:sp>
      <xdr:sp macro="" textlink="">
        <xdr:nvSpPr>
          <xdr:cNvPr id="44" name="Rectangle 43"/>
          <xdr:cNvSpPr/>
        </xdr:nvSpPr>
        <xdr:spPr bwMode="auto">
          <a:xfrm>
            <a:off x="3941240" y="752105"/>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NRA</a:t>
            </a:r>
            <a:r>
              <a:rPr lang="en-US" sz="900">
                <a:solidFill>
                  <a:schemeClr val="tx1"/>
                </a:solidFill>
                <a:latin typeface="Century Gothic" panose="020B0502020202020204" pitchFamily="34" charset="0"/>
              </a:rPr>
              <a:t>: Normal retirement age</a:t>
            </a:r>
          </a:p>
        </xdr:txBody>
      </xdr:sp>
      <xdr:sp macro="" textlink="">
        <xdr:nvSpPr>
          <xdr:cNvPr id="45" name="Rectangle 44"/>
          <xdr:cNvSpPr/>
        </xdr:nvSpPr>
        <xdr:spPr bwMode="auto">
          <a:xfrm>
            <a:off x="1214850" y="147342"/>
            <a:ext cx="1184274"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6" name="Rectangle 45"/>
          <xdr:cNvSpPr/>
        </xdr:nvSpPr>
        <xdr:spPr bwMode="auto">
          <a:xfrm>
            <a:off x="3870862" y="156353"/>
            <a:ext cx="2207801"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7" name="Rectangle 46"/>
          <xdr:cNvSpPr/>
        </xdr:nvSpPr>
        <xdr:spPr bwMode="auto">
          <a:xfrm>
            <a:off x="7529522" y="147342"/>
            <a:ext cx="2207801" cy="1117134"/>
          </a:xfrm>
          <a:prstGeom prst="rect">
            <a:avLst/>
          </a:prstGeom>
          <a:noFill/>
          <a:ln w="12700">
            <a:solidFill>
              <a:schemeClr val="accent2">
                <a:lumMod val="75000"/>
              </a:schemeClr>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endParaRPr lang="en-US" sz="900">
              <a:solidFill>
                <a:schemeClr val="tx1"/>
              </a:solidFill>
              <a:latin typeface="Century Gothic" panose="020B0502020202020204" pitchFamily="34" charset="0"/>
            </a:endParaRPr>
          </a:p>
        </xdr:txBody>
      </xdr:sp>
      <xdr:sp macro="" textlink="">
        <xdr:nvSpPr>
          <xdr:cNvPr id="48" name="Rectangle 47"/>
          <xdr:cNvSpPr/>
        </xdr:nvSpPr>
        <xdr:spPr bwMode="auto">
          <a:xfrm>
            <a:off x="6456371" y="147342"/>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45720" rIns="4572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Other Inputs</a:t>
            </a:r>
          </a:p>
        </xdr:txBody>
      </xdr:sp>
      <xdr:sp macro="" textlink="">
        <xdr:nvSpPr>
          <xdr:cNvPr id="49" name="Rectangle 48"/>
          <xdr:cNvSpPr/>
        </xdr:nvSpPr>
        <xdr:spPr bwMode="auto">
          <a:xfrm>
            <a:off x="7599899" y="744792"/>
            <a:ext cx="2054346"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N</a:t>
            </a:r>
            <a:r>
              <a:rPr lang="en-US" sz="900" b="1" baseline="-25000">
                <a:solidFill>
                  <a:schemeClr val="tx1"/>
                </a:solidFill>
                <a:latin typeface="Century Gothic" panose="020B0502020202020204" pitchFamily="34" charset="0"/>
              </a:rPr>
              <a:t>x</a:t>
            </a:r>
            <a:r>
              <a:rPr lang="en-US" sz="900">
                <a:solidFill>
                  <a:schemeClr val="tx1"/>
                </a:solidFill>
                <a:latin typeface="Century Gothic" panose="020B0502020202020204" pitchFamily="34" charset="0"/>
              </a:rPr>
              <a:t>: Number of employees for each group</a:t>
            </a:r>
          </a:p>
        </xdr:txBody>
      </xdr:sp>
      <xdr:sp macro="" textlink="">
        <xdr:nvSpPr>
          <xdr:cNvPr id="50" name="Rectangle 49"/>
          <xdr:cNvSpPr/>
        </xdr:nvSpPr>
        <xdr:spPr bwMode="auto">
          <a:xfrm>
            <a:off x="8673052" y="225108"/>
            <a:ext cx="981193" cy="426872"/>
          </a:xfrm>
          <a:prstGeom prst="rect">
            <a:avLst/>
          </a:prstGeom>
          <a:solidFill>
            <a:schemeClr val="accent2">
              <a:lumMod val="20000"/>
              <a:lumOff val="80000"/>
            </a:schemeClr>
          </a:solidFill>
          <a:ln w="127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defRPr/>
            </a:pPr>
            <a:r>
              <a:rPr lang="en-US" sz="900" b="1">
                <a:solidFill>
                  <a:schemeClr val="tx1"/>
                </a:solidFill>
                <a:latin typeface="Century Gothic" panose="020B0502020202020204" pitchFamily="34" charset="0"/>
              </a:rPr>
              <a:t>Group: </a:t>
            </a:r>
            <a:r>
              <a:rPr lang="en-US" sz="900">
                <a:solidFill>
                  <a:schemeClr val="tx1"/>
                </a:solidFill>
                <a:latin typeface="Century Gothic" panose="020B0502020202020204" pitchFamily="34" charset="0"/>
              </a:rPr>
              <a:t>30, 40, 45, 50, 55</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showGridLines="0" workbookViewId="0"/>
  </sheetViews>
  <sheetFormatPr defaultRowHeight="15" x14ac:dyDescent="0.25"/>
  <sheetData>
    <row r="1" spans="1:2" x14ac:dyDescent="0.25">
      <c r="A1" s="13"/>
      <c r="B1" s="13"/>
    </row>
    <row r="2" spans="1:2" x14ac:dyDescent="0.25">
      <c r="A2" s="13"/>
      <c r="B2" s="13"/>
    </row>
    <row r="3" spans="1:2" x14ac:dyDescent="0.25">
      <c r="A3" s="13"/>
      <c r="B3" s="13"/>
    </row>
    <row r="4" spans="1:2" x14ac:dyDescent="0.25">
      <c r="A4" s="13"/>
      <c r="B4" s="13"/>
    </row>
    <row r="5" spans="1:2" x14ac:dyDescent="0.25">
      <c r="A5" s="13"/>
      <c r="B5" s="13"/>
    </row>
    <row r="6" spans="1:2" x14ac:dyDescent="0.25">
      <c r="A6" s="13"/>
      <c r="B6" s="13"/>
    </row>
    <row r="7" spans="1:2" x14ac:dyDescent="0.25">
      <c r="A7" s="13"/>
      <c r="B7" s="13"/>
    </row>
    <row r="8" spans="1:2" x14ac:dyDescent="0.25">
      <c r="A8" s="13"/>
      <c r="B8" s="13"/>
    </row>
    <row r="9" spans="1:2" x14ac:dyDescent="0.25">
      <c r="A9" s="15" t="s">
        <v>32</v>
      </c>
      <c r="B9" s="14"/>
    </row>
    <row r="10" spans="1:2" x14ac:dyDescent="0.25">
      <c r="A10" s="16" t="s">
        <v>30</v>
      </c>
      <c r="B10" s="14" t="s">
        <v>33</v>
      </c>
    </row>
    <row r="11" spans="1:2" x14ac:dyDescent="0.25">
      <c r="A11" s="16" t="s">
        <v>34</v>
      </c>
      <c r="B11" s="14" t="s">
        <v>35</v>
      </c>
    </row>
    <row r="12" spans="1:2" x14ac:dyDescent="0.25">
      <c r="A12" s="16" t="s">
        <v>36</v>
      </c>
      <c r="B12" s="14" t="s">
        <v>37</v>
      </c>
    </row>
    <row r="13" spans="1:2" x14ac:dyDescent="0.25">
      <c r="A13" s="16" t="s">
        <v>38</v>
      </c>
      <c r="B13" s="14" t="s">
        <v>39</v>
      </c>
    </row>
    <row r="14" spans="1:2" x14ac:dyDescent="0.25">
      <c r="A14" s="13"/>
      <c r="B14" s="13"/>
    </row>
    <row r="15" spans="1:2" x14ac:dyDescent="0.25">
      <c r="A15" s="15" t="s">
        <v>40</v>
      </c>
      <c r="B15" s="1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59999389629810485"/>
  </sheetPr>
  <dimension ref="A1:P36"/>
  <sheetViews>
    <sheetView showGridLines="0" tabSelected="1" zoomScale="85" zoomScaleNormal="85" workbookViewId="0"/>
  </sheetViews>
  <sheetFormatPr defaultRowHeight="16.5" x14ac:dyDescent="0.3"/>
  <cols>
    <col min="1" max="1" width="2.85546875" style="17" customWidth="1"/>
    <col min="2" max="2" width="23.7109375" style="17" customWidth="1"/>
    <col min="3" max="6" width="9.28515625" style="17" customWidth="1"/>
    <col min="7" max="7" width="11.140625" style="17" customWidth="1"/>
    <col min="8" max="9" width="16.85546875" style="17" customWidth="1"/>
    <col min="10" max="16384" width="9.140625" style="17"/>
  </cols>
  <sheetData>
    <row r="1" spans="1:16" x14ac:dyDescent="0.3">
      <c r="A1" s="113" t="s">
        <v>30</v>
      </c>
      <c r="C1" s="13"/>
      <c r="D1" s="13"/>
      <c r="E1" s="13"/>
      <c r="F1" s="13"/>
      <c r="G1" s="13"/>
      <c r="H1" s="13"/>
      <c r="I1" s="13"/>
      <c r="J1" s="13"/>
      <c r="K1" s="13"/>
      <c r="L1" s="13"/>
      <c r="M1" s="13"/>
      <c r="N1" s="13"/>
      <c r="O1" s="13"/>
      <c r="P1" s="13"/>
    </row>
    <row r="2" spans="1:16" x14ac:dyDescent="0.3">
      <c r="B2" s="103" t="s">
        <v>7</v>
      </c>
      <c r="C2" s="13"/>
      <c r="D2" s="13"/>
      <c r="E2" s="13"/>
      <c r="F2" s="13"/>
      <c r="G2" s="13"/>
      <c r="H2" s="13"/>
      <c r="I2" s="13"/>
      <c r="J2" s="13"/>
      <c r="K2" s="13"/>
      <c r="L2" s="13"/>
      <c r="M2" s="13"/>
      <c r="N2" s="13"/>
      <c r="O2" s="13"/>
      <c r="P2" s="13"/>
    </row>
    <row r="3" spans="1:16" x14ac:dyDescent="0.3">
      <c r="B3" s="111" t="s">
        <v>8</v>
      </c>
      <c r="C3" s="156">
        <v>0.1</v>
      </c>
      <c r="E3" s="13"/>
      <c r="F3" s="13"/>
      <c r="G3" s="13"/>
      <c r="H3" s="13"/>
      <c r="I3" s="13"/>
      <c r="J3" s="13"/>
      <c r="K3" s="13"/>
      <c r="L3" s="13"/>
      <c r="M3" s="13"/>
      <c r="N3" s="13"/>
      <c r="O3" s="13"/>
      <c r="P3" s="13"/>
    </row>
    <row r="4" spans="1:16" x14ac:dyDescent="0.3">
      <c r="B4" s="111" t="s">
        <v>9</v>
      </c>
      <c r="C4" s="156">
        <v>0.05</v>
      </c>
      <c r="E4" s="13"/>
      <c r="F4" s="13"/>
      <c r="G4" s="13"/>
      <c r="H4" s="13"/>
      <c r="I4" s="13"/>
      <c r="J4" s="13"/>
      <c r="K4" s="13"/>
      <c r="L4" s="13"/>
      <c r="M4" s="13"/>
      <c r="N4" s="13"/>
      <c r="O4" s="13"/>
      <c r="P4" s="13"/>
    </row>
    <row r="5" spans="1:16" x14ac:dyDescent="0.3">
      <c r="B5" s="13"/>
      <c r="C5" s="13"/>
      <c r="D5" s="13"/>
      <c r="E5" s="13"/>
      <c r="F5" s="13"/>
      <c r="G5" s="13"/>
      <c r="M5" s="13"/>
      <c r="N5" s="13"/>
      <c r="O5" s="13"/>
      <c r="P5" s="13"/>
    </row>
    <row r="6" spans="1:16" x14ac:dyDescent="0.3">
      <c r="B6" s="103" t="s">
        <v>11</v>
      </c>
      <c r="E6" s="13"/>
      <c r="F6" s="13"/>
      <c r="G6" s="13"/>
      <c r="M6" s="13"/>
      <c r="N6" s="13"/>
      <c r="O6" s="13"/>
      <c r="P6" s="13"/>
    </row>
    <row r="7" spans="1:16" x14ac:dyDescent="0.3">
      <c r="B7" s="111" t="s">
        <v>8</v>
      </c>
      <c r="C7" s="157">
        <v>50</v>
      </c>
      <c r="E7" s="13"/>
      <c r="F7" s="13"/>
      <c r="G7" s="13"/>
      <c r="M7" s="13"/>
      <c r="N7" s="13"/>
      <c r="O7" s="13"/>
      <c r="P7" s="13"/>
    </row>
    <row r="8" spans="1:16" x14ac:dyDescent="0.3">
      <c r="B8" s="111" t="s">
        <v>9</v>
      </c>
      <c r="C8" s="157">
        <v>60</v>
      </c>
      <c r="D8" s="13"/>
      <c r="E8" s="13"/>
      <c r="F8" s="13"/>
      <c r="G8" s="13"/>
      <c r="M8" s="13"/>
      <c r="N8" s="13"/>
      <c r="O8" s="13"/>
      <c r="P8" s="13"/>
    </row>
    <row r="9" spans="1:16" x14ac:dyDescent="0.3">
      <c r="B9" s="13"/>
      <c r="C9" s="13"/>
      <c r="D9" s="13"/>
      <c r="E9" s="13"/>
      <c r="F9" s="13"/>
      <c r="G9" s="13"/>
      <c r="M9" s="13"/>
      <c r="N9" s="13"/>
      <c r="O9" s="13"/>
      <c r="P9" s="13"/>
    </row>
    <row r="10" spans="1:16" x14ac:dyDescent="0.3">
      <c r="B10" s="103" t="s">
        <v>101</v>
      </c>
      <c r="C10" s="158">
        <v>0.75</v>
      </c>
      <c r="D10" s="13" t="s">
        <v>100</v>
      </c>
      <c r="E10" s="13"/>
      <c r="F10" s="13"/>
      <c r="G10" s="13"/>
      <c r="M10" s="13"/>
      <c r="N10" s="13"/>
      <c r="O10" s="13"/>
      <c r="P10" s="13"/>
    </row>
    <row r="11" spans="1:16" x14ac:dyDescent="0.3">
      <c r="B11" s="103"/>
      <c r="C11" s="13"/>
      <c r="D11" s="13"/>
      <c r="E11" s="13"/>
      <c r="F11" s="13"/>
      <c r="G11" s="13"/>
      <c r="M11" s="13"/>
      <c r="N11" s="13"/>
      <c r="O11" s="13"/>
      <c r="P11" s="13"/>
    </row>
    <row r="12" spans="1:16" x14ac:dyDescent="0.3">
      <c r="B12" s="103" t="s">
        <v>10</v>
      </c>
      <c r="C12" s="107">
        <v>0.05</v>
      </c>
      <c r="D12" s="13" t="s">
        <v>99</v>
      </c>
      <c r="E12" s="13"/>
      <c r="F12" s="13"/>
      <c r="G12" s="103" t="s">
        <v>81</v>
      </c>
      <c r="H12" s="13"/>
      <c r="I12" s="13"/>
      <c r="M12" s="13"/>
      <c r="N12" s="13"/>
      <c r="O12" s="13"/>
      <c r="P12" s="13"/>
    </row>
    <row r="13" spans="1:16" x14ac:dyDescent="0.3">
      <c r="B13" s="13"/>
      <c r="C13" s="13"/>
      <c r="D13" s="13"/>
      <c r="E13" s="13"/>
      <c r="F13" s="13"/>
      <c r="G13" s="111" t="s">
        <v>82</v>
      </c>
      <c r="H13" s="60" t="s">
        <v>83</v>
      </c>
      <c r="I13" s="60" t="s">
        <v>79</v>
      </c>
      <c r="M13" s="13"/>
      <c r="N13" s="13"/>
      <c r="O13" s="13"/>
      <c r="P13" s="13"/>
    </row>
    <row r="14" spans="1:16" x14ac:dyDescent="0.3">
      <c r="B14" s="103" t="s">
        <v>0</v>
      </c>
      <c r="E14" s="13"/>
      <c r="F14" s="13"/>
      <c r="G14" s="13">
        <v>49</v>
      </c>
      <c r="H14" s="147">
        <v>0.2</v>
      </c>
      <c r="I14" s="148">
        <f>('RP-2014-White Collar Male'!B56+'RP-2014-White Collar Female'!B56)/2</f>
        <v>9.5350000000000003E-4</v>
      </c>
      <c r="M14" s="13"/>
      <c r="N14" s="13"/>
      <c r="O14" s="13"/>
      <c r="P14" s="13"/>
    </row>
    <row r="15" spans="1:16" x14ac:dyDescent="0.3">
      <c r="B15" s="111" t="s">
        <v>8</v>
      </c>
      <c r="C15" s="107">
        <v>0.05</v>
      </c>
      <c r="D15" s="13" t="s">
        <v>98</v>
      </c>
      <c r="E15" s="13"/>
      <c r="F15" s="13"/>
      <c r="G15" s="13">
        <f t="shared" ref="G15:G23" si="0">G14+1</f>
        <v>50</v>
      </c>
      <c r="H15" s="147">
        <f>H14</f>
        <v>0.2</v>
      </c>
      <c r="I15" s="148">
        <f>('RP-2014-White Collar Male'!B57+'RP-2014-White Collar Female'!B57)/2</f>
        <v>1.0560000000000001E-3</v>
      </c>
      <c r="M15" s="13"/>
      <c r="N15" s="13"/>
      <c r="O15" s="13"/>
      <c r="P15" s="13"/>
    </row>
    <row r="16" spans="1:16" x14ac:dyDescent="0.3">
      <c r="B16" s="111" t="s">
        <v>9</v>
      </c>
      <c r="C16" s="107">
        <v>0.06</v>
      </c>
      <c r="D16" s="13" t="s">
        <v>98</v>
      </c>
      <c r="E16" s="13"/>
      <c r="F16" s="13"/>
      <c r="G16" s="13">
        <f t="shared" si="0"/>
        <v>51</v>
      </c>
      <c r="H16" s="147">
        <f t="shared" ref="H16:H28" si="1">H15</f>
        <v>0.2</v>
      </c>
      <c r="I16" s="148">
        <f>('RP-2014-White Collar Male'!B58+'RP-2014-White Collar Female'!B58)/2</f>
        <v>1.165E-3</v>
      </c>
      <c r="M16" s="13"/>
      <c r="N16" s="13"/>
      <c r="O16" s="13"/>
      <c r="P16" s="13"/>
    </row>
    <row r="17" spans="2:16" x14ac:dyDescent="0.3">
      <c r="B17" s="103"/>
      <c r="C17" s="13"/>
      <c r="D17" s="13"/>
      <c r="E17" s="13"/>
      <c r="F17" s="13"/>
      <c r="G17" s="13">
        <f t="shared" si="0"/>
        <v>52</v>
      </c>
      <c r="H17" s="147">
        <f t="shared" si="1"/>
        <v>0.2</v>
      </c>
      <c r="I17" s="148">
        <f>('RP-2014-White Collar Male'!B59+'RP-2014-White Collar Female'!B59)/2</f>
        <v>1.2815000000000001E-3</v>
      </c>
      <c r="M17" s="13"/>
      <c r="N17" s="13"/>
      <c r="O17" s="13"/>
      <c r="P17" s="13"/>
    </row>
    <row r="18" spans="2:16" x14ac:dyDescent="0.3">
      <c r="B18" s="103" t="s">
        <v>93</v>
      </c>
      <c r="D18" s="13"/>
      <c r="E18" s="13"/>
      <c r="F18" s="13"/>
      <c r="G18" s="13">
        <f t="shared" si="0"/>
        <v>53</v>
      </c>
      <c r="H18" s="147">
        <f t="shared" si="1"/>
        <v>0.2</v>
      </c>
      <c r="I18" s="148">
        <f>('RP-2014-White Collar Male'!B60+'RP-2014-White Collar Female'!B60)/2</f>
        <v>1.4055000000000001E-3</v>
      </c>
      <c r="M18" s="13"/>
      <c r="N18" s="13"/>
      <c r="O18" s="13"/>
      <c r="P18" s="13"/>
    </row>
    <row r="19" spans="2:16" x14ac:dyDescent="0.3">
      <c r="B19" s="111" t="s">
        <v>8</v>
      </c>
      <c r="C19" s="107">
        <f>withdraw_rate_A</f>
        <v>0.05</v>
      </c>
      <c r="D19" s="13" t="s">
        <v>97</v>
      </c>
      <c r="E19" s="13"/>
      <c r="F19" s="13"/>
      <c r="G19" s="13">
        <f t="shared" si="0"/>
        <v>54</v>
      </c>
      <c r="H19" s="147">
        <f t="shared" si="1"/>
        <v>0.2</v>
      </c>
      <c r="I19" s="148">
        <f>('RP-2014-White Collar Male'!B61+'RP-2014-White Collar Female'!B61)/2</f>
        <v>1.539E-3</v>
      </c>
      <c r="M19" s="13"/>
      <c r="N19" s="13"/>
      <c r="O19" s="13"/>
      <c r="P19" s="13"/>
    </row>
    <row r="20" spans="2:16" x14ac:dyDescent="0.3">
      <c r="B20" s="111" t="s">
        <v>9</v>
      </c>
      <c r="C20" s="107">
        <f>withdraw_rate_B</f>
        <v>0.06</v>
      </c>
      <c r="D20" s="13" t="s">
        <v>97</v>
      </c>
      <c r="E20" s="13"/>
      <c r="F20" s="13"/>
      <c r="G20" s="13">
        <f t="shared" si="0"/>
        <v>55</v>
      </c>
      <c r="H20" s="147">
        <f t="shared" si="1"/>
        <v>0.2</v>
      </c>
      <c r="I20" s="148">
        <f>('RP-2014-White Collar Male'!B62+'RP-2014-White Collar Female'!B62)/2</f>
        <v>1.6835000000000001E-3</v>
      </c>
      <c r="J20" s="13"/>
      <c r="K20" s="13"/>
      <c r="L20" s="13"/>
      <c r="M20" s="13"/>
      <c r="N20" s="13"/>
      <c r="O20" s="13"/>
      <c r="P20" s="13"/>
    </row>
    <row r="21" spans="2:16" x14ac:dyDescent="0.3">
      <c r="B21" s="13"/>
      <c r="C21" s="13"/>
      <c r="D21" s="13"/>
      <c r="E21" s="13"/>
      <c r="F21" s="13"/>
      <c r="G21" s="13">
        <f t="shared" si="0"/>
        <v>56</v>
      </c>
      <c r="H21" s="147">
        <f t="shared" si="1"/>
        <v>0.2</v>
      </c>
      <c r="I21" s="148">
        <f>('RP-2014-White Collar Male'!B63+'RP-2014-White Collar Female'!B63)/2</f>
        <v>1.841E-3</v>
      </c>
      <c r="J21" s="13"/>
      <c r="K21" s="13"/>
      <c r="L21" s="13"/>
      <c r="M21" s="13"/>
      <c r="N21" s="13"/>
      <c r="O21" s="13"/>
      <c r="P21" s="13"/>
    </row>
    <row r="22" spans="2:16" x14ac:dyDescent="0.3">
      <c r="B22" s="103" t="s">
        <v>90</v>
      </c>
      <c r="F22" s="13"/>
      <c r="G22" s="13">
        <f t="shared" si="0"/>
        <v>57</v>
      </c>
      <c r="H22" s="147">
        <f t="shared" si="1"/>
        <v>0.2</v>
      </c>
      <c r="I22" s="148">
        <f>('RP-2014-White Collar Male'!B64+'RP-2014-White Collar Female'!B64)/2</f>
        <v>2.0154999999999999E-3</v>
      </c>
      <c r="J22" s="13"/>
      <c r="K22" s="13"/>
      <c r="L22" s="13"/>
      <c r="M22" s="13"/>
      <c r="N22" s="13"/>
      <c r="O22" s="13"/>
      <c r="P22" s="13"/>
    </row>
    <row r="23" spans="2:16" x14ac:dyDescent="0.3">
      <c r="B23" s="111" t="s">
        <v>8</v>
      </c>
      <c r="C23" s="144">
        <f>'opening demographics'!F12</f>
        <v>3.6484317092170926E-2</v>
      </c>
      <c r="D23" s="108"/>
      <c r="F23" s="13"/>
      <c r="G23" s="13">
        <f t="shared" si="0"/>
        <v>58</v>
      </c>
      <c r="H23" s="147">
        <f t="shared" si="1"/>
        <v>0.2</v>
      </c>
      <c r="I23" s="148">
        <f>('RP-2014-White Collar Male'!B65+'RP-2014-White Collar Female'!B65)/2</f>
        <v>2.2095000000000001E-3</v>
      </c>
      <c r="J23" s="13"/>
      <c r="K23" s="13"/>
      <c r="L23" s="13"/>
      <c r="M23" s="13"/>
      <c r="N23" s="13"/>
      <c r="O23" s="13"/>
      <c r="P23" s="13"/>
    </row>
    <row r="24" spans="2:16" x14ac:dyDescent="0.3">
      <c r="B24" s="111" t="s">
        <v>9</v>
      </c>
      <c r="C24" s="144">
        <f>'opening demographics'!G12</f>
        <v>1.1257768431897297E-2</v>
      </c>
      <c r="D24" s="142"/>
      <c r="E24" s="108"/>
      <c r="F24" s="13"/>
      <c r="G24" s="13">
        <f t="shared" ref="G24:G29" si="2">G23+1</f>
        <v>59</v>
      </c>
      <c r="H24" s="147">
        <f t="shared" si="1"/>
        <v>0.2</v>
      </c>
      <c r="I24" s="148">
        <f>('RP-2014-White Collar Male'!B66+'RP-2014-White Collar Female'!B66)/2</f>
        <v>2.428E-3</v>
      </c>
      <c r="J24" s="13"/>
      <c r="K24" s="13"/>
      <c r="L24" s="13"/>
      <c r="M24" s="13"/>
      <c r="N24" s="13"/>
      <c r="O24" s="13"/>
      <c r="P24" s="13"/>
    </row>
    <row r="25" spans="2:16" x14ac:dyDescent="0.3">
      <c r="B25" s="13"/>
      <c r="C25" s="142"/>
      <c r="D25" s="142"/>
      <c r="E25" s="13"/>
      <c r="F25" s="13"/>
      <c r="G25" s="13">
        <f t="shared" si="2"/>
        <v>60</v>
      </c>
      <c r="H25" s="147">
        <f t="shared" si="1"/>
        <v>0.2</v>
      </c>
      <c r="I25" s="148">
        <f>('RP-2014-White Collar Male'!B67+'RP-2014-White Collar Female'!B67)/2</f>
        <v>2.6740000000000002E-3</v>
      </c>
      <c r="J25" s="13"/>
      <c r="K25" s="13"/>
      <c r="L25" s="13"/>
      <c r="M25" s="13"/>
      <c r="N25" s="13"/>
      <c r="O25" s="13"/>
      <c r="P25" s="13"/>
    </row>
    <row r="26" spans="2:16" x14ac:dyDescent="0.3">
      <c r="B26" s="103" t="s">
        <v>89</v>
      </c>
      <c r="C26" s="145" t="s">
        <v>102</v>
      </c>
      <c r="D26" s="145"/>
      <c r="E26" s="13"/>
      <c r="F26" s="13"/>
      <c r="G26" s="13">
        <f t="shared" si="2"/>
        <v>61</v>
      </c>
      <c r="H26" s="147">
        <f t="shared" si="1"/>
        <v>0.2</v>
      </c>
      <c r="I26" s="148">
        <f>('RP-2014-White Collar Male'!B68+'RP-2014-White Collar Female'!B68)/2</f>
        <v>2.9519999999999998E-3</v>
      </c>
      <c r="J26" s="13"/>
      <c r="K26" s="13"/>
      <c r="L26" s="13"/>
      <c r="M26" s="13"/>
      <c r="N26" s="13"/>
      <c r="O26" s="13"/>
      <c r="P26" s="13"/>
    </row>
    <row r="27" spans="2:16" x14ac:dyDescent="0.3">
      <c r="B27" s="111" t="s">
        <v>8</v>
      </c>
      <c r="C27" s="149">
        <f>SUMPRODUCT('opening demographics'!B2:B11,'opening demographics'!C2:C11,'opening demographics'!H2:H11)/SUMPRODUCT('opening demographics'!C2:C11,'opening demographics'!H2:H11)</f>
        <v>43.5</v>
      </c>
      <c r="D27" s="154"/>
      <c r="E27" s="13"/>
      <c r="F27" s="13"/>
      <c r="G27" s="13">
        <f t="shared" si="2"/>
        <v>62</v>
      </c>
      <c r="H27" s="147">
        <f t="shared" si="1"/>
        <v>0.2</v>
      </c>
      <c r="I27" s="148">
        <f>('RP-2014-White Collar Male'!B69+'RP-2014-White Collar Female'!B69)/2</f>
        <v>3.2654999999999997E-3</v>
      </c>
      <c r="J27" s="13"/>
      <c r="K27" s="13"/>
      <c r="L27" s="13"/>
      <c r="M27" s="13"/>
      <c r="N27" s="13"/>
      <c r="O27" s="13"/>
      <c r="P27" s="13"/>
    </row>
    <row r="28" spans="2:16" x14ac:dyDescent="0.3">
      <c r="B28" s="111" t="s">
        <v>9</v>
      </c>
      <c r="C28" s="149">
        <f>SUMPRODUCT('opening demographics'!B2:B11,'opening demographics'!C2:C11,'opening demographics'!I2:I11)/SUMPRODUCT('opening demographics'!C2:C11,'opening demographics'!I2:I11)</f>
        <v>41.833333333333336</v>
      </c>
      <c r="D28" s="145"/>
      <c r="E28" s="13"/>
      <c r="F28" s="13"/>
      <c r="G28" s="13">
        <f t="shared" si="2"/>
        <v>63</v>
      </c>
      <c r="H28" s="147">
        <f t="shared" si="1"/>
        <v>0.2</v>
      </c>
      <c r="I28" s="148">
        <f>('RP-2014-White Collar Male'!B70+'RP-2014-White Collar Female'!B70)/2</f>
        <v>3.6194999999999999E-3</v>
      </c>
      <c r="J28" s="13"/>
      <c r="K28" s="13"/>
      <c r="L28" s="13"/>
      <c r="M28" s="13"/>
      <c r="N28" s="13"/>
      <c r="O28" s="13"/>
      <c r="P28" s="13"/>
    </row>
    <row r="29" spans="2:16" x14ac:dyDescent="0.3">
      <c r="B29" s="13"/>
      <c r="C29" s="13"/>
      <c r="D29" s="13"/>
      <c r="E29" s="13"/>
      <c r="F29" s="13"/>
      <c r="G29" s="13">
        <f t="shared" si="2"/>
        <v>64</v>
      </c>
      <c r="H29" s="147">
        <v>1</v>
      </c>
      <c r="I29" s="110"/>
      <c r="J29" s="13"/>
      <c r="K29" s="13"/>
      <c r="L29" s="13"/>
      <c r="M29" s="13"/>
      <c r="N29" s="13"/>
      <c r="O29" s="13"/>
      <c r="P29" s="13"/>
    </row>
    <row r="30" spans="2:16" x14ac:dyDescent="0.3">
      <c r="E30" s="13"/>
      <c r="F30" s="13"/>
      <c r="G30" s="13"/>
      <c r="I30" s="13"/>
      <c r="J30" s="13"/>
      <c r="K30" s="13"/>
      <c r="L30" s="13"/>
      <c r="M30" s="13"/>
      <c r="N30" s="13"/>
      <c r="O30" s="13"/>
      <c r="P30" s="13"/>
    </row>
    <row r="31" spans="2:16" x14ac:dyDescent="0.3">
      <c r="F31" s="13"/>
      <c r="G31" s="13"/>
      <c r="I31" s="13"/>
      <c r="J31" s="13"/>
      <c r="K31" s="13"/>
      <c r="L31" s="13"/>
      <c r="M31" s="13"/>
      <c r="N31" s="13"/>
      <c r="O31" s="13"/>
      <c r="P31" s="13"/>
    </row>
    <row r="32" spans="2:16" x14ac:dyDescent="0.3">
      <c r="E32" s="13"/>
      <c r="F32" s="13"/>
      <c r="G32" s="13"/>
      <c r="I32" s="13"/>
      <c r="J32" s="13"/>
      <c r="K32" s="13"/>
      <c r="L32" s="13"/>
      <c r="M32" s="13"/>
      <c r="N32" s="13"/>
      <c r="O32" s="13"/>
      <c r="P32" s="13"/>
    </row>
    <row r="33" spans="2:16" x14ac:dyDescent="0.3">
      <c r="E33" s="13"/>
      <c r="F33" s="13"/>
      <c r="G33" s="13"/>
      <c r="I33" s="13"/>
      <c r="J33" s="13"/>
      <c r="K33" s="13"/>
      <c r="L33" s="13"/>
      <c r="M33" s="13"/>
      <c r="N33" s="13"/>
      <c r="O33" s="13"/>
      <c r="P33" s="13"/>
    </row>
    <row r="34" spans="2:16" x14ac:dyDescent="0.3">
      <c r="B34" s="109" t="s">
        <v>64</v>
      </c>
    </row>
    <row r="35" spans="2:16" x14ac:dyDescent="0.3">
      <c r="B35" s="103" t="s">
        <v>77</v>
      </c>
    </row>
    <row r="36" spans="2:16" x14ac:dyDescent="0.3">
      <c r="B36" s="13" t="s">
        <v>78</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C000"/>
  </sheetPr>
  <dimension ref="A1:B13"/>
  <sheetViews>
    <sheetView showGridLines="0" zoomScaleNormal="100" workbookViewId="0"/>
  </sheetViews>
  <sheetFormatPr defaultRowHeight="15" x14ac:dyDescent="0.25"/>
  <cols>
    <col min="1" max="1" width="2.42578125" customWidth="1"/>
  </cols>
  <sheetData>
    <row r="1" spans="1:2" x14ac:dyDescent="0.25">
      <c r="A1" s="112" t="s">
        <v>85</v>
      </c>
    </row>
    <row r="2" spans="1:2" ht="7.5" customHeight="1" x14ac:dyDescent="0.25"/>
    <row r="3" spans="1:2" x14ac:dyDescent="0.25">
      <c r="B3" s="114" t="s">
        <v>86</v>
      </c>
    </row>
    <row r="4" spans="1:2" ht="7.5" customHeight="1" x14ac:dyDescent="0.25"/>
    <row r="12" spans="1:2" x14ac:dyDescent="0.25">
      <c r="B12" s="114" t="s">
        <v>87</v>
      </c>
    </row>
    <row r="13" spans="1:2" ht="7.5" customHeight="1" x14ac:dyDescent="0.2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249977111117893"/>
  </sheetPr>
  <dimension ref="A1"/>
  <sheetViews>
    <sheetView showGridLines="0"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tint="0.59999389629810485"/>
  </sheetPr>
  <dimension ref="A1:AA81"/>
  <sheetViews>
    <sheetView zoomScale="85" zoomScaleNormal="85" workbookViewId="0"/>
  </sheetViews>
  <sheetFormatPr defaultRowHeight="16.5" x14ac:dyDescent="0.3"/>
  <cols>
    <col min="1" max="1" width="2.85546875" style="17" customWidth="1"/>
    <col min="2" max="2" width="14.85546875" style="17" customWidth="1"/>
    <col min="3" max="3" width="17.85546875" style="17" bestFit="1" customWidth="1"/>
    <col min="4" max="4" width="11.140625" style="17" customWidth="1"/>
    <col min="5" max="8" width="14.28515625" style="17" customWidth="1"/>
    <col min="9" max="9" width="9.140625" style="17"/>
    <col min="10" max="10" width="14.28515625" style="17" customWidth="1"/>
    <col min="11" max="11" width="19.85546875" style="17" bestFit="1" customWidth="1"/>
    <col min="12" max="12" width="10.28515625" style="17" bestFit="1" customWidth="1"/>
    <col min="13" max="16384" width="9.140625" style="17"/>
  </cols>
  <sheetData>
    <row r="1" spans="1:27" ht="15" customHeight="1" thickBot="1" x14ac:dyDescent="0.35">
      <c r="A1" s="112" t="s">
        <v>29</v>
      </c>
      <c r="B1" s="13"/>
      <c r="C1" s="13"/>
      <c r="D1" s="13"/>
      <c r="E1" s="13"/>
      <c r="F1" s="13"/>
      <c r="G1" s="13"/>
      <c r="H1" s="13"/>
    </row>
    <row r="2" spans="1:27" ht="15" customHeight="1" x14ac:dyDescent="0.3">
      <c r="A2" s="13"/>
      <c r="B2" s="18" t="s">
        <v>12</v>
      </c>
      <c r="C2" s="19" t="s">
        <v>19</v>
      </c>
      <c r="D2" s="20" t="str">
        <f>RIGHT($B$3,1)</f>
        <v>A</v>
      </c>
      <c r="E2" s="13"/>
      <c r="F2" s="13"/>
      <c r="G2" s="13"/>
      <c r="H2" s="13"/>
    </row>
    <row r="3" spans="1:27" ht="15" customHeight="1" thickBot="1" x14ac:dyDescent="0.35">
      <c r="A3" s="13"/>
      <c r="B3" s="23" t="str">
        <f>'1.c PUC_Projection'!B3</f>
        <v>40A</v>
      </c>
      <c r="C3" s="19" t="s">
        <v>59</v>
      </c>
      <c r="D3" s="20">
        <f>VLOOKUP($B$3,'opening demographics'!$A$1:$E$11,3,FALSE)</f>
        <v>15</v>
      </c>
      <c r="E3" s="13"/>
      <c r="F3" s="13"/>
      <c r="G3" s="13"/>
      <c r="H3" s="13"/>
    </row>
    <row r="4" spans="1:27" ht="15" customHeight="1" x14ac:dyDescent="0.3">
      <c r="A4" s="13"/>
      <c r="B4" s="13"/>
      <c r="C4" s="19" t="s">
        <v>20</v>
      </c>
      <c r="D4" s="20">
        <f>VALUE(LEFT($B$3,2))</f>
        <v>40</v>
      </c>
      <c r="E4" s="13"/>
      <c r="F4" s="13"/>
      <c r="G4" s="13"/>
      <c r="H4" s="13"/>
    </row>
    <row r="5" spans="1:27" ht="15" customHeight="1" x14ac:dyDescent="0.3">
      <c r="A5" s="13"/>
      <c r="B5" s="13"/>
      <c r="C5" s="19" t="s">
        <v>21</v>
      </c>
      <c r="D5" s="20">
        <f ca="1">INDIRECT("NRA_"&amp;$D$2)</f>
        <v>50</v>
      </c>
      <c r="E5" s="13"/>
      <c r="F5" s="13"/>
      <c r="G5" s="13"/>
      <c r="H5" s="13"/>
    </row>
    <row r="6" spans="1:27" ht="15" customHeight="1" x14ac:dyDescent="0.3">
      <c r="A6" s="13"/>
      <c r="B6" s="13"/>
      <c r="C6" s="19" t="s">
        <v>22</v>
      </c>
      <c r="D6" s="39">
        <f ca="1">INDIRECT("accrual_rate_"&amp;$D$2)</f>
        <v>0.1</v>
      </c>
      <c r="E6" s="13"/>
      <c r="F6" s="13"/>
      <c r="G6" s="13"/>
      <c r="H6" s="13"/>
    </row>
    <row r="7" spans="1:27" ht="15" customHeight="1" x14ac:dyDescent="0.3">
      <c r="A7" s="13"/>
      <c r="B7" s="13"/>
      <c r="C7" s="19" t="s">
        <v>23</v>
      </c>
      <c r="D7" s="40">
        <f>VLOOKUP($B$3,'opening demographics'!$A$1:$E$11,4,FALSE)</f>
        <v>150000</v>
      </c>
      <c r="E7" s="13"/>
      <c r="F7" s="13"/>
      <c r="G7" s="13"/>
      <c r="H7" s="13"/>
    </row>
    <row r="8" spans="1:27" ht="15" customHeight="1" x14ac:dyDescent="0.3">
      <c r="A8" s="13"/>
      <c r="B8" s="13"/>
      <c r="C8" s="19" t="s">
        <v>24</v>
      </c>
      <c r="D8" s="47">
        <f ca="1">INDIRECT("e_"&amp;$D$2)</f>
        <v>3.6484317092170926E-2</v>
      </c>
      <c r="E8" s="13"/>
      <c r="F8" s="13"/>
      <c r="G8" s="13"/>
      <c r="H8" s="13"/>
    </row>
    <row r="9" spans="1:27" ht="36" customHeight="1" x14ac:dyDescent="0.3">
      <c r="A9" s="13"/>
      <c r="B9" s="13"/>
      <c r="C9" s="13"/>
      <c r="D9" s="13"/>
      <c r="E9" s="13"/>
      <c r="F9" s="13"/>
      <c r="G9" s="13"/>
      <c r="H9" s="13"/>
      <c r="J9" s="102" t="s">
        <v>496</v>
      </c>
      <c r="K9" s="102" t="s">
        <v>96</v>
      </c>
      <c r="L9" s="119"/>
    </row>
    <row r="10" spans="1:27" ht="43.5" customHeight="1" x14ac:dyDescent="0.3">
      <c r="A10" s="13"/>
      <c r="B10" s="102" t="s">
        <v>57</v>
      </c>
      <c r="C10" s="102" t="s">
        <v>16</v>
      </c>
      <c r="D10" s="102" t="s">
        <v>26</v>
      </c>
      <c r="E10" s="102" t="s">
        <v>0</v>
      </c>
      <c r="F10" s="102" t="s">
        <v>84</v>
      </c>
      <c r="G10" s="102" t="s">
        <v>28</v>
      </c>
      <c r="H10" s="102" t="s">
        <v>27</v>
      </c>
      <c r="J10" s="102" t="s">
        <v>16</v>
      </c>
      <c r="K10" s="140">
        <v>1</v>
      </c>
      <c r="L10" s="120">
        <f>K10+1</f>
        <v>2</v>
      </c>
      <c r="M10" s="140">
        <f>L10+1</f>
        <v>3</v>
      </c>
      <c r="N10" s="120">
        <f>M10+1</f>
        <v>4</v>
      </c>
      <c r="O10" s="140">
        <f>N10+1</f>
        <v>5</v>
      </c>
      <c r="P10" s="120">
        <f t="shared" ref="P10:X10" si="0">O10+1</f>
        <v>6</v>
      </c>
      <c r="Q10" s="140">
        <f t="shared" si="0"/>
        <v>7</v>
      </c>
      <c r="R10" s="120">
        <f t="shared" si="0"/>
        <v>8</v>
      </c>
      <c r="S10" s="140">
        <f t="shared" si="0"/>
        <v>9</v>
      </c>
      <c r="T10" s="120">
        <f t="shared" si="0"/>
        <v>10</v>
      </c>
      <c r="U10" s="140">
        <f t="shared" si="0"/>
        <v>11</v>
      </c>
      <c r="V10" s="120">
        <f>U10+1</f>
        <v>12</v>
      </c>
      <c r="W10" s="140">
        <f t="shared" si="0"/>
        <v>13</v>
      </c>
      <c r="X10" s="120">
        <f t="shared" si="0"/>
        <v>14</v>
      </c>
      <c r="Y10" s="140">
        <f t="shared" ref="Y10" si="1">X10+1</f>
        <v>15</v>
      </c>
    </row>
    <row r="11" spans="1:27" ht="15" customHeight="1" x14ac:dyDescent="0.3">
      <c r="A11" s="13"/>
      <c r="B11" s="60">
        <v>0</v>
      </c>
      <c r="C11" s="61">
        <f>D4</f>
        <v>40</v>
      </c>
      <c r="D11" s="105">
        <v>1</v>
      </c>
      <c r="E11" s="106">
        <f ca="1">IF($D$2="A",(D11-G11)*INDIRECT("withdraw_rate_"&amp;$D$2)*(C11&lt;$D$5),(D11-G11)*INDIRECT("withdraw_rate_"&amp;$D$2)*(C11&lt;&gt;$D$5-1))</f>
        <v>0.05</v>
      </c>
      <c r="F11" s="106">
        <f>IF($D$2="A",
(D11-G11)*IFERROR(VLOOKUP(C11,'1.a Assumptions'!$G$14:$I$29,2,FALSE),0),
(D11-G11)*100%*(C11=$D$5-1))</f>
        <v>0</v>
      </c>
      <c r="G11" s="106">
        <f>IF($D$2="A",
D11*IFERROR(VLOOKUP(C11,'1.a Assumptions'!$G$14:$I$29,3,FALSE),0),
0)</f>
        <v>0</v>
      </c>
      <c r="H11" s="106">
        <f ca="1">D11-E11-F11-G11</f>
        <v>0.95</v>
      </c>
      <c r="J11" s="60">
        <f>C11</f>
        <v>40</v>
      </c>
      <c r="K11" s="141">
        <f>$D$3*D11</f>
        <v>15</v>
      </c>
      <c r="L11" s="134">
        <f ca="1">$K11*INDIRECT("turnover_rate_"&amp;$D$2)</f>
        <v>0.75</v>
      </c>
      <c r="M11" s="135">
        <f t="shared" ref="M11:Y11" ca="1" si="2">$K11*INDIRECT("turnover_rate_"&amp;$D$2)</f>
        <v>0.75</v>
      </c>
      <c r="N11" s="134">
        <f t="shared" ca="1" si="2"/>
        <v>0.75</v>
      </c>
      <c r="O11" s="135">
        <f t="shared" ca="1" si="2"/>
        <v>0.75</v>
      </c>
      <c r="P11" s="134">
        <f t="shared" ca="1" si="2"/>
        <v>0.75</v>
      </c>
      <c r="Q11" s="135">
        <f t="shared" ca="1" si="2"/>
        <v>0.75</v>
      </c>
      <c r="R11" s="134">
        <f t="shared" ca="1" si="2"/>
        <v>0.75</v>
      </c>
      <c r="S11" s="135">
        <f t="shared" ca="1" si="2"/>
        <v>0.75</v>
      </c>
      <c r="T11" s="134">
        <f t="shared" ca="1" si="2"/>
        <v>0.75</v>
      </c>
      <c r="U11" s="135">
        <f t="shared" ca="1" si="2"/>
        <v>0.75</v>
      </c>
      <c r="V11" s="134">
        <f t="shared" ca="1" si="2"/>
        <v>0.75</v>
      </c>
      <c r="W11" s="135">
        <f t="shared" ca="1" si="2"/>
        <v>0.75</v>
      </c>
      <c r="X11" s="134">
        <f t="shared" ca="1" si="2"/>
        <v>0.75</v>
      </c>
      <c r="Y11" s="135">
        <f t="shared" ca="1" si="2"/>
        <v>0.75</v>
      </c>
      <c r="AA11" s="118"/>
    </row>
    <row r="12" spans="1:27" ht="15" customHeight="1" x14ac:dyDescent="0.3">
      <c r="A12" s="13"/>
      <c r="B12" s="60">
        <f>IF($C12="","",B11+1)</f>
        <v>1</v>
      </c>
      <c r="C12" s="74">
        <f t="shared" ref="C12:C43" si="3">IF(C11="","",IF($D$2="A",C11+1,IF(C11+1&gt;$D$5,"",C11+1)))</f>
        <v>41</v>
      </c>
      <c r="D12" s="106">
        <f ca="1">H11</f>
        <v>0.95</v>
      </c>
      <c r="E12" s="106">
        <f t="shared" ref="E12:E75" ca="1" si="4">IF($D$2="A",(D12-G12)*INDIRECT("withdraw_rate_"&amp;$D$2)*(C12&lt;$D$5),(D12-G12)*INDIRECT("withdraw_rate_"&amp;$D$2)*(C12&lt;&gt;$D$5-1))</f>
        <v>4.7500000000000001E-2</v>
      </c>
      <c r="F12" s="106">
        <f ca="1">IF($D$2="A",
(D12-G12)*IFERROR(VLOOKUP(C12,'1.a Assumptions'!$G$14:$I$29,2,FALSE),0),
(D12-G12)*100%*(C12=$D$5-1))</f>
        <v>0</v>
      </c>
      <c r="G12" s="106">
        <f ca="1">IF($D$2="A",
D12*IFERROR(VLOOKUP(C12,'1.a Assumptions'!$G$14:$I$29,3,FALSE),0),
0)</f>
        <v>0</v>
      </c>
      <c r="H12" s="106">
        <f t="shared" ref="H12:H75" ca="1" si="5">D12-E12-F12-G12</f>
        <v>0.90249999999999997</v>
      </c>
      <c r="J12" s="60">
        <f t="shared" ref="J12:J25" si="6">C12</f>
        <v>41</v>
      </c>
      <c r="K12" s="138">
        <f ca="1">K$11*D12</f>
        <v>14.25</v>
      </c>
      <c r="L12" s="137">
        <f ca="1">L$11*$D12</f>
        <v>0.71249999999999991</v>
      </c>
      <c r="M12" s="136">
        <f ca="1">M$11*$D12</f>
        <v>0.71249999999999991</v>
      </c>
      <c r="N12" s="137">
        <f ca="1">N$11*$D12</f>
        <v>0.71249999999999991</v>
      </c>
      <c r="O12" s="136">
        <f t="shared" ref="O12:X12" ca="1" si="7">O$11*$D12</f>
        <v>0.71249999999999991</v>
      </c>
      <c r="P12" s="137">
        <f t="shared" ca="1" si="7"/>
        <v>0.71249999999999991</v>
      </c>
      <c r="Q12" s="136">
        <f t="shared" ca="1" si="7"/>
        <v>0.71249999999999991</v>
      </c>
      <c r="R12" s="137">
        <f t="shared" ca="1" si="7"/>
        <v>0.71249999999999991</v>
      </c>
      <c r="S12" s="136">
        <f t="shared" ca="1" si="7"/>
        <v>0.71249999999999991</v>
      </c>
      <c r="T12" s="137">
        <f t="shared" ca="1" si="7"/>
        <v>0.71249999999999991</v>
      </c>
      <c r="U12" s="136">
        <f t="shared" ca="1" si="7"/>
        <v>0.71249999999999991</v>
      </c>
      <c r="V12" s="137">
        <f t="shared" ca="1" si="7"/>
        <v>0.71249999999999991</v>
      </c>
      <c r="W12" s="136">
        <f t="shared" ca="1" si="7"/>
        <v>0.71249999999999991</v>
      </c>
      <c r="X12" s="137">
        <f t="shared" ca="1" si="7"/>
        <v>0.71249999999999991</v>
      </c>
      <c r="Y12" s="136"/>
      <c r="AA12" s="118"/>
    </row>
    <row r="13" spans="1:27" ht="15" customHeight="1" x14ac:dyDescent="0.3">
      <c r="A13" s="13"/>
      <c r="B13" s="60">
        <f t="shared" ref="B13:B76" si="8">IF($C13="","",B12+1)</f>
        <v>2</v>
      </c>
      <c r="C13" s="74">
        <f t="shared" si="3"/>
        <v>42</v>
      </c>
      <c r="D13" s="106">
        <f t="shared" ref="D13:D76" ca="1" si="9">H12</f>
        <v>0.90249999999999997</v>
      </c>
      <c r="E13" s="106">
        <f t="shared" ca="1" si="4"/>
        <v>4.5124999999999998E-2</v>
      </c>
      <c r="F13" s="106">
        <f ca="1">IF($D$2="A",
(D13-G13)*IFERROR(VLOOKUP(C13,'1.a Assumptions'!$G$14:$I$29,2,FALSE),0),
(D13-G13)*100%*(C13=$D$5-1))</f>
        <v>0</v>
      </c>
      <c r="G13" s="106">
        <f ca="1">IF($D$2="A",
D13*IFERROR(VLOOKUP(C13,'1.a Assumptions'!$G$14:$I$29,3,FALSE),0),
0)</f>
        <v>0</v>
      </c>
      <c r="H13" s="106">
        <f t="shared" ca="1" si="5"/>
        <v>0.857375</v>
      </c>
      <c r="J13" s="60">
        <f t="shared" si="6"/>
        <v>42</v>
      </c>
      <c r="K13" s="139">
        <f ca="1">K$11*D13</f>
        <v>13.5375</v>
      </c>
      <c r="L13" s="136">
        <f ca="1">L$11*$D13</f>
        <v>0.676875</v>
      </c>
      <c r="M13" s="137">
        <f ca="1">M$11*$D13</f>
        <v>0.676875</v>
      </c>
      <c r="N13" s="136">
        <f ca="1">N$11*$D13</f>
        <v>0.676875</v>
      </c>
      <c r="O13" s="137">
        <f t="shared" ref="O13:W21" ca="1" si="10">O$11*$D13</f>
        <v>0.676875</v>
      </c>
      <c r="P13" s="136">
        <f t="shared" ca="1" si="10"/>
        <v>0.676875</v>
      </c>
      <c r="Q13" s="137">
        <f t="shared" ca="1" si="10"/>
        <v>0.676875</v>
      </c>
      <c r="R13" s="136">
        <f t="shared" ca="1" si="10"/>
        <v>0.676875</v>
      </c>
      <c r="S13" s="137">
        <f t="shared" ca="1" si="10"/>
        <v>0.676875</v>
      </c>
      <c r="T13" s="136">
        <f t="shared" ca="1" si="10"/>
        <v>0.676875</v>
      </c>
      <c r="U13" s="137">
        <f t="shared" ca="1" si="10"/>
        <v>0.676875</v>
      </c>
      <c r="V13" s="136">
        <f t="shared" ca="1" si="10"/>
        <v>0.676875</v>
      </c>
      <c r="W13" s="137">
        <f t="shared" ca="1" si="10"/>
        <v>0.676875</v>
      </c>
      <c r="X13" s="136"/>
      <c r="Y13" s="136"/>
      <c r="AA13" s="118"/>
    </row>
    <row r="14" spans="1:27" ht="15" customHeight="1" x14ac:dyDescent="0.3">
      <c r="A14" s="13"/>
      <c r="B14" s="60">
        <f t="shared" si="8"/>
        <v>3</v>
      </c>
      <c r="C14" s="74">
        <f t="shared" si="3"/>
        <v>43</v>
      </c>
      <c r="D14" s="106">
        <f t="shared" ca="1" si="9"/>
        <v>0.857375</v>
      </c>
      <c r="E14" s="106">
        <f t="shared" ca="1" si="4"/>
        <v>4.2868750000000004E-2</v>
      </c>
      <c r="F14" s="106">
        <f ca="1">IF($D$2="A",
(D14-G14)*IFERROR(VLOOKUP(C14,'1.a Assumptions'!$G$14:$I$29,2,FALSE),0),
(D14-G14)*100%*(C14=$D$5-1))</f>
        <v>0</v>
      </c>
      <c r="G14" s="106">
        <f ca="1">IF($D$2="A",
D14*IFERROR(VLOOKUP(C14,'1.a Assumptions'!$G$14:$I$29,3,FALSE),0),
0)</f>
        <v>0</v>
      </c>
      <c r="H14" s="106">
        <f t="shared" ca="1" si="5"/>
        <v>0.81450624999999999</v>
      </c>
      <c r="J14" s="60">
        <f t="shared" si="6"/>
        <v>43</v>
      </c>
      <c r="K14" s="138">
        <f ca="1">K$11*D14</f>
        <v>12.860625000000001</v>
      </c>
      <c r="L14" s="137">
        <f ca="1">L$11*$D14</f>
        <v>0.64303124999999994</v>
      </c>
      <c r="M14" s="136">
        <f ca="1">M$11*$D14</f>
        <v>0.64303124999999994</v>
      </c>
      <c r="N14" s="137">
        <f ca="1">N$11*$D14</f>
        <v>0.64303124999999994</v>
      </c>
      <c r="O14" s="136">
        <f t="shared" ca="1" si="10"/>
        <v>0.64303124999999994</v>
      </c>
      <c r="P14" s="137">
        <f t="shared" ca="1" si="10"/>
        <v>0.64303124999999994</v>
      </c>
      <c r="Q14" s="136">
        <f t="shared" ca="1" si="10"/>
        <v>0.64303124999999994</v>
      </c>
      <c r="R14" s="137">
        <f t="shared" ca="1" si="10"/>
        <v>0.64303124999999994</v>
      </c>
      <c r="S14" s="136">
        <f t="shared" ca="1" si="10"/>
        <v>0.64303124999999994</v>
      </c>
      <c r="T14" s="137">
        <f t="shared" ca="1" si="10"/>
        <v>0.64303124999999994</v>
      </c>
      <c r="U14" s="136">
        <f t="shared" ca="1" si="10"/>
        <v>0.64303124999999994</v>
      </c>
      <c r="V14" s="137">
        <f t="shared" ca="1" si="10"/>
        <v>0.64303124999999994</v>
      </c>
      <c r="W14" s="136"/>
      <c r="X14" s="136"/>
      <c r="Y14" s="136"/>
      <c r="AA14" s="118"/>
    </row>
    <row r="15" spans="1:27" ht="15" customHeight="1" x14ac:dyDescent="0.3">
      <c r="A15" s="13"/>
      <c r="B15" s="60">
        <f t="shared" si="8"/>
        <v>4</v>
      </c>
      <c r="C15" s="74">
        <f t="shared" si="3"/>
        <v>44</v>
      </c>
      <c r="D15" s="106">
        <f t="shared" ca="1" si="9"/>
        <v>0.81450624999999999</v>
      </c>
      <c r="E15" s="106">
        <f t="shared" ca="1" si="4"/>
        <v>4.0725312499999999E-2</v>
      </c>
      <c r="F15" s="106">
        <f ca="1">IF($D$2="A",
(D15-G15)*IFERROR(VLOOKUP(C15,'1.a Assumptions'!$G$14:$I$29,2,FALSE),0),
(D15-G15)*100%*(C15=$D$5-1))</f>
        <v>0</v>
      </c>
      <c r="G15" s="106">
        <f ca="1">IF($D$2="A",
D15*IFERROR(VLOOKUP(C15,'1.a Assumptions'!$G$14:$I$29,3,FALSE),0),
0)</f>
        <v>0</v>
      </c>
      <c r="H15" s="106">
        <f t="shared" ca="1" si="5"/>
        <v>0.77378093749999999</v>
      </c>
      <c r="J15" s="60">
        <f t="shared" si="6"/>
        <v>44</v>
      </c>
      <c r="K15" s="139">
        <f ca="1">K$11*D15</f>
        <v>12.217593749999999</v>
      </c>
      <c r="L15" s="136">
        <f ca="1">L$11*$D15</f>
        <v>0.61087968749999999</v>
      </c>
      <c r="M15" s="137">
        <f ca="1">M$11*$D15</f>
        <v>0.61087968749999999</v>
      </c>
      <c r="N15" s="136">
        <f ca="1">N$11*$D15</f>
        <v>0.61087968749999999</v>
      </c>
      <c r="O15" s="137">
        <f t="shared" ca="1" si="10"/>
        <v>0.61087968749999999</v>
      </c>
      <c r="P15" s="136">
        <f t="shared" ca="1" si="10"/>
        <v>0.61087968749999999</v>
      </c>
      <c r="Q15" s="137">
        <f t="shared" ca="1" si="10"/>
        <v>0.61087968749999999</v>
      </c>
      <c r="R15" s="136">
        <f t="shared" ca="1" si="10"/>
        <v>0.61087968749999999</v>
      </c>
      <c r="S15" s="137">
        <f t="shared" ca="1" si="10"/>
        <v>0.61087968749999999</v>
      </c>
      <c r="T15" s="136">
        <f t="shared" ca="1" si="10"/>
        <v>0.61087968749999999</v>
      </c>
      <c r="U15" s="137">
        <f t="shared" ca="1" si="10"/>
        <v>0.61087968749999999</v>
      </c>
      <c r="V15" s="136"/>
      <c r="W15" s="136"/>
      <c r="X15" s="136"/>
      <c r="Y15" s="136"/>
      <c r="AA15" s="118"/>
    </row>
    <row r="16" spans="1:27" ht="15" customHeight="1" x14ac:dyDescent="0.3">
      <c r="A16" s="13"/>
      <c r="B16" s="60">
        <f t="shared" si="8"/>
        <v>5</v>
      </c>
      <c r="C16" s="74">
        <f t="shared" si="3"/>
        <v>45</v>
      </c>
      <c r="D16" s="106">
        <f t="shared" ca="1" si="9"/>
        <v>0.77378093749999999</v>
      </c>
      <c r="E16" s="106">
        <f t="shared" ca="1" si="4"/>
        <v>3.8689046875000001E-2</v>
      </c>
      <c r="F16" s="106">
        <f ca="1">IF($D$2="A",
(D16-G16)*IFERROR(VLOOKUP(C16,'1.a Assumptions'!$G$14:$I$29,2,FALSE),0),
(D16-G16)*100%*(C16=$D$5-1))</f>
        <v>0</v>
      </c>
      <c r="G16" s="106">
        <f ca="1">IF($D$2="A",
D16*IFERROR(VLOOKUP(C16,'1.a Assumptions'!$G$14:$I$29,3,FALSE),0),
0)</f>
        <v>0</v>
      </c>
      <c r="H16" s="106">
        <f t="shared" ca="1" si="5"/>
        <v>0.73509189062500002</v>
      </c>
      <c r="J16" s="60">
        <f t="shared" si="6"/>
        <v>45</v>
      </c>
      <c r="K16" s="138">
        <f ca="1">K$11*D16</f>
        <v>11.6067140625</v>
      </c>
      <c r="L16" s="137">
        <f ca="1">L$11*$D16</f>
        <v>0.58033570312500005</v>
      </c>
      <c r="M16" s="136">
        <f ca="1">M$11*$D16</f>
        <v>0.58033570312500005</v>
      </c>
      <c r="N16" s="137">
        <f ca="1">N$11*$D16</f>
        <v>0.58033570312500005</v>
      </c>
      <c r="O16" s="136">
        <f t="shared" ca="1" si="10"/>
        <v>0.58033570312500005</v>
      </c>
      <c r="P16" s="137">
        <f t="shared" ca="1" si="10"/>
        <v>0.58033570312500005</v>
      </c>
      <c r="Q16" s="136">
        <f t="shared" ca="1" si="10"/>
        <v>0.58033570312500005</v>
      </c>
      <c r="R16" s="137">
        <f t="shared" ca="1" si="10"/>
        <v>0.58033570312500005</v>
      </c>
      <c r="S16" s="136">
        <f t="shared" ca="1" si="10"/>
        <v>0.58033570312500005</v>
      </c>
      <c r="T16" s="137">
        <f t="shared" ca="1" si="10"/>
        <v>0.58033570312500005</v>
      </c>
      <c r="U16" s="136"/>
      <c r="V16" s="136"/>
      <c r="W16" s="136"/>
      <c r="X16" s="136"/>
      <c r="Y16" s="136"/>
      <c r="AA16" s="118"/>
    </row>
    <row r="17" spans="1:27" ht="15" customHeight="1" x14ac:dyDescent="0.3">
      <c r="A17" s="13"/>
      <c r="B17" s="60">
        <f t="shared" si="8"/>
        <v>6</v>
      </c>
      <c r="C17" s="74">
        <f t="shared" si="3"/>
        <v>46</v>
      </c>
      <c r="D17" s="106">
        <f t="shared" ca="1" si="9"/>
        <v>0.73509189062500002</v>
      </c>
      <c r="E17" s="106">
        <f t="shared" ca="1" si="4"/>
        <v>3.6754594531250004E-2</v>
      </c>
      <c r="F17" s="106">
        <f ca="1">IF($D$2="A",
(D17-G17)*IFERROR(VLOOKUP(C17,'1.a Assumptions'!$G$14:$I$29,2,FALSE),0),
(D17-G17)*100%*(C17=$D$5-1))</f>
        <v>0</v>
      </c>
      <c r="G17" s="106">
        <f ca="1">IF($D$2="A",
D17*IFERROR(VLOOKUP(C17,'1.a Assumptions'!$G$14:$I$29,3,FALSE),0),
0)</f>
        <v>0</v>
      </c>
      <c r="H17" s="106">
        <f t="shared" ca="1" si="5"/>
        <v>0.69833729609375006</v>
      </c>
      <c r="J17" s="60">
        <f t="shared" si="6"/>
        <v>46</v>
      </c>
      <c r="K17" s="139">
        <f ca="1">K$11*D17</f>
        <v>11.026378359375</v>
      </c>
      <c r="L17" s="136">
        <f ca="1">L$11*$D17</f>
        <v>0.55131891796874999</v>
      </c>
      <c r="M17" s="137">
        <f ca="1">M$11*$D17</f>
        <v>0.55131891796874999</v>
      </c>
      <c r="N17" s="136">
        <f ca="1">N$11*$D17</f>
        <v>0.55131891796874999</v>
      </c>
      <c r="O17" s="137">
        <f t="shared" ca="1" si="10"/>
        <v>0.55131891796874999</v>
      </c>
      <c r="P17" s="136">
        <f t="shared" ca="1" si="10"/>
        <v>0.55131891796874999</v>
      </c>
      <c r="Q17" s="137">
        <f t="shared" ca="1" si="10"/>
        <v>0.55131891796874999</v>
      </c>
      <c r="R17" s="136">
        <f t="shared" ca="1" si="10"/>
        <v>0.55131891796874999</v>
      </c>
      <c r="S17" s="137">
        <f t="shared" ca="1" si="10"/>
        <v>0.55131891796874999</v>
      </c>
      <c r="T17" s="136"/>
      <c r="U17" s="136"/>
      <c r="V17" s="136"/>
      <c r="W17" s="136"/>
      <c r="X17" s="136"/>
      <c r="Y17" s="136"/>
      <c r="AA17" s="118"/>
    </row>
    <row r="18" spans="1:27" ht="15" customHeight="1" x14ac:dyDescent="0.3">
      <c r="A18" s="13"/>
      <c r="B18" s="60">
        <f t="shared" si="8"/>
        <v>7</v>
      </c>
      <c r="C18" s="74">
        <f t="shared" si="3"/>
        <v>47</v>
      </c>
      <c r="D18" s="106">
        <f t="shared" ca="1" si="9"/>
        <v>0.69833729609375006</v>
      </c>
      <c r="E18" s="106">
        <f t="shared" ca="1" si="4"/>
        <v>3.4916864804687503E-2</v>
      </c>
      <c r="F18" s="106">
        <f ca="1">IF($D$2="A",
(D18-G18)*IFERROR(VLOOKUP(C18,'1.a Assumptions'!$G$14:$I$29,2,FALSE),0),
(D18-G18)*100%*(C18=$D$5-1))</f>
        <v>0</v>
      </c>
      <c r="G18" s="106">
        <f ca="1">IF($D$2="A",
D18*IFERROR(VLOOKUP(C18,'1.a Assumptions'!$G$14:$I$29,3,FALSE),0),
0)</f>
        <v>0</v>
      </c>
      <c r="H18" s="106">
        <f t="shared" ca="1" si="5"/>
        <v>0.66342043128906258</v>
      </c>
      <c r="J18" s="60">
        <f t="shared" si="6"/>
        <v>47</v>
      </c>
      <c r="K18" s="138">
        <f ca="1">K$11*D18</f>
        <v>10.47505944140625</v>
      </c>
      <c r="L18" s="137">
        <f ca="1">L$11*$D18</f>
        <v>0.52375297207031257</v>
      </c>
      <c r="M18" s="136">
        <f ca="1">M$11*$D18</f>
        <v>0.52375297207031257</v>
      </c>
      <c r="N18" s="137">
        <f ca="1">N$11*$D18</f>
        <v>0.52375297207031257</v>
      </c>
      <c r="O18" s="136">
        <f t="shared" ca="1" si="10"/>
        <v>0.52375297207031257</v>
      </c>
      <c r="P18" s="137">
        <f t="shared" ca="1" si="10"/>
        <v>0.52375297207031257</v>
      </c>
      <c r="Q18" s="136">
        <f t="shared" ca="1" si="10"/>
        <v>0.52375297207031257</v>
      </c>
      <c r="R18" s="137">
        <f t="shared" ca="1" si="10"/>
        <v>0.52375297207031257</v>
      </c>
      <c r="S18" s="136"/>
      <c r="T18" s="136"/>
      <c r="U18" s="136"/>
      <c r="V18" s="136"/>
      <c r="W18" s="136"/>
      <c r="X18" s="136"/>
      <c r="Y18" s="136"/>
      <c r="AA18" s="118"/>
    </row>
    <row r="19" spans="1:27" ht="15" customHeight="1" x14ac:dyDescent="0.3">
      <c r="A19" s="13"/>
      <c r="B19" s="60">
        <f t="shared" si="8"/>
        <v>8</v>
      </c>
      <c r="C19" s="74">
        <f t="shared" si="3"/>
        <v>48</v>
      </c>
      <c r="D19" s="106">
        <f t="shared" ca="1" si="9"/>
        <v>0.66342043128906258</v>
      </c>
      <c r="E19" s="106">
        <f t="shared" ca="1" si="4"/>
        <v>3.3171021564453132E-2</v>
      </c>
      <c r="F19" s="106">
        <f ca="1">IF($D$2="A",
(D19-G19)*IFERROR(VLOOKUP(C19,'1.a Assumptions'!$G$14:$I$29,2,FALSE),0),
(D19-G19)*100%*(C19=$D$5-1))</f>
        <v>0</v>
      </c>
      <c r="G19" s="106">
        <f ca="1">IF($D$2="A",
D19*IFERROR(VLOOKUP(C19,'1.a Assumptions'!$G$14:$I$29,3,FALSE),0),
0)</f>
        <v>0</v>
      </c>
      <c r="H19" s="106">
        <f t="shared" ca="1" si="5"/>
        <v>0.63024940972460941</v>
      </c>
      <c r="J19" s="60">
        <f t="shared" si="6"/>
        <v>48</v>
      </c>
      <c r="K19" s="139">
        <f ca="1">K$11*D19</f>
        <v>9.9513064693359397</v>
      </c>
      <c r="L19" s="136">
        <f ca="1">L$11*$D19</f>
        <v>0.49756532346679694</v>
      </c>
      <c r="M19" s="136">
        <f ca="1">M$11*$D19</f>
        <v>0.49756532346679694</v>
      </c>
      <c r="N19" s="136">
        <f ca="1">N$11*$D19</f>
        <v>0.49756532346679694</v>
      </c>
      <c r="O19" s="137">
        <f t="shared" ca="1" si="10"/>
        <v>0.49756532346679694</v>
      </c>
      <c r="P19" s="136">
        <f t="shared" ca="1" si="10"/>
        <v>0.49756532346679694</v>
      </c>
      <c r="Q19" s="137">
        <f t="shared" ca="1" si="10"/>
        <v>0.49756532346679694</v>
      </c>
      <c r="R19" s="136"/>
      <c r="S19" s="136"/>
      <c r="T19" s="136"/>
      <c r="U19" s="136"/>
      <c r="V19" s="136"/>
      <c r="W19" s="136"/>
      <c r="X19" s="136"/>
      <c r="Y19" s="136"/>
      <c r="AA19" s="118"/>
    </row>
    <row r="20" spans="1:27" ht="15" customHeight="1" x14ac:dyDescent="0.3">
      <c r="A20" s="13"/>
      <c r="B20" s="60">
        <f t="shared" si="8"/>
        <v>9</v>
      </c>
      <c r="C20" s="74">
        <f t="shared" si="3"/>
        <v>49</v>
      </c>
      <c r="D20" s="106">
        <f t="shared" ca="1" si="9"/>
        <v>0.63024940972460941</v>
      </c>
      <c r="E20" s="106">
        <f t="shared" ca="1" si="4"/>
        <v>3.1482423345621853E-2</v>
      </c>
      <c r="F20" s="106">
        <f ca="1">IF($D$2="A",
(D20-G20)*IFERROR(VLOOKUP(C20,'1.a Assumptions'!$G$14:$I$29,2,FALSE),0),
(D20-G20)*100%*(C20=$D$5-1))</f>
        <v>0.12592969338248741</v>
      </c>
      <c r="G20" s="106">
        <f ca="1">IF($D$2="A",
D20*IFERROR(VLOOKUP(C20,'1.a Assumptions'!$G$14:$I$29,3,FALSE),0),
0)</f>
        <v>6.0094281217241508E-4</v>
      </c>
      <c r="H20" s="106">
        <f t="shared" ca="1" si="5"/>
        <v>0.47223635018432769</v>
      </c>
      <c r="J20" s="60">
        <f t="shared" si="6"/>
        <v>49</v>
      </c>
      <c r="K20" s="138">
        <f ca="1">K$11*D20</f>
        <v>9.4537411458691416</v>
      </c>
      <c r="L20" s="137">
        <f ca="1">L$11*$D20</f>
        <v>0.47268705729345706</v>
      </c>
      <c r="M20" s="136">
        <f ca="1">M$11*$D20</f>
        <v>0.47268705729345706</v>
      </c>
      <c r="N20" s="137">
        <f ca="1">N$11*$D20</f>
        <v>0.47268705729345706</v>
      </c>
      <c r="O20" s="136">
        <f t="shared" ca="1" si="10"/>
        <v>0.47268705729345706</v>
      </c>
      <c r="P20" s="137">
        <f t="shared" ca="1" si="10"/>
        <v>0.47268705729345706</v>
      </c>
      <c r="Q20" s="136"/>
      <c r="R20" s="136"/>
      <c r="S20" s="136"/>
      <c r="T20" s="136"/>
      <c r="U20" s="136"/>
      <c r="V20" s="136"/>
      <c r="W20" s="136"/>
      <c r="X20" s="136"/>
      <c r="Y20" s="136"/>
      <c r="AA20" s="118"/>
    </row>
    <row r="21" spans="1:27" ht="15" customHeight="1" x14ac:dyDescent="0.3">
      <c r="A21" s="13"/>
      <c r="B21" s="60">
        <f t="shared" si="8"/>
        <v>10</v>
      </c>
      <c r="C21" s="74">
        <f t="shared" si="3"/>
        <v>50</v>
      </c>
      <c r="D21" s="106">
        <f t="shared" ca="1" si="9"/>
        <v>0.47223635018432769</v>
      </c>
      <c r="E21" s="106">
        <f t="shared" ca="1" si="4"/>
        <v>0</v>
      </c>
      <c r="F21" s="106">
        <f ca="1">IF($D$2="A",
(D21-G21)*IFERROR(VLOOKUP(C21,'1.a Assumptions'!$G$14:$I$29,2,FALSE),0),
(D21-G21)*100%*(C21=$D$5-1))</f>
        <v>9.4347533719706611E-2</v>
      </c>
      <c r="G21" s="106">
        <f ca="1">IF($D$2="A",
D21*IFERROR(VLOOKUP(C21,'1.a Assumptions'!$G$14:$I$29,3,FALSE),0),
0)</f>
        <v>4.9868158579465004E-4</v>
      </c>
      <c r="H21" s="106">
        <f t="shared" ca="1" si="5"/>
        <v>0.37739013487882644</v>
      </c>
      <c r="J21" s="60">
        <f t="shared" si="6"/>
        <v>50</v>
      </c>
      <c r="K21" s="139">
        <f ca="1">K$11*D21</f>
        <v>7.0835452527649156</v>
      </c>
      <c r="L21" s="136">
        <f ca="1">L$11*$D21</f>
        <v>0.35417726263824578</v>
      </c>
      <c r="M21" s="137">
        <f ca="1">M$11*$D21</f>
        <v>0.35417726263824578</v>
      </c>
      <c r="N21" s="136">
        <f ca="1">N$11*$D21</f>
        <v>0.35417726263824578</v>
      </c>
      <c r="O21" s="137">
        <f t="shared" ca="1" si="10"/>
        <v>0.35417726263824578</v>
      </c>
      <c r="P21" s="136"/>
      <c r="Q21" s="136"/>
      <c r="R21" s="136"/>
      <c r="S21" s="136"/>
      <c r="T21" s="136"/>
      <c r="U21" s="136"/>
      <c r="V21" s="136"/>
      <c r="W21" s="136"/>
      <c r="X21" s="136"/>
      <c r="Y21" s="136"/>
      <c r="AA21" s="118"/>
    </row>
    <row r="22" spans="1:27" ht="15" customHeight="1" x14ac:dyDescent="0.3">
      <c r="A22" s="13"/>
      <c r="B22" s="60">
        <f t="shared" si="8"/>
        <v>11</v>
      </c>
      <c r="C22" s="74">
        <f t="shared" si="3"/>
        <v>51</v>
      </c>
      <c r="D22" s="106">
        <f t="shared" ca="1" si="9"/>
        <v>0.37739013487882644</v>
      </c>
      <c r="E22" s="106">
        <f t="shared" ca="1" si="4"/>
        <v>0</v>
      </c>
      <c r="F22" s="106">
        <f ca="1">IF($D$2="A",
(D22-G22)*IFERROR(VLOOKUP(C22,'1.a Assumptions'!$G$14:$I$29,2,FALSE),0),
(D22-G22)*100%*(C22=$D$5-1))</f>
        <v>7.5390095074338526E-2</v>
      </c>
      <c r="G22" s="106">
        <f ca="1">IF($D$2="A",
D22*IFERROR(VLOOKUP(C22,'1.a Assumptions'!$G$14:$I$29,3,FALSE),0),
0)</f>
        <v>4.3965950713383283E-4</v>
      </c>
      <c r="H22" s="106">
        <f t="shared" ca="1" si="5"/>
        <v>0.3015603802973541</v>
      </c>
      <c r="J22" s="60">
        <f t="shared" si="6"/>
        <v>51</v>
      </c>
      <c r="K22" s="138">
        <f ca="1">K$11*D22</f>
        <v>5.6608520231823967</v>
      </c>
      <c r="L22" s="137">
        <f ca="1">L$11*$D22</f>
        <v>0.28304260115911983</v>
      </c>
      <c r="M22" s="136">
        <f ca="1">M$11*$D22</f>
        <v>0.28304260115911983</v>
      </c>
      <c r="N22" s="137">
        <f ca="1">N$11*$D22</f>
        <v>0.28304260115911983</v>
      </c>
      <c r="O22" s="136"/>
      <c r="P22" s="136"/>
      <c r="Q22" s="136"/>
      <c r="R22" s="136"/>
      <c r="S22" s="136"/>
      <c r="T22" s="136"/>
      <c r="U22" s="136"/>
      <c r="V22" s="136"/>
      <c r="W22" s="136"/>
      <c r="X22" s="136"/>
      <c r="Y22" s="136"/>
      <c r="AA22" s="118"/>
    </row>
    <row r="23" spans="1:27" ht="15" customHeight="1" x14ac:dyDescent="0.3">
      <c r="A23" s="13"/>
      <c r="B23" s="60">
        <f t="shared" si="8"/>
        <v>12</v>
      </c>
      <c r="C23" s="74">
        <f t="shared" si="3"/>
        <v>52</v>
      </c>
      <c r="D23" s="106">
        <f t="shared" ca="1" si="9"/>
        <v>0.3015603802973541</v>
      </c>
      <c r="E23" s="106">
        <f t="shared" ca="1" si="4"/>
        <v>0</v>
      </c>
      <c r="F23" s="106">
        <f ca="1">IF($D$2="A",
(D23-G23)*IFERROR(VLOOKUP(C23,'1.a Assumptions'!$G$14:$I$29,2,FALSE),0),
(D23-G23)*100%*(C23=$D$5-1))</f>
        <v>6.0234786134000608E-2</v>
      </c>
      <c r="G23" s="106">
        <f ca="1">IF($D$2="A",
D23*IFERROR(VLOOKUP(C23,'1.a Assumptions'!$G$14:$I$29,3,FALSE),0),
0)</f>
        <v>3.8644962735105931E-4</v>
      </c>
      <c r="H23" s="106">
        <f t="shared" ca="1" si="5"/>
        <v>0.24093914453600243</v>
      </c>
      <c r="J23" s="60">
        <f t="shared" si="6"/>
        <v>52</v>
      </c>
      <c r="K23" s="139">
        <f ca="1">K$11*D23</f>
        <v>4.5234057044603118</v>
      </c>
      <c r="L23" s="136">
        <f ca="1">L$11*$D23</f>
        <v>0.22617028522301558</v>
      </c>
      <c r="M23" s="137">
        <f ca="1">M$11*$D23</f>
        <v>0.22617028522301558</v>
      </c>
      <c r="N23" s="136"/>
      <c r="O23" s="136"/>
      <c r="P23" s="136"/>
      <c r="Q23" s="136"/>
      <c r="R23" s="136"/>
      <c r="S23" s="136"/>
      <c r="T23" s="136"/>
      <c r="U23" s="136"/>
      <c r="V23" s="136"/>
      <c r="W23" s="136"/>
      <c r="X23" s="136"/>
      <c r="Y23" s="136"/>
      <c r="AA23" s="118"/>
    </row>
    <row r="24" spans="1:27" ht="15" customHeight="1" x14ac:dyDescent="0.3">
      <c r="A24" s="13"/>
      <c r="B24" s="60">
        <f t="shared" si="8"/>
        <v>13</v>
      </c>
      <c r="C24" s="74">
        <f t="shared" si="3"/>
        <v>53</v>
      </c>
      <c r="D24" s="106">
        <f t="shared" ca="1" si="9"/>
        <v>0.24093914453600243</v>
      </c>
      <c r="E24" s="106">
        <f t="shared" ca="1" si="4"/>
        <v>0</v>
      </c>
      <c r="F24" s="106">
        <f ca="1">IF($D$2="A",
(D24-G24)*IFERROR(VLOOKUP(C24,'1.a Assumptions'!$G$14:$I$29,2,FALSE),0),
(D24-G24)*100%*(C24=$D$5-1))</f>
        <v>4.8120100913671415E-2</v>
      </c>
      <c r="G24" s="106">
        <f ca="1">IF($D$2="A",
D24*IFERROR(VLOOKUP(C24,'1.a Assumptions'!$G$14:$I$29,3,FALSE),0),
0)</f>
        <v>3.3863996764535144E-4</v>
      </c>
      <c r="H24" s="106">
        <f t="shared" ca="1" si="5"/>
        <v>0.19248040365468566</v>
      </c>
      <c r="J24" s="60">
        <f t="shared" si="6"/>
        <v>53</v>
      </c>
      <c r="K24" s="138">
        <f ca="1">K$11*D24</f>
        <v>3.6140871680400366</v>
      </c>
      <c r="L24" s="137">
        <f ca="1">L$11*$D24</f>
        <v>0.18070435840200183</v>
      </c>
      <c r="M24" s="136"/>
      <c r="N24" s="136"/>
      <c r="O24" s="136"/>
      <c r="P24" s="136"/>
      <c r="Q24" s="136"/>
      <c r="R24" s="136"/>
      <c r="S24" s="136"/>
      <c r="T24" s="136"/>
      <c r="U24" s="136"/>
      <c r="V24" s="136"/>
      <c r="W24" s="136"/>
      <c r="X24" s="136"/>
      <c r="Y24" s="136"/>
      <c r="AA24" s="118"/>
    </row>
    <row r="25" spans="1:27" ht="15" customHeight="1" x14ac:dyDescent="0.3">
      <c r="A25" s="13"/>
      <c r="B25" s="60">
        <f t="shared" si="8"/>
        <v>14</v>
      </c>
      <c r="C25" s="74">
        <f t="shared" si="3"/>
        <v>54</v>
      </c>
      <c r="D25" s="106">
        <f t="shared" ca="1" si="9"/>
        <v>0.19248040365468566</v>
      </c>
      <c r="E25" s="106">
        <f t="shared" ca="1" si="4"/>
        <v>0</v>
      </c>
      <c r="F25" s="106">
        <f ca="1">IF($D$2="A",
(D25-G25)*IFERROR(VLOOKUP(C25,'1.a Assumptions'!$G$14:$I$29,2,FALSE),0),
(D25-G25)*100%*(C25=$D$5-1))</f>
        <v>3.8436835262692225E-2</v>
      </c>
      <c r="G25" s="106">
        <f ca="1">IF($D$2="A",
D25*IFERROR(VLOOKUP(C25,'1.a Assumptions'!$G$14:$I$29,3,FALSE),0),
0)</f>
        <v>2.9622734122456123E-4</v>
      </c>
      <c r="H25" s="106">
        <f t="shared" ca="1" si="5"/>
        <v>0.15374734105076887</v>
      </c>
      <c r="J25" s="60">
        <f t="shared" si="6"/>
        <v>54</v>
      </c>
      <c r="K25" s="139">
        <f ca="1">K$11*D25</f>
        <v>2.8872060548202851</v>
      </c>
      <c r="L25" s="136"/>
      <c r="M25" s="136"/>
      <c r="N25" s="136"/>
      <c r="O25" s="136"/>
      <c r="P25" s="136"/>
      <c r="Q25" s="136"/>
      <c r="R25" s="136"/>
      <c r="S25" s="136"/>
      <c r="T25" s="136"/>
      <c r="U25" s="136"/>
      <c r="V25" s="136"/>
      <c r="W25" s="136"/>
      <c r="X25" s="136"/>
      <c r="Y25" s="136"/>
      <c r="AA25" s="118"/>
    </row>
    <row r="26" spans="1:27" ht="15" customHeight="1" x14ac:dyDescent="0.3">
      <c r="A26" s="13"/>
      <c r="B26" s="60">
        <f t="shared" si="8"/>
        <v>15</v>
      </c>
      <c r="C26" s="74">
        <f t="shared" si="3"/>
        <v>55</v>
      </c>
      <c r="D26" s="106">
        <f t="shared" ca="1" si="9"/>
        <v>0.15374734105076887</v>
      </c>
      <c r="E26" s="106">
        <f t="shared" ca="1" si="4"/>
        <v>0</v>
      </c>
      <c r="F26" s="106">
        <f ca="1">IF($D$2="A",
(D26-G26)*IFERROR(VLOOKUP(C26,'1.a Assumptions'!$G$14:$I$29,2,FALSE),0),
(D26-G26)*100%*(C26=$D$5-1))</f>
        <v>3.0697701480421981E-2</v>
      </c>
      <c r="G26" s="106">
        <f ca="1">IF($D$2="A",
D26*IFERROR(VLOOKUP(C26,'1.a Assumptions'!$G$14:$I$29,3,FALSE),0),
0)</f>
        <v>2.588336486589694E-4</v>
      </c>
      <c r="H26" s="106">
        <f t="shared" ca="1" si="5"/>
        <v>0.12279080592168792</v>
      </c>
      <c r="J26" s="60"/>
      <c r="K26" s="116"/>
      <c r="L26" s="116"/>
      <c r="M26" s="116"/>
      <c r="N26" s="116"/>
      <c r="O26" s="116"/>
      <c r="P26" s="116"/>
      <c r="Q26" s="116"/>
      <c r="R26" s="116"/>
      <c r="S26" s="116"/>
      <c r="T26" s="116"/>
      <c r="U26" s="116"/>
      <c r="V26" s="116"/>
      <c r="W26" s="116"/>
      <c r="X26" s="116"/>
      <c r="Y26" s="116"/>
    </row>
    <row r="27" spans="1:27" ht="15" customHeight="1" x14ac:dyDescent="0.3">
      <c r="A27" s="13"/>
      <c r="B27" s="60">
        <f t="shared" si="8"/>
        <v>16</v>
      </c>
      <c r="C27" s="74">
        <f t="shared" si="3"/>
        <v>56</v>
      </c>
      <c r="D27" s="106">
        <f t="shared" ca="1" si="9"/>
        <v>0.12279080592168792</v>
      </c>
      <c r="E27" s="106">
        <f t="shared" ca="1" si="4"/>
        <v>0</v>
      </c>
      <c r="F27" s="106">
        <f ca="1">IF($D$2="A",
(D27-G27)*IFERROR(VLOOKUP(C27,'1.a Assumptions'!$G$14:$I$29,2,FALSE),0),
(D27-G27)*100%*(C27=$D$5-1))</f>
        <v>2.4512949609597223E-2</v>
      </c>
      <c r="G27" s="106">
        <f ca="1">IF($D$2="A",
D27*IFERROR(VLOOKUP(C27,'1.a Assumptions'!$G$14:$I$29,3,FALSE),0),
0)</f>
        <v>2.2605787370182746E-4</v>
      </c>
      <c r="H27" s="106">
        <f t="shared" ca="1" si="5"/>
        <v>9.8051798438388876E-2</v>
      </c>
      <c r="J27" s="129" t="s">
        <v>18</v>
      </c>
      <c r="K27" s="130">
        <f ca="1">K25+L24+M23+N22+O21+P20+Q19+R18+S17+T16+U15+V14+W13+X12+Y11</f>
        <v>9.9502464736669847</v>
      </c>
      <c r="Z27" s="117"/>
    </row>
    <row r="28" spans="1:27" ht="15" customHeight="1" x14ac:dyDescent="0.3">
      <c r="A28" s="13"/>
      <c r="B28" s="60">
        <f t="shared" si="8"/>
        <v>17</v>
      </c>
      <c r="C28" s="74">
        <f t="shared" si="3"/>
        <v>57</v>
      </c>
      <c r="D28" s="106">
        <f t="shared" ca="1" si="9"/>
        <v>9.8051798438388876E-2</v>
      </c>
      <c r="E28" s="106">
        <f t="shared" ca="1" si="4"/>
        <v>0</v>
      </c>
      <c r="F28" s="106">
        <f ca="1">IF($D$2="A",
(D28-G28)*IFERROR(VLOOKUP(C28,'1.a Assumptions'!$G$14:$I$29,2,FALSE),0),
(D28-G28)*100%*(C28=$D$5-1))</f>
        <v>1.9570835007727262E-2</v>
      </c>
      <c r="G28" s="106">
        <f ca="1">IF($D$2="A",
D28*IFERROR(VLOOKUP(C28,'1.a Assumptions'!$G$14:$I$29,3,FALSE),0),
0)</f>
        <v>1.9762339975257277E-4</v>
      </c>
      <c r="H28" s="106">
        <f t="shared" ca="1" si="5"/>
        <v>7.8283340030909046E-2</v>
      </c>
      <c r="K28" s="116"/>
      <c r="Z28" s="117"/>
    </row>
    <row r="29" spans="1:27" ht="15" customHeight="1" x14ac:dyDescent="0.3">
      <c r="A29" s="13"/>
      <c r="B29" s="60">
        <f t="shared" si="8"/>
        <v>18</v>
      </c>
      <c r="C29" s="74">
        <f t="shared" si="3"/>
        <v>58</v>
      </c>
      <c r="D29" s="106">
        <f t="shared" ca="1" si="9"/>
        <v>7.8283340030909046E-2</v>
      </c>
      <c r="E29" s="106">
        <f t="shared" ca="1" si="4"/>
        <v>0</v>
      </c>
      <c r="F29" s="106">
        <f ca="1">IF($D$2="A",
(D29-G29)*IFERROR(VLOOKUP(C29,'1.a Assumptions'!$G$14:$I$29,2,FALSE),0),
(D29-G29)*100%*(C29=$D$5-1))</f>
        <v>1.562207459822215E-2</v>
      </c>
      <c r="G29" s="106">
        <f ca="1">IF($D$2="A",
D29*IFERROR(VLOOKUP(C29,'1.a Assumptions'!$G$14:$I$29,3,FALSE),0),
0)</f>
        <v>1.7296703979829354E-4</v>
      </c>
      <c r="H29" s="106">
        <f t="shared" ca="1" si="5"/>
        <v>6.2488298392888601E-2</v>
      </c>
      <c r="Z29" s="117"/>
    </row>
    <row r="30" spans="1:27" ht="15" customHeight="1" x14ac:dyDescent="0.3">
      <c r="A30" s="13"/>
      <c r="B30" s="60">
        <f t="shared" si="8"/>
        <v>19</v>
      </c>
      <c r="C30" s="74">
        <f t="shared" si="3"/>
        <v>59</v>
      </c>
      <c r="D30" s="106">
        <f t="shared" ca="1" si="9"/>
        <v>6.2488298392888601E-2</v>
      </c>
      <c r="E30" s="106">
        <f t="shared" ca="1" si="4"/>
        <v>0</v>
      </c>
      <c r="F30" s="106">
        <f ca="1">IF($D$2="A",
(D30-G30)*IFERROR(VLOOKUP(C30,'1.a Assumptions'!$G$14:$I$29,2,FALSE),0),
(D30-G30)*100%*(C30=$D$5-1))</f>
        <v>1.2467315360878134E-2</v>
      </c>
      <c r="G30" s="106">
        <f ca="1">IF($D$2="A",
D30*IFERROR(VLOOKUP(C30,'1.a Assumptions'!$G$14:$I$29,3,FALSE),0),
0)</f>
        <v>1.5172158849793352E-4</v>
      </c>
      <c r="H30" s="106">
        <f t="shared" ca="1" si="5"/>
        <v>4.9869261443512537E-2</v>
      </c>
    </row>
    <row r="31" spans="1:27" ht="15" customHeight="1" x14ac:dyDescent="0.3">
      <c r="A31" s="13"/>
      <c r="B31" s="60">
        <f t="shared" si="8"/>
        <v>20</v>
      </c>
      <c r="C31" s="74">
        <f t="shared" si="3"/>
        <v>60</v>
      </c>
      <c r="D31" s="106">
        <f t="shared" ca="1" si="9"/>
        <v>4.9869261443512537E-2</v>
      </c>
      <c r="E31" s="106">
        <f t="shared" ca="1" si="4"/>
        <v>0</v>
      </c>
      <c r="F31" s="106">
        <f ca="1">IF($D$2="A",
(D31-G31)*IFERROR(VLOOKUP(C31,'1.a Assumptions'!$G$14:$I$29,2,FALSE),0),
(D31-G31)*100%*(C31=$D$5-1))</f>
        <v>9.9471822076825176E-3</v>
      </c>
      <c r="G31" s="106">
        <f ca="1">IF($D$2="A",
D31*IFERROR(VLOOKUP(C31,'1.a Assumptions'!$G$14:$I$29,3,FALSE),0),
0)</f>
        <v>1.3335040509995254E-4</v>
      </c>
      <c r="H31" s="106">
        <f t="shared" ca="1" si="5"/>
        <v>3.978872883073007E-2</v>
      </c>
    </row>
    <row r="32" spans="1:27" ht="15" customHeight="1" x14ac:dyDescent="0.3">
      <c r="A32" s="13"/>
      <c r="B32" s="60">
        <f t="shared" si="8"/>
        <v>21</v>
      </c>
      <c r="C32" s="74">
        <f t="shared" si="3"/>
        <v>61</v>
      </c>
      <c r="D32" s="106">
        <f t="shared" ca="1" si="9"/>
        <v>3.978872883073007E-2</v>
      </c>
      <c r="E32" s="106">
        <f t="shared" ca="1" si="4"/>
        <v>0</v>
      </c>
      <c r="F32" s="106">
        <f ca="1">IF($D$2="A",
(D32-G32)*IFERROR(VLOOKUP(C32,'1.a Assumptions'!$G$14:$I$29,2,FALSE),0),
(D32-G32)*100%*(C32=$D$5-1))</f>
        <v>7.9342545006443523E-3</v>
      </c>
      <c r="G32" s="106">
        <f ca="1">IF($D$2="A",
D32*IFERROR(VLOOKUP(C32,'1.a Assumptions'!$G$14:$I$29,3,FALSE),0),
0)</f>
        <v>1.1745632750831515E-4</v>
      </c>
      <c r="H32" s="106">
        <f t="shared" ca="1" si="5"/>
        <v>3.1737018002577402E-2</v>
      </c>
    </row>
    <row r="33" spans="1:8" ht="15" customHeight="1" x14ac:dyDescent="0.3">
      <c r="A33" s="13"/>
      <c r="B33" s="60">
        <f t="shared" si="8"/>
        <v>22</v>
      </c>
      <c r="C33" s="74">
        <f t="shared" si="3"/>
        <v>62</v>
      </c>
      <c r="D33" s="106">
        <f t="shared" ca="1" si="9"/>
        <v>3.1737018002577402E-2</v>
      </c>
      <c r="E33" s="106">
        <f t="shared" ca="1" si="4"/>
        <v>0</v>
      </c>
      <c r="F33" s="106">
        <f ca="1">IF($D$2="A",
(D33-G33)*IFERROR(VLOOKUP(C33,'1.a Assumptions'!$G$14:$I$29,2,FALSE),0),
(D33-G33)*100%*(C33=$D$5-1))</f>
        <v>6.326676154057998E-3</v>
      </c>
      <c r="G33" s="106">
        <f ca="1">IF($D$2="A",
D33*IFERROR(VLOOKUP(C33,'1.a Assumptions'!$G$14:$I$29,3,FALSE),0),
0)</f>
        <v>1.036372322874165E-4</v>
      </c>
      <c r="H33" s="106">
        <f t="shared" ca="1" si="5"/>
        <v>2.5306704616231988E-2</v>
      </c>
    </row>
    <row r="34" spans="1:8" ht="15" customHeight="1" x14ac:dyDescent="0.3">
      <c r="A34" s="13"/>
      <c r="B34" s="60">
        <f t="shared" si="8"/>
        <v>23</v>
      </c>
      <c r="C34" s="74">
        <f t="shared" si="3"/>
        <v>63</v>
      </c>
      <c r="D34" s="106">
        <f t="shared" ca="1" si="9"/>
        <v>2.5306704616231988E-2</v>
      </c>
      <c r="E34" s="106">
        <f t="shared" ca="1" si="4"/>
        <v>0</v>
      </c>
      <c r="F34" s="106">
        <f ca="1">IF($D$2="A",
(D34-G34)*IFERROR(VLOOKUP(C34,'1.a Assumptions'!$G$14:$I$29,2,FALSE),0),
(D34-G34)*100%*(C34=$D$5-1))</f>
        <v>5.0430213997747081E-3</v>
      </c>
      <c r="G34" s="106">
        <f ca="1">IF($D$2="A",
D34*IFERROR(VLOOKUP(C34,'1.a Assumptions'!$G$14:$I$29,3,FALSE),0),
0)</f>
        <v>9.1597617358451684E-5</v>
      </c>
      <c r="H34" s="106">
        <f t="shared" ca="1" si="5"/>
        <v>2.0172085599098829E-2</v>
      </c>
    </row>
    <row r="35" spans="1:8" ht="15" customHeight="1" x14ac:dyDescent="0.3">
      <c r="A35" s="13"/>
      <c r="B35" s="60">
        <f t="shared" si="8"/>
        <v>24</v>
      </c>
      <c r="C35" s="74">
        <f t="shared" si="3"/>
        <v>64</v>
      </c>
      <c r="D35" s="106">
        <f t="shared" ca="1" si="9"/>
        <v>2.0172085599098829E-2</v>
      </c>
      <c r="E35" s="106">
        <f t="shared" ca="1" si="4"/>
        <v>0</v>
      </c>
      <c r="F35" s="106">
        <f ca="1">IF($D$2="A",
(D35-G35)*IFERROR(VLOOKUP(C35,'1.a Assumptions'!$G$14:$I$29,2,FALSE),0),
(D35-G35)*100%*(C35=$D$5-1))</f>
        <v>2.0172085599098829E-2</v>
      </c>
      <c r="G35" s="106">
        <f ca="1">IF($D$2="A",
D35*IFERROR(VLOOKUP(C35,'1.a Assumptions'!$G$14:$I$29,3,FALSE),0),
0)</f>
        <v>0</v>
      </c>
      <c r="H35" s="106">
        <f t="shared" ca="1" si="5"/>
        <v>0</v>
      </c>
    </row>
    <row r="36" spans="1:8" ht="15" customHeight="1" x14ac:dyDescent="0.3">
      <c r="A36" s="13"/>
      <c r="B36" s="60">
        <f t="shared" si="8"/>
        <v>25</v>
      </c>
      <c r="C36" s="74">
        <f t="shared" si="3"/>
        <v>65</v>
      </c>
      <c r="D36" s="106">
        <f t="shared" ca="1" si="9"/>
        <v>0</v>
      </c>
      <c r="E36" s="106">
        <f t="shared" ca="1" si="4"/>
        <v>0</v>
      </c>
      <c r="F36" s="106">
        <f ca="1">IF($D$2="A",
(D36-G36)*IFERROR(VLOOKUP(C36,'1.a Assumptions'!$G$14:$I$29,2,FALSE),0),
(D36-G36)*100%*(C36=$D$5-1))</f>
        <v>0</v>
      </c>
      <c r="G36" s="106">
        <f ca="1">IF($D$2="A",
D36*IFERROR(VLOOKUP(C36,'1.a Assumptions'!$G$14:$I$29,3,FALSE),0),
0)</f>
        <v>0</v>
      </c>
      <c r="H36" s="106">
        <f t="shared" ca="1" si="5"/>
        <v>0</v>
      </c>
    </row>
    <row r="37" spans="1:8" ht="15" customHeight="1" x14ac:dyDescent="0.3">
      <c r="A37" s="13"/>
      <c r="B37" s="60">
        <f t="shared" si="8"/>
        <v>26</v>
      </c>
      <c r="C37" s="74">
        <f t="shared" si="3"/>
        <v>66</v>
      </c>
      <c r="D37" s="106">
        <f t="shared" ca="1" si="9"/>
        <v>0</v>
      </c>
      <c r="E37" s="106">
        <f t="shared" ca="1" si="4"/>
        <v>0</v>
      </c>
      <c r="F37" s="106">
        <f ca="1">IF($D$2="A",
(D37-G37)*IFERROR(VLOOKUP(C37,'1.a Assumptions'!$G$14:$I$29,2,FALSE),0),
(D37-G37)*100%*(C37=$D$5-1))</f>
        <v>0</v>
      </c>
      <c r="G37" s="106">
        <f ca="1">IF($D$2="A",
D37*IFERROR(VLOOKUP(C37,'1.a Assumptions'!$G$14:$I$29,3,FALSE),0),
0)</f>
        <v>0</v>
      </c>
      <c r="H37" s="106">
        <f t="shared" ca="1" si="5"/>
        <v>0</v>
      </c>
    </row>
    <row r="38" spans="1:8" ht="15" customHeight="1" x14ac:dyDescent="0.3">
      <c r="A38" s="13"/>
      <c r="B38" s="60">
        <f t="shared" si="8"/>
        <v>27</v>
      </c>
      <c r="C38" s="74">
        <f t="shared" si="3"/>
        <v>67</v>
      </c>
      <c r="D38" s="106">
        <f t="shared" ca="1" si="9"/>
        <v>0</v>
      </c>
      <c r="E38" s="106">
        <f t="shared" ca="1" si="4"/>
        <v>0</v>
      </c>
      <c r="F38" s="106">
        <f ca="1">IF($D$2="A",
(D38-G38)*IFERROR(VLOOKUP(C38,'1.a Assumptions'!$G$14:$I$29,2,FALSE),0),
(D38-G38)*100%*(C38=$D$5-1))</f>
        <v>0</v>
      </c>
      <c r="G38" s="106">
        <f ca="1">IF($D$2="A",
D38*IFERROR(VLOOKUP(C38,'1.a Assumptions'!$G$14:$I$29,3,FALSE),0),
0)</f>
        <v>0</v>
      </c>
      <c r="H38" s="106">
        <f t="shared" ca="1" si="5"/>
        <v>0</v>
      </c>
    </row>
    <row r="39" spans="1:8" ht="15" customHeight="1" x14ac:dyDescent="0.3">
      <c r="A39" s="13"/>
      <c r="B39" s="60">
        <f t="shared" si="8"/>
        <v>28</v>
      </c>
      <c r="C39" s="74">
        <f t="shared" si="3"/>
        <v>68</v>
      </c>
      <c r="D39" s="106">
        <f t="shared" ca="1" si="9"/>
        <v>0</v>
      </c>
      <c r="E39" s="106">
        <f t="shared" ca="1" si="4"/>
        <v>0</v>
      </c>
      <c r="F39" s="106">
        <f ca="1">IF($D$2="A",
(D39-G39)*IFERROR(VLOOKUP(C39,'1.a Assumptions'!$G$14:$I$29,2,FALSE),0),
(D39-G39)*100%*(C39=$D$5-1))</f>
        <v>0</v>
      </c>
      <c r="G39" s="106">
        <f ca="1">IF($D$2="A",
D39*IFERROR(VLOOKUP(C39,'1.a Assumptions'!$G$14:$I$29,3,FALSE),0),
0)</f>
        <v>0</v>
      </c>
      <c r="H39" s="106">
        <f t="shared" ca="1" si="5"/>
        <v>0</v>
      </c>
    </row>
    <row r="40" spans="1:8" ht="15" customHeight="1" x14ac:dyDescent="0.3">
      <c r="A40" s="13"/>
      <c r="B40" s="60">
        <f t="shared" si="8"/>
        <v>29</v>
      </c>
      <c r="C40" s="74">
        <f t="shared" si="3"/>
        <v>69</v>
      </c>
      <c r="D40" s="106">
        <f t="shared" ca="1" si="9"/>
        <v>0</v>
      </c>
      <c r="E40" s="106">
        <f t="shared" ca="1" si="4"/>
        <v>0</v>
      </c>
      <c r="F40" s="106">
        <f ca="1">IF($D$2="A",
(D40-G40)*IFERROR(VLOOKUP(C40,'1.a Assumptions'!$G$14:$I$29,2,FALSE),0),
(D40-G40)*100%*(C40=$D$5-1))</f>
        <v>0</v>
      </c>
      <c r="G40" s="106">
        <f ca="1">IF($D$2="A",
D40*IFERROR(VLOOKUP(C40,'1.a Assumptions'!$G$14:$I$29,3,FALSE),0),
0)</f>
        <v>0</v>
      </c>
      <c r="H40" s="106">
        <f t="shared" ca="1" si="5"/>
        <v>0</v>
      </c>
    </row>
    <row r="41" spans="1:8" ht="15" customHeight="1" x14ac:dyDescent="0.3">
      <c r="A41" s="13"/>
      <c r="B41" s="60">
        <f t="shared" si="8"/>
        <v>30</v>
      </c>
      <c r="C41" s="74">
        <f t="shared" si="3"/>
        <v>70</v>
      </c>
      <c r="D41" s="106">
        <f t="shared" ca="1" si="9"/>
        <v>0</v>
      </c>
      <c r="E41" s="106">
        <f t="shared" ca="1" si="4"/>
        <v>0</v>
      </c>
      <c r="F41" s="106">
        <f ca="1">IF($D$2="A",
(D41-G41)*IFERROR(VLOOKUP(C41,'1.a Assumptions'!$G$14:$I$29,2,FALSE),0),
(D41-G41)*100%*(C41=$D$5-1))</f>
        <v>0</v>
      </c>
      <c r="G41" s="106">
        <f ca="1">IF($D$2="A",
D41*IFERROR(VLOOKUP(C41,'1.a Assumptions'!$G$14:$I$29,3,FALSE),0),
0)</f>
        <v>0</v>
      </c>
      <c r="H41" s="106">
        <f t="shared" ca="1" si="5"/>
        <v>0</v>
      </c>
    </row>
    <row r="42" spans="1:8" ht="15" customHeight="1" x14ac:dyDescent="0.3">
      <c r="A42" s="13"/>
      <c r="B42" s="60">
        <f t="shared" si="8"/>
        <v>31</v>
      </c>
      <c r="C42" s="74">
        <f t="shared" si="3"/>
        <v>71</v>
      </c>
      <c r="D42" s="106">
        <f t="shared" ca="1" si="9"/>
        <v>0</v>
      </c>
      <c r="E42" s="106">
        <f t="shared" ca="1" si="4"/>
        <v>0</v>
      </c>
      <c r="F42" s="106">
        <f ca="1">IF($D$2="A",
(D42-G42)*IFERROR(VLOOKUP(C42,'1.a Assumptions'!$G$14:$I$29,2,FALSE),0),
(D42-G42)*100%*(C42=$D$5-1))</f>
        <v>0</v>
      </c>
      <c r="G42" s="106">
        <f ca="1">IF($D$2="A",
D42*IFERROR(VLOOKUP(C42,'1.a Assumptions'!$G$14:$I$29,3,FALSE),0),
0)</f>
        <v>0</v>
      </c>
      <c r="H42" s="106">
        <f t="shared" ca="1" si="5"/>
        <v>0</v>
      </c>
    </row>
    <row r="43" spans="1:8" ht="15" customHeight="1" x14ac:dyDescent="0.3">
      <c r="A43" s="13"/>
      <c r="B43" s="60">
        <f t="shared" si="8"/>
        <v>32</v>
      </c>
      <c r="C43" s="74">
        <f t="shared" si="3"/>
        <v>72</v>
      </c>
      <c r="D43" s="106">
        <f t="shared" ca="1" si="9"/>
        <v>0</v>
      </c>
      <c r="E43" s="106">
        <f t="shared" ca="1" si="4"/>
        <v>0</v>
      </c>
      <c r="F43" s="106">
        <f ca="1">IF($D$2="A",
(D43-G43)*IFERROR(VLOOKUP(C43,'1.a Assumptions'!$G$14:$I$29,2,FALSE),0),
(D43-G43)*100%*(C43=$D$5-1))</f>
        <v>0</v>
      </c>
      <c r="G43" s="106">
        <f ca="1">IF($D$2="A",
D43*IFERROR(VLOOKUP(C43,'1.a Assumptions'!$G$14:$I$29,3,FALSE),0),
0)</f>
        <v>0</v>
      </c>
      <c r="H43" s="106">
        <f t="shared" ca="1" si="5"/>
        <v>0</v>
      </c>
    </row>
    <row r="44" spans="1:8" ht="15" customHeight="1" x14ac:dyDescent="0.3">
      <c r="A44" s="13"/>
      <c r="B44" s="60">
        <f t="shared" si="8"/>
        <v>33</v>
      </c>
      <c r="C44" s="74">
        <f t="shared" ref="C44:C75" si="11">IF(C43="","",IF($D$2="A",C43+1,IF(C43+1&gt;$D$5,"",C43+1)))</f>
        <v>73</v>
      </c>
      <c r="D44" s="106">
        <f t="shared" ca="1" si="9"/>
        <v>0</v>
      </c>
      <c r="E44" s="106">
        <f t="shared" ca="1" si="4"/>
        <v>0</v>
      </c>
      <c r="F44" s="106">
        <f ca="1">IF($D$2="A",
(D44-G44)*IFERROR(VLOOKUP(C44,'1.a Assumptions'!$G$14:$I$29,2,FALSE),0),
(D44-G44)*100%*(C44=$D$5-1))</f>
        <v>0</v>
      </c>
      <c r="G44" s="106">
        <f ca="1">IF($D$2="A",
D44*IFERROR(VLOOKUP(C44,'1.a Assumptions'!$G$14:$I$29,3,FALSE),0),
0)</f>
        <v>0</v>
      </c>
      <c r="H44" s="106">
        <f t="shared" ca="1" si="5"/>
        <v>0</v>
      </c>
    </row>
    <row r="45" spans="1:8" ht="15" customHeight="1" x14ac:dyDescent="0.3">
      <c r="A45" s="13"/>
      <c r="B45" s="60">
        <f t="shared" si="8"/>
        <v>34</v>
      </c>
      <c r="C45" s="74">
        <f t="shared" si="11"/>
        <v>74</v>
      </c>
      <c r="D45" s="106">
        <f t="shared" ca="1" si="9"/>
        <v>0</v>
      </c>
      <c r="E45" s="106">
        <f t="shared" ca="1" si="4"/>
        <v>0</v>
      </c>
      <c r="F45" s="106">
        <f ca="1">IF($D$2="A",
(D45-G45)*IFERROR(VLOOKUP(C45,'1.a Assumptions'!$G$14:$I$29,2,FALSE),0),
(D45-G45)*100%*(C45=$D$5-1))</f>
        <v>0</v>
      </c>
      <c r="G45" s="106">
        <f ca="1">IF($D$2="A",
D45*IFERROR(VLOOKUP(C45,'1.a Assumptions'!$G$14:$I$29,3,FALSE),0),
0)</f>
        <v>0</v>
      </c>
      <c r="H45" s="106">
        <f t="shared" ca="1" si="5"/>
        <v>0</v>
      </c>
    </row>
    <row r="46" spans="1:8" ht="15" customHeight="1" x14ac:dyDescent="0.3">
      <c r="A46" s="13"/>
      <c r="B46" s="60">
        <f t="shared" si="8"/>
        <v>35</v>
      </c>
      <c r="C46" s="74">
        <f t="shared" si="11"/>
        <v>75</v>
      </c>
      <c r="D46" s="106">
        <f t="shared" ca="1" si="9"/>
        <v>0</v>
      </c>
      <c r="E46" s="106">
        <f t="shared" ca="1" si="4"/>
        <v>0</v>
      </c>
      <c r="F46" s="106">
        <f ca="1">IF($D$2="A",
(D46-G46)*IFERROR(VLOOKUP(C46,'1.a Assumptions'!$G$14:$I$29,2,FALSE),0),
(D46-G46)*100%*(C46=$D$5-1))</f>
        <v>0</v>
      </c>
      <c r="G46" s="106">
        <f ca="1">IF($D$2="A",
D46*IFERROR(VLOOKUP(C46,'1.a Assumptions'!$G$14:$I$29,3,FALSE),0),
0)</f>
        <v>0</v>
      </c>
      <c r="H46" s="106">
        <f t="shared" ca="1" si="5"/>
        <v>0</v>
      </c>
    </row>
    <row r="47" spans="1:8" ht="15" customHeight="1" x14ac:dyDescent="0.3">
      <c r="A47" s="13"/>
      <c r="B47" s="60">
        <f t="shared" si="8"/>
        <v>36</v>
      </c>
      <c r="C47" s="74">
        <f t="shared" si="11"/>
        <v>76</v>
      </c>
      <c r="D47" s="106">
        <f t="shared" ca="1" si="9"/>
        <v>0</v>
      </c>
      <c r="E47" s="106">
        <f t="shared" ca="1" si="4"/>
        <v>0</v>
      </c>
      <c r="F47" s="106">
        <f ca="1">IF($D$2="A",
(D47-G47)*IFERROR(VLOOKUP(C47,'1.a Assumptions'!$G$14:$I$29,2,FALSE),0),
(D47-G47)*100%*(C47=$D$5-1))</f>
        <v>0</v>
      </c>
      <c r="G47" s="106">
        <f ca="1">IF($D$2="A",
D47*IFERROR(VLOOKUP(C47,'1.a Assumptions'!$G$14:$I$29,3,FALSE),0),
0)</f>
        <v>0</v>
      </c>
      <c r="H47" s="106">
        <f t="shared" ca="1" si="5"/>
        <v>0</v>
      </c>
    </row>
    <row r="48" spans="1:8" ht="15" customHeight="1" x14ac:dyDescent="0.3">
      <c r="A48" s="13"/>
      <c r="B48" s="60">
        <f t="shared" si="8"/>
        <v>37</v>
      </c>
      <c r="C48" s="74">
        <f t="shared" si="11"/>
        <v>77</v>
      </c>
      <c r="D48" s="106">
        <f t="shared" ca="1" si="9"/>
        <v>0</v>
      </c>
      <c r="E48" s="106">
        <f t="shared" ca="1" si="4"/>
        <v>0</v>
      </c>
      <c r="F48" s="106">
        <f ca="1">IF($D$2="A",
(D48-G48)*IFERROR(VLOOKUP(C48,'1.a Assumptions'!$G$14:$I$29,2,FALSE),0),
(D48-G48)*100%*(C48=$D$5-1))</f>
        <v>0</v>
      </c>
      <c r="G48" s="106">
        <f ca="1">IF($D$2="A",
D48*IFERROR(VLOOKUP(C48,'1.a Assumptions'!$G$14:$I$29,3,FALSE),0),
0)</f>
        <v>0</v>
      </c>
      <c r="H48" s="106">
        <f t="shared" ca="1" si="5"/>
        <v>0</v>
      </c>
    </row>
    <row r="49" spans="1:8" ht="15" customHeight="1" x14ac:dyDescent="0.3">
      <c r="A49" s="13"/>
      <c r="B49" s="60">
        <f t="shared" si="8"/>
        <v>38</v>
      </c>
      <c r="C49" s="74">
        <f t="shared" si="11"/>
        <v>78</v>
      </c>
      <c r="D49" s="106">
        <f t="shared" ca="1" si="9"/>
        <v>0</v>
      </c>
      <c r="E49" s="106">
        <f t="shared" ca="1" si="4"/>
        <v>0</v>
      </c>
      <c r="F49" s="106">
        <f ca="1">IF($D$2="A",
(D49-G49)*IFERROR(VLOOKUP(C49,'1.a Assumptions'!$G$14:$I$29,2,FALSE),0),
(D49-G49)*100%*(C49=$D$5-1))</f>
        <v>0</v>
      </c>
      <c r="G49" s="106">
        <f ca="1">IF($D$2="A",
D49*IFERROR(VLOOKUP(C49,'1.a Assumptions'!$G$14:$I$29,3,FALSE),0),
0)</f>
        <v>0</v>
      </c>
      <c r="H49" s="106">
        <f t="shared" ca="1" si="5"/>
        <v>0</v>
      </c>
    </row>
    <row r="50" spans="1:8" ht="15" customHeight="1" x14ac:dyDescent="0.3">
      <c r="A50" s="13"/>
      <c r="B50" s="60">
        <f t="shared" si="8"/>
        <v>39</v>
      </c>
      <c r="C50" s="74">
        <f t="shared" si="11"/>
        <v>79</v>
      </c>
      <c r="D50" s="106">
        <f t="shared" ca="1" si="9"/>
        <v>0</v>
      </c>
      <c r="E50" s="106">
        <f t="shared" ca="1" si="4"/>
        <v>0</v>
      </c>
      <c r="F50" s="106">
        <f ca="1">IF($D$2="A",
(D50-G50)*IFERROR(VLOOKUP(C50,'1.a Assumptions'!$G$14:$I$29,2,FALSE),0),
(D50-G50)*100%*(C50=$D$5-1))</f>
        <v>0</v>
      </c>
      <c r="G50" s="106">
        <f ca="1">IF($D$2="A",
D50*IFERROR(VLOOKUP(C50,'1.a Assumptions'!$G$14:$I$29,3,FALSE),0),
0)</f>
        <v>0</v>
      </c>
      <c r="H50" s="106">
        <f t="shared" ca="1" si="5"/>
        <v>0</v>
      </c>
    </row>
    <row r="51" spans="1:8" ht="15" customHeight="1" x14ac:dyDescent="0.3">
      <c r="A51" s="13"/>
      <c r="B51" s="60">
        <f t="shared" si="8"/>
        <v>40</v>
      </c>
      <c r="C51" s="74">
        <f t="shared" si="11"/>
        <v>80</v>
      </c>
      <c r="D51" s="106">
        <f t="shared" ca="1" si="9"/>
        <v>0</v>
      </c>
      <c r="E51" s="106">
        <f t="shared" ca="1" si="4"/>
        <v>0</v>
      </c>
      <c r="F51" s="106">
        <f ca="1">IF($D$2="A",
(D51-G51)*IFERROR(VLOOKUP(C51,'1.a Assumptions'!$G$14:$I$29,2,FALSE),0),
(D51-G51)*100%*(C51=$D$5-1))</f>
        <v>0</v>
      </c>
      <c r="G51" s="106">
        <f ca="1">IF($D$2="A",
D51*IFERROR(VLOOKUP(C51,'1.a Assumptions'!$G$14:$I$29,3,FALSE),0),
0)</f>
        <v>0</v>
      </c>
      <c r="H51" s="106">
        <f t="shared" ca="1" si="5"/>
        <v>0</v>
      </c>
    </row>
    <row r="52" spans="1:8" ht="15" customHeight="1" x14ac:dyDescent="0.3">
      <c r="A52" s="13"/>
      <c r="B52" s="60">
        <f t="shared" si="8"/>
        <v>41</v>
      </c>
      <c r="C52" s="74">
        <f t="shared" si="11"/>
        <v>81</v>
      </c>
      <c r="D52" s="106">
        <f t="shared" ca="1" si="9"/>
        <v>0</v>
      </c>
      <c r="E52" s="106">
        <f t="shared" ca="1" si="4"/>
        <v>0</v>
      </c>
      <c r="F52" s="106">
        <f ca="1">IF($D$2="A",
(D52-G52)*IFERROR(VLOOKUP(C52,'1.a Assumptions'!$G$14:$I$29,2,FALSE),0),
(D52-G52)*100%*(C52=$D$5-1))</f>
        <v>0</v>
      </c>
      <c r="G52" s="106">
        <f ca="1">IF($D$2="A",
D52*IFERROR(VLOOKUP(C52,'1.a Assumptions'!$G$14:$I$29,3,FALSE),0),
0)</f>
        <v>0</v>
      </c>
      <c r="H52" s="106">
        <f t="shared" ca="1" si="5"/>
        <v>0</v>
      </c>
    </row>
    <row r="53" spans="1:8" ht="15" customHeight="1" x14ac:dyDescent="0.3">
      <c r="A53" s="13"/>
      <c r="B53" s="60">
        <f t="shared" si="8"/>
        <v>42</v>
      </c>
      <c r="C53" s="74">
        <f t="shared" si="11"/>
        <v>82</v>
      </c>
      <c r="D53" s="106">
        <f t="shared" ca="1" si="9"/>
        <v>0</v>
      </c>
      <c r="E53" s="106">
        <f t="shared" ca="1" si="4"/>
        <v>0</v>
      </c>
      <c r="F53" s="106">
        <f ca="1">IF($D$2="A",
(D53-G53)*IFERROR(VLOOKUP(C53,'1.a Assumptions'!$G$14:$I$29,2,FALSE),0),
(D53-G53)*100%*(C53=$D$5-1))</f>
        <v>0</v>
      </c>
      <c r="G53" s="106">
        <f ca="1">IF($D$2="A",
D53*IFERROR(VLOOKUP(C53,'1.a Assumptions'!$G$14:$I$29,3,FALSE),0),
0)</f>
        <v>0</v>
      </c>
      <c r="H53" s="106">
        <f t="shared" ca="1" si="5"/>
        <v>0</v>
      </c>
    </row>
    <row r="54" spans="1:8" ht="15" customHeight="1" x14ac:dyDescent="0.3">
      <c r="A54" s="13"/>
      <c r="B54" s="60">
        <f t="shared" si="8"/>
        <v>43</v>
      </c>
      <c r="C54" s="74">
        <f t="shared" si="11"/>
        <v>83</v>
      </c>
      <c r="D54" s="106">
        <f t="shared" ca="1" si="9"/>
        <v>0</v>
      </c>
      <c r="E54" s="106">
        <f t="shared" ca="1" si="4"/>
        <v>0</v>
      </c>
      <c r="F54" s="106">
        <f ca="1">IF($D$2="A",
(D54-G54)*IFERROR(VLOOKUP(C54,'1.a Assumptions'!$G$14:$I$29,2,FALSE),0),
(D54-G54)*100%*(C54=$D$5-1))</f>
        <v>0</v>
      </c>
      <c r="G54" s="106">
        <f ca="1">IF($D$2="A",
D54*IFERROR(VLOOKUP(C54,'1.a Assumptions'!$G$14:$I$29,3,FALSE),0),
0)</f>
        <v>0</v>
      </c>
      <c r="H54" s="106">
        <f t="shared" ca="1" si="5"/>
        <v>0</v>
      </c>
    </row>
    <row r="55" spans="1:8" ht="15" customHeight="1" x14ac:dyDescent="0.3">
      <c r="A55" s="13"/>
      <c r="B55" s="60">
        <f t="shared" si="8"/>
        <v>44</v>
      </c>
      <c r="C55" s="74">
        <f t="shared" si="11"/>
        <v>84</v>
      </c>
      <c r="D55" s="106">
        <f t="shared" ca="1" si="9"/>
        <v>0</v>
      </c>
      <c r="E55" s="106">
        <f t="shared" ca="1" si="4"/>
        <v>0</v>
      </c>
      <c r="F55" s="106">
        <f ca="1">IF($D$2="A",
(D55-G55)*IFERROR(VLOOKUP(C55,'1.a Assumptions'!$G$14:$I$29,2,FALSE),0),
(D55-G55)*100%*(C55=$D$5-1))</f>
        <v>0</v>
      </c>
      <c r="G55" s="106">
        <f ca="1">IF($D$2="A",
D55*IFERROR(VLOOKUP(C55,'1.a Assumptions'!$G$14:$I$29,3,FALSE),0),
0)</f>
        <v>0</v>
      </c>
      <c r="H55" s="106">
        <f t="shared" ca="1" si="5"/>
        <v>0</v>
      </c>
    </row>
    <row r="56" spans="1:8" ht="15" customHeight="1" x14ac:dyDescent="0.3">
      <c r="A56" s="13"/>
      <c r="B56" s="60">
        <f t="shared" si="8"/>
        <v>45</v>
      </c>
      <c r="C56" s="74">
        <f t="shared" si="11"/>
        <v>85</v>
      </c>
      <c r="D56" s="106">
        <f t="shared" ca="1" si="9"/>
        <v>0</v>
      </c>
      <c r="E56" s="106">
        <f t="shared" ca="1" si="4"/>
        <v>0</v>
      </c>
      <c r="F56" s="106">
        <f ca="1">IF($D$2="A",
(D56-G56)*IFERROR(VLOOKUP(C56,'1.a Assumptions'!$G$14:$I$29,2,FALSE),0),
(D56-G56)*100%*(C56=$D$5-1))</f>
        <v>0</v>
      </c>
      <c r="G56" s="106">
        <f ca="1">IF($D$2="A",
D56*IFERROR(VLOOKUP(C56,'1.a Assumptions'!$G$14:$I$29,3,FALSE),0),
0)</f>
        <v>0</v>
      </c>
      <c r="H56" s="106">
        <f t="shared" ca="1" si="5"/>
        <v>0</v>
      </c>
    </row>
    <row r="57" spans="1:8" ht="15" customHeight="1" x14ac:dyDescent="0.3">
      <c r="A57" s="13"/>
      <c r="B57" s="60">
        <f t="shared" si="8"/>
        <v>46</v>
      </c>
      <c r="C57" s="74">
        <f t="shared" si="11"/>
        <v>86</v>
      </c>
      <c r="D57" s="106">
        <f t="shared" ca="1" si="9"/>
        <v>0</v>
      </c>
      <c r="E57" s="106">
        <f t="shared" ca="1" si="4"/>
        <v>0</v>
      </c>
      <c r="F57" s="106">
        <f ca="1">IF($D$2="A",
(D57-G57)*IFERROR(VLOOKUP(C57,'1.a Assumptions'!$G$14:$I$29,2,FALSE),0),
(D57-G57)*100%*(C57=$D$5-1))</f>
        <v>0</v>
      </c>
      <c r="G57" s="106">
        <f ca="1">IF($D$2="A",
D57*IFERROR(VLOOKUP(C57,'1.a Assumptions'!$G$14:$I$29,3,FALSE),0),
0)</f>
        <v>0</v>
      </c>
      <c r="H57" s="106">
        <f t="shared" ca="1" si="5"/>
        <v>0</v>
      </c>
    </row>
    <row r="58" spans="1:8" ht="15" customHeight="1" x14ac:dyDescent="0.3">
      <c r="A58" s="13"/>
      <c r="B58" s="60">
        <f t="shared" si="8"/>
        <v>47</v>
      </c>
      <c r="C58" s="74">
        <f t="shared" si="11"/>
        <v>87</v>
      </c>
      <c r="D58" s="106">
        <f t="shared" ca="1" si="9"/>
        <v>0</v>
      </c>
      <c r="E58" s="106">
        <f t="shared" ca="1" si="4"/>
        <v>0</v>
      </c>
      <c r="F58" s="106">
        <f ca="1">IF($D$2="A",
(D58-G58)*IFERROR(VLOOKUP(C58,'1.a Assumptions'!$G$14:$I$29,2,FALSE),0),
(D58-G58)*100%*(C58=$D$5-1))</f>
        <v>0</v>
      </c>
      <c r="G58" s="106">
        <f ca="1">IF($D$2="A",
D58*IFERROR(VLOOKUP(C58,'1.a Assumptions'!$G$14:$I$29,3,FALSE),0),
0)</f>
        <v>0</v>
      </c>
      <c r="H58" s="106">
        <f t="shared" ca="1" si="5"/>
        <v>0</v>
      </c>
    </row>
    <row r="59" spans="1:8" ht="15" customHeight="1" x14ac:dyDescent="0.3">
      <c r="A59" s="13"/>
      <c r="B59" s="60">
        <f t="shared" si="8"/>
        <v>48</v>
      </c>
      <c r="C59" s="74">
        <f t="shared" si="11"/>
        <v>88</v>
      </c>
      <c r="D59" s="106">
        <f t="shared" ca="1" si="9"/>
        <v>0</v>
      </c>
      <c r="E59" s="106">
        <f t="shared" ca="1" si="4"/>
        <v>0</v>
      </c>
      <c r="F59" s="106">
        <f ca="1">IF($D$2="A",
(D59-G59)*IFERROR(VLOOKUP(C59,'1.a Assumptions'!$G$14:$I$29,2,FALSE),0),
(D59-G59)*100%*(C59=$D$5-1))</f>
        <v>0</v>
      </c>
      <c r="G59" s="106">
        <f ca="1">IF($D$2="A",
D59*IFERROR(VLOOKUP(C59,'1.a Assumptions'!$G$14:$I$29,3,FALSE),0),
0)</f>
        <v>0</v>
      </c>
      <c r="H59" s="106">
        <f t="shared" ca="1" si="5"/>
        <v>0</v>
      </c>
    </row>
    <row r="60" spans="1:8" ht="15" customHeight="1" x14ac:dyDescent="0.3">
      <c r="A60" s="13"/>
      <c r="B60" s="60">
        <f t="shared" si="8"/>
        <v>49</v>
      </c>
      <c r="C60" s="74">
        <f t="shared" si="11"/>
        <v>89</v>
      </c>
      <c r="D60" s="106">
        <f t="shared" ca="1" si="9"/>
        <v>0</v>
      </c>
      <c r="E60" s="106">
        <f t="shared" ca="1" si="4"/>
        <v>0</v>
      </c>
      <c r="F60" s="106">
        <f ca="1">IF($D$2="A",
(D60-G60)*IFERROR(VLOOKUP(C60,'1.a Assumptions'!$G$14:$I$29,2,FALSE),0),
(D60-G60)*100%*(C60=$D$5-1))</f>
        <v>0</v>
      </c>
      <c r="G60" s="106">
        <f ca="1">IF($D$2="A",
D60*IFERROR(VLOOKUP(C60,'1.a Assumptions'!$G$14:$I$29,3,FALSE),0),
0)</f>
        <v>0</v>
      </c>
      <c r="H60" s="106">
        <f t="shared" ca="1" si="5"/>
        <v>0</v>
      </c>
    </row>
    <row r="61" spans="1:8" ht="15" customHeight="1" x14ac:dyDescent="0.3">
      <c r="A61" s="13"/>
      <c r="B61" s="60">
        <f t="shared" si="8"/>
        <v>50</v>
      </c>
      <c r="C61" s="74">
        <f t="shared" si="11"/>
        <v>90</v>
      </c>
      <c r="D61" s="106">
        <f t="shared" ca="1" si="9"/>
        <v>0</v>
      </c>
      <c r="E61" s="106">
        <f t="shared" ca="1" si="4"/>
        <v>0</v>
      </c>
      <c r="F61" s="106">
        <f ca="1">IF($D$2="A",
(D61-G61)*IFERROR(VLOOKUP(C61,'1.a Assumptions'!$G$14:$I$29,2,FALSE),0),
(D61-G61)*100%*(C61=$D$5-1))</f>
        <v>0</v>
      </c>
      <c r="G61" s="106">
        <f ca="1">IF($D$2="A",
D61*IFERROR(VLOOKUP(C61,'1.a Assumptions'!$G$14:$I$29,3,FALSE),0),
0)</f>
        <v>0</v>
      </c>
      <c r="H61" s="106">
        <f t="shared" ca="1" si="5"/>
        <v>0</v>
      </c>
    </row>
    <row r="62" spans="1:8" ht="15" customHeight="1" x14ac:dyDescent="0.3">
      <c r="A62" s="13"/>
      <c r="B62" s="60">
        <f t="shared" si="8"/>
        <v>51</v>
      </c>
      <c r="C62" s="74">
        <f t="shared" si="11"/>
        <v>91</v>
      </c>
      <c r="D62" s="106">
        <f t="shared" ca="1" si="9"/>
        <v>0</v>
      </c>
      <c r="E62" s="106">
        <f t="shared" ca="1" si="4"/>
        <v>0</v>
      </c>
      <c r="F62" s="106">
        <f ca="1">IF($D$2="A",
(D62-G62)*IFERROR(VLOOKUP(C62,'1.a Assumptions'!$G$14:$I$29,2,FALSE),0),
(D62-G62)*100%*(C62=$D$5-1))</f>
        <v>0</v>
      </c>
      <c r="G62" s="106">
        <f ca="1">IF($D$2="A",
D62*IFERROR(VLOOKUP(C62,'1.a Assumptions'!$G$14:$I$29,3,FALSE),0),
0)</f>
        <v>0</v>
      </c>
      <c r="H62" s="106">
        <f t="shared" ca="1" si="5"/>
        <v>0</v>
      </c>
    </row>
    <row r="63" spans="1:8" ht="15" customHeight="1" x14ac:dyDescent="0.3">
      <c r="A63" s="13"/>
      <c r="B63" s="60">
        <f t="shared" si="8"/>
        <v>52</v>
      </c>
      <c r="C63" s="74">
        <f t="shared" si="11"/>
        <v>92</v>
      </c>
      <c r="D63" s="106">
        <f t="shared" ca="1" si="9"/>
        <v>0</v>
      </c>
      <c r="E63" s="106">
        <f t="shared" ca="1" si="4"/>
        <v>0</v>
      </c>
      <c r="F63" s="106">
        <f ca="1">IF($D$2="A",
(D63-G63)*IFERROR(VLOOKUP(C63,'1.a Assumptions'!$G$14:$I$29,2,FALSE),0),
(D63-G63)*100%*(C63=$D$5-1))</f>
        <v>0</v>
      </c>
      <c r="G63" s="106">
        <f ca="1">IF($D$2="A",
D63*IFERROR(VLOOKUP(C63,'1.a Assumptions'!$G$14:$I$29,3,FALSE),0),
0)</f>
        <v>0</v>
      </c>
      <c r="H63" s="106">
        <f t="shared" ca="1" si="5"/>
        <v>0</v>
      </c>
    </row>
    <row r="64" spans="1:8" ht="15" customHeight="1" x14ac:dyDescent="0.3">
      <c r="A64" s="13"/>
      <c r="B64" s="60">
        <f t="shared" si="8"/>
        <v>53</v>
      </c>
      <c r="C64" s="74">
        <f t="shared" si="11"/>
        <v>93</v>
      </c>
      <c r="D64" s="106">
        <f t="shared" ca="1" si="9"/>
        <v>0</v>
      </c>
      <c r="E64" s="106">
        <f t="shared" ca="1" si="4"/>
        <v>0</v>
      </c>
      <c r="F64" s="106">
        <f ca="1">IF($D$2="A",
(D64-G64)*IFERROR(VLOOKUP(C64,'1.a Assumptions'!$G$14:$I$29,2,FALSE),0),
(D64-G64)*100%*(C64=$D$5-1))</f>
        <v>0</v>
      </c>
      <c r="G64" s="106">
        <f ca="1">IF($D$2="A",
D64*IFERROR(VLOOKUP(C64,'1.a Assumptions'!$G$14:$I$29,3,FALSE),0),
0)</f>
        <v>0</v>
      </c>
      <c r="H64" s="106">
        <f t="shared" ca="1" si="5"/>
        <v>0</v>
      </c>
    </row>
    <row r="65" spans="1:8" ht="15" customHeight="1" x14ac:dyDescent="0.3">
      <c r="A65" s="13"/>
      <c r="B65" s="60">
        <f t="shared" si="8"/>
        <v>54</v>
      </c>
      <c r="C65" s="74">
        <f t="shared" si="11"/>
        <v>94</v>
      </c>
      <c r="D65" s="106">
        <f t="shared" ca="1" si="9"/>
        <v>0</v>
      </c>
      <c r="E65" s="106">
        <f t="shared" ca="1" si="4"/>
        <v>0</v>
      </c>
      <c r="F65" s="106">
        <f ca="1">IF($D$2="A",
(D65-G65)*IFERROR(VLOOKUP(C65,'1.a Assumptions'!$G$14:$I$29,2,FALSE),0),
(D65-G65)*100%*(C65=$D$5-1))</f>
        <v>0</v>
      </c>
      <c r="G65" s="106">
        <f ca="1">IF($D$2="A",
D65*IFERROR(VLOOKUP(C65,'1.a Assumptions'!$G$14:$I$29,3,FALSE),0),
0)</f>
        <v>0</v>
      </c>
      <c r="H65" s="106">
        <f t="shared" ca="1" si="5"/>
        <v>0</v>
      </c>
    </row>
    <row r="66" spans="1:8" ht="15" customHeight="1" x14ac:dyDescent="0.3">
      <c r="A66" s="13"/>
      <c r="B66" s="60">
        <f t="shared" si="8"/>
        <v>55</v>
      </c>
      <c r="C66" s="74">
        <f t="shared" si="11"/>
        <v>95</v>
      </c>
      <c r="D66" s="106">
        <f t="shared" ca="1" si="9"/>
        <v>0</v>
      </c>
      <c r="E66" s="106">
        <f t="shared" ca="1" si="4"/>
        <v>0</v>
      </c>
      <c r="F66" s="106">
        <f ca="1">IF($D$2="A",
(D66-G66)*IFERROR(VLOOKUP(C66,'1.a Assumptions'!$G$14:$I$29,2,FALSE),0),
(D66-G66)*100%*(C66=$D$5-1))</f>
        <v>0</v>
      </c>
      <c r="G66" s="106">
        <f ca="1">IF($D$2="A",
D66*IFERROR(VLOOKUP(C66,'1.a Assumptions'!$G$14:$I$29,3,FALSE),0),
0)</f>
        <v>0</v>
      </c>
      <c r="H66" s="106">
        <f t="shared" ca="1" si="5"/>
        <v>0</v>
      </c>
    </row>
    <row r="67" spans="1:8" ht="15" customHeight="1" x14ac:dyDescent="0.3">
      <c r="A67" s="13"/>
      <c r="B67" s="60">
        <f t="shared" si="8"/>
        <v>56</v>
      </c>
      <c r="C67" s="74">
        <f t="shared" si="11"/>
        <v>96</v>
      </c>
      <c r="D67" s="106">
        <f t="shared" ca="1" si="9"/>
        <v>0</v>
      </c>
      <c r="E67" s="106">
        <f t="shared" ca="1" si="4"/>
        <v>0</v>
      </c>
      <c r="F67" s="106">
        <f ca="1">IF($D$2="A",
(D67-G67)*IFERROR(VLOOKUP(C67,'1.a Assumptions'!$G$14:$I$29,2,FALSE),0),
(D67-G67)*100%*(C67=$D$5-1))</f>
        <v>0</v>
      </c>
      <c r="G67" s="106">
        <f ca="1">IF($D$2="A",
D67*IFERROR(VLOOKUP(C67,'1.a Assumptions'!$G$14:$I$29,3,FALSE),0),
0)</f>
        <v>0</v>
      </c>
      <c r="H67" s="106">
        <f t="shared" ca="1" si="5"/>
        <v>0</v>
      </c>
    </row>
    <row r="68" spans="1:8" ht="15" customHeight="1" x14ac:dyDescent="0.3">
      <c r="A68" s="13"/>
      <c r="B68" s="60">
        <f t="shared" si="8"/>
        <v>57</v>
      </c>
      <c r="C68" s="74">
        <f t="shared" si="11"/>
        <v>97</v>
      </c>
      <c r="D68" s="106">
        <f t="shared" ca="1" si="9"/>
        <v>0</v>
      </c>
      <c r="E68" s="106">
        <f t="shared" ca="1" si="4"/>
        <v>0</v>
      </c>
      <c r="F68" s="106">
        <f ca="1">IF($D$2="A",
(D68-G68)*IFERROR(VLOOKUP(C68,'1.a Assumptions'!$G$14:$I$29,2,FALSE),0),
(D68-G68)*100%*(C68=$D$5-1))</f>
        <v>0</v>
      </c>
      <c r="G68" s="106">
        <f ca="1">IF($D$2="A",
D68*IFERROR(VLOOKUP(C68,'1.a Assumptions'!$G$14:$I$29,3,FALSE),0),
0)</f>
        <v>0</v>
      </c>
      <c r="H68" s="106">
        <f t="shared" ca="1" si="5"/>
        <v>0</v>
      </c>
    </row>
    <row r="69" spans="1:8" ht="15" customHeight="1" x14ac:dyDescent="0.3">
      <c r="A69" s="13"/>
      <c r="B69" s="60">
        <f t="shared" si="8"/>
        <v>58</v>
      </c>
      <c r="C69" s="74">
        <f t="shared" si="11"/>
        <v>98</v>
      </c>
      <c r="D69" s="106">
        <f t="shared" ca="1" si="9"/>
        <v>0</v>
      </c>
      <c r="E69" s="106">
        <f t="shared" ca="1" si="4"/>
        <v>0</v>
      </c>
      <c r="F69" s="106">
        <f ca="1">IF($D$2="A",
(D69-G69)*IFERROR(VLOOKUP(C69,'1.a Assumptions'!$G$14:$I$29,2,FALSE),0),
(D69-G69)*100%*(C69=$D$5-1))</f>
        <v>0</v>
      </c>
      <c r="G69" s="106">
        <f ca="1">IF($D$2="A",
D69*IFERROR(VLOOKUP(C69,'1.a Assumptions'!$G$14:$I$29,3,FALSE),0),
0)</f>
        <v>0</v>
      </c>
      <c r="H69" s="106">
        <f t="shared" ca="1" si="5"/>
        <v>0</v>
      </c>
    </row>
    <row r="70" spans="1:8" ht="15" customHeight="1" x14ac:dyDescent="0.3">
      <c r="A70" s="13"/>
      <c r="B70" s="60">
        <f t="shared" si="8"/>
        <v>59</v>
      </c>
      <c r="C70" s="74">
        <f t="shared" si="11"/>
        <v>99</v>
      </c>
      <c r="D70" s="106">
        <f t="shared" ca="1" si="9"/>
        <v>0</v>
      </c>
      <c r="E70" s="106">
        <f t="shared" ca="1" si="4"/>
        <v>0</v>
      </c>
      <c r="F70" s="106">
        <f ca="1">IF($D$2="A",
(D70-G70)*IFERROR(VLOOKUP(C70,'1.a Assumptions'!$G$14:$I$29,2,FALSE),0),
(D70-G70)*100%*(C70=$D$5-1))</f>
        <v>0</v>
      </c>
      <c r="G70" s="106">
        <f ca="1">IF($D$2="A",
D70*IFERROR(VLOOKUP(C70,'1.a Assumptions'!$G$14:$I$29,3,FALSE),0),
0)</f>
        <v>0</v>
      </c>
      <c r="H70" s="106">
        <f t="shared" ca="1" si="5"/>
        <v>0</v>
      </c>
    </row>
    <row r="71" spans="1:8" ht="15" customHeight="1" x14ac:dyDescent="0.3">
      <c r="A71" s="13"/>
      <c r="B71" s="60">
        <f t="shared" si="8"/>
        <v>60</v>
      </c>
      <c r="C71" s="74">
        <f t="shared" si="11"/>
        <v>100</v>
      </c>
      <c r="D71" s="106">
        <f t="shared" ca="1" si="9"/>
        <v>0</v>
      </c>
      <c r="E71" s="106">
        <f t="shared" ca="1" si="4"/>
        <v>0</v>
      </c>
      <c r="F71" s="106">
        <f ca="1">IF($D$2="A",
(D71-G71)*IFERROR(VLOOKUP(C71,'1.a Assumptions'!$G$14:$I$29,2,FALSE),0),
(D71-G71)*100%*(C71=$D$5-1))</f>
        <v>0</v>
      </c>
      <c r="G71" s="106">
        <f ca="1">IF($D$2="A",
D71*IFERROR(VLOOKUP(C71,'1.a Assumptions'!$G$14:$I$29,3,FALSE),0),
0)</f>
        <v>0</v>
      </c>
      <c r="H71" s="106">
        <f t="shared" ca="1" si="5"/>
        <v>0</v>
      </c>
    </row>
    <row r="72" spans="1:8" ht="15" customHeight="1" x14ac:dyDescent="0.3">
      <c r="A72" s="13"/>
      <c r="B72" s="60">
        <f t="shared" si="8"/>
        <v>61</v>
      </c>
      <c r="C72" s="74">
        <f t="shared" si="11"/>
        <v>101</v>
      </c>
      <c r="D72" s="106">
        <f t="shared" ca="1" si="9"/>
        <v>0</v>
      </c>
      <c r="E72" s="106">
        <f t="shared" ca="1" si="4"/>
        <v>0</v>
      </c>
      <c r="F72" s="106">
        <f ca="1">IF($D$2="A",
(D72-G72)*IFERROR(VLOOKUP(C72,'1.a Assumptions'!$G$14:$I$29,2,FALSE),0),
(D72-G72)*100%*(C72=$D$5-1))</f>
        <v>0</v>
      </c>
      <c r="G72" s="106">
        <f ca="1">IF($D$2="A",
D72*IFERROR(VLOOKUP(C72,'1.a Assumptions'!$G$14:$I$29,3,FALSE),0),
0)</f>
        <v>0</v>
      </c>
      <c r="H72" s="106">
        <f t="shared" ca="1" si="5"/>
        <v>0</v>
      </c>
    </row>
    <row r="73" spans="1:8" ht="15" customHeight="1" x14ac:dyDescent="0.3">
      <c r="A73" s="13"/>
      <c r="B73" s="60">
        <f t="shared" si="8"/>
        <v>62</v>
      </c>
      <c r="C73" s="74">
        <f t="shared" si="11"/>
        <v>102</v>
      </c>
      <c r="D73" s="106">
        <f t="shared" ca="1" si="9"/>
        <v>0</v>
      </c>
      <c r="E73" s="106">
        <f t="shared" ca="1" si="4"/>
        <v>0</v>
      </c>
      <c r="F73" s="106">
        <f ca="1">IF($D$2="A",
(D73-G73)*IFERROR(VLOOKUP(C73,'1.a Assumptions'!$G$14:$I$29,2,FALSE),0),
(D73-G73)*100%*(C73=$D$5-1))</f>
        <v>0</v>
      </c>
      <c r="G73" s="106">
        <f ca="1">IF($D$2="A",
D73*IFERROR(VLOOKUP(C73,'1.a Assumptions'!$G$14:$I$29,3,FALSE),0),
0)</f>
        <v>0</v>
      </c>
      <c r="H73" s="106">
        <f t="shared" ca="1" si="5"/>
        <v>0</v>
      </c>
    </row>
    <row r="74" spans="1:8" ht="15" customHeight="1" x14ac:dyDescent="0.3">
      <c r="A74" s="13"/>
      <c r="B74" s="60">
        <f t="shared" si="8"/>
        <v>63</v>
      </c>
      <c r="C74" s="74">
        <f t="shared" si="11"/>
        <v>103</v>
      </c>
      <c r="D74" s="106">
        <f t="shared" ca="1" si="9"/>
        <v>0</v>
      </c>
      <c r="E74" s="106">
        <f t="shared" ca="1" si="4"/>
        <v>0</v>
      </c>
      <c r="F74" s="106">
        <f ca="1">IF($D$2="A",
(D74-G74)*IFERROR(VLOOKUP(C74,'1.a Assumptions'!$G$14:$I$29,2,FALSE),0),
(D74-G74)*100%*(C74=$D$5-1))</f>
        <v>0</v>
      </c>
      <c r="G74" s="106">
        <f ca="1">IF($D$2="A",
D74*IFERROR(VLOOKUP(C74,'1.a Assumptions'!$G$14:$I$29,3,FALSE),0),
0)</f>
        <v>0</v>
      </c>
      <c r="H74" s="106">
        <f t="shared" ca="1" si="5"/>
        <v>0</v>
      </c>
    </row>
    <row r="75" spans="1:8" ht="15" customHeight="1" x14ac:dyDescent="0.3">
      <c r="A75" s="13"/>
      <c r="B75" s="60">
        <f t="shared" si="8"/>
        <v>64</v>
      </c>
      <c r="C75" s="74">
        <f t="shared" si="11"/>
        <v>104</v>
      </c>
      <c r="D75" s="106">
        <f t="shared" ca="1" si="9"/>
        <v>0</v>
      </c>
      <c r="E75" s="106">
        <f t="shared" ca="1" si="4"/>
        <v>0</v>
      </c>
      <c r="F75" s="106">
        <f ca="1">IF($D$2="A",
(D75-G75)*IFERROR(VLOOKUP(C75,'1.a Assumptions'!$G$14:$I$29,2,FALSE),0),
(D75-G75)*100%*(C75=$D$5-1))</f>
        <v>0</v>
      </c>
      <c r="G75" s="106">
        <f ca="1">IF($D$2="A",
D75*IFERROR(VLOOKUP(C75,'1.a Assumptions'!$G$14:$I$29,3,FALSE),0),
0)</f>
        <v>0</v>
      </c>
      <c r="H75" s="106">
        <f t="shared" ca="1" si="5"/>
        <v>0</v>
      </c>
    </row>
    <row r="76" spans="1:8" ht="15" customHeight="1" x14ac:dyDescent="0.3">
      <c r="A76" s="13"/>
      <c r="B76" s="60">
        <f t="shared" si="8"/>
        <v>65</v>
      </c>
      <c r="C76" s="74">
        <f t="shared" ref="C76:C81" si="12">IF(C75="","",IF($D$2="A",C75+1,IF(C75+1&gt;$D$5,"",C75+1)))</f>
        <v>105</v>
      </c>
      <c r="D76" s="106">
        <f t="shared" ca="1" si="9"/>
        <v>0</v>
      </c>
      <c r="E76" s="106">
        <f t="shared" ref="E76:E81" ca="1" si="13">IF($D$2="A",(D76-G76)*INDIRECT("withdraw_rate_"&amp;$D$2)*(C76&lt;$D$5),(D76-G76)*INDIRECT("withdraw_rate_"&amp;$D$2)*(C76&lt;&gt;$D$5-1))</f>
        <v>0</v>
      </c>
      <c r="F76" s="106">
        <f ca="1">IF($D$2="A",
(D76-G76)*IFERROR(VLOOKUP(C76,'1.a Assumptions'!$G$14:$I$29,2,FALSE),0),
(D76-G76)*100%*(C76=$D$5-1))</f>
        <v>0</v>
      </c>
      <c r="G76" s="106">
        <f ca="1">IF($D$2="A",
D76*IFERROR(VLOOKUP(C76,'1.a Assumptions'!$G$14:$I$29,3,FALSE),0),
0)</f>
        <v>0</v>
      </c>
      <c r="H76" s="106">
        <f t="shared" ref="H76:H81" ca="1" si="14">D76-E76-F76-G76</f>
        <v>0</v>
      </c>
    </row>
    <row r="77" spans="1:8" ht="15" customHeight="1" x14ac:dyDescent="0.3">
      <c r="A77" s="13"/>
      <c r="B77" s="60">
        <f t="shared" ref="B77:B81" si="15">IF($C77="","",B76+1)</f>
        <v>66</v>
      </c>
      <c r="C77" s="74">
        <f t="shared" si="12"/>
        <v>106</v>
      </c>
      <c r="D77" s="106">
        <f t="shared" ref="D77:D81" ca="1" si="16">H76</f>
        <v>0</v>
      </c>
      <c r="E77" s="106">
        <f t="shared" ca="1" si="13"/>
        <v>0</v>
      </c>
      <c r="F77" s="106">
        <f ca="1">IF($D$2="A",
(D77-G77)*IFERROR(VLOOKUP(C77,'1.a Assumptions'!$G$14:$I$29,2,FALSE),0),
(D77-G77)*100%*(C77=$D$5-1))</f>
        <v>0</v>
      </c>
      <c r="G77" s="106">
        <f ca="1">IF($D$2="A",
D77*IFERROR(VLOOKUP(C77,'1.a Assumptions'!$G$14:$I$29,3,FALSE),0),
0)</f>
        <v>0</v>
      </c>
      <c r="H77" s="106">
        <f t="shared" ca="1" si="14"/>
        <v>0</v>
      </c>
    </row>
    <row r="78" spans="1:8" ht="15" customHeight="1" x14ac:dyDescent="0.3">
      <c r="A78" s="13"/>
      <c r="B78" s="60">
        <f t="shared" si="15"/>
        <v>67</v>
      </c>
      <c r="C78" s="74">
        <f t="shared" si="12"/>
        <v>107</v>
      </c>
      <c r="D78" s="106">
        <f t="shared" ca="1" si="16"/>
        <v>0</v>
      </c>
      <c r="E78" s="106">
        <f t="shared" ca="1" si="13"/>
        <v>0</v>
      </c>
      <c r="F78" s="106">
        <f ca="1">IF($D$2="A",
(D78-G78)*IFERROR(VLOOKUP(C78,'1.a Assumptions'!$G$14:$I$29,2,FALSE),0),
(D78-G78)*100%*(C78=$D$5-1))</f>
        <v>0</v>
      </c>
      <c r="G78" s="106">
        <f ca="1">IF($D$2="A",
D78*IFERROR(VLOOKUP(C78,'1.a Assumptions'!$G$14:$I$29,3,FALSE),0),
0)</f>
        <v>0</v>
      </c>
      <c r="H78" s="106">
        <f t="shared" ca="1" si="14"/>
        <v>0</v>
      </c>
    </row>
    <row r="79" spans="1:8" ht="15" customHeight="1" x14ac:dyDescent="0.3">
      <c r="A79" s="13"/>
      <c r="B79" s="60">
        <f t="shared" si="15"/>
        <v>68</v>
      </c>
      <c r="C79" s="74">
        <f t="shared" si="12"/>
        <v>108</v>
      </c>
      <c r="D79" s="106">
        <f t="shared" ca="1" si="16"/>
        <v>0</v>
      </c>
      <c r="E79" s="106">
        <f t="shared" ca="1" si="13"/>
        <v>0</v>
      </c>
      <c r="F79" s="106">
        <f ca="1">IF($D$2="A",
(D79-G79)*IFERROR(VLOOKUP(C79,'1.a Assumptions'!$G$14:$I$29,2,FALSE),0),
(D79-G79)*100%*(C79=$D$5-1))</f>
        <v>0</v>
      </c>
      <c r="G79" s="106">
        <f ca="1">IF($D$2="A",
D79*IFERROR(VLOOKUP(C79,'1.a Assumptions'!$G$14:$I$29,3,FALSE),0),
0)</f>
        <v>0</v>
      </c>
      <c r="H79" s="106">
        <f t="shared" ca="1" si="14"/>
        <v>0</v>
      </c>
    </row>
    <row r="80" spans="1:8" ht="15" customHeight="1" x14ac:dyDescent="0.3">
      <c r="A80" s="13"/>
      <c r="B80" s="60">
        <f t="shared" si="15"/>
        <v>69</v>
      </c>
      <c r="C80" s="74">
        <f t="shared" si="12"/>
        <v>109</v>
      </c>
      <c r="D80" s="106">
        <f t="shared" ca="1" si="16"/>
        <v>0</v>
      </c>
      <c r="E80" s="106">
        <f t="shared" ca="1" si="13"/>
        <v>0</v>
      </c>
      <c r="F80" s="106">
        <f ca="1">IF($D$2="A",
(D80-G80)*IFERROR(VLOOKUP(C80,'1.a Assumptions'!$G$14:$I$29,2,FALSE),0),
(D80-G80)*100%*(C80=$D$5-1))</f>
        <v>0</v>
      </c>
      <c r="G80" s="106">
        <f ca="1">IF($D$2="A",
D80*IFERROR(VLOOKUP(C80,'1.a Assumptions'!$G$14:$I$29,3,FALSE),0),
0)</f>
        <v>0</v>
      </c>
      <c r="H80" s="106">
        <f t="shared" ca="1" si="14"/>
        <v>0</v>
      </c>
    </row>
    <row r="81" spans="1:8" ht="15" customHeight="1" x14ac:dyDescent="0.3">
      <c r="A81" s="13"/>
      <c r="B81" s="60">
        <f t="shared" si="15"/>
        <v>70</v>
      </c>
      <c r="C81" s="74">
        <f t="shared" si="12"/>
        <v>110</v>
      </c>
      <c r="D81" s="106">
        <f t="shared" ca="1" si="16"/>
        <v>0</v>
      </c>
      <c r="E81" s="106">
        <f t="shared" ca="1" si="13"/>
        <v>0</v>
      </c>
      <c r="F81" s="106">
        <f ca="1">IF($D$2="A",
(D81-G81)*IFERROR(VLOOKUP(C81,'1.a Assumptions'!$G$14:$I$29,2,FALSE),0),
(D81-G81)*100%*(C81=$D$5-1))</f>
        <v>0</v>
      </c>
      <c r="G81" s="106">
        <f ca="1">IF($D$2="A",
D81*IFERROR(VLOOKUP(C81,'1.a Assumptions'!$G$14:$I$29,3,FALSE),0),
0)</f>
        <v>0</v>
      </c>
      <c r="H81" s="106">
        <f t="shared" ca="1" si="14"/>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59999389629810485"/>
  </sheetPr>
  <dimension ref="A1:AC87"/>
  <sheetViews>
    <sheetView zoomScale="85" zoomScaleNormal="85" workbookViewId="0"/>
  </sheetViews>
  <sheetFormatPr defaultRowHeight="15" x14ac:dyDescent="0.25"/>
  <cols>
    <col min="1" max="1" width="3" customWidth="1"/>
    <col min="2" max="2" width="14.85546875" customWidth="1"/>
    <col min="3" max="3" width="17.85546875" bestFit="1" customWidth="1"/>
    <col min="4" max="4" width="11.140625" customWidth="1"/>
    <col min="5" max="5" width="16.28515625" customWidth="1"/>
    <col min="6" max="6" width="17.7109375" bestFit="1" customWidth="1"/>
    <col min="7" max="7" width="12.140625" customWidth="1"/>
    <col min="8" max="8" width="16.85546875" customWidth="1"/>
    <col min="9" max="9" width="15.7109375" customWidth="1"/>
    <col min="10" max="10" width="16.7109375" customWidth="1"/>
    <col min="11" max="18" width="15.7109375" customWidth="1"/>
    <col min="19" max="19" width="2.140625" customWidth="1"/>
    <col min="20" max="20" width="13" customWidth="1"/>
    <col min="21" max="21" width="14.28515625" bestFit="1" customWidth="1"/>
    <col min="22" max="23" width="11.5703125" bestFit="1" customWidth="1"/>
    <col min="24" max="24" width="10.5703125" bestFit="1" customWidth="1"/>
    <col min="25" max="29" width="11.5703125" bestFit="1" customWidth="1"/>
  </cols>
  <sheetData>
    <row r="1" spans="1:29" ht="15" customHeight="1" thickBot="1" x14ac:dyDescent="0.3">
      <c r="A1" s="112" t="s">
        <v>41</v>
      </c>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row>
    <row r="2" spans="1:29" ht="15" customHeight="1" thickBot="1" x14ac:dyDescent="0.3">
      <c r="A2" s="13"/>
      <c r="B2" s="18" t="s">
        <v>12</v>
      </c>
      <c r="C2" s="19" t="s">
        <v>19</v>
      </c>
      <c r="D2" s="125" t="str">
        <f>RIGHT($B$3,1)</f>
        <v>A</v>
      </c>
      <c r="E2" s="13"/>
      <c r="F2" s="13"/>
      <c r="G2" s="13"/>
      <c r="H2" s="21" t="s">
        <v>60</v>
      </c>
      <c r="I2" s="22"/>
      <c r="J2" s="22"/>
      <c r="K2" s="22"/>
      <c r="L2" s="22"/>
      <c r="M2" s="22"/>
      <c r="N2" s="22"/>
      <c r="O2" s="22"/>
      <c r="P2" s="22"/>
      <c r="Q2" s="22"/>
      <c r="R2" s="13"/>
      <c r="S2" s="13"/>
      <c r="T2" s="13"/>
      <c r="U2" s="13"/>
      <c r="V2" s="13"/>
      <c r="W2" s="13"/>
      <c r="X2" s="13"/>
      <c r="Y2" s="13"/>
      <c r="Z2" s="13"/>
      <c r="AA2" s="13"/>
      <c r="AB2" s="13"/>
      <c r="AC2" s="13"/>
    </row>
    <row r="3" spans="1:29" ht="15" customHeight="1" thickBot="1" x14ac:dyDescent="0.3">
      <c r="A3" s="13"/>
      <c r="B3" s="23" t="str">
        <f>'1.c EAN_Projection'!B3</f>
        <v>40A</v>
      </c>
      <c r="C3" s="19" t="s">
        <v>59</v>
      </c>
      <c r="D3" s="125">
        <f>VLOOKUP($B$3,'opening demographics'!$A$1:$E$11,3,FALSE)</f>
        <v>15</v>
      </c>
      <c r="E3" s="13"/>
      <c r="F3" s="24" t="s">
        <v>55</v>
      </c>
      <c r="G3" s="25" t="str">
        <f>B3</f>
        <v>40A</v>
      </c>
      <c r="H3" s="26" t="s">
        <v>13</v>
      </c>
      <c r="I3" s="27" t="s">
        <v>45</v>
      </c>
      <c r="J3" s="27" t="s">
        <v>47</v>
      </c>
      <c r="K3" s="27" t="s">
        <v>49</v>
      </c>
      <c r="L3" s="28" t="s">
        <v>51</v>
      </c>
      <c r="M3" s="29" t="s">
        <v>43</v>
      </c>
      <c r="N3" s="27" t="s">
        <v>44</v>
      </c>
      <c r="O3" s="27" t="s">
        <v>46</v>
      </c>
      <c r="P3" s="27" t="s">
        <v>48</v>
      </c>
      <c r="Q3" s="30" t="s">
        <v>50</v>
      </c>
      <c r="R3" s="13"/>
      <c r="S3" s="13"/>
      <c r="T3" s="13"/>
      <c r="U3" s="13"/>
      <c r="V3" s="13"/>
      <c r="W3" s="13"/>
      <c r="X3" s="13"/>
      <c r="Y3" s="13"/>
      <c r="Z3" s="13"/>
      <c r="AA3" s="13"/>
      <c r="AB3" s="13"/>
      <c r="AC3" s="13"/>
    </row>
    <row r="4" spans="1:29" ht="15" customHeight="1" x14ac:dyDescent="0.25">
      <c r="A4" s="13"/>
      <c r="B4" s="13"/>
      <c r="C4" s="19" t="s">
        <v>20</v>
      </c>
      <c r="D4" s="125">
        <f>VALUE(LEFT($B$3,2))</f>
        <v>40</v>
      </c>
      <c r="E4" s="13"/>
      <c r="F4" s="31" t="s">
        <v>56</v>
      </c>
      <c r="G4" s="32">
        <f>D3</f>
        <v>15</v>
      </c>
      <c r="H4" s="33">
        <f t="dataTable" ref="H4:Q8" dt2D="0" dtr="1" r1="B3" ca="1"/>
        <v>20</v>
      </c>
      <c r="I4" s="34">
        <v>15</v>
      </c>
      <c r="J4" s="34">
        <v>30</v>
      </c>
      <c r="K4" s="34">
        <v>25</v>
      </c>
      <c r="L4" s="35">
        <v>10</v>
      </c>
      <c r="M4" s="36">
        <v>210</v>
      </c>
      <c r="N4" s="34">
        <v>220</v>
      </c>
      <c r="O4" s="34">
        <v>240</v>
      </c>
      <c r="P4" s="34">
        <v>180</v>
      </c>
      <c r="Q4" s="37">
        <v>50</v>
      </c>
      <c r="R4" s="132"/>
      <c r="S4" s="13"/>
      <c r="T4" s="13"/>
      <c r="U4" s="13"/>
      <c r="V4" s="13"/>
      <c r="W4" s="13"/>
      <c r="X4" s="13"/>
      <c r="Y4" s="13"/>
      <c r="Z4" s="13"/>
      <c r="AA4" s="13"/>
      <c r="AB4" s="13"/>
      <c r="AC4" s="13"/>
    </row>
    <row r="5" spans="1:29" ht="15" customHeight="1" x14ac:dyDescent="0.25">
      <c r="A5" s="13"/>
      <c r="B5" s="13"/>
      <c r="C5" s="19" t="s">
        <v>21</v>
      </c>
      <c r="D5" s="125">
        <f ca="1">INDIRECT("NRA_"&amp;$D$2)</f>
        <v>50</v>
      </c>
      <c r="E5" s="13"/>
      <c r="F5" s="31" t="s">
        <v>95</v>
      </c>
      <c r="G5" s="38">
        <f ca="1">I17</f>
        <v>13836.139106456934</v>
      </c>
      <c r="H5" s="33">
        <v>8103.2273173852627</v>
      </c>
      <c r="I5" s="34">
        <v>13836.139106456934</v>
      </c>
      <c r="J5" s="34">
        <v>17222.433977073932</v>
      </c>
      <c r="K5" s="34">
        <v>19174.959866205161</v>
      </c>
      <c r="L5" s="35">
        <v>25912.107927304274</v>
      </c>
      <c r="M5" s="36">
        <v>1325.6566655769814</v>
      </c>
      <c r="N5" s="34">
        <v>2153.4261960311333</v>
      </c>
      <c r="O5" s="34">
        <v>2837.7327056022714</v>
      </c>
      <c r="P5" s="34">
        <v>3712.9768890949822</v>
      </c>
      <c r="Q5" s="37">
        <v>4480.8394891784646</v>
      </c>
      <c r="R5" s="132"/>
      <c r="S5" s="13"/>
      <c r="T5" s="13"/>
      <c r="U5" s="13"/>
      <c r="V5" s="13"/>
      <c r="W5" s="13"/>
      <c r="X5" s="13"/>
      <c r="Y5" s="13"/>
      <c r="Z5" s="13"/>
      <c r="AA5" s="13"/>
      <c r="AB5" s="13"/>
      <c r="AC5" s="13"/>
    </row>
    <row r="6" spans="1:29" ht="15" customHeight="1" x14ac:dyDescent="0.25">
      <c r="A6" s="13"/>
      <c r="B6" s="13"/>
      <c r="C6" s="19" t="s">
        <v>22</v>
      </c>
      <c r="D6" s="126">
        <f ca="1">INDIRECT("accrual_rate_"&amp;$D$2)</f>
        <v>0.1</v>
      </c>
      <c r="E6" s="13"/>
      <c r="F6" s="31" t="s">
        <v>58</v>
      </c>
      <c r="G6" s="38">
        <f ca="1">E18</f>
        <v>155472.64756382565</v>
      </c>
      <c r="H6" s="33">
        <v>103648.4317092171</v>
      </c>
      <c r="I6" s="34">
        <v>155472.64756382565</v>
      </c>
      <c r="J6" s="34">
        <v>181384.75549112991</v>
      </c>
      <c r="K6" s="34">
        <v>191749.59866205163</v>
      </c>
      <c r="L6" s="35">
        <v>259121.07927304273</v>
      </c>
      <c r="M6" s="36">
        <v>78878.105937687986</v>
      </c>
      <c r="N6" s="34">
        <v>87979.425853575071</v>
      </c>
      <c r="O6" s="34">
        <v>96069.488001030244</v>
      </c>
      <c r="P6" s="34">
        <v>104159.55014848542</v>
      </c>
      <c r="Q6" s="37">
        <v>104159.55014848542</v>
      </c>
      <c r="R6" s="132"/>
      <c r="S6" s="13"/>
      <c r="T6" s="13"/>
      <c r="U6" s="13"/>
      <c r="V6" s="13"/>
      <c r="W6" s="13"/>
      <c r="X6" s="13"/>
      <c r="Y6" s="13"/>
      <c r="Z6" s="13"/>
      <c r="AA6" s="13"/>
      <c r="AB6" s="13"/>
      <c r="AC6" s="13"/>
    </row>
    <row r="7" spans="1:29" ht="25.5" x14ac:dyDescent="0.25">
      <c r="A7" s="13"/>
      <c r="B7" s="13"/>
      <c r="C7" s="19" t="s">
        <v>23</v>
      </c>
      <c r="D7" s="127">
        <f>VLOOKUP($B$3,'opening demographics'!$A$1:$E$11,4,FALSE)</f>
        <v>150000</v>
      </c>
      <c r="E7" s="13"/>
      <c r="F7" s="124" t="str">
        <f>"Total surplus / deficit at EOY "&amp;$Q$15</f>
        <v>Total surplus / deficit at EOY 15</v>
      </c>
      <c r="G7" s="88">
        <f ca="1">R17</f>
        <v>468388.1678360682</v>
      </c>
      <c r="H7" s="33">
        <v>528260.13261297031</v>
      </c>
      <c r="I7" s="34">
        <v>468388.1678360682</v>
      </c>
      <c r="J7" s="34">
        <v>501772.99935551023</v>
      </c>
      <c r="K7" s="34">
        <v>1.0368239600211382E-9</v>
      </c>
      <c r="L7" s="35">
        <v>0</v>
      </c>
      <c r="M7" s="34">
        <v>1050467.5906922861</v>
      </c>
      <c r="N7" s="34">
        <v>1787660.2199389504</v>
      </c>
      <c r="O7" s="34">
        <v>2569892.9363522241</v>
      </c>
      <c r="P7" s="34">
        <v>215436.61385549369</v>
      </c>
      <c r="Q7" s="37">
        <v>11208.028482225154</v>
      </c>
      <c r="R7" s="133"/>
      <c r="S7" s="13"/>
      <c r="T7" s="13"/>
      <c r="U7" s="13"/>
      <c r="V7" s="13"/>
      <c r="W7" s="13"/>
      <c r="X7" s="13"/>
      <c r="Y7" s="13"/>
      <c r="Z7" s="13"/>
      <c r="AA7" s="13"/>
      <c r="AB7" s="13"/>
      <c r="AC7" s="13"/>
    </row>
    <row r="8" spans="1:29" ht="15" customHeight="1" thickBot="1" x14ac:dyDescent="0.3">
      <c r="A8" s="13"/>
      <c r="B8" s="13"/>
      <c r="C8" s="19" t="s">
        <v>24</v>
      </c>
      <c r="D8" s="128">
        <f ca="1">INDIRECT("e_"&amp;$D$2)</f>
        <v>3.6484317092170926E-2</v>
      </c>
      <c r="E8" s="13"/>
      <c r="F8" s="41" t="s">
        <v>18</v>
      </c>
      <c r="G8" s="42" t="str">
        <f ca="1">U16</f>
        <v>Pass</v>
      </c>
      <c r="H8" s="43" t="str">
        <v>Pass</v>
      </c>
      <c r="I8" s="44" t="str">
        <v>Pass</v>
      </c>
      <c r="J8" s="44" t="str">
        <v>Pass</v>
      </c>
      <c r="K8" s="44" t="str">
        <v>Pass</v>
      </c>
      <c r="L8" s="45" t="str">
        <v>Pass</v>
      </c>
      <c r="M8" s="44" t="str">
        <v>Pass</v>
      </c>
      <c r="N8" s="44" t="str">
        <v>Pass</v>
      </c>
      <c r="O8" s="44" t="str">
        <v>Pass</v>
      </c>
      <c r="P8" s="44" t="str">
        <v>Pass</v>
      </c>
      <c r="Q8" s="46" t="str">
        <v>Pass</v>
      </c>
      <c r="R8" s="13"/>
      <c r="S8" s="13"/>
      <c r="T8" s="13"/>
      <c r="U8" s="13"/>
      <c r="V8" s="13"/>
      <c r="W8" s="13"/>
      <c r="X8" s="13"/>
      <c r="Y8" s="13"/>
      <c r="Z8" s="13"/>
      <c r="AA8" s="13"/>
      <c r="AB8" s="13"/>
      <c r="AC8" s="13"/>
    </row>
    <row r="9" spans="1:29" ht="15" customHeight="1" x14ac:dyDescent="0.25">
      <c r="A9" s="13"/>
      <c r="B9" s="13"/>
      <c r="E9" s="13"/>
      <c r="F9" s="13"/>
      <c r="G9" s="13"/>
      <c r="H9" s="48" t="s">
        <v>62</v>
      </c>
      <c r="I9" s="49" t="s">
        <v>6</v>
      </c>
      <c r="J9" s="49" t="s">
        <v>5</v>
      </c>
      <c r="K9" s="50"/>
      <c r="L9" s="50"/>
      <c r="M9" s="50"/>
      <c r="N9" s="50"/>
      <c r="O9" s="50"/>
      <c r="P9" s="50"/>
      <c r="Q9" s="51"/>
      <c r="R9" s="13"/>
      <c r="S9" s="13"/>
      <c r="T9" s="13"/>
      <c r="U9" s="13"/>
      <c r="V9" s="13"/>
      <c r="W9" s="13"/>
      <c r="X9" s="13"/>
      <c r="Y9" s="13"/>
      <c r="Z9" s="13"/>
      <c r="AA9" s="13"/>
      <c r="AB9" s="13"/>
      <c r="AC9" s="13"/>
    </row>
    <row r="10" spans="1:29" ht="15" customHeight="1" x14ac:dyDescent="0.25">
      <c r="A10" s="13"/>
      <c r="B10" s="13"/>
      <c r="C10" s="13"/>
      <c r="D10" s="13"/>
      <c r="E10" s="13"/>
      <c r="F10" s="13"/>
      <c r="G10" s="13"/>
      <c r="H10" s="52" t="s">
        <v>52</v>
      </c>
      <c r="I10" s="53">
        <f>SUMPRODUCT(H4:L4,H5:L5)</f>
        <v>1624774.7281849489</v>
      </c>
      <c r="J10" s="53">
        <f>SUMPRODUCT(M4:Q4,M5:Q5)</f>
        <v>2325575.3267385806</v>
      </c>
      <c r="K10" s="50"/>
      <c r="L10" s="50"/>
      <c r="M10" s="50"/>
      <c r="N10" s="50"/>
      <c r="O10" s="50"/>
      <c r="P10" s="50"/>
      <c r="Q10" s="51"/>
      <c r="R10" s="13"/>
      <c r="S10" s="13"/>
      <c r="T10" s="13"/>
      <c r="U10" s="13"/>
      <c r="V10" s="13"/>
      <c r="W10" s="13"/>
      <c r="X10" s="13"/>
      <c r="Y10" s="13"/>
      <c r="Z10" s="13"/>
      <c r="AA10" s="13"/>
      <c r="AB10" s="13"/>
      <c r="AC10" s="13"/>
    </row>
    <row r="11" spans="1:29" ht="15" customHeight="1" x14ac:dyDescent="0.25">
      <c r="A11" s="13"/>
      <c r="B11" s="13"/>
      <c r="C11" s="13"/>
      <c r="D11" s="13"/>
      <c r="E11" s="13"/>
      <c r="F11" s="13"/>
      <c r="G11" s="13"/>
      <c r="H11" s="52" t="s">
        <v>53</v>
      </c>
      <c r="I11" s="53">
        <f>SUMPRODUCT(H6:L6,H4:L4)</f>
        <v>17231551.77165734</v>
      </c>
      <c r="J11" s="53">
        <f>SUMPRODUCT(M6:Q6,M4:Q4)</f>
        <v>82933249.589099899</v>
      </c>
      <c r="K11" s="50"/>
      <c r="L11" s="50"/>
      <c r="M11" s="50"/>
      <c r="N11" s="50"/>
      <c r="O11" s="50"/>
      <c r="P11" s="50"/>
      <c r="Q11" s="51"/>
      <c r="R11" s="13"/>
      <c r="S11" s="13"/>
      <c r="T11" s="13"/>
      <c r="U11" s="13"/>
      <c r="V11" s="13"/>
      <c r="W11" s="13"/>
      <c r="X11" s="13"/>
      <c r="Y11" s="13"/>
      <c r="Z11" s="13"/>
      <c r="AA11" s="13"/>
      <c r="AB11" s="13"/>
      <c r="AC11" s="13"/>
    </row>
    <row r="12" spans="1:29" ht="15" customHeight="1" thickBot="1" x14ac:dyDescent="0.3">
      <c r="A12" s="13"/>
      <c r="B12" s="13"/>
      <c r="C12" s="13"/>
      <c r="D12" s="13"/>
      <c r="E12" s="13"/>
      <c r="F12" s="13"/>
      <c r="G12" s="13"/>
      <c r="H12" s="54" t="s">
        <v>54</v>
      </c>
      <c r="I12" s="55">
        <f>I10/I11</f>
        <v>9.4290679662257557E-2</v>
      </c>
      <c r="J12" s="55">
        <f>J10/J11</f>
        <v>2.8041531451629458E-2</v>
      </c>
      <c r="K12" s="56"/>
      <c r="L12" s="56"/>
      <c r="M12" s="56"/>
      <c r="N12" s="56"/>
      <c r="O12" s="56"/>
      <c r="P12" s="56"/>
      <c r="Q12" s="57"/>
      <c r="R12" s="13"/>
      <c r="S12" s="13"/>
      <c r="T12" s="13"/>
      <c r="U12" s="13"/>
      <c r="V12" s="13"/>
      <c r="W12" s="13"/>
      <c r="X12" s="13"/>
      <c r="Y12" s="13"/>
      <c r="Z12" s="13"/>
      <c r="AA12" s="13"/>
      <c r="AB12" s="13"/>
      <c r="AC12" s="13"/>
    </row>
    <row r="13" spans="1:29" ht="15" customHeight="1" x14ac:dyDescent="0.25">
      <c r="A13" s="13"/>
      <c r="B13" s="13"/>
      <c r="C13" s="13"/>
      <c r="D13" s="13"/>
      <c r="E13" s="13"/>
      <c r="F13" s="13"/>
      <c r="G13" s="13"/>
      <c r="H13" s="13"/>
      <c r="I13" s="13"/>
      <c r="J13" s="58"/>
      <c r="K13" s="13"/>
      <c r="L13" s="13"/>
      <c r="M13" s="13"/>
      <c r="N13" s="13"/>
      <c r="O13" s="13"/>
      <c r="P13" s="13"/>
      <c r="Q13" s="13"/>
      <c r="R13" s="13"/>
      <c r="S13" s="13"/>
      <c r="T13" s="13"/>
      <c r="U13" s="13"/>
      <c r="V13" s="13"/>
      <c r="W13" s="13"/>
      <c r="X13" s="13"/>
      <c r="Y13" s="13"/>
      <c r="Z13" s="13"/>
      <c r="AA13" s="13"/>
      <c r="AB13" s="13"/>
      <c r="AC13" s="13"/>
    </row>
    <row r="14" spans="1:29" ht="15" customHeight="1" x14ac:dyDescent="0.25">
      <c r="A14" s="13"/>
      <c r="B14" s="13"/>
      <c r="C14" s="13"/>
      <c r="D14" s="13"/>
      <c r="E14" s="13"/>
      <c r="F14" s="13"/>
      <c r="G14" s="13"/>
      <c r="H14" s="13"/>
      <c r="I14" s="13"/>
      <c r="J14" s="58"/>
      <c r="K14" s="13"/>
      <c r="L14" s="13"/>
      <c r="M14" s="13"/>
      <c r="N14" s="13"/>
      <c r="O14" s="13"/>
      <c r="P14" s="13"/>
      <c r="Q14" s="123" t="s">
        <v>92</v>
      </c>
      <c r="R14" s="13"/>
      <c r="S14" s="13"/>
      <c r="T14" s="13"/>
      <c r="U14" s="13"/>
      <c r="V14" s="13"/>
      <c r="W14" s="13"/>
      <c r="X14" s="13"/>
      <c r="Y14" s="13"/>
      <c r="Z14" s="13"/>
      <c r="AA14" s="13"/>
      <c r="AB14" s="13"/>
      <c r="AC14" s="13"/>
    </row>
    <row r="15" spans="1:29" ht="15" customHeight="1" x14ac:dyDescent="0.25">
      <c r="A15" s="13"/>
      <c r="B15" s="13"/>
      <c r="C15" s="13"/>
      <c r="D15" s="13"/>
      <c r="E15" s="13"/>
      <c r="F15" s="13"/>
      <c r="G15" s="13"/>
      <c r="H15" s="13"/>
      <c r="I15" s="13"/>
      <c r="J15" s="58"/>
      <c r="K15" s="13"/>
      <c r="L15" s="13"/>
      <c r="M15" s="13"/>
      <c r="N15" s="13"/>
      <c r="O15" s="13"/>
      <c r="P15" s="13"/>
      <c r="Q15" s="122">
        <v>15</v>
      </c>
      <c r="R15" s="13"/>
      <c r="S15" s="13"/>
      <c r="T15" s="13"/>
      <c r="U15" s="13"/>
      <c r="V15" s="13"/>
      <c r="W15" s="13"/>
      <c r="X15" s="13"/>
      <c r="Y15" s="13"/>
      <c r="Z15" s="13"/>
      <c r="AA15" s="13"/>
      <c r="AB15" s="13"/>
      <c r="AC15" s="13"/>
    </row>
    <row r="16" spans="1:29" ht="51.75" customHeight="1" x14ac:dyDescent="0.25">
      <c r="A16" s="13"/>
      <c r="B16" s="102" t="s">
        <v>57</v>
      </c>
      <c r="C16" s="102" t="s">
        <v>16</v>
      </c>
      <c r="D16" s="102" t="s">
        <v>14</v>
      </c>
      <c r="E16" s="102" t="s">
        <v>17</v>
      </c>
      <c r="F16" s="102" t="s">
        <v>67</v>
      </c>
      <c r="G16" s="102" t="s">
        <v>15</v>
      </c>
      <c r="H16" s="102" t="s">
        <v>80</v>
      </c>
      <c r="I16" s="102" t="s">
        <v>31</v>
      </c>
      <c r="J16" s="102" t="s">
        <v>68</v>
      </c>
      <c r="K16" s="102" t="s">
        <v>65</v>
      </c>
      <c r="L16" s="104" t="s">
        <v>69</v>
      </c>
      <c r="M16" s="102" t="s">
        <v>66</v>
      </c>
      <c r="N16" s="102" t="s">
        <v>70</v>
      </c>
      <c r="O16" s="102" t="s">
        <v>71</v>
      </c>
      <c r="P16" s="115" t="s">
        <v>88</v>
      </c>
      <c r="Q16" s="102" t="s">
        <v>94</v>
      </c>
      <c r="R16" s="115" t="s">
        <v>91</v>
      </c>
      <c r="S16" s="13"/>
      <c r="T16" s="101" t="s">
        <v>61</v>
      </c>
      <c r="U16" s="59" t="str">
        <f ca="1">IF(ABS(SUM(U17:U87))&lt;0.0001,"Pass","Check!")</f>
        <v>Pass</v>
      </c>
      <c r="V16" s="13"/>
      <c r="W16" s="13"/>
      <c r="X16" s="13"/>
      <c r="Y16" s="13"/>
      <c r="Z16" s="13"/>
      <c r="AA16" s="13"/>
      <c r="AB16" s="13"/>
      <c r="AC16" s="13"/>
    </row>
    <row r="17" spans="1:29" x14ac:dyDescent="0.25">
      <c r="A17" s="13"/>
      <c r="B17" s="60">
        <v>0</v>
      </c>
      <c r="C17" s="61">
        <f>D4</f>
        <v>40</v>
      </c>
      <c r="D17" s="62">
        <f ca="1">D6</f>
        <v>0.1</v>
      </c>
      <c r="E17" s="63">
        <f>D7</f>
        <v>150000</v>
      </c>
      <c r="F17" s="64">
        <f ca="1">D8</f>
        <v>3.6484317092170926E-2</v>
      </c>
      <c r="G17" s="65">
        <f t="shared" ref="G17" si="0">i</f>
        <v>0.05</v>
      </c>
      <c r="H17" s="66">
        <f t="shared" ref="H17:H26" ca="1" si="1">IF($C17="","",
IF(C17&gt;=$D$5,D17*(B17*(F17-G17)+1+F17)/(1+F17),
D17*((1+F17)/(1+G17))^($D$5-C17-1)))</f>
        <v>8.8994040580526124E-2</v>
      </c>
      <c r="I17" s="67">
        <f ca="1">IF($C18="",0,
H17*E17*(1+F17))</f>
        <v>13836.139106456934</v>
      </c>
      <c r="J17" s="67">
        <f ca="1">IF($C17="",0,
D17*E17*B17*((1+F17)/(1+G17))^MAX(0,$D$5-C17))</f>
        <v>0</v>
      </c>
      <c r="K17" s="68">
        <f ca="1">J17</f>
        <v>0</v>
      </c>
      <c r="L17" s="69"/>
      <c r="M17" s="70">
        <f ca="1">IF($C17="",0,
I17*'1.c Decrements'!D11)</f>
        <v>13836.139106456934</v>
      </c>
      <c r="N17" s="71">
        <f ca="1">K17*'1.a Assumptions'!$C$10*'1.c Decrements'!E11</f>
        <v>0</v>
      </c>
      <c r="O17" s="71">
        <f ca="1">J18*('1.c Decrements'!F11+'1.c Decrements'!G11)</f>
        <v>0</v>
      </c>
      <c r="P17" s="71">
        <f ca="1">M17-J18*'1.c Decrements'!D11</f>
        <v>0</v>
      </c>
      <c r="Q17" s="71">
        <f ca="1">IF(B18=$Q$15,$D$3,IF(B18&lt;$Q$15,'1.c Decrements'!$L$11,""))</f>
        <v>0.75</v>
      </c>
      <c r="R17" s="121">
        <f ca="1">SUMPRODUCT(Q17:Q87,P17:P87)</f>
        <v>468388.1678360682</v>
      </c>
      <c r="S17" s="13"/>
      <c r="T17" s="72">
        <f ca="1">IF($C18="","",J18-J17*(1+i))</f>
        <v>13836.139106456936</v>
      </c>
      <c r="U17" s="73">
        <f ca="1">IFERROR(T17-I17,"")</f>
        <v>1.8189894035458565E-12</v>
      </c>
      <c r="V17" s="13"/>
      <c r="W17" s="13"/>
      <c r="X17" s="13"/>
      <c r="Y17" s="13"/>
      <c r="Z17" s="13"/>
      <c r="AA17" s="13"/>
      <c r="AB17" s="13"/>
      <c r="AC17" s="13"/>
    </row>
    <row r="18" spans="1:29" x14ac:dyDescent="0.25">
      <c r="A18" s="13"/>
      <c r="B18" s="60">
        <f t="shared" ref="B18:B64" ca="1" si="2">IF($C18="","",B17+1)</f>
        <v>1</v>
      </c>
      <c r="C18" s="74">
        <f ca="1">IF(C17="","",IF($D$2="A",IF(C17+1&gt;$D$5+15,"",C17+1),IF(C17+1&gt;$D$5,"",C17+1)))</f>
        <v>41</v>
      </c>
      <c r="D18" s="75">
        <f ca="1">IF($C18="","",D17)</f>
        <v>0.1</v>
      </c>
      <c r="E18" s="76">
        <f ca="1">IF($C18="","",E17*(1+F17))</f>
        <v>155472.64756382565</v>
      </c>
      <c r="F18" s="65">
        <f ca="1">IF($C18="","",F17)</f>
        <v>3.6484317092170926E-2</v>
      </c>
      <c r="G18" s="65">
        <f ca="1">IF($C18="","",G17)</f>
        <v>0.05</v>
      </c>
      <c r="H18" s="66">
        <f t="shared" ca="1" si="1"/>
        <v>9.0154516637266979E-2</v>
      </c>
      <c r="I18" s="67">
        <f t="shared" ref="I18:I81" ca="1" si="3">IF($C19="",0,
H18*E18*(1+F18))</f>
        <v>14527.946061779783</v>
      </c>
      <c r="J18" s="67">
        <f t="shared" ref="J18:J81" ca="1" si="4">IF($C18="",0,
D18*E18*B18*((1+F18)/(1+G18))^MAX(0,$D$5-C18))</f>
        <v>13836.139106456936</v>
      </c>
      <c r="K18" s="68">
        <f t="shared" ref="K18:K81" ca="1" si="5">J18</f>
        <v>13836.139106456936</v>
      </c>
      <c r="L18" s="69"/>
      <c r="M18" s="70">
        <f ca="1">IF($C18="",0,
I18*'1.c Decrements'!D12+(M17-N17-O17)*(1+G17))</f>
        <v>28329.494820470572</v>
      </c>
      <c r="N18" s="71">
        <f ca="1">K18*'1.a Assumptions'!$C$10*'1.c Decrements'!E12</f>
        <v>492.91245566752838</v>
      </c>
      <c r="O18" s="71">
        <f ca="1">J19*('1.c Decrements'!F12+'1.c Decrements'!G12)</f>
        <v>0</v>
      </c>
      <c r="P18" s="71">
        <f ca="1">M18-J19*'1.c Decrements'!D12</f>
        <v>726.39730308899016</v>
      </c>
      <c r="Q18" s="71">
        <f ca="1">IF(B19=$Q$15,$D$3,IF(B19&lt;$Q$15,'1.c Decrements'!$L$11,""))</f>
        <v>0.75</v>
      </c>
      <c r="S18" s="13"/>
      <c r="T18" s="72">
        <f ca="1">IF($C19="","",J19-J18*(1+i))</f>
        <v>14527.946061779779</v>
      </c>
      <c r="U18" s="73">
        <f ca="1">IFERROR(T18-I18,"")</f>
        <v>-3.637978807091713E-12</v>
      </c>
      <c r="V18" s="13"/>
      <c r="W18" s="13"/>
      <c r="X18" s="13"/>
      <c r="Y18" s="13"/>
      <c r="Z18" s="13"/>
      <c r="AA18" s="13"/>
      <c r="AB18" s="13"/>
      <c r="AC18" s="13"/>
    </row>
    <row r="19" spans="1:29" x14ac:dyDescent="0.25">
      <c r="A19" s="13"/>
      <c r="B19" s="60">
        <f t="shared" ca="1" si="2"/>
        <v>2</v>
      </c>
      <c r="C19" s="74">
        <f t="shared" ref="C19:C82" ca="1" si="6">IF(C18="","",IF($D$2="A",IF(C18+1&gt;$D$5+15,"",C18+1),IF(C18+1&gt;$D$5,"",C18+1)))</f>
        <v>42</v>
      </c>
      <c r="D19" s="75">
        <f t="shared" ref="D19:D64" ca="1" si="7">IF($C19="","",D18)</f>
        <v>0.1</v>
      </c>
      <c r="E19" s="76">
        <f t="shared" ref="E19:E82" ca="1" si="8">IF($C19="","",E18*(1+F18))</f>
        <v>161144.9609367036</v>
      </c>
      <c r="F19" s="65">
        <f t="shared" ref="F19:F64" ca="1" si="9">IF($C19="","",F18)</f>
        <v>3.6484317092170926E-2</v>
      </c>
      <c r="G19" s="65">
        <f t="shared" ref="G19:G64" ca="1" si="10">IF($C19="","",G18)</f>
        <v>0.05</v>
      </c>
      <c r="H19" s="66">
        <f t="shared" ca="1" si="1"/>
        <v>9.1330125220517311E-2</v>
      </c>
      <c r="I19" s="67">
        <f t="shared" ca="1" si="3"/>
        <v>15254.343364868773</v>
      </c>
      <c r="J19" s="67">
        <f t="shared" ca="1" si="4"/>
        <v>29055.892123559563</v>
      </c>
      <c r="K19" s="68">
        <f t="shared" ca="1" si="5"/>
        <v>29055.892123559563</v>
      </c>
      <c r="L19" s="69"/>
      <c r="M19" s="70">
        <f ca="1">IF($C19="",0,
I19*'1.c Decrements'!D13+(M18-N18-O18)*(1+G18))</f>
        <v>42995.456369837266</v>
      </c>
      <c r="N19" s="71">
        <f ca="1">K19*'1.a Assumptions'!$C$10*'1.c Decrements'!E13</f>
        <v>983.36034905671886</v>
      </c>
      <c r="O19" s="71">
        <f ca="1">J20*('1.c Decrements'!F13+'1.c Decrements'!G13)</f>
        <v>0</v>
      </c>
      <c r="P19" s="71">
        <f ca="1">M19-J20*'1.c Decrements'!D13</f>
        <v>1694.321709455071</v>
      </c>
      <c r="Q19" s="71">
        <f ca="1">IF(B20=$Q$15,$D$3,IF(B20&lt;$Q$15,'1.c Decrements'!$L$11,""))</f>
        <v>0.75</v>
      </c>
      <c r="S19" s="13"/>
      <c r="T19" s="72">
        <f ca="1">IF($C20="","",J20-J19*(1+i))</f>
        <v>15254.343364868771</v>
      </c>
      <c r="U19" s="73">
        <f ca="1">IFERROR(T19-I19,"")</f>
        <v>-1.8189894035458565E-12</v>
      </c>
      <c r="V19" s="13"/>
      <c r="W19" s="13"/>
      <c r="X19" s="13"/>
      <c r="Y19" s="13"/>
      <c r="Z19" s="13"/>
      <c r="AA19" s="13"/>
      <c r="AB19" s="13"/>
      <c r="AC19" s="13"/>
    </row>
    <row r="20" spans="1:29" x14ac:dyDescent="0.25">
      <c r="A20" s="13"/>
      <c r="B20" s="60">
        <f t="shared" ca="1" si="2"/>
        <v>3</v>
      </c>
      <c r="C20" s="74">
        <f t="shared" ca="1" si="6"/>
        <v>43</v>
      </c>
      <c r="D20" s="75">
        <f t="shared" ca="1" si="7"/>
        <v>0.1</v>
      </c>
      <c r="E20" s="76">
        <f t="shared" ca="1" si="8"/>
        <v>167024.22478932378</v>
      </c>
      <c r="F20" s="65">
        <f t="shared" ca="1" si="9"/>
        <v>3.6484317092170926E-2</v>
      </c>
      <c r="G20" s="65">
        <f t="shared" ca="1" si="10"/>
        <v>0.05</v>
      </c>
      <c r="H20" s="66">
        <f t="shared" ca="1" si="1"/>
        <v>9.2521063657362998E-2</v>
      </c>
      <c r="I20" s="67">
        <f t="shared" ca="1" si="3"/>
        <v>16017.06053311221</v>
      </c>
      <c r="J20" s="67">
        <f t="shared" ca="1" si="4"/>
        <v>45763.030094606314</v>
      </c>
      <c r="K20" s="68">
        <f t="shared" ca="1" si="5"/>
        <v>45763.030094606314</v>
      </c>
      <c r="L20" s="69"/>
      <c r="M20" s="70">
        <f ca="1">IF($C20="",0,
I20*'1.c Decrements'!D14+(M19-N19-O19)*(1+G19))</f>
        <v>57845.328096396654</v>
      </c>
      <c r="N20" s="71">
        <f ca="1">K20*'1.a Assumptions'!$C$10*'1.c Decrements'!E14</f>
        <v>1471.352922276116</v>
      </c>
      <c r="O20" s="71">
        <f ca="1">J21*('1.c Decrements'!F14+'1.c Decrements'!G14)</f>
        <v>0</v>
      </c>
      <c r="P20" s="71">
        <f ca="1">M20-J21*'1.c Decrements'!D14</f>
        <v>2914.8189980883471</v>
      </c>
      <c r="Q20" s="71">
        <f ca="1">IF(B21=$Q$15,$D$3,IF(B21&lt;$Q$15,'1.c Decrements'!$L$11,""))</f>
        <v>0.75</v>
      </c>
      <c r="S20" s="13"/>
      <c r="T20" s="72">
        <f ca="1">IF($C21="","",J21-J20*(1+i))</f>
        <v>16017.060533112184</v>
      </c>
      <c r="U20" s="73">
        <f ca="1">IFERROR(T20-I20,"")</f>
        <v>-2.5465851649641991E-11</v>
      </c>
      <c r="V20" s="13"/>
      <c r="W20" s="13"/>
      <c r="X20" s="13"/>
      <c r="Y20" s="13"/>
      <c r="Z20" s="13"/>
      <c r="AA20" s="13"/>
      <c r="AB20" s="13"/>
      <c r="AC20" s="13"/>
    </row>
    <row r="21" spans="1:29" x14ac:dyDescent="0.25">
      <c r="A21" s="13"/>
      <c r="B21" s="60">
        <f t="shared" ca="1" si="2"/>
        <v>4</v>
      </c>
      <c r="C21" s="74">
        <f t="shared" ca="1" si="6"/>
        <v>44</v>
      </c>
      <c r="D21" s="75">
        <f t="shared" ca="1" si="7"/>
        <v>0.1</v>
      </c>
      <c r="E21" s="76">
        <f t="shared" ca="1" si="8"/>
        <v>173117.98956861149</v>
      </c>
      <c r="F21" s="65">
        <f t="shared" ca="1" si="9"/>
        <v>3.6484317092170926E-2</v>
      </c>
      <c r="G21" s="65">
        <f t="shared" ca="1" si="10"/>
        <v>0.05</v>
      </c>
      <c r="H21" s="66">
        <f t="shared" ca="1" si="1"/>
        <v>9.3727531848021392E-2</v>
      </c>
      <c r="I21" s="67">
        <f t="shared" ca="1" si="3"/>
        <v>16817.913559767818</v>
      </c>
      <c r="J21" s="67">
        <f t="shared" ca="1" si="4"/>
        <v>64068.242132448817</v>
      </c>
      <c r="K21" s="68">
        <f t="shared" ca="1" si="5"/>
        <v>64068.242132448817</v>
      </c>
      <c r="L21" s="69"/>
      <c r="M21" s="70">
        <f ca="1">IF($C21="",0,
I21*'1.c Decrements'!D15+(M20-N20-O20)*(1+G20))</f>
        <v>72890.969639217205</v>
      </c>
      <c r="N21" s="71">
        <f ca="1">K21*'1.a Assumptions'!$C$10*'1.c Decrements'!E15</f>
        <v>1956.8993866272333</v>
      </c>
      <c r="O21" s="71">
        <f ca="1">J22*('1.c Decrements'!F15+'1.c Decrements'!G15)</f>
        <v>0</v>
      </c>
      <c r="P21" s="71">
        <f ca="1">M21-J22*'1.c Decrements'!D15</f>
        <v>4399.4911072640243</v>
      </c>
      <c r="Q21" s="71">
        <f ca="1">IF(B22=$Q$15,$D$3,IF(B22&lt;$Q$15,'1.c Decrements'!$L$11,""))</f>
        <v>0.75</v>
      </c>
      <c r="S21" s="13"/>
      <c r="T21" s="72">
        <f ca="1">IF($C22="","",J22-J21*(1+i))</f>
        <v>16817.91355976784</v>
      </c>
      <c r="U21" s="73">
        <f ca="1">IFERROR(T21-I21,"")</f>
        <v>2.1827872842550278E-11</v>
      </c>
      <c r="V21" s="13"/>
      <c r="W21" s="13"/>
      <c r="X21" s="13"/>
      <c r="Y21" s="13"/>
      <c r="Z21" s="13"/>
      <c r="AA21" s="13"/>
      <c r="AB21" s="13"/>
      <c r="AC21" s="13"/>
    </row>
    <row r="22" spans="1:29" x14ac:dyDescent="0.25">
      <c r="A22" s="13"/>
      <c r="B22" s="60">
        <f t="shared" ca="1" si="2"/>
        <v>5</v>
      </c>
      <c r="C22" s="74">
        <f t="shared" ca="1" si="6"/>
        <v>45</v>
      </c>
      <c r="D22" s="75">
        <f t="shared" ca="1" si="7"/>
        <v>0.1</v>
      </c>
      <c r="E22" s="76">
        <f t="shared" ca="1" si="8"/>
        <v>179434.08119439185</v>
      </c>
      <c r="F22" s="65">
        <f t="shared" ca="1" si="9"/>
        <v>3.6484317092170926E-2</v>
      </c>
      <c r="G22" s="65">
        <f t="shared" ca="1" si="10"/>
        <v>0.05</v>
      </c>
      <c r="H22" s="66">
        <f t="shared" ca="1" si="1"/>
        <v>9.4949732299394601E-2</v>
      </c>
      <c r="I22" s="67">
        <f t="shared" ca="1" si="3"/>
        <v>17658.80923775621</v>
      </c>
      <c r="J22" s="67">
        <f t="shared" ca="1" si="4"/>
        <v>84089.567798839096</v>
      </c>
      <c r="K22" s="68">
        <f t="shared" ca="1" si="5"/>
        <v>84089.567798839096</v>
      </c>
      <c r="L22" s="69"/>
      <c r="M22" s="70">
        <f ca="1">IF($C22="",0,
I22*'1.c Decrements'!D16+(M21-N21-O21)*(1+G21))</f>
        <v>88144.823732344143</v>
      </c>
      <c r="N22" s="71">
        <f ca="1">K22*'1.a Assumptions'!$C$10*'1.c Decrements'!E16</f>
        <v>2440.0089227008325</v>
      </c>
      <c r="O22" s="71">
        <f ca="1">J23*('1.c Decrements'!F16+'1.c Decrements'!G16)</f>
        <v>0</v>
      </c>
      <c r="P22" s="71">
        <f ca="1">M22-J23*'1.c Decrements'!D16</f>
        <v>6160.5239295961801</v>
      </c>
      <c r="Q22" s="71">
        <f ca="1">IF(B23=$Q$15,$D$3,IF(B23&lt;$Q$15,'1.c Decrements'!$L$11,""))</f>
        <v>0.75</v>
      </c>
      <c r="S22" s="13"/>
      <c r="T22" s="72">
        <f ca="1">IF($C23="","",J23-J22*(1+i))</f>
        <v>17658.809237756199</v>
      </c>
      <c r="U22" s="73">
        <f ca="1">IFERROR(T22-I22,"")</f>
        <v>-1.0913936421275139E-11</v>
      </c>
      <c r="V22" s="13"/>
      <c r="W22" s="13"/>
      <c r="X22" s="13"/>
      <c r="Y22" s="13"/>
      <c r="Z22" s="13"/>
      <c r="AA22" s="13"/>
      <c r="AB22" s="13"/>
      <c r="AC22" s="13"/>
    </row>
    <row r="23" spans="1:29" x14ac:dyDescent="0.25">
      <c r="A23" s="13"/>
      <c r="B23" s="60">
        <f t="shared" ca="1" si="2"/>
        <v>6</v>
      </c>
      <c r="C23" s="74">
        <f t="shared" ca="1" si="6"/>
        <v>46</v>
      </c>
      <c r="D23" s="75">
        <f t="shared" ca="1" si="7"/>
        <v>0.1</v>
      </c>
      <c r="E23" s="76">
        <f t="shared" ca="1" si="8"/>
        <v>185980.61110983038</v>
      </c>
      <c r="F23" s="65">
        <f t="shared" ca="1" si="9"/>
        <v>3.6484317092170926E-2</v>
      </c>
      <c r="G23" s="65">
        <f t="shared" ca="1" si="10"/>
        <v>0.05</v>
      </c>
      <c r="H23" s="66">
        <f t="shared" ca="1" si="1"/>
        <v>9.6187870159060607E-2</v>
      </c>
      <c r="I23" s="67">
        <f t="shared" ca="1" si="3"/>
        <v>18541.74969964402</v>
      </c>
      <c r="J23" s="67">
        <f t="shared" ca="1" si="4"/>
        <v>105952.85542653725</v>
      </c>
      <c r="K23" s="68">
        <f t="shared" ca="1" si="5"/>
        <v>105952.85542653725</v>
      </c>
      <c r="L23" s="69"/>
      <c r="M23" s="70">
        <f ca="1">IF($C23="",0,
I23*'1.c Decrements'!D17+(M22-N22-O22)*(1+G22))</f>
        <v>103619.94539233233</v>
      </c>
      <c r="N23" s="71">
        <f ca="1">K23*'1.a Assumptions'!$C$10*'1.c Decrements'!E17</f>
        <v>2920.6906804728965</v>
      </c>
      <c r="O23" s="71">
        <f ca="1">J24*('1.c Decrements'!F17+'1.c Decrements'!G17)</f>
        <v>0</v>
      </c>
      <c r="P23" s="71">
        <f ca="1">M23-J24*'1.c Decrements'!D17</f>
        <v>8210.7164968843863</v>
      </c>
      <c r="Q23" s="71">
        <f ca="1">IF(B24=$Q$15,$D$3,IF(B24&lt;$Q$15,'1.c Decrements'!$L$11,""))</f>
        <v>0.75</v>
      </c>
      <c r="S23" s="13"/>
      <c r="T23" s="72">
        <f ca="1">IF($C24="","",J24-J23*(1+i))</f>
        <v>18541.749699644031</v>
      </c>
      <c r="U23" s="73">
        <f ca="1">IFERROR(T23-I23,"")</f>
        <v>1.0913936421275139E-11</v>
      </c>
      <c r="V23" s="13"/>
      <c r="W23" s="13"/>
      <c r="X23" s="13"/>
      <c r="Y23" s="13"/>
      <c r="Z23" s="13"/>
      <c r="AA23" s="13"/>
      <c r="AB23" s="13"/>
      <c r="AC23" s="13"/>
    </row>
    <row r="24" spans="1:29" x14ac:dyDescent="0.25">
      <c r="A24" s="13"/>
      <c r="B24" s="60">
        <f t="shared" ca="1" si="2"/>
        <v>7</v>
      </c>
      <c r="C24" s="74">
        <f t="shared" ca="1" si="6"/>
        <v>47</v>
      </c>
      <c r="D24" s="75">
        <f t="shared" ca="1" si="7"/>
        <v>0.1</v>
      </c>
      <c r="E24" s="76">
        <f t="shared" ca="1" si="8"/>
        <v>192765.98669855716</v>
      </c>
      <c r="F24" s="65">
        <f t="shared" ca="1" si="9"/>
        <v>3.6484317092170926E-2</v>
      </c>
      <c r="G24" s="65">
        <f t="shared" ca="1" si="10"/>
        <v>0.05</v>
      </c>
      <c r="H24" s="66">
        <f t="shared" ca="1" si="1"/>
        <v>9.7442153249707397E-2</v>
      </c>
      <c r="I24" s="67">
        <f t="shared" ca="1" si="3"/>
        <v>19468.83718462622</v>
      </c>
      <c r="J24" s="67">
        <f t="shared" ca="1" si="4"/>
        <v>129792.24789750815</v>
      </c>
      <c r="K24" s="68">
        <f t="shared" ca="1" si="5"/>
        <v>129792.24789750815</v>
      </c>
      <c r="L24" s="69"/>
      <c r="M24" s="70">
        <f ca="1">IF($C24="",0,
I24*'1.c Decrements'!D18+(M23-N23-O23)*(1+G23))</f>
        <v>119330.03256505374</v>
      </c>
      <c r="N24" s="71">
        <f ca="1">K24*'1.a Assumptions'!$C$10*'1.c Decrements'!E18</f>
        <v>3398.9537794003331</v>
      </c>
      <c r="O24" s="71">
        <f ca="1">J25*('1.c Decrements'!F18+'1.c Decrements'!G18)</f>
        <v>0</v>
      </c>
      <c r="P24" s="71">
        <f ca="1">M24-J25*'1.c Decrements'!D18</f>
        <v>10563.51162424311</v>
      </c>
      <c r="Q24" s="71">
        <f ca="1">IF(B25=$Q$15,$D$3,IF(B25&lt;$Q$15,'1.c Decrements'!$L$11,""))</f>
        <v>0.75</v>
      </c>
      <c r="S24" s="13"/>
      <c r="T24" s="72">
        <f ca="1">IF($C25="","",J25-J24*(1+i))</f>
        <v>19468.837184626173</v>
      </c>
      <c r="U24" s="73">
        <f ca="1">IFERROR(T24-I24,"")</f>
        <v>-4.7293724492192268E-11</v>
      </c>
      <c r="V24" s="13"/>
      <c r="W24" s="13"/>
      <c r="X24" s="13"/>
      <c r="Y24" s="13"/>
      <c r="Z24" s="13"/>
      <c r="AA24" s="13"/>
      <c r="AB24" s="13"/>
      <c r="AC24" s="13"/>
    </row>
    <row r="25" spans="1:29" x14ac:dyDescent="0.25">
      <c r="A25" s="13"/>
      <c r="B25" s="60">
        <f t="shared" ca="1" si="2"/>
        <v>8</v>
      </c>
      <c r="C25" s="74">
        <f t="shared" ca="1" si="6"/>
        <v>48</v>
      </c>
      <c r="D25" s="75">
        <f t="shared" ca="1" si="7"/>
        <v>0.1</v>
      </c>
      <c r="E25" s="76">
        <f t="shared" ca="1" si="8"/>
        <v>199798.92208185251</v>
      </c>
      <c r="F25" s="65">
        <f t="shared" ca="1" si="9"/>
        <v>3.6484317092170926E-2</v>
      </c>
      <c r="G25" s="65">
        <f t="shared" ca="1" si="10"/>
        <v>0.05</v>
      </c>
      <c r="H25" s="66">
        <f t="shared" ca="1" si="1"/>
        <v>9.8712792104016289E-2</v>
      </c>
      <c r="I25" s="67">
        <f t="shared" ca="1" si="3"/>
        <v>20442.279043857528</v>
      </c>
      <c r="J25" s="67">
        <f t="shared" ca="1" si="4"/>
        <v>155750.69747700973</v>
      </c>
      <c r="K25" s="68">
        <f t="shared" ca="1" si="5"/>
        <v>155750.69747700973</v>
      </c>
      <c r="L25" s="69"/>
      <c r="M25" s="70">
        <f ca="1">IF($C25="",0,
I25*'1.c Decrements'!D19+(M24-N24-O24)*(1+G24))</f>
        <v>135289.45830474343</v>
      </c>
      <c r="N25" s="71">
        <f ca="1">K25*'1.a Assumptions'!$C$10*'1.c Decrements'!E19</f>
        <v>3874.8073085163792</v>
      </c>
      <c r="O25" s="71">
        <f ca="1">J26*('1.c Decrements'!F19+'1.c Decrements'!G19)</f>
        <v>0</v>
      </c>
      <c r="P25" s="71">
        <f ca="1">M25-J26*'1.c Decrements'!D19</f>
        <v>13233.028086477483</v>
      </c>
      <c r="Q25" s="71">
        <f ca="1">IF(B26=$Q$15,$D$3,IF(B26&lt;$Q$15,'1.c Decrements'!$L$11,""))</f>
        <v>0.75</v>
      </c>
      <c r="S25" s="13"/>
      <c r="T25" s="72">
        <f ca="1">IF($C26="","",J26-J25*(1+i))</f>
        <v>20442.279043857532</v>
      </c>
      <c r="U25" s="73">
        <f ca="1">IFERROR(T25-I25,"")</f>
        <v>3.637978807091713E-12</v>
      </c>
      <c r="V25" s="13"/>
      <c r="W25" s="13"/>
      <c r="X25" s="13"/>
      <c r="Y25" s="13"/>
      <c r="Z25" s="13"/>
      <c r="AA25" s="13"/>
      <c r="AB25" s="13"/>
      <c r="AC25" s="13"/>
    </row>
    <row r="26" spans="1:29" x14ac:dyDescent="0.25">
      <c r="A26" s="13"/>
      <c r="B26" s="60">
        <f t="shared" ca="1" si="2"/>
        <v>9</v>
      </c>
      <c r="C26" s="74">
        <f t="shared" ca="1" si="6"/>
        <v>49</v>
      </c>
      <c r="D26" s="75">
        <f t="shared" ca="1" si="7"/>
        <v>0.1</v>
      </c>
      <c r="E26" s="76">
        <f t="shared" ca="1" si="8"/>
        <v>207088.44930976076</v>
      </c>
      <c r="F26" s="65">
        <f t="shared" ca="1" si="9"/>
        <v>3.6484317092170926E-2</v>
      </c>
      <c r="G26" s="65">
        <f t="shared" ca="1" si="10"/>
        <v>0.05</v>
      </c>
      <c r="H26" s="66">
        <f t="shared" ca="1" si="1"/>
        <v>0.1</v>
      </c>
      <c r="I26" s="67">
        <f t="shared" ca="1" si="3"/>
        <v>21464.392996050403</v>
      </c>
      <c r="J26" s="67">
        <f t="shared" ca="1" si="4"/>
        <v>183980.51139471776</v>
      </c>
      <c r="K26" s="68">
        <f t="shared" ca="1" si="5"/>
        <v>183980.51139471776</v>
      </c>
      <c r="L26" s="69"/>
      <c r="M26" s="70">
        <f ca="1">IF($C26="",0,
I26*'1.c Decrements'!D20+(M25-N25-O25)*(1+G25))</f>
        <v>151513.30456189622</v>
      </c>
      <c r="N26" s="71">
        <f ca="1">K26*'1.a Assumptions'!$C$10*'1.c Decrements'!E20</f>
        <v>4344.1142603043827</v>
      </c>
      <c r="O26" s="71">
        <f ca="1">J27*('1.c Decrements'!F20+'1.c Decrements'!G20)</f>
        <v>27159.033013224576</v>
      </c>
      <c r="P26" s="71">
        <f ca="1">M26-J27*'1.c Decrements'!D20</f>
        <v>16234.094403318159</v>
      </c>
      <c r="Q26" s="71">
        <f ca="1">IF(B27=$Q$15,$D$3,IF(B27&lt;$Q$15,'1.c Decrements'!$L$11,""))</f>
        <v>0.75</v>
      </c>
      <c r="S26" s="13"/>
      <c r="T26" s="72">
        <f ca="1">IF($C27="","",J27-J26*(1+i))</f>
        <v>21464.392996050359</v>
      </c>
      <c r="U26" s="73">
        <f ca="1">IFERROR(T26-I26,"")</f>
        <v>-4.3655745685100555E-11</v>
      </c>
      <c r="V26" s="13"/>
      <c r="W26" s="13"/>
      <c r="X26" s="13"/>
      <c r="Y26" s="13"/>
      <c r="Z26" s="13"/>
      <c r="AA26" s="13"/>
      <c r="AB26" s="13"/>
      <c r="AC26" s="13"/>
    </row>
    <row r="27" spans="1:29" x14ac:dyDescent="0.25">
      <c r="A27" s="13"/>
      <c r="B27" s="60">
        <f t="shared" ca="1" si="2"/>
        <v>10</v>
      </c>
      <c r="C27" s="74">
        <f t="shared" ca="1" si="6"/>
        <v>50</v>
      </c>
      <c r="D27" s="75">
        <f t="shared" ca="1" si="7"/>
        <v>0.1</v>
      </c>
      <c r="E27" s="76">
        <f t="shared" ca="1" si="8"/>
        <v>214643.92996050403</v>
      </c>
      <c r="F27" s="65">
        <f t="shared" ca="1" si="9"/>
        <v>3.6484317092170926E-2</v>
      </c>
      <c r="G27" s="65">
        <f t="shared" ca="1" si="10"/>
        <v>0.05</v>
      </c>
      <c r="H27" s="66">
        <f ca="1">IF($C27="","",
IF(C27&gt;=$D$5,D27*(B27*(F27-G27)+1+F27)/(1+F27),
D27*((1+F27)/(1+G27))^($D$5-C27-1)))</f>
        <v>8.6960070031983736E-2</v>
      </c>
      <c r="I27" s="67">
        <f t="shared" ca="1" si="3"/>
        <v>19346.447420872832</v>
      </c>
      <c r="J27" s="67">
        <f t="shared" ca="1" si="4"/>
        <v>214643.92996050403</v>
      </c>
      <c r="K27" s="68">
        <f t="shared" ca="1" si="5"/>
        <v>214643.92996050403</v>
      </c>
      <c r="L27" s="69"/>
      <c r="M27" s="70">
        <f ca="1">IF($C27="",0,
I27*'1.c Decrements'!D21+(M26-N26-O26)*(1+G26))</f>
        <v>135146.76087185164</v>
      </c>
      <c r="N27" s="71">
        <f ca="1">K27*'1.a Assumptions'!$C$10*'1.c Decrements'!E21</f>
        <v>0</v>
      </c>
      <c r="O27" s="71">
        <f ca="1">J28*('1.c Decrements'!F21+'1.c Decrements'!G21)</f>
        <v>23211.009932282206</v>
      </c>
      <c r="P27" s="71">
        <f ca="1">M27-J28*'1.c Decrements'!D21</f>
        <v>19579.865775328319</v>
      </c>
      <c r="Q27" s="71">
        <f ca="1">IF(B28=$Q$15,$D$3,IF(B28&lt;$Q$15,'1.c Decrements'!$L$11,""))</f>
        <v>0.75</v>
      </c>
      <c r="S27" s="13"/>
      <c r="T27" s="72">
        <f ca="1">IF($C28="","",J28-J27*(1+i))</f>
        <v>19346.447420872835</v>
      </c>
      <c r="U27" s="73">
        <f ca="1">IFERROR(T27-I27,"")</f>
        <v>3.637978807091713E-12</v>
      </c>
      <c r="V27" s="13"/>
      <c r="W27" s="13"/>
      <c r="X27" s="13"/>
      <c r="Y27" s="13"/>
      <c r="Z27" s="13"/>
      <c r="AA27" s="13"/>
      <c r="AB27" s="13"/>
      <c r="AC27" s="13"/>
    </row>
    <row r="28" spans="1:29" x14ac:dyDescent="0.25">
      <c r="A28" s="13"/>
      <c r="B28" s="60">
        <f t="shared" ca="1" si="2"/>
        <v>11</v>
      </c>
      <c r="C28" s="74">
        <f t="shared" ca="1" si="6"/>
        <v>51</v>
      </c>
      <c r="D28" s="75">
        <f t="shared" ca="1" si="7"/>
        <v>0.1</v>
      </c>
      <c r="E28" s="76">
        <f t="shared" ca="1" si="8"/>
        <v>222475.06716309278</v>
      </c>
      <c r="F28" s="65">
        <f t="shared" ca="1" si="9"/>
        <v>3.6484317092170926E-2</v>
      </c>
      <c r="G28" s="65">
        <f t="shared" ca="1" si="10"/>
        <v>0.05</v>
      </c>
      <c r="H28" s="66">
        <f t="shared" ref="H28:H87" ca="1" si="11">IF($C28="","",
IF(C28&gt;=$D$5,D28*(B28*(F28-G28)+1+F28)/(1+F28),
D28*((1+F28)/(1+G28))^($D$5-C28-1)))</f>
        <v>8.5656077035182104E-2</v>
      </c>
      <c r="I28" s="67">
        <f t="shared" ca="1" si="3"/>
        <v>19751.599096915535</v>
      </c>
      <c r="J28" s="67">
        <f t="shared" ca="1" si="4"/>
        <v>244722.57387940207</v>
      </c>
      <c r="K28" s="68">
        <f t="shared" ca="1" si="5"/>
        <v>244722.57387940207</v>
      </c>
      <c r="L28" s="69"/>
      <c r="M28" s="70">
        <f ca="1">IF($C28="",0,
I28*'1.c Decrements'!D22+(M27-N27-O27)*(1+G27))</f>
        <v>124986.59713380538</v>
      </c>
      <c r="N28" s="71">
        <f ca="1">K28*'1.a Assumptions'!$C$10*'1.c Decrements'!E22</f>
        <v>0</v>
      </c>
      <c r="O28" s="71">
        <f ca="1">J29*('1.c Decrements'!F22+'1.c Decrements'!G22)</f>
        <v>20982.874265823099</v>
      </c>
      <c r="P28" s="71">
        <f ca="1">M28-J29*'1.c Decrements'!D22</f>
        <v>20558.859064094737</v>
      </c>
      <c r="Q28" s="71">
        <f ca="1">IF(B29=$Q$15,$D$3,IF(B29&lt;$Q$15,'1.c Decrements'!$L$11,""))</f>
        <v>0.75</v>
      </c>
      <c r="S28" s="13"/>
      <c r="T28" s="72">
        <f ca="1">IF($C29="","",J29-J28*(1+i))</f>
        <v>19751.599096915539</v>
      </c>
      <c r="U28" s="73">
        <f ca="1">IFERROR(T28-I28,"")</f>
        <v>3.637978807091713E-12</v>
      </c>
      <c r="V28" s="13"/>
      <c r="W28" s="13"/>
      <c r="X28" s="13"/>
      <c r="Y28" s="13"/>
      <c r="Z28" s="13"/>
      <c r="AA28" s="13"/>
      <c r="AB28" s="13"/>
      <c r="AC28" s="13"/>
    </row>
    <row r="29" spans="1:29" x14ac:dyDescent="0.25">
      <c r="A29" s="13"/>
      <c r="B29" s="60">
        <f t="shared" ca="1" si="2"/>
        <v>12</v>
      </c>
      <c r="C29" s="74">
        <f t="shared" ca="1" si="6"/>
        <v>52</v>
      </c>
      <c r="D29" s="75">
        <f t="shared" ca="1" si="7"/>
        <v>0.1</v>
      </c>
      <c r="E29" s="76">
        <f t="shared" ca="1" si="8"/>
        <v>230591.91805857309</v>
      </c>
      <c r="F29" s="65">
        <f t="shared" ca="1" si="9"/>
        <v>3.6484317092170926E-2</v>
      </c>
      <c r="G29" s="65">
        <f t="shared" ca="1" si="10"/>
        <v>0.05</v>
      </c>
      <c r="H29" s="66">
        <f t="shared" ca="1" si="11"/>
        <v>8.4352084038380487E-2</v>
      </c>
      <c r="I29" s="67">
        <f t="shared" ca="1" si="3"/>
        <v>20160.561976886063</v>
      </c>
      <c r="J29" s="67">
        <f t="shared" ca="1" si="4"/>
        <v>276710.30167028774</v>
      </c>
      <c r="K29" s="68">
        <f t="shared" ca="1" si="5"/>
        <v>276710.30167028774</v>
      </c>
      <c r="L29" s="69"/>
      <c r="M29" s="70">
        <f ca="1">IF($C29="",0,
I29*'1.c Decrements'!D23+(M28-N28-O28)*(1+G28))</f>
        <v>115283.53574813955</v>
      </c>
      <c r="N29" s="71">
        <f ca="1">K29*'1.a Assumptions'!$C$10*'1.c Decrements'!E23</f>
        <v>0</v>
      </c>
      <c r="O29" s="71">
        <f ca="1">J30*('1.c Decrements'!F23+'1.c Decrements'!G23)</f>
        <v>18835.404637588865</v>
      </c>
      <c r="P29" s="71">
        <f ca="1">M29-J30*'1.c Decrements'!D23</f>
        <v>21586.802017299502</v>
      </c>
      <c r="Q29" s="71">
        <f ca="1">IF(B30=$Q$15,$D$3,IF(B30&lt;$Q$15,'1.c Decrements'!$L$11,""))</f>
        <v>0.75</v>
      </c>
      <c r="S29" s="13"/>
      <c r="T29" s="72">
        <f ca="1">IF($C30="","",J30-J29*(1+i))</f>
        <v>20160.561976886005</v>
      </c>
      <c r="U29" s="73">
        <f ca="1">IFERROR(T29-I29,"")</f>
        <v>-5.8207660913467407E-11</v>
      </c>
      <c r="V29" s="13"/>
      <c r="W29" s="13"/>
      <c r="X29" s="13"/>
      <c r="Y29" s="13"/>
      <c r="Z29" s="13"/>
      <c r="AA29" s="13"/>
      <c r="AB29" s="13"/>
      <c r="AC29" s="13"/>
    </row>
    <row r="30" spans="1:29" x14ac:dyDescent="0.25">
      <c r="A30" s="13"/>
      <c r="B30" s="60">
        <f t="shared" ca="1" si="2"/>
        <v>13</v>
      </c>
      <c r="C30" s="74">
        <f t="shared" ca="1" si="6"/>
        <v>53</v>
      </c>
      <c r="D30" s="75">
        <f t="shared" ca="1" si="7"/>
        <v>0.1</v>
      </c>
      <c r="E30" s="76">
        <f t="shared" ca="1" si="8"/>
        <v>239004.90671591397</v>
      </c>
      <c r="F30" s="65">
        <f t="shared" ca="1" si="9"/>
        <v>3.6484317092170926E-2</v>
      </c>
      <c r="G30" s="65">
        <f t="shared" ca="1" si="10"/>
        <v>0.05</v>
      </c>
      <c r="H30" s="66">
        <f t="shared" ca="1" si="11"/>
        <v>8.3048091041578856E-2</v>
      </c>
      <c r="I30" s="67">
        <f t="shared" ca="1" si="3"/>
        <v>20573.074859548382</v>
      </c>
      <c r="J30" s="67">
        <f t="shared" ca="1" si="4"/>
        <v>310706.37873068813</v>
      </c>
      <c r="K30" s="68">
        <f t="shared" ca="1" si="5"/>
        <v>310706.37873068813</v>
      </c>
      <c r="L30" s="69"/>
      <c r="M30" s="70">
        <f ca="1">IF($C30="",0,
I30*'1.c Decrements'!D24+(M29-N29-O29)*(1+G29))</f>
        <v>106227.39672321297</v>
      </c>
      <c r="N30" s="71">
        <f ca="1">K30*'1.a Assumptions'!$C$10*'1.c Decrements'!E24</f>
        <v>0</v>
      </c>
      <c r="O30" s="71">
        <f ca="1">J31*('1.c Decrements'!F24+'1.c Decrements'!G24)</f>
        <v>16806.20719568761</v>
      </c>
      <c r="P30" s="71">
        <f ca="1">M30-J31*'1.c Decrements'!D24</f>
        <v>22666.142118164498</v>
      </c>
      <c r="Q30" s="71">
        <f ca="1">IF(B31=$Q$15,$D$3,IF(B31&lt;$Q$15,'1.c Decrements'!$L$11,""))</f>
        <v>0.75</v>
      </c>
      <c r="S30" s="13"/>
      <c r="T30" s="72">
        <f ca="1">IF($C31="","",J31-J30*(1+i))</f>
        <v>20573.074859548418</v>
      </c>
      <c r="U30" s="73">
        <f ca="1">IFERROR(T30-I30,"")</f>
        <v>3.637978807091713E-11</v>
      </c>
      <c r="V30" s="13"/>
      <c r="W30" s="13"/>
      <c r="X30" s="13"/>
      <c r="Y30" s="13"/>
      <c r="Z30" s="13"/>
      <c r="AA30" s="13"/>
      <c r="AB30" s="13"/>
      <c r="AC30" s="13"/>
    </row>
    <row r="31" spans="1:29" x14ac:dyDescent="0.25">
      <c r="A31" s="13"/>
      <c r="B31" s="60">
        <f t="shared" ca="1" si="2"/>
        <v>14</v>
      </c>
      <c r="C31" s="74">
        <f t="shared" ca="1" si="6"/>
        <v>54</v>
      </c>
      <c r="D31" s="75">
        <f t="shared" ca="1" si="7"/>
        <v>0.1</v>
      </c>
      <c r="E31" s="76">
        <f t="shared" ca="1" si="8"/>
        <v>247724.83751912211</v>
      </c>
      <c r="F31" s="65">
        <f t="shared" ca="1" si="9"/>
        <v>3.6484317092170926E-2</v>
      </c>
      <c r="G31" s="65">
        <f t="shared" ca="1" si="10"/>
        <v>0.05</v>
      </c>
      <c r="H31" s="66">
        <f t="shared" ca="1" si="11"/>
        <v>8.1744098044777225E-2</v>
      </c>
      <c r="I31" s="67">
        <f t="shared" ca="1" si="3"/>
        <v>20988.852411054919</v>
      </c>
      <c r="J31" s="67">
        <f t="shared" ca="1" si="4"/>
        <v>346814.77252677095</v>
      </c>
      <c r="K31" s="68">
        <f t="shared" ca="1" si="5"/>
        <v>346814.77252677095</v>
      </c>
      <c r="L31" s="69"/>
      <c r="M31" s="70">
        <f ca="1">IF($C31="",0,
I31*'1.c Decrements'!D25+(M30-N30-O30)*(1+G30))</f>
        <v>97932.19178823012</v>
      </c>
      <c r="N31" s="71">
        <f ca="1">K31*'1.a Assumptions'!$C$10*'1.c Decrements'!E25</f>
        <v>0</v>
      </c>
      <c r="O31" s="71">
        <f ca="1">J32*('1.c Decrements'!F25+'1.c Decrements'!G25)</f>
        <v>14917.820745476467</v>
      </c>
      <c r="P31" s="71">
        <f ca="1">M31-J32*'1.c Decrements'!D25</f>
        <v>23799.449224072741</v>
      </c>
      <c r="Q31" s="71">
        <f ca="1">IF(B32=$Q$15,$D$3,IF(B32&lt;$Q$15,'1.c Decrements'!$L$11,""))</f>
        <v>15</v>
      </c>
      <c r="R31" s="131"/>
      <c r="S31" s="13"/>
      <c r="T31" s="72">
        <f ca="1">IF($C32="","",J32-J31*(1+i))</f>
        <v>20988.852411054948</v>
      </c>
      <c r="U31" s="73">
        <f ca="1">IFERROR(T31-I31,"")</f>
        <v>2.9103830456733704E-11</v>
      </c>
      <c r="V31" s="13"/>
      <c r="W31" s="13"/>
      <c r="X31" s="13"/>
      <c r="Y31" s="13"/>
      <c r="Z31" s="13"/>
      <c r="AA31" s="13"/>
      <c r="AB31" s="13"/>
      <c r="AC31" s="13"/>
    </row>
    <row r="32" spans="1:29" x14ac:dyDescent="0.25">
      <c r="A32" s="13"/>
      <c r="B32" s="60">
        <f t="shared" ca="1" si="2"/>
        <v>15</v>
      </c>
      <c r="C32" s="74">
        <f t="shared" ca="1" si="6"/>
        <v>55</v>
      </c>
      <c r="D32" s="75">
        <f t="shared" ca="1" si="7"/>
        <v>0.1</v>
      </c>
      <c r="E32" s="76">
        <f t="shared" ca="1" si="8"/>
        <v>256762.90904277627</v>
      </c>
      <c r="F32" s="65">
        <f t="shared" ca="1" si="9"/>
        <v>3.6484317092170926E-2</v>
      </c>
      <c r="G32" s="65">
        <f t="shared" ca="1" si="10"/>
        <v>0.05</v>
      </c>
      <c r="H32" s="66">
        <f t="shared" ca="1" si="11"/>
        <v>8.0440105047975607E-2</v>
      </c>
      <c r="I32" s="67">
        <f t="shared" ca="1" si="3"/>
        <v>21407.583751709233</v>
      </c>
      <c r="J32" s="67">
        <f t="shared" ca="1" si="4"/>
        <v>385144.36356416444</v>
      </c>
      <c r="K32" s="68">
        <f t="shared" ca="1" si="5"/>
        <v>385144.36356416444</v>
      </c>
      <c r="L32" s="69"/>
      <c r="M32" s="70">
        <f ca="1">IF($C32="",0,
I32*'1.c Decrements'!D26+(M31-N31-O31)*(1+G31))</f>
        <v>90456.448675038278</v>
      </c>
      <c r="N32" s="71">
        <f ca="1">K32*'1.a Assumptions'!$C$10*'1.c Decrements'!E26</f>
        <v>0</v>
      </c>
      <c r="O32" s="71">
        <f ca="1">J33*('1.c Decrements'!F26+'1.c Decrements'!G26)</f>
        <v>13181.576389902189</v>
      </c>
      <c r="P32" s="71">
        <f ca="1">M32-J33*'1.c Decrements'!D26</f>
        <v>24989.421685276393</v>
      </c>
      <c r="Q32" s="71" t="str">
        <f ca="1">IF(B33=$Q$15,$D$3,IF(B33&lt;$Q$15,'1.c Decrements'!$L$11,""))</f>
        <v/>
      </c>
      <c r="S32" s="13"/>
      <c r="T32" s="72">
        <f ca="1">IF($C33="","",J33-J32*(1+i))</f>
        <v>21407.5837517092</v>
      </c>
      <c r="U32" s="73">
        <f ca="1">IFERROR(T32-I32,"")</f>
        <v>-3.2741809263825417E-11</v>
      </c>
      <c r="V32" s="13"/>
      <c r="W32" s="13"/>
      <c r="X32" s="13"/>
      <c r="Y32" s="13"/>
      <c r="Z32" s="13"/>
      <c r="AA32" s="13"/>
      <c r="AB32" s="13"/>
      <c r="AC32" s="13"/>
    </row>
    <row r="33" spans="1:29" x14ac:dyDescent="0.25">
      <c r="A33" s="13"/>
      <c r="B33" s="60">
        <f t="shared" ca="1" si="2"/>
        <v>16</v>
      </c>
      <c r="C33" s="74">
        <f t="shared" ca="1" si="6"/>
        <v>56</v>
      </c>
      <c r="D33" s="75">
        <f t="shared" ca="1" si="7"/>
        <v>0.1</v>
      </c>
      <c r="E33" s="76">
        <f t="shared" ca="1" si="8"/>
        <v>266130.72843380115</v>
      </c>
      <c r="F33" s="65">
        <f t="shared" ca="1" si="9"/>
        <v>3.6484317092170926E-2</v>
      </c>
      <c r="G33" s="65">
        <f t="shared" ca="1" si="10"/>
        <v>0.05</v>
      </c>
      <c r="H33" s="66">
        <f t="shared" ca="1" si="11"/>
        <v>7.9136112051173976E-2</v>
      </c>
      <c r="I33" s="67">
        <f t="shared" ca="1" si="3"/>
        <v>21828.930971729718</v>
      </c>
      <c r="J33" s="67">
        <f t="shared" ca="1" si="4"/>
        <v>425809.16549408186</v>
      </c>
      <c r="K33" s="68">
        <f t="shared" ca="1" si="5"/>
        <v>425809.16549408186</v>
      </c>
      <c r="L33" s="69"/>
      <c r="M33" s="70">
        <f ca="1">IF($C33="",0,
I33*'1.c Decrements'!D27+(M32-N32-O32)*(1+G32))</f>
        <v>83819.007925820479</v>
      </c>
      <c r="N33" s="71">
        <f ca="1">K33*'1.a Assumptions'!$C$10*'1.c Decrements'!E27</f>
        <v>0</v>
      </c>
      <c r="O33" s="71">
        <f ca="1">J34*('1.c Decrements'!F27+'1.c Decrements'!G27)</f>
        <v>11600.827024858225</v>
      </c>
      <c r="P33" s="71">
        <f ca="1">M33-J34*'1.c Decrements'!D27</f>
        <v>26238.892769540209</v>
      </c>
      <c r="Q33" s="71" t="str">
        <f ca="1">IF(B34=$Q$15,$D$3,IF(B34&lt;$Q$15,'1.c Decrements'!$L$11,""))</f>
        <v/>
      </c>
      <c r="R33" s="13"/>
      <c r="S33" s="13"/>
      <c r="T33" s="72">
        <f ca="1">IF($C34="","",J34-J33*(1+i))</f>
        <v>21828.930971729686</v>
      </c>
      <c r="U33" s="73">
        <f ca="1">IFERROR(T33-I33,"")</f>
        <v>-3.2741809263825417E-11</v>
      </c>
      <c r="V33" s="13"/>
      <c r="W33" s="13"/>
      <c r="X33" s="13"/>
      <c r="Y33" s="13"/>
      <c r="Z33" s="13"/>
      <c r="AA33" s="13"/>
      <c r="AB33" s="13"/>
      <c r="AC33" s="13"/>
    </row>
    <row r="34" spans="1:29" x14ac:dyDescent="0.25">
      <c r="A34" s="13"/>
      <c r="B34" s="60">
        <f t="shared" ca="1" si="2"/>
        <v>17</v>
      </c>
      <c r="C34" s="74">
        <f t="shared" ca="1" si="6"/>
        <v>57</v>
      </c>
      <c r="D34" s="75">
        <f t="shared" ca="1" si="7"/>
        <v>0.1</v>
      </c>
      <c r="E34" s="76">
        <f t="shared" ca="1" si="8"/>
        <v>275840.32631795038</v>
      </c>
      <c r="F34" s="65">
        <f t="shared" ca="1" si="9"/>
        <v>3.6484317092170926E-2</v>
      </c>
      <c r="G34" s="65">
        <f t="shared" ca="1" si="10"/>
        <v>0.05</v>
      </c>
      <c r="H34" s="66">
        <f t="shared" ca="1" si="11"/>
        <v>7.7832119054372345E-2</v>
      </c>
      <c r="I34" s="67">
        <f t="shared" ca="1" si="3"/>
        <v>22252.527572714858</v>
      </c>
      <c r="J34" s="67">
        <f t="shared" ca="1" si="4"/>
        <v>468928.55474051565</v>
      </c>
      <c r="K34" s="68">
        <f t="shared" ca="1" si="5"/>
        <v>468928.55474051565</v>
      </c>
      <c r="L34" s="69"/>
      <c r="M34" s="70">
        <f ca="1">IF($C34="",0,
I34*'1.c Decrements'!D28+(M33-N33-O33)*(1+G33))</f>
        <v>78010.990294314892</v>
      </c>
      <c r="N34" s="71">
        <f ca="1">K34*'1.a Assumptions'!$C$10*'1.c Decrements'!E28</f>
        <v>0</v>
      </c>
      <c r="O34" s="71">
        <f ca="1">J35*('1.c Decrements'!F28+'1.c Decrements'!G28)</f>
        <v>10173.392527773402</v>
      </c>
      <c r="P34" s="71">
        <f ca="1">M34-J35*'1.c Decrements'!D28</f>
        <v>27550.837408017214</v>
      </c>
      <c r="Q34" s="71" t="str">
        <f ca="1">IF(B35=$Q$15,$D$3,IF(B35&lt;$Q$15,'1.c Decrements'!$L$11,""))</f>
        <v/>
      </c>
      <c r="R34" s="77"/>
      <c r="S34" s="77"/>
      <c r="T34" s="72">
        <f ca="1">IF($C35="","",J35-J34*(1+i))</f>
        <v>22252.527572714898</v>
      </c>
      <c r="U34" s="73">
        <f ca="1">IFERROR(T34-I34,"")</f>
        <v>4.0017766878008842E-11</v>
      </c>
      <c r="V34" s="13"/>
      <c r="W34" s="77"/>
      <c r="X34" s="77"/>
      <c r="Y34" s="77"/>
      <c r="Z34" s="77"/>
      <c r="AA34" s="77"/>
      <c r="AB34" s="77"/>
      <c r="AC34" s="77"/>
    </row>
    <row r="35" spans="1:29" x14ac:dyDescent="0.25">
      <c r="A35" s="13"/>
      <c r="B35" s="60">
        <f t="shared" ca="1" si="2"/>
        <v>18</v>
      </c>
      <c r="C35" s="74">
        <f t="shared" ca="1" si="6"/>
        <v>58</v>
      </c>
      <c r="D35" s="75">
        <f t="shared" ca="1" si="7"/>
        <v>0.1</v>
      </c>
      <c r="E35" s="76">
        <f t="shared" ca="1" si="8"/>
        <v>285904.17225014238</v>
      </c>
      <c r="F35" s="65">
        <f t="shared" ca="1" si="9"/>
        <v>3.6484317092170926E-2</v>
      </c>
      <c r="G35" s="65">
        <f t="shared" ca="1" si="10"/>
        <v>0.05</v>
      </c>
      <c r="H35" s="66">
        <f t="shared" ca="1" si="11"/>
        <v>7.6528126057570728E-2</v>
      </c>
      <c r="I35" s="67">
        <f t="shared" ca="1" si="3"/>
        <v>22677.976831364242</v>
      </c>
      <c r="J35" s="67">
        <f t="shared" ca="1" si="4"/>
        <v>514627.51005025633</v>
      </c>
      <c r="K35" s="68">
        <f t="shared" ca="1" si="5"/>
        <v>514627.51005025633</v>
      </c>
      <c r="L35" s="69"/>
      <c r="M35" s="70">
        <f ca="1">IF($C35="",0,
I35*'1.c Decrements'!D29+(M34-N34-O34)*(1+G34))</f>
        <v>73004.785426371338</v>
      </c>
      <c r="N35" s="71">
        <f ca="1">K35*'1.a Assumptions'!$C$10*'1.c Decrements'!E29</f>
        <v>0</v>
      </c>
      <c r="O35" s="71">
        <f ca="1">J36*('1.c Decrements'!F29+'1.c Decrements'!G29)</f>
        <v>8893.1906850977739</v>
      </c>
      <c r="P35" s="71">
        <f ca="1">M35-J36*'1.c Decrements'!D29</f>
        <v>28928.379278418084</v>
      </c>
      <c r="Q35" s="71" t="str">
        <f ca="1">IF(B36=$Q$15,$D$3,IF(B36&lt;$Q$15,'1.c Decrements'!$L$11,""))</f>
        <v/>
      </c>
      <c r="R35" s="77"/>
      <c r="S35" s="77"/>
      <c r="T35" s="72">
        <f ca="1">IF($C36="","",J36-J35*(1+i))</f>
        <v>22677.976831364213</v>
      </c>
      <c r="U35" s="73">
        <f ca="1">IFERROR(T35-I35,"")</f>
        <v>-2.9103830456733704E-11</v>
      </c>
      <c r="V35" s="13"/>
      <c r="W35" s="77"/>
      <c r="X35" s="77"/>
      <c r="Y35" s="77"/>
      <c r="Z35" s="77"/>
      <c r="AA35" s="77"/>
      <c r="AB35" s="77"/>
      <c r="AC35" s="77"/>
    </row>
    <row r="36" spans="1:29" x14ac:dyDescent="0.25">
      <c r="A36" s="13"/>
      <c r="B36" s="60">
        <f t="shared" ca="1" si="2"/>
        <v>19</v>
      </c>
      <c r="C36" s="74">
        <f t="shared" ca="1" si="6"/>
        <v>59</v>
      </c>
      <c r="D36" s="75">
        <f t="shared" ca="1" si="7"/>
        <v>0.1</v>
      </c>
      <c r="E36" s="76">
        <f t="shared" ca="1" si="8"/>
        <v>296335.19072849123</v>
      </c>
      <c r="F36" s="65">
        <f t="shared" ca="1" si="9"/>
        <v>3.6484317092170926E-2</v>
      </c>
      <c r="G36" s="65">
        <f t="shared" ca="1" si="10"/>
        <v>0.05</v>
      </c>
      <c r="H36" s="66">
        <f t="shared" ca="1" si="11"/>
        <v>7.5224133060769097E-2</v>
      </c>
      <c r="I36" s="67">
        <f t="shared" ca="1" si="3"/>
        <v>23104.850081856905</v>
      </c>
      <c r="J36" s="67">
        <f t="shared" ca="1" si="4"/>
        <v>563036.86238413339</v>
      </c>
      <c r="K36" s="68">
        <f t="shared" ca="1" si="5"/>
        <v>563036.86238413339</v>
      </c>
      <c r="L36" s="69"/>
      <c r="M36" s="70">
        <f ca="1">IF($C36="",0,
I36*'1.c Decrements'!D30+(M35-N35-O35)*(1+G35))</f>
        <v>68760.957244575271</v>
      </c>
      <c r="N36" s="71">
        <f ca="1">K36*'1.a Assumptions'!$C$10*'1.c Decrements'!E30</f>
        <v>0</v>
      </c>
      <c r="O36" s="71">
        <f ca="1">J37*('1.c Decrements'!F30+'1.c Decrements'!G30)</f>
        <v>7751.793075693201</v>
      </c>
      <c r="P36" s="71">
        <f ca="1">M36-J37*'1.c Decrements'!D30</f>
        <v>30374.798242338984</v>
      </c>
      <c r="Q36" s="71" t="str">
        <f ca="1">IF(B37=$Q$15,$D$3,IF(B37&lt;$Q$15,'1.c Decrements'!$L$11,""))</f>
        <v/>
      </c>
      <c r="R36" s="77"/>
      <c r="S36" s="77"/>
      <c r="T36" s="72">
        <f ca="1">IF($C37="","",J37-J36*(1+i))</f>
        <v>23104.850081856828</v>
      </c>
      <c r="U36" s="73">
        <f ca="1">IFERROR(T36-I36,"")</f>
        <v>-7.6397554948925972E-11</v>
      </c>
      <c r="V36" s="13"/>
      <c r="W36" s="13"/>
      <c r="X36" s="13"/>
      <c r="Y36" s="13"/>
      <c r="Z36" s="13"/>
      <c r="AA36" s="13"/>
      <c r="AB36" s="13"/>
      <c r="AC36" s="13"/>
    </row>
    <row r="37" spans="1:29" x14ac:dyDescent="0.25">
      <c r="A37" s="13"/>
      <c r="B37" s="60">
        <f t="shared" ca="1" si="2"/>
        <v>20</v>
      </c>
      <c r="C37" s="74">
        <f t="shared" ca="1" si="6"/>
        <v>60</v>
      </c>
      <c r="D37" s="75">
        <f t="shared" ca="1" si="7"/>
        <v>0.1</v>
      </c>
      <c r="E37" s="76">
        <f t="shared" ca="1" si="8"/>
        <v>307146.77779259847</v>
      </c>
      <c r="F37" s="65">
        <f t="shared" ca="1" si="9"/>
        <v>3.6484317092170926E-2</v>
      </c>
      <c r="G37" s="65">
        <f t="shared" ca="1" si="10"/>
        <v>0.05</v>
      </c>
      <c r="H37" s="66">
        <f t="shared" ca="1" si="11"/>
        <v>7.3920140063967466E-2</v>
      </c>
      <c r="I37" s="67">
        <f t="shared" ca="1" si="3"/>
        <v>23532.684913129822</v>
      </c>
      <c r="J37" s="67">
        <f t="shared" ca="1" si="4"/>
        <v>614293.55558519694</v>
      </c>
      <c r="K37" s="68">
        <f t="shared" ca="1" si="5"/>
        <v>614293.55558519694</v>
      </c>
      <c r="L37" s="69"/>
      <c r="M37" s="70">
        <f ca="1">IF($C37="",0,
I37*'1.c Decrements'!D31+(M36-N36-O36)*(1+G36))</f>
        <v>65233.179993726852</v>
      </c>
      <c r="N37" s="71">
        <f ca="1">K37*'1.a Assumptions'!$C$10*'1.c Decrements'!E31</f>
        <v>0</v>
      </c>
      <c r="O37" s="71">
        <f ca="1">J38*('1.c Decrements'!F31+'1.c Decrements'!G31)</f>
        <v>6739.2485296767527</v>
      </c>
      <c r="P37" s="71">
        <f ca="1">M37-J38*'1.c Decrements'!D31</f>
        <v>31893.538154455928</v>
      </c>
      <c r="Q37" s="71" t="str">
        <f ca="1">IF(B38=$Q$15,$D$3,IF(B38&lt;$Q$15,'1.c Decrements'!$L$11,""))</f>
        <v/>
      </c>
      <c r="R37" s="77"/>
      <c r="S37" s="77"/>
      <c r="T37" s="72">
        <f ca="1">IF($C38="","",J38-J37*(1+i))</f>
        <v>23532.684913129895</v>
      </c>
      <c r="U37" s="73">
        <f ca="1">IFERROR(T37-I37,"")</f>
        <v>7.2759576141834259E-11</v>
      </c>
      <c r="V37" s="13"/>
      <c r="W37" s="13"/>
      <c r="X37" s="13"/>
      <c r="Y37" s="13"/>
      <c r="Z37" s="13"/>
      <c r="AA37" s="13"/>
      <c r="AB37" s="13"/>
      <c r="AC37" s="13"/>
    </row>
    <row r="38" spans="1:29" x14ac:dyDescent="0.25">
      <c r="A38" s="13"/>
      <c r="B38" s="60">
        <f t="shared" ca="1" si="2"/>
        <v>21</v>
      </c>
      <c r="C38" s="74">
        <f t="shared" ca="1" si="6"/>
        <v>61</v>
      </c>
      <c r="D38" s="75">
        <f t="shared" ca="1" si="7"/>
        <v>0.1</v>
      </c>
      <c r="E38" s="76">
        <f t="shared" ca="1" si="8"/>
        <v>318352.81822742219</v>
      </c>
      <c r="F38" s="65">
        <f t="shared" ca="1" si="9"/>
        <v>3.6484317092170926E-2</v>
      </c>
      <c r="G38" s="65">
        <f t="shared" ca="1" si="10"/>
        <v>0.05</v>
      </c>
      <c r="H38" s="66">
        <f t="shared" ca="1" si="11"/>
        <v>7.2616147067165848E-2</v>
      </c>
      <c r="I38" s="67">
        <f t="shared" ca="1" si="3"/>
        <v>23960.983277133044</v>
      </c>
      <c r="J38" s="67">
        <f t="shared" ca="1" si="4"/>
        <v>668540.91827758669</v>
      </c>
      <c r="K38" s="68">
        <f t="shared" ca="1" si="5"/>
        <v>668540.91827758669</v>
      </c>
      <c r="L38" s="69"/>
      <c r="M38" s="70">
        <f ca="1">IF($C38="",0,
I38*'1.c Decrements'!D32+(M37-N37-O37)*(1+G37))</f>
        <v>62372.005103384108</v>
      </c>
      <c r="N38" s="71">
        <f ca="1">K38*'1.a Assumptions'!$C$10*'1.c Decrements'!E32</f>
        <v>0</v>
      </c>
      <c r="O38" s="71">
        <f ca="1">J39*('1.c Decrements'!F32+'1.c Decrements'!G32)</f>
        <v>5844.9699668023877</v>
      </c>
      <c r="P38" s="71">
        <f ca="1">M38-J39*'1.c Decrements'!D32</f>
        <v>33488.21506217873</v>
      </c>
      <c r="Q38" s="71" t="str">
        <f ca="1">IF(B39=$Q$15,$D$3,IF(B39&lt;$Q$15,'1.c Decrements'!$L$11,""))</f>
        <v/>
      </c>
      <c r="R38" s="78"/>
      <c r="S38" s="78"/>
      <c r="T38" s="72">
        <f ca="1">IF($C39="","",J39-J38*(1+i))</f>
        <v>23960.983277132851</v>
      </c>
      <c r="U38" s="73">
        <f ca="1">IFERROR(T38-I38,"")</f>
        <v>-1.9281287677586079E-10</v>
      </c>
      <c r="V38" s="13"/>
      <c r="W38" s="13"/>
      <c r="X38" s="13"/>
      <c r="Y38" s="13"/>
      <c r="Z38" s="13"/>
      <c r="AA38" s="13"/>
      <c r="AB38" s="13"/>
      <c r="AC38" s="13"/>
    </row>
    <row r="39" spans="1:29" x14ac:dyDescent="0.25">
      <c r="A39" s="13"/>
      <c r="B39" s="60">
        <f t="shared" ca="1" si="2"/>
        <v>22</v>
      </c>
      <c r="C39" s="74">
        <f t="shared" ca="1" si="6"/>
        <v>62</v>
      </c>
      <c r="D39" s="75">
        <f t="shared" ca="1" si="7"/>
        <v>0.1</v>
      </c>
      <c r="E39" s="76">
        <f t="shared" ca="1" si="8"/>
        <v>329967.70339481771</v>
      </c>
      <c r="F39" s="65">
        <f t="shared" ca="1" si="9"/>
        <v>3.6484317092170926E-2</v>
      </c>
      <c r="G39" s="65">
        <f t="shared" ca="1" si="10"/>
        <v>0.05</v>
      </c>
      <c r="H39" s="66">
        <f t="shared" ca="1" si="11"/>
        <v>7.1312154070364217E-2</v>
      </c>
      <c r="I39" s="67">
        <f t="shared" ca="1" si="3"/>
        <v>24389.209503965274</v>
      </c>
      <c r="J39" s="67">
        <f t="shared" ca="1" si="4"/>
        <v>725928.94746859896</v>
      </c>
      <c r="K39" s="68">
        <f t="shared" ca="1" si="5"/>
        <v>725928.94746859896</v>
      </c>
      <c r="L39" s="69"/>
      <c r="M39" s="70">
        <f ca="1">IF($C39="",0,
I39*'1.c Decrements'!D33+(M38-N38-O38)*(1+G38))</f>
        <v>60127.427674506791</v>
      </c>
      <c r="N39" s="71">
        <f ca="1">K39*'1.a Assumptions'!$C$10*'1.c Decrements'!E33</f>
        <v>0</v>
      </c>
      <c r="O39" s="71">
        <f ca="1">J40*('1.c Decrements'!F33+'1.c Decrements'!G33)</f>
        <v>5058.1784202208491</v>
      </c>
      <c r="P39" s="71">
        <f ca="1">M39-J40*'1.c Decrements'!D33</f>
        <v>35162.625815287669</v>
      </c>
      <c r="Q39" s="71" t="str">
        <f ca="1">IF(B40=$Q$15,$D$3,IF(B40&lt;$Q$15,'1.c Decrements'!$L$11,""))</f>
        <v/>
      </c>
      <c r="R39" s="13"/>
      <c r="S39" s="13"/>
      <c r="T39" s="72">
        <f ca="1">IF($C40="","",J40-J39*(1+i))</f>
        <v>24389.209503965336</v>
      </c>
      <c r="U39" s="73">
        <f ca="1">IFERROR(T39-I39,"")</f>
        <v>6.184563972055912E-11</v>
      </c>
      <c r="V39" s="13"/>
      <c r="W39" s="13"/>
      <c r="X39" s="13"/>
      <c r="Y39" s="13"/>
      <c r="Z39" s="13"/>
      <c r="AA39" s="13"/>
      <c r="AB39" s="13"/>
      <c r="AC39" s="13"/>
    </row>
    <row r="40" spans="1:29" x14ac:dyDescent="0.25">
      <c r="A40" s="13"/>
      <c r="B40" s="60">
        <f t="shared" ca="1" si="2"/>
        <v>23</v>
      </c>
      <c r="C40" s="74">
        <f t="shared" ca="1" si="6"/>
        <v>63</v>
      </c>
      <c r="D40" s="75">
        <f t="shared" ca="1" si="7"/>
        <v>0.1</v>
      </c>
      <c r="E40" s="76">
        <f t="shared" ca="1" si="8"/>
        <v>342006.34971564967</v>
      </c>
      <c r="F40" s="65">
        <f t="shared" ca="1" si="9"/>
        <v>3.6484317092170926E-2</v>
      </c>
      <c r="G40" s="65">
        <f t="shared" ca="1" si="10"/>
        <v>0.05</v>
      </c>
      <c r="H40" s="66">
        <f t="shared" ca="1" si="11"/>
        <v>7.0008161073562572E-2</v>
      </c>
      <c r="I40" s="67">
        <f t="shared" ca="1" si="3"/>
        <v>24816.788219613245</v>
      </c>
      <c r="J40" s="67">
        <f t="shared" ca="1" si="4"/>
        <v>786614.6043459943</v>
      </c>
      <c r="K40" s="68">
        <f t="shared" ca="1" si="5"/>
        <v>786614.6043459943</v>
      </c>
      <c r="L40" s="69"/>
      <c r="M40" s="70">
        <f ca="1">IF($C40="",0,
I40*'1.c Decrements'!D34+(M39-N39-O39)*(1+G39))</f>
        <v>58450.742845997578</v>
      </c>
      <c r="N40" s="71">
        <f ca="1">K40*'1.a Assumptions'!$C$10*'1.c Decrements'!E34</f>
        <v>0</v>
      </c>
      <c r="O40" s="71">
        <f ca="1">J41*('1.c Decrements'!F34+'1.c Decrements'!G34)</f>
        <v>4368.3393746976917</v>
      </c>
      <c r="P40" s="71">
        <f ca="1">M40-J41*'1.c Decrements'!D34</f>
        <v>36920.757106052057</v>
      </c>
      <c r="Q40" s="71" t="str">
        <f ca="1">IF(B41=$Q$15,$D$3,IF(B41&lt;$Q$15,'1.c Decrements'!$L$11,""))</f>
        <v/>
      </c>
      <c r="R40" s="13"/>
      <c r="S40" s="13"/>
      <c r="T40" s="72">
        <f ca="1">IF($C41="","",J41-J40*(1+i))</f>
        <v>24816.788219613256</v>
      </c>
      <c r="U40" s="73">
        <f ca="1">IFERROR(T40-I40,"")</f>
        <v>1.0913936421275139E-11</v>
      </c>
      <c r="V40" s="13"/>
      <c r="W40" s="13"/>
      <c r="X40" s="13"/>
      <c r="Y40" s="13"/>
      <c r="Z40" s="13"/>
      <c r="AA40" s="13"/>
      <c r="AB40" s="13"/>
      <c r="AC40" s="13"/>
    </row>
    <row r="41" spans="1:29" x14ac:dyDescent="0.25">
      <c r="A41" s="13"/>
      <c r="B41" s="60">
        <f t="shared" ca="1" si="2"/>
        <v>24</v>
      </c>
      <c r="C41" s="74">
        <f t="shared" ca="1" si="6"/>
        <v>64</v>
      </c>
      <c r="D41" s="75">
        <f t="shared" ca="1" si="7"/>
        <v>0.1</v>
      </c>
      <c r="E41" s="76">
        <f t="shared" ca="1" si="8"/>
        <v>354484.21782621136</v>
      </c>
      <c r="F41" s="65">
        <f t="shared" ca="1" si="9"/>
        <v>3.6484317092170926E-2</v>
      </c>
      <c r="G41" s="65">
        <f t="shared" ca="1" si="10"/>
        <v>0.05</v>
      </c>
      <c r="H41" s="66">
        <f t="shared" ca="1" si="11"/>
        <v>6.8704168076760955E-2</v>
      </c>
      <c r="I41" s="67">
        <f t="shared" ca="1" si="3"/>
        <v>25243.102161829982</v>
      </c>
      <c r="J41" s="67">
        <f t="shared" ca="1" si="4"/>
        <v>850762.12278290733</v>
      </c>
      <c r="K41" s="68">
        <f t="shared" ca="1" si="5"/>
        <v>850762.12278290733</v>
      </c>
      <c r="L41" s="69"/>
      <c r="M41" s="70">
        <f ca="1">IF($C41="",0,
I41*'1.c Decrements'!D35+(M40-N40-O40)*(1+G40))</f>
        <v>57295.729662460108</v>
      </c>
      <c r="N41" s="71">
        <f ca="1">K41*'1.a Assumptions'!$C$10*'1.c Decrements'!E35</f>
        <v>0</v>
      </c>
      <c r="O41" s="71">
        <f ca="1">J42*('1.c Decrements'!F35+'1.c Decrements'!G35)</f>
        <v>18528.93470110546</v>
      </c>
      <c r="P41" s="71">
        <f ca="1">M41-J42*'1.c Decrements'!D35</f>
        <v>38766.794961354652</v>
      </c>
      <c r="Q41" s="71" t="str">
        <f ca="1">IF(B42=$Q$15,$D$3,IF(B42&lt;$Q$15,'1.c Decrements'!$L$11,""))</f>
        <v/>
      </c>
      <c r="R41" s="13"/>
      <c r="S41" s="13"/>
      <c r="T41" s="72">
        <f ca="1">IF($C42="","",J42-J41*(1+i))</f>
        <v>25243.102161829942</v>
      </c>
      <c r="U41" s="73">
        <f ca="1">IFERROR(T41-I41,"")</f>
        <v>-4.0017766878008842E-11</v>
      </c>
      <c r="V41" s="13"/>
      <c r="W41" s="13"/>
      <c r="X41" s="13"/>
      <c r="Y41" s="13"/>
      <c r="Z41" s="13"/>
      <c r="AA41" s="13"/>
      <c r="AB41" s="13"/>
      <c r="AC41" s="13"/>
    </row>
    <row r="42" spans="1:29" x14ac:dyDescent="0.25">
      <c r="A42" s="13"/>
      <c r="B42" s="60">
        <f t="shared" ca="1" si="2"/>
        <v>25</v>
      </c>
      <c r="C42" s="74">
        <f t="shared" ca="1" si="6"/>
        <v>65</v>
      </c>
      <c r="D42" s="75">
        <f t="shared" ca="1" si="7"/>
        <v>0.1</v>
      </c>
      <c r="E42" s="76">
        <f t="shared" ca="1" si="8"/>
        <v>367417.33243355306</v>
      </c>
      <c r="F42" s="65">
        <f t="shared" ca="1" si="9"/>
        <v>3.6484317092170926E-2</v>
      </c>
      <c r="G42" s="65">
        <f t="shared" ca="1" si="10"/>
        <v>0.05</v>
      </c>
      <c r="H42" s="66">
        <f t="shared" ca="1" si="11"/>
        <v>6.7400175079959337E-2</v>
      </c>
      <c r="I42" s="67">
        <f t="shared" ca="1" si="3"/>
        <v>0</v>
      </c>
      <c r="J42" s="67">
        <f t="shared" ca="1" si="4"/>
        <v>918543.33108388272</v>
      </c>
      <c r="K42" s="68">
        <f t="shared" ca="1" si="5"/>
        <v>918543.33108388272</v>
      </c>
      <c r="L42" s="69"/>
      <c r="M42" s="70">
        <f ca="1">IF($C42="",0,
I42*'1.c Decrements'!D36+(M41-N41-O41)*(1+G41))</f>
        <v>40705.134709422389</v>
      </c>
      <c r="N42" s="71">
        <f ca="1">K42*'1.a Assumptions'!$C$10*'1.c Decrements'!E36</f>
        <v>0</v>
      </c>
      <c r="O42" s="71">
        <f ca="1">J43*('1.c Decrements'!F36+'1.c Decrements'!G36)</f>
        <v>0</v>
      </c>
      <c r="P42" s="71">
        <f ca="1">M42-J43*'1.c Decrements'!D36</f>
        <v>40705.134709422389</v>
      </c>
      <c r="Q42" s="71" t="str">
        <f ca="1">IF(B43=$Q$15,$D$3,IF(B43&lt;$Q$15,'1.c Decrements'!$L$11,""))</f>
        <v/>
      </c>
      <c r="R42" s="13"/>
      <c r="S42" s="13"/>
      <c r="T42" s="72" t="str">
        <f ca="1">IF($C43="","",J43-J42*(1+i))</f>
        <v/>
      </c>
      <c r="U42" s="73" t="str">
        <f ca="1">IFERROR(T42-I42,"")</f>
        <v/>
      </c>
      <c r="V42" s="13"/>
      <c r="W42" s="13"/>
      <c r="X42" s="13"/>
      <c r="Y42" s="13"/>
      <c r="Z42" s="13"/>
      <c r="AA42" s="13"/>
      <c r="AB42" s="13"/>
      <c r="AC42" s="13"/>
    </row>
    <row r="43" spans="1:29" x14ac:dyDescent="0.25">
      <c r="A43" s="13"/>
      <c r="B43" s="60" t="str">
        <f t="shared" ca="1" si="2"/>
        <v/>
      </c>
      <c r="C43" s="74" t="str">
        <f t="shared" ca="1" si="6"/>
        <v/>
      </c>
      <c r="D43" s="75" t="str">
        <f t="shared" ca="1" si="7"/>
        <v/>
      </c>
      <c r="E43" s="76" t="str">
        <f t="shared" ca="1" si="8"/>
        <v/>
      </c>
      <c r="F43" s="65" t="str">
        <f t="shared" ca="1" si="9"/>
        <v/>
      </c>
      <c r="G43" s="65" t="str">
        <f t="shared" ca="1" si="10"/>
        <v/>
      </c>
      <c r="H43" s="66" t="str">
        <f t="shared" ca="1" si="11"/>
        <v/>
      </c>
      <c r="I43" s="67">
        <f t="shared" ca="1" si="3"/>
        <v>0</v>
      </c>
      <c r="J43" s="67">
        <f t="shared" ca="1" si="4"/>
        <v>0</v>
      </c>
      <c r="K43" s="68">
        <f t="shared" ca="1" si="5"/>
        <v>0</v>
      </c>
      <c r="L43" s="69"/>
      <c r="M43" s="70">
        <f ca="1">IF($C43="",0,
I43*'1.c Decrements'!D37+(M42-N42-O42)*(1+G42))</f>
        <v>0</v>
      </c>
      <c r="N43" s="71">
        <f ca="1">K43*'1.a Assumptions'!$C$10*'1.c Decrements'!E37</f>
        <v>0</v>
      </c>
      <c r="O43" s="71">
        <f ca="1">J44*('1.c Decrements'!F37+'1.c Decrements'!G37)</f>
        <v>0</v>
      </c>
      <c r="P43" s="71">
        <f ca="1">M43-J44*'1.c Decrements'!D37</f>
        <v>0</v>
      </c>
      <c r="Q43" s="71" t="str">
        <f ca="1">IF(B44=$Q$15,$D$3,IF(B44&lt;$Q$15,'1.c Decrements'!$L$11,""))</f>
        <v/>
      </c>
      <c r="R43" s="13"/>
      <c r="S43" s="13"/>
      <c r="T43" s="72" t="str">
        <f ca="1">IF($C44="","",J44-J43*(1+i))</f>
        <v/>
      </c>
      <c r="U43" s="73" t="str">
        <f ca="1">IFERROR(T43-I43,"")</f>
        <v/>
      </c>
      <c r="V43" s="13"/>
      <c r="W43" s="13"/>
      <c r="X43" s="13"/>
      <c r="Y43" s="13"/>
      <c r="Z43" s="13"/>
      <c r="AA43" s="13"/>
      <c r="AB43" s="13"/>
      <c r="AC43" s="13"/>
    </row>
    <row r="44" spans="1:29" x14ac:dyDescent="0.25">
      <c r="A44" s="13"/>
      <c r="B44" s="60" t="str">
        <f t="shared" ca="1" si="2"/>
        <v/>
      </c>
      <c r="C44" s="74" t="str">
        <f t="shared" ca="1" si="6"/>
        <v/>
      </c>
      <c r="D44" s="75" t="str">
        <f t="shared" ca="1" si="7"/>
        <v/>
      </c>
      <c r="E44" s="76" t="str">
        <f t="shared" ca="1" si="8"/>
        <v/>
      </c>
      <c r="F44" s="65" t="str">
        <f t="shared" ca="1" si="9"/>
        <v/>
      </c>
      <c r="G44" s="65" t="str">
        <f t="shared" ca="1" si="10"/>
        <v/>
      </c>
      <c r="H44" s="66" t="str">
        <f t="shared" ca="1" si="11"/>
        <v/>
      </c>
      <c r="I44" s="67">
        <f t="shared" ca="1" si="3"/>
        <v>0</v>
      </c>
      <c r="J44" s="67">
        <f t="shared" ca="1" si="4"/>
        <v>0</v>
      </c>
      <c r="K44" s="68">
        <f t="shared" ca="1" si="5"/>
        <v>0</v>
      </c>
      <c r="L44" s="69"/>
      <c r="M44" s="70">
        <f ca="1">IF($C44="",0,
I44*'1.c Decrements'!D38+(M43-N43-O43)*(1+G43))</f>
        <v>0</v>
      </c>
      <c r="N44" s="71">
        <f ca="1">K44*'1.a Assumptions'!$C$10*'1.c Decrements'!E38</f>
        <v>0</v>
      </c>
      <c r="O44" s="71">
        <f ca="1">J45*('1.c Decrements'!F38+'1.c Decrements'!G38)</f>
        <v>0</v>
      </c>
      <c r="P44" s="71">
        <f ca="1">M44-J45*'1.c Decrements'!D38</f>
        <v>0</v>
      </c>
      <c r="Q44" s="71" t="str">
        <f ca="1">IF(B45=$Q$15,$D$3,IF(B45&lt;$Q$15,'1.c Decrements'!$L$11,""))</f>
        <v/>
      </c>
      <c r="R44" s="13"/>
      <c r="S44" s="13"/>
      <c r="T44" s="72" t="str">
        <f ca="1">IF($C45="","",J45-J44*(1+i))</f>
        <v/>
      </c>
      <c r="U44" s="73" t="str">
        <f ca="1">IFERROR(T44-I44,"")</f>
        <v/>
      </c>
      <c r="V44" s="13"/>
      <c r="W44" s="13"/>
      <c r="X44" s="13"/>
      <c r="Y44" s="13"/>
      <c r="Z44" s="13"/>
      <c r="AA44" s="13"/>
      <c r="AB44" s="13"/>
      <c r="AC44" s="13"/>
    </row>
    <row r="45" spans="1:29" x14ac:dyDescent="0.25">
      <c r="A45" s="13"/>
      <c r="B45" s="60" t="str">
        <f t="shared" ca="1" si="2"/>
        <v/>
      </c>
      <c r="C45" s="74" t="str">
        <f t="shared" ca="1" si="6"/>
        <v/>
      </c>
      <c r="D45" s="75" t="str">
        <f t="shared" ca="1" si="7"/>
        <v/>
      </c>
      <c r="E45" s="76" t="str">
        <f t="shared" ca="1" si="8"/>
        <v/>
      </c>
      <c r="F45" s="65" t="str">
        <f t="shared" ca="1" si="9"/>
        <v/>
      </c>
      <c r="G45" s="65" t="str">
        <f t="shared" ca="1" si="10"/>
        <v/>
      </c>
      <c r="H45" s="66" t="str">
        <f t="shared" ca="1" si="11"/>
        <v/>
      </c>
      <c r="I45" s="67">
        <f t="shared" ca="1" si="3"/>
        <v>0</v>
      </c>
      <c r="J45" s="67">
        <f t="shared" ca="1" si="4"/>
        <v>0</v>
      </c>
      <c r="K45" s="68">
        <f t="shared" ca="1" si="5"/>
        <v>0</v>
      </c>
      <c r="L45" s="69"/>
      <c r="M45" s="70">
        <f ca="1">IF($C45="",0,
I45*'1.c Decrements'!D39+(M44-N44-O44)*(1+G44))</f>
        <v>0</v>
      </c>
      <c r="N45" s="71">
        <f ca="1">K45*'1.a Assumptions'!$C$10*'1.c Decrements'!E39</f>
        <v>0</v>
      </c>
      <c r="O45" s="71">
        <f ca="1">J46*('1.c Decrements'!F39+'1.c Decrements'!G39)</f>
        <v>0</v>
      </c>
      <c r="P45" s="71">
        <f ca="1">M45-J46*'1.c Decrements'!D39</f>
        <v>0</v>
      </c>
      <c r="Q45" s="71" t="str">
        <f ca="1">IF(B46=$Q$15,$D$3,IF(B46&lt;$Q$15,'1.c Decrements'!$L$11,""))</f>
        <v/>
      </c>
      <c r="R45" s="13"/>
      <c r="S45" s="13"/>
      <c r="T45" s="72" t="str">
        <f ca="1">IF($C46="","",J46-J45*(1+i))</f>
        <v/>
      </c>
      <c r="U45" s="73" t="str">
        <f ca="1">IFERROR(T45-I45,"")</f>
        <v/>
      </c>
      <c r="V45" s="13"/>
      <c r="W45" s="13"/>
      <c r="X45" s="13"/>
      <c r="Y45" s="13"/>
      <c r="Z45" s="13"/>
      <c r="AA45" s="13"/>
      <c r="AB45" s="13"/>
      <c r="AC45" s="13"/>
    </row>
    <row r="46" spans="1:29" x14ac:dyDescent="0.25">
      <c r="A46" s="13"/>
      <c r="B46" s="60" t="str">
        <f t="shared" ca="1" si="2"/>
        <v/>
      </c>
      <c r="C46" s="74" t="str">
        <f t="shared" ca="1" si="6"/>
        <v/>
      </c>
      <c r="D46" s="75" t="str">
        <f t="shared" ca="1" si="7"/>
        <v/>
      </c>
      <c r="E46" s="76" t="str">
        <f t="shared" ca="1" si="8"/>
        <v/>
      </c>
      <c r="F46" s="65" t="str">
        <f t="shared" ca="1" si="9"/>
        <v/>
      </c>
      <c r="G46" s="65" t="str">
        <f t="shared" ca="1" si="10"/>
        <v/>
      </c>
      <c r="H46" s="66" t="str">
        <f t="shared" ca="1" si="11"/>
        <v/>
      </c>
      <c r="I46" s="67">
        <f t="shared" ca="1" si="3"/>
        <v>0</v>
      </c>
      <c r="J46" s="67">
        <f t="shared" ca="1" si="4"/>
        <v>0</v>
      </c>
      <c r="K46" s="68">
        <f t="shared" ca="1" si="5"/>
        <v>0</v>
      </c>
      <c r="L46" s="69"/>
      <c r="M46" s="70">
        <f ca="1">IF($C46="",0,
I46*'1.c Decrements'!D40+(M45-N45-O45)*(1+G45))</f>
        <v>0</v>
      </c>
      <c r="N46" s="71">
        <f ca="1">K46*'1.a Assumptions'!$C$10*'1.c Decrements'!E40</f>
        <v>0</v>
      </c>
      <c r="O46" s="71">
        <f ca="1">J47*('1.c Decrements'!F40+'1.c Decrements'!G40)</f>
        <v>0</v>
      </c>
      <c r="P46" s="71">
        <f ca="1">M46-J47*'1.c Decrements'!D40</f>
        <v>0</v>
      </c>
      <c r="Q46" s="71"/>
      <c r="R46" s="13"/>
      <c r="S46" s="13"/>
      <c r="T46" s="72" t="str">
        <f ca="1">IF($C47="","",J47-J46*(1+i))</f>
        <v/>
      </c>
      <c r="U46" s="73" t="str">
        <f ca="1">IFERROR(T46-I46,"")</f>
        <v/>
      </c>
      <c r="V46" s="13"/>
      <c r="W46" s="13"/>
      <c r="X46" s="13"/>
      <c r="Y46" s="13"/>
      <c r="Z46" s="13"/>
      <c r="AA46" s="13"/>
      <c r="AB46" s="13"/>
      <c r="AC46" s="13"/>
    </row>
    <row r="47" spans="1:29" x14ac:dyDescent="0.25">
      <c r="A47" s="13"/>
      <c r="B47" s="60" t="str">
        <f t="shared" ca="1" si="2"/>
        <v/>
      </c>
      <c r="C47" s="74" t="str">
        <f t="shared" ca="1" si="6"/>
        <v/>
      </c>
      <c r="D47" s="75" t="str">
        <f t="shared" ca="1" si="7"/>
        <v/>
      </c>
      <c r="E47" s="76" t="str">
        <f t="shared" ca="1" si="8"/>
        <v/>
      </c>
      <c r="F47" s="65" t="str">
        <f t="shared" ca="1" si="9"/>
        <v/>
      </c>
      <c r="G47" s="65" t="str">
        <f t="shared" ca="1" si="10"/>
        <v/>
      </c>
      <c r="H47" s="66" t="str">
        <f t="shared" ca="1" si="11"/>
        <v/>
      </c>
      <c r="I47" s="67">
        <f t="shared" ca="1" si="3"/>
        <v>0</v>
      </c>
      <c r="J47" s="67">
        <f t="shared" ca="1" si="4"/>
        <v>0</v>
      </c>
      <c r="K47" s="68">
        <f t="shared" ca="1" si="5"/>
        <v>0</v>
      </c>
      <c r="L47" s="69"/>
      <c r="M47" s="70">
        <f ca="1">IF($C47="",0,
I47*'1.c Decrements'!D41+(M46-N46-O46)*(1+G46))</f>
        <v>0</v>
      </c>
      <c r="N47" s="71">
        <f ca="1">K47*'1.a Assumptions'!$C$10*'1.c Decrements'!E41</f>
        <v>0</v>
      </c>
      <c r="O47" s="71">
        <f ca="1">J48*('1.c Decrements'!F41+'1.c Decrements'!G41)</f>
        <v>0</v>
      </c>
      <c r="P47" s="71">
        <f ca="1">M47-J48*'1.c Decrements'!D41</f>
        <v>0</v>
      </c>
      <c r="Q47" s="71" t="str">
        <f ca="1">IF(B48=$Q$15,$D$3,IF(B48&lt;$Q$15,'1.c Decrements'!$L$11,""))</f>
        <v/>
      </c>
      <c r="R47" s="13"/>
      <c r="S47" s="13"/>
      <c r="T47" s="72" t="str">
        <f ca="1">IF($C48="","",J48-J47*(1+i))</f>
        <v/>
      </c>
      <c r="U47" s="73" t="str">
        <f ca="1">IFERROR(T47-I47,"")</f>
        <v/>
      </c>
      <c r="V47" s="13"/>
      <c r="W47" s="13"/>
      <c r="X47" s="13"/>
      <c r="Y47" s="13"/>
      <c r="Z47" s="13"/>
      <c r="AA47" s="13"/>
      <c r="AB47" s="13"/>
      <c r="AC47" s="13"/>
    </row>
    <row r="48" spans="1:29" x14ac:dyDescent="0.25">
      <c r="A48" s="13"/>
      <c r="B48" s="60" t="str">
        <f t="shared" ca="1" si="2"/>
        <v/>
      </c>
      <c r="C48" s="74" t="str">
        <f t="shared" ca="1" si="6"/>
        <v/>
      </c>
      <c r="D48" s="75" t="str">
        <f t="shared" ca="1" si="7"/>
        <v/>
      </c>
      <c r="E48" s="76" t="str">
        <f t="shared" ca="1" si="8"/>
        <v/>
      </c>
      <c r="F48" s="65" t="str">
        <f t="shared" ca="1" si="9"/>
        <v/>
      </c>
      <c r="G48" s="65" t="str">
        <f t="shared" ca="1" si="10"/>
        <v/>
      </c>
      <c r="H48" s="66" t="str">
        <f t="shared" ca="1" si="11"/>
        <v/>
      </c>
      <c r="I48" s="67">
        <f t="shared" ca="1" si="3"/>
        <v>0</v>
      </c>
      <c r="J48" s="67">
        <f t="shared" ca="1" si="4"/>
        <v>0</v>
      </c>
      <c r="K48" s="68">
        <f t="shared" ca="1" si="5"/>
        <v>0</v>
      </c>
      <c r="L48" s="69"/>
      <c r="M48" s="70">
        <f ca="1">IF($C48="",0,
I48*'1.c Decrements'!D42+(M47-N47-O47)*(1+G47))</f>
        <v>0</v>
      </c>
      <c r="N48" s="71">
        <f ca="1">K48*'1.a Assumptions'!$C$10*'1.c Decrements'!E42</f>
        <v>0</v>
      </c>
      <c r="O48" s="71">
        <f ca="1">J49*('1.c Decrements'!F42+'1.c Decrements'!G42)</f>
        <v>0</v>
      </c>
      <c r="P48" s="71">
        <f ca="1">M48-J49*'1.c Decrements'!D42</f>
        <v>0</v>
      </c>
      <c r="Q48" s="71" t="str">
        <f ca="1">IF(B49=$Q$15,$D$3,IF(B49&lt;$Q$15,'1.c Decrements'!$L$11,""))</f>
        <v/>
      </c>
      <c r="R48" s="13"/>
      <c r="S48" s="13"/>
      <c r="T48" s="72" t="str">
        <f ca="1">IF($C49="","",J49-J48*(1+i))</f>
        <v/>
      </c>
      <c r="U48" s="73" t="str">
        <f ca="1">IFERROR(T48-I48,"")</f>
        <v/>
      </c>
      <c r="V48" s="13"/>
      <c r="W48" s="13"/>
      <c r="X48" s="13"/>
      <c r="Y48" s="13"/>
      <c r="Z48" s="13"/>
      <c r="AA48" s="13"/>
      <c r="AB48" s="13"/>
      <c r="AC48" s="13"/>
    </row>
    <row r="49" spans="1:29" x14ac:dyDescent="0.25">
      <c r="A49" s="13"/>
      <c r="B49" s="60" t="str">
        <f t="shared" ca="1" si="2"/>
        <v/>
      </c>
      <c r="C49" s="74" t="str">
        <f t="shared" ca="1" si="6"/>
        <v/>
      </c>
      <c r="D49" s="75" t="str">
        <f t="shared" ca="1" si="7"/>
        <v/>
      </c>
      <c r="E49" s="76" t="str">
        <f t="shared" ca="1" si="8"/>
        <v/>
      </c>
      <c r="F49" s="65" t="str">
        <f t="shared" ca="1" si="9"/>
        <v/>
      </c>
      <c r="G49" s="65" t="str">
        <f t="shared" ca="1" si="10"/>
        <v/>
      </c>
      <c r="H49" s="66" t="str">
        <f t="shared" ca="1" si="11"/>
        <v/>
      </c>
      <c r="I49" s="67">
        <f t="shared" ca="1" si="3"/>
        <v>0</v>
      </c>
      <c r="J49" s="67">
        <f t="shared" ca="1" si="4"/>
        <v>0</v>
      </c>
      <c r="K49" s="68">
        <f t="shared" ca="1" si="5"/>
        <v>0</v>
      </c>
      <c r="L49" s="69"/>
      <c r="M49" s="70">
        <f ca="1">IF($C49="",0,
I49*'1.c Decrements'!D43+(M48-N48-O48)*(1+G48))</f>
        <v>0</v>
      </c>
      <c r="N49" s="71">
        <f ca="1">K49*'1.a Assumptions'!$C$10*'1.c Decrements'!E43</f>
        <v>0</v>
      </c>
      <c r="O49" s="71">
        <f ca="1">J50*('1.c Decrements'!F43+'1.c Decrements'!G43)</f>
        <v>0</v>
      </c>
      <c r="P49" s="71">
        <f ca="1">M49-J50*'1.c Decrements'!D43</f>
        <v>0</v>
      </c>
      <c r="Q49" s="71" t="str">
        <f ca="1">IF(B50=$Q$15,$D$3,IF(B50&lt;$Q$15,'1.c Decrements'!$L$11,""))</f>
        <v/>
      </c>
      <c r="R49" s="13"/>
      <c r="S49" s="13"/>
      <c r="T49" s="72" t="str">
        <f ca="1">IF($C50="","",J50-J49*(1+i))</f>
        <v/>
      </c>
      <c r="U49" s="73" t="str">
        <f ca="1">IFERROR(T49-I49,"")</f>
        <v/>
      </c>
      <c r="V49" s="13"/>
      <c r="W49" s="13"/>
      <c r="X49" s="13"/>
      <c r="Y49" s="13"/>
      <c r="Z49" s="13"/>
      <c r="AA49" s="13"/>
      <c r="AB49" s="13"/>
      <c r="AC49" s="13"/>
    </row>
    <row r="50" spans="1:29" x14ac:dyDescent="0.25">
      <c r="A50" s="13"/>
      <c r="B50" s="60" t="str">
        <f t="shared" ca="1" si="2"/>
        <v/>
      </c>
      <c r="C50" s="74" t="str">
        <f t="shared" ca="1" si="6"/>
        <v/>
      </c>
      <c r="D50" s="75" t="str">
        <f t="shared" ca="1" si="7"/>
        <v/>
      </c>
      <c r="E50" s="76" t="str">
        <f t="shared" ca="1" si="8"/>
        <v/>
      </c>
      <c r="F50" s="65" t="str">
        <f t="shared" ca="1" si="9"/>
        <v/>
      </c>
      <c r="G50" s="65" t="str">
        <f t="shared" ca="1" si="10"/>
        <v/>
      </c>
      <c r="H50" s="66" t="str">
        <f t="shared" ca="1" si="11"/>
        <v/>
      </c>
      <c r="I50" s="67">
        <f t="shared" ca="1" si="3"/>
        <v>0</v>
      </c>
      <c r="J50" s="67">
        <f t="shared" ca="1" si="4"/>
        <v>0</v>
      </c>
      <c r="K50" s="68">
        <f t="shared" ca="1" si="5"/>
        <v>0</v>
      </c>
      <c r="L50" s="69"/>
      <c r="M50" s="70">
        <f ca="1">IF($C50="",0,
I50*'1.c Decrements'!D44+(M49-N49-O49)*(1+G49))</f>
        <v>0</v>
      </c>
      <c r="N50" s="71">
        <f ca="1">K50*'1.a Assumptions'!$C$10*'1.c Decrements'!E44</f>
        <v>0</v>
      </c>
      <c r="O50" s="71">
        <f ca="1">J51*('1.c Decrements'!F44+'1.c Decrements'!G44)</f>
        <v>0</v>
      </c>
      <c r="P50" s="71">
        <f ca="1">M50-J51*'1.c Decrements'!D44</f>
        <v>0</v>
      </c>
      <c r="Q50" s="71" t="str">
        <f ca="1">IF(B51=$Q$15,$D$3,IF(B51&lt;$Q$15,'1.c Decrements'!$L$11,""))</f>
        <v/>
      </c>
      <c r="R50" s="13"/>
      <c r="S50" s="13"/>
      <c r="T50" s="72" t="str">
        <f ca="1">IF($C51="","",J51-J50*(1+i))</f>
        <v/>
      </c>
      <c r="U50" s="73" t="str">
        <f ca="1">IFERROR(T50-I50,"")</f>
        <v/>
      </c>
      <c r="V50" s="13"/>
      <c r="W50" s="13"/>
      <c r="X50" s="13"/>
      <c r="Y50" s="13"/>
      <c r="Z50" s="13"/>
      <c r="AA50" s="13"/>
      <c r="AB50" s="13"/>
      <c r="AC50" s="13"/>
    </row>
    <row r="51" spans="1:29" x14ac:dyDescent="0.25">
      <c r="A51" s="13"/>
      <c r="B51" s="60" t="str">
        <f t="shared" ca="1" si="2"/>
        <v/>
      </c>
      <c r="C51" s="74" t="str">
        <f t="shared" ca="1" si="6"/>
        <v/>
      </c>
      <c r="D51" s="75" t="str">
        <f t="shared" ca="1" si="7"/>
        <v/>
      </c>
      <c r="E51" s="76" t="str">
        <f t="shared" ca="1" si="8"/>
        <v/>
      </c>
      <c r="F51" s="65" t="str">
        <f t="shared" ca="1" si="9"/>
        <v/>
      </c>
      <c r="G51" s="65" t="str">
        <f t="shared" ca="1" si="10"/>
        <v/>
      </c>
      <c r="H51" s="66" t="str">
        <f t="shared" ca="1" si="11"/>
        <v/>
      </c>
      <c r="I51" s="67">
        <f t="shared" ca="1" si="3"/>
        <v>0</v>
      </c>
      <c r="J51" s="67">
        <f t="shared" ca="1" si="4"/>
        <v>0</v>
      </c>
      <c r="K51" s="68">
        <f t="shared" ca="1" si="5"/>
        <v>0</v>
      </c>
      <c r="L51" s="69"/>
      <c r="M51" s="70">
        <f ca="1">IF($C51="",0,
I51*'1.c Decrements'!D45+(M50-N50-O50)*(1+G50))</f>
        <v>0</v>
      </c>
      <c r="N51" s="71">
        <f ca="1">K51*'1.a Assumptions'!$C$10*'1.c Decrements'!E45</f>
        <v>0</v>
      </c>
      <c r="O51" s="71">
        <f ca="1">J52*('1.c Decrements'!F45+'1.c Decrements'!G45)</f>
        <v>0</v>
      </c>
      <c r="P51" s="71">
        <f ca="1">M51-J52*'1.c Decrements'!D45</f>
        <v>0</v>
      </c>
      <c r="Q51" s="71" t="str">
        <f ca="1">IF(B52=$Q$15,$D$3,IF(B52&lt;$Q$15,'1.c Decrements'!$L$11,""))</f>
        <v/>
      </c>
      <c r="R51" s="13"/>
      <c r="S51" s="13"/>
      <c r="T51" s="72" t="str">
        <f ca="1">IF($C52="","",J52-J51*(1+i))</f>
        <v/>
      </c>
      <c r="U51" s="73" t="str">
        <f ca="1">IFERROR(T51-I51,"")</f>
        <v/>
      </c>
      <c r="V51" s="13"/>
      <c r="W51" s="13"/>
      <c r="X51" s="13"/>
      <c r="Y51" s="13"/>
      <c r="Z51" s="13"/>
      <c r="AA51" s="13"/>
      <c r="AB51" s="13"/>
      <c r="AC51" s="13"/>
    </row>
    <row r="52" spans="1:29" x14ac:dyDescent="0.25">
      <c r="A52" s="13"/>
      <c r="B52" s="60" t="str">
        <f t="shared" ca="1" si="2"/>
        <v/>
      </c>
      <c r="C52" s="74" t="str">
        <f t="shared" ca="1" si="6"/>
        <v/>
      </c>
      <c r="D52" s="75" t="str">
        <f t="shared" ca="1" si="7"/>
        <v/>
      </c>
      <c r="E52" s="76" t="str">
        <f t="shared" ca="1" si="8"/>
        <v/>
      </c>
      <c r="F52" s="65" t="str">
        <f t="shared" ca="1" si="9"/>
        <v/>
      </c>
      <c r="G52" s="65" t="str">
        <f t="shared" ca="1" si="10"/>
        <v/>
      </c>
      <c r="H52" s="66" t="str">
        <f t="shared" ca="1" si="11"/>
        <v/>
      </c>
      <c r="I52" s="67">
        <f t="shared" ca="1" si="3"/>
        <v>0</v>
      </c>
      <c r="J52" s="67">
        <f t="shared" ca="1" si="4"/>
        <v>0</v>
      </c>
      <c r="K52" s="68">
        <f t="shared" ca="1" si="5"/>
        <v>0</v>
      </c>
      <c r="L52" s="69"/>
      <c r="M52" s="70">
        <f ca="1">IF($C52="",0,
I52*'1.c Decrements'!D46+(M51-N51-O51)*(1+G51))</f>
        <v>0</v>
      </c>
      <c r="N52" s="71">
        <f ca="1">K52*'1.a Assumptions'!$C$10*'1.c Decrements'!E46</f>
        <v>0</v>
      </c>
      <c r="O52" s="71">
        <f ca="1">J53*('1.c Decrements'!F46+'1.c Decrements'!G46)</f>
        <v>0</v>
      </c>
      <c r="P52" s="71">
        <f ca="1">M52-J53*'1.c Decrements'!D46</f>
        <v>0</v>
      </c>
      <c r="Q52" s="71" t="str">
        <f ca="1">IF(B53=$Q$15,$D$3,IF(B53&lt;$Q$15,'1.c Decrements'!$L$11,""))</f>
        <v/>
      </c>
      <c r="R52" s="13"/>
      <c r="S52" s="13"/>
      <c r="T52" s="72" t="str">
        <f ca="1">IF($C53="","",J53-J52*(1+i))</f>
        <v/>
      </c>
      <c r="U52" s="73" t="str">
        <f ca="1">IFERROR(T52-I52,"")</f>
        <v/>
      </c>
      <c r="V52" s="13"/>
      <c r="W52" s="13"/>
      <c r="X52" s="13"/>
      <c r="Y52" s="13"/>
      <c r="Z52" s="13"/>
      <c r="AA52" s="13"/>
      <c r="AB52" s="13"/>
      <c r="AC52" s="13"/>
    </row>
    <row r="53" spans="1:29" x14ac:dyDescent="0.25">
      <c r="A53" s="13"/>
      <c r="B53" s="60" t="str">
        <f t="shared" ca="1" si="2"/>
        <v/>
      </c>
      <c r="C53" s="74" t="str">
        <f t="shared" ca="1" si="6"/>
        <v/>
      </c>
      <c r="D53" s="75" t="str">
        <f t="shared" ca="1" si="7"/>
        <v/>
      </c>
      <c r="E53" s="76" t="str">
        <f t="shared" ca="1" si="8"/>
        <v/>
      </c>
      <c r="F53" s="65" t="str">
        <f t="shared" ca="1" si="9"/>
        <v/>
      </c>
      <c r="G53" s="65" t="str">
        <f t="shared" ca="1" si="10"/>
        <v/>
      </c>
      <c r="H53" s="66" t="str">
        <f t="shared" ca="1" si="11"/>
        <v/>
      </c>
      <c r="I53" s="67">
        <f t="shared" ca="1" si="3"/>
        <v>0</v>
      </c>
      <c r="J53" s="67">
        <f t="shared" ca="1" si="4"/>
        <v>0</v>
      </c>
      <c r="K53" s="68">
        <f t="shared" ca="1" si="5"/>
        <v>0</v>
      </c>
      <c r="L53" s="69"/>
      <c r="M53" s="70">
        <f ca="1">IF($C53="",0,
I53*'1.c Decrements'!D47+(M52-N52-O52)*(1+G52))</f>
        <v>0</v>
      </c>
      <c r="N53" s="71">
        <f ca="1">K53*'1.a Assumptions'!$C$10*'1.c Decrements'!E47</f>
        <v>0</v>
      </c>
      <c r="O53" s="71">
        <f ca="1">J54*('1.c Decrements'!F47+'1.c Decrements'!G47)</f>
        <v>0</v>
      </c>
      <c r="P53" s="71">
        <f ca="1">M53-J54*'1.c Decrements'!D47</f>
        <v>0</v>
      </c>
      <c r="Q53" s="71" t="str">
        <f ca="1">IF(B54=$Q$15,$D$3,IF(B54&lt;$Q$15,'1.c Decrements'!$L$11,""))</f>
        <v/>
      </c>
      <c r="R53" s="13"/>
      <c r="S53" s="13"/>
      <c r="T53" s="72" t="str">
        <f ca="1">IF($C54="","",J54-J53*(1+i))</f>
        <v/>
      </c>
      <c r="U53" s="73" t="str">
        <f ca="1">IFERROR(T53-I53,"")</f>
        <v/>
      </c>
      <c r="V53" s="13"/>
      <c r="W53" s="13"/>
      <c r="X53" s="13"/>
      <c r="Y53" s="13"/>
      <c r="Z53" s="13"/>
      <c r="AA53" s="13"/>
      <c r="AB53" s="13"/>
      <c r="AC53" s="13"/>
    </row>
    <row r="54" spans="1:29" x14ac:dyDescent="0.25">
      <c r="A54" s="13"/>
      <c r="B54" s="60" t="str">
        <f t="shared" ca="1" si="2"/>
        <v/>
      </c>
      <c r="C54" s="74" t="str">
        <f t="shared" ca="1" si="6"/>
        <v/>
      </c>
      <c r="D54" s="75" t="str">
        <f t="shared" ca="1" si="7"/>
        <v/>
      </c>
      <c r="E54" s="76" t="str">
        <f t="shared" ca="1" si="8"/>
        <v/>
      </c>
      <c r="F54" s="65" t="str">
        <f t="shared" ca="1" si="9"/>
        <v/>
      </c>
      <c r="G54" s="65" t="str">
        <f t="shared" ca="1" si="10"/>
        <v/>
      </c>
      <c r="H54" s="66" t="str">
        <f t="shared" ca="1" si="11"/>
        <v/>
      </c>
      <c r="I54" s="67">
        <f t="shared" ca="1" si="3"/>
        <v>0</v>
      </c>
      <c r="J54" s="67">
        <f t="shared" ca="1" si="4"/>
        <v>0</v>
      </c>
      <c r="K54" s="68">
        <f t="shared" ca="1" si="5"/>
        <v>0</v>
      </c>
      <c r="L54" s="69"/>
      <c r="M54" s="70">
        <f ca="1">IF($C54="",0,
I54*'1.c Decrements'!D48+(M53-N53-O53)*(1+G53))</f>
        <v>0</v>
      </c>
      <c r="N54" s="71">
        <f ca="1">K54*'1.a Assumptions'!$C$10*'1.c Decrements'!E48</f>
        <v>0</v>
      </c>
      <c r="O54" s="71">
        <f ca="1">J55*('1.c Decrements'!F48+'1.c Decrements'!G48)</f>
        <v>0</v>
      </c>
      <c r="P54" s="71">
        <f ca="1">M54-J55*'1.c Decrements'!D48</f>
        <v>0</v>
      </c>
      <c r="Q54" s="71" t="str">
        <f ca="1">IF(B55=$Q$15,$D$3,IF(B55&lt;$Q$15,'1.c Decrements'!$L$11,""))</f>
        <v/>
      </c>
      <c r="R54" s="13"/>
      <c r="S54" s="13"/>
      <c r="T54" s="72" t="str">
        <f ca="1">IF($C55="","",J55-J54*(1+i))</f>
        <v/>
      </c>
      <c r="U54" s="73" t="str">
        <f ca="1">IFERROR(T54-I54,"")</f>
        <v/>
      </c>
      <c r="V54" s="13"/>
      <c r="W54" s="13"/>
      <c r="X54" s="13"/>
      <c r="Y54" s="13"/>
      <c r="Z54" s="13"/>
      <c r="AA54" s="13"/>
      <c r="AB54" s="13"/>
      <c r="AC54" s="13"/>
    </row>
    <row r="55" spans="1:29" x14ac:dyDescent="0.25">
      <c r="A55" s="13"/>
      <c r="B55" s="60" t="str">
        <f t="shared" ca="1" si="2"/>
        <v/>
      </c>
      <c r="C55" s="74" t="str">
        <f t="shared" ca="1" si="6"/>
        <v/>
      </c>
      <c r="D55" s="75" t="str">
        <f t="shared" ca="1" si="7"/>
        <v/>
      </c>
      <c r="E55" s="76" t="str">
        <f t="shared" ca="1" si="8"/>
        <v/>
      </c>
      <c r="F55" s="65" t="str">
        <f t="shared" ca="1" si="9"/>
        <v/>
      </c>
      <c r="G55" s="65" t="str">
        <f t="shared" ca="1" si="10"/>
        <v/>
      </c>
      <c r="H55" s="66" t="str">
        <f t="shared" ca="1" si="11"/>
        <v/>
      </c>
      <c r="I55" s="67">
        <f t="shared" ca="1" si="3"/>
        <v>0</v>
      </c>
      <c r="J55" s="67">
        <f t="shared" ca="1" si="4"/>
        <v>0</v>
      </c>
      <c r="K55" s="68">
        <f t="shared" ca="1" si="5"/>
        <v>0</v>
      </c>
      <c r="L55" s="69"/>
      <c r="M55" s="70">
        <f ca="1">IF($C55="",0,
I55*'1.c Decrements'!D49+(M54-N54-O54)*(1+G54))</f>
        <v>0</v>
      </c>
      <c r="N55" s="71">
        <f ca="1">K55*'1.a Assumptions'!$C$10*'1.c Decrements'!E49</f>
        <v>0</v>
      </c>
      <c r="O55" s="71">
        <f ca="1">J56*('1.c Decrements'!F49+'1.c Decrements'!G49)</f>
        <v>0</v>
      </c>
      <c r="P55" s="71">
        <f ca="1">M55-J56*'1.c Decrements'!D49</f>
        <v>0</v>
      </c>
      <c r="Q55" s="71" t="str">
        <f ca="1">IF(B56=$Q$15,$D$3,IF(B56&lt;$Q$15,'1.c Decrements'!$L$11,""))</f>
        <v/>
      </c>
      <c r="R55" s="13"/>
      <c r="S55" s="13"/>
      <c r="T55" s="72" t="str">
        <f ca="1">IF($C56="","",J56-J55*(1+i))</f>
        <v/>
      </c>
      <c r="U55" s="73" t="str">
        <f ca="1">IFERROR(T55-I55,"")</f>
        <v/>
      </c>
      <c r="V55" s="13"/>
      <c r="W55" s="13"/>
      <c r="X55" s="13"/>
      <c r="Y55" s="13"/>
      <c r="Z55" s="13"/>
      <c r="AA55" s="13"/>
      <c r="AB55" s="13"/>
      <c r="AC55" s="13"/>
    </row>
    <row r="56" spans="1:29" x14ac:dyDescent="0.25">
      <c r="A56" s="13"/>
      <c r="B56" s="60" t="str">
        <f t="shared" ca="1" si="2"/>
        <v/>
      </c>
      <c r="C56" s="74" t="str">
        <f t="shared" ca="1" si="6"/>
        <v/>
      </c>
      <c r="D56" s="75" t="str">
        <f t="shared" ca="1" si="7"/>
        <v/>
      </c>
      <c r="E56" s="76" t="str">
        <f t="shared" ca="1" si="8"/>
        <v/>
      </c>
      <c r="F56" s="65" t="str">
        <f t="shared" ca="1" si="9"/>
        <v/>
      </c>
      <c r="G56" s="65" t="str">
        <f t="shared" ca="1" si="10"/>
        <v/>
      </c>
      <c r="H56" s="66" t="str">
        <f t="shared" ca="1" si="11"/>
        <v/>
      </c>
      <c r="I56" s="67">
        <f t="shared" ca="1" si="3"/>
        <v>0</v>
      </c>
      <c r="J56" s="67">
        <f t="shared" ca="1" si="4"/>
        <v>0</v>
      </c>
      <c r="K56" s="68">
        <f t="shared" ca="1" si="5"/>
        <v>0</v>
      </c>
      <c r="L56" s="69"/>
      <c r="M56" s="70">
        <f ca="1">IF($C56="",0,
I56*'1.c Decrements'!D50+(M55-N55-O55)*(1+G55))</f>
        <v>0</v>
      </c>
      <c r="N56" s="71">
        <f ca="1">K56*'1.a Assumptions'!$C$10*'1.c Decrements'!E50</f>
        <v>0</v>
      </c>
      <c r="O56" s="71">
        <f ca="1">J57*('1.c Decrements'!F50+'1.c Decrements'!G50)</f>
        <v>0</v>
      </c>
      <c r="P56" s="71">
        <f ca="1">M56-J57*'1.c Decrements'!D50</f>
        <v>0</v>
      </c>
      <c r="Q56" s="71" t="str">
        <f ca="1">IF(B57=$Q$15,$D$3,IF(B57&lt;$Q$15,'1.c Decrements'!$L$11,""))</f>
        <v/>
      </c>
      <c r="R56" s="13"/>
      <c r="S56" s="13"/>
      <c r="T56" s="72" t="str">
        <f ca="1">IF($C57="","",J57-J56*(1+i))</f>
        <v/>
      </c>
      <c r="U56" s="73" t="str">
        <f ca="1">IFERROR(T56-I56,"")</f>
        <v/>
      </c>
      <c r="V56" s="13"/>
      <c r="W56" s="13"/>
      <c r="X56" s="13"/>
      <c r="Y56" s="13"/>
      <c r="Z56" s="13"/>
      <c r="AA56" s="13"/>
      <c r="AB56" s="13"/>
      <c r="AC56" s="13"/>
    </row>
    <row r="57" spans="1:29" x14ac:dyDescent="0.25">
      <c r="A57" s="13"/>
      <c r="B57" s="60" t="str">
        <f t="shared" ca="1" si="2"/>
        <v/>
      </c>
      <c r="C57" s="74" t="str">
        <f t="shared" ca="1" si="6"/>
        <v/>
      </c>
      <c r="D57" s="75" t="str">
        <f t="shared" ca="1" si="7"/>
        <v/>
      </c>
      <c r="E57" s="76" t="str">
        <f t="shared" ca="1" si="8"/>
        <v/>
      </c>
      <c r="F57" s="65" t="str">
        <f t="shared" ca="1" si="9"/>
        <v/>
      </c>
      <c r="G57" s="65" t="str">
        <f t="shared" ca="1" si="10"/>
        <v/>
      </c>
      <c r="H57" s="66" t="str">
        <f t="shared" ca="1" si="11"/>
        <v/>
      </c>
      <c r="I57" s="67">
        <f t="shared" ca="1" si="3"/>
        <v>0</v>
      </c>
      <c r="J57" s="67">
        <f t="shared" ca="1" si="4"/>
        <v>0</v>
      </c>
      <c r="K57" s="68">
        <f t="shared" ca="1" si="5"/>
        <v>0</v>
      </c>
      <c r="L57" s="69"/>
      <c r="M57" s="70">
        <f ca="1">IF($C57="",0,
I57*'1.c Decrements'!D51+(M56-N56-O56)*(1+G56))</f>
        <v>0</v>
      </c>
      <c r="N57" s="71">
        <f ca="1">K57*'1.a Assumptions'!$C$10*'1.c Decrements'!E51</f>
        <v>0</v>
      </c>
      <c r="O57" s="71">
        <f ca="1">J58*('1.c Decrements'!F51+'1.c Decrements'!G51)</f>
        <v>0</v>
      </c>
      <c r="P57" s="71">
        <f ca="1">M57-J58*'1.c Decrements'!D51</f>
        <v>0</v>
      </c>
      <c r="Q57" s="71" t="str">
        <f ca="1">IF(B58=$Q$15,$D$3,IF(B58&lt;$Q$15,'1.c Decrements'!$L$11,""))</f>
        <v/>
      </c>
      <c r="R57" s="13"/>
      <c r="S57" s="13"/>
      <c r="T57" s="72" t="str">
        <f ca="1">IF($C58="","",J58-J57*(1+i))</f>
        <v/>
      </c>
      <c r="U57" s="73" t="str">
        <f ca="1">IFERROR(T57-I57,"")</f>
        <v/>
      </c>
      <c r="V57" s="13"/>
      <c r="W57" s="13"/>
      <c r="X57" s="13"/>
      <c r="Y57" s="13"/>
      <c r="Z57" s="13"/>
      <c r="AA57" s="13"/>
      <c r="AB57" s="13"/>
      <c r="AC57" s="13"/>
    </row>
    <row r="58" spans="1:29" x14ac:dyDescent="0.25">
      <c r="A58" s="13"/>
      <c r="B58" s="60" t="str">
        <f t="shared" ca="1" si="2"/>
        <v/>
      </c>
      <c r="C58" s="74" t="str">
        <f t="shared" ca="1" si="6"/>
        <v/>
      </c>
      <c r="D58" s="75" t="str">
        <f t="shared" ca="1" si="7"/>
        <v/>
      </c>
      <c r="E58" s="76" t="str">
        <f t="shared" ca="1" si="8"/>
        <v/>
      </c>
      <c r="F58" s="65" t="str">
        <f t="shared" ca="1" si="9"/>
        <v/>
      </c>
      <c r="G58" s="65" t="str">
        <f t="shared" ca="1" si="10"/>
        <v/>
      </c>
      <c r="H58" s="66" t="str">
        <f t="shared" ca="1" si="11"/>
        <v/>
      </c>
      <c r="I58" s="67">
        <f t="shared" ca="1" si="3"/>
        <v>0</v>
      </c>
      <c r="J58" s="67">
        <f t="shared" ca="1" si="4"/>
        <v>0</v>
      </c>
      <c r="K58" s="68">
        <f t="shared" ca="1" si="5"/>
        <v>0</v>
      </c>
      <c r="L58" s="69"/>
      <c r="M58" s="70">
        <f ca="1">IF($C58="",0,
I58*'1.c Decrements'!D52+(M57-N57-O57)*(1+G57))</f>
        <v>0</v>
      </c>
      <c r="N58" s="71">
        <f ca="1">K58*'1.a Assumptions'!$C$10*'1.c Decrements'!E52</f>
        <v>0</v>
      </c>
      <c r="O58" s="71">
        <f ca="1">J59*('1.c Decrements'!F52+'1.c Decrements'!G52)</f>
        <v>0</v>
      </c>
      <c r="P58" s="71">
        <f ca="1">M58-J59*'1.c Decrements'!D52</f>
        <v>0</v>
      </c>
      <c r="Q58" s="71" t="str">
        <f ca="1">IF(B59=$Q$15,$D$3,IF(B59&lt;$Q$15,'1.c Decrements'!$L$11,""))</f>
        <v/>
      </c>
      <c r="R58" s="13"/>
      <c r="S58" s="13"/>
      <c r="T58" s="72" t="str">
        <f ca="1">IF($C59="","",J59-J58*(1+i))</f>
        <v/>
      </c>
      <c r="U58" s="73" t="str">
        <f ca="1">IFERROR(T58-I58,"")</f>
        <v/>
      </c>
      <c r="V58" s="13"/>
      <c r="W58" s="13"/>
      <c r="X58" s="13"/>
      <c r="Y58" s="13"/>
      <c r="Z58" s="13"/>
      <c r="AA58" s="13"/>
      <c r="AB58" s="13"/>
      <c r="AC58" s="13"/>
    </row>
    <row r="59" spans="1:29" x14ac:dyDescent="0.25">
      <c r="A59" s="13"/>
      <c r="B59" s="60" t="str">
        <f t="shared" ca="1" si="2"/>
        <v/>
      </c>
      <c r="C59" s="74" t="str">
        <f t="shared" ca="1" si="6"/>
        <v/>
      </c>
      <c r="D59" s="75" t="str">
        <f t="shared" ca="1" si="7"/>
        <v/>
      </c>
      <c r="E59" s="76" t="str">
        <f t="shared" ca="1" si="8"/>
        <v/>
      </c>
      <c r="F59" s="65" t="str">
        <f t="shared" ca="1" si="9"/>
        <v/>
      </c>
      <c r="G59" s="65" t="str">
        <f t="shared" ca="1" si="10"/>
        <v/>
      </c>
      <c r="H59" s="66" t="str">
        <f t="shared" ca="1" si="11"/>
        <v/>
      </c>
      <c r="I59" s="67">
        <f t="shared" ca="1" si="3"/>
        <v>0</v>
      </c>
      <c r="J59" s="67">
        <f t="shared" ca="1" si="4"/>
        <v>0</v>
      </c>
      <c r="K59" s="68">
        <f t="shared" ca="1" si="5"/>
        <v>0</v>
      </c>
      <c r="L59" s="69"/>
      <c r="M59" s="70">
        <f ca="1">IF($C59="",0,
I59*'1.c Decrements'!D53+(M58-N58-O58)*(1+G58))</f>
        <v>0</v>
      </c>
      <c r="N59" s="71">
        <f ca="1">K59*'1.a Assumptions'!$C$10*'1.c Decrements'!E53</f>
        <v>0</v>
      </c>
      <c r="O59" s="71">
        <f ca="1">J60*('1.c Decrements'!F53+'1.c Decrements'!G53)</f>
        <v>0</v>
      </c>
      <c r="P59" s="71">
        <f ca="1">M59-J60*'1.c Decrements'!D53</f>
        <v>0</v>
      </c>
      <c r="Q59" s="71" t="str">
        <f ca="1">IF(B60=$Q$15,$D$3,IF(B60&lt;$Q$15,'1.c Decrements'!$L$11,""))</f>
        <v/>
      </c>
      <c r="R59" s="13"/>
      <c r="S59" s="13"/>
      <c r="T59" s="72" t="str">
        <f ca="1">IF($C60="","",J60-J59*(1+i))</f>
        <v/>
      </c>
      <c r="U59" s="73" t="str">
        <f ca="1">IFERROR(T59-I59,"")</f>
        <v/>
      </c>
      <c r="V59" s="13"/>
      <c r="W59" s="13"/>
      <c r="X59" s="13"/>
      <c r="Y59" s="13"/>
      <c r="Z59" s="13"/>
      <c r="AA59" s="13"/>
      <c r="AB59" s="13"/>
      <c r="AC59" s="13"/>
    </row>
    <row r="60" spans="1:29" x14ac:dyDescent="0.25">
      <c r="A60" s="13"/>
      <c r="B60" s="60" t="str">
        <f t="shared" ca="1" si="2"/>
        <v/>
      </c>
      <c r="C60" s="74" t="str">
        <f t="shared" ca="1" si="6"/>
        <v/>
      </c>
      <c r="D60" s="75" t="str">
        <f t="shared" ca="1" si="7"/>
        <v/>
      </c>
      <c r="E60" s="76" t="str">
        <f t="shared" ca="1" si="8"/>
        <v/>
      </c>
      <c r="F60" s="65" t="str">
        <f t="shared" ca="1" si="9"/>
        <v/>
      </c>
      <c r="G60" s="65" t="str">
        <f t="shared" ca="1" si="10"/>
        <v/>
      </c>
      <c r="H60" s="66" t="str">
        <f t="shared" ca="1" si="11"/>
        <v/>
      </c>
      <c r="I60" s="67">
        <f t="shared" ca="1" si="3"/>
        <v>0</v>
      </c>
      <c r="J60" s="67">
        <f t="shared" ca="1" si="4"/>
        <v>0</v>
      </c>
      <c r="K60" s="68">
        <f t="shared" ca="1" si="5"/>
        <v>0</v>
      </c>
      <c r="L60" s="69"/>
      <c r="M60" s="70">
        <f ca="1">IF($C60="",0,
I60*'1.c Decrements'!D54+(M59-N59-O59)*(1+G59))</f>
        <v>0</v>
      </c>
      <c r="N60" s="71">
        <f ca="1">K60*'1.a Assumptions'!$C$10*'1.c Decrements'!E54</f>
        <v>0</v>
      </c>
      <c r="O60" s="71">
        <f ca="1">J61*('1.c Decrements'!F54+'1.c Decrements'!G54)</f>
        <v>0</v>
      </c>
      <c r="P60" s="71">
        <f ca="1">M60-J61*'1.c Decrements'!D54</f>
        <v>0</v>
      </c>
      <c r="Q60" s="71" t="str">
        <f ca="1">IF(B61=$Q$15,$D$3,IF(B61&lt;$Q$15,'1.c Decrements'!$L$11,""))</f>
        <v/>
      </c>
      <c r="R60" s="13"/>
      <c r="S60" s="13"/>
      <c r="T60" s="72" t="str">
        <f ca="1">IF($C61="","",J61-J60*(1+i))</f>
        <v/>
      </c>
      <c r="U60" s="73" t="str">
        <f ca="1">IFERROR(T60-I60,"")</f>
        <v/>
      </c>
      <c r="V60" s="13"/>
      <c r="W60" s="13"/>
      <c r="X60" s="13"/>
      <c r="Y60" s="13"/>
      <c r="Z60" s="13"/>
      <c r="AA60" s="13"/>
      <c r="AB60" s="13"/>
      <c r="AC60" s="13"/>
    </row>
    <row r="61" spans="1:29" x14ac:dyDescent="0.25">
      <c r="A61" s="13"/>
      <c r="B61" s="60" t="str">
        <f t="shared" ca="1" si="2"/>
        <v/>
      </c>
      <c r="C61" s="74" t="str">
        <f t="shared" ca="1" si="6"/>
        <v/>
      </c>
      <c r="D61" s="75" t="str">
        <f t="shared" ca="1" si="7"/>
        <v/>
      </c>
      <c r="E61" s="76" t="str">
        <f t="shared" ca="1" si="8"/>
        <v/>
      </c>
      <c r="F61" s="65" t="str">
        <f t="shared" ca="1" si="9"/>
        <v/>
      </c>
      <c r="G61" s="65" t="str">
        <f t="shared" ca="1" si="10"/>
        <v/>
      </c>
      <c r="H61" s="66" t="str">
        <f t="shared" ca="1" si="11"/>
        <v/>
      </c>
      <c r="I61" s="67">
        <f t="shared" ca="1" si="3"/>
        <v>0</v>
      </c>
      <c r="J61" s="67">
        <f t="shared" ca="1" si="4"/>
        <v>0</v>
      </c>
      <c r="K61" s="68">
        <f t="shared" ca="1" si="5"/>
        <v>0</v>
      </c>
      <c r="L61" s="69"/>
      <c r="M61" s="70">
        <f ca="1">IF($C61="",0,
I61*'1.c Decrements'!D55+(M60-N60-O60)*(1+G60))</f>
        <v>0</v>
      </c>
      <c r="N61" s="71">
        <f ca="1">K61*'1.a Assumptions'!$C$10*'1.c Decrements'!E55</f>
        <v>0</v>
      </c>
      <c r="O61" s="71">
        <f ca="1">J62*('1.c Decrements'!F55+'1.c Decrements'!G55)</f>
        <v>0</v>
      </c>
      <c r="P61" s="71">
        <f ca="1">M61-J62*'1.c Decrements'!D55</f>
        <v>0</v>
      </c>
      <c r="Q61" s="71" t="str">
        <f ca="1">IF(B62=$Q$15,$D$3,IF(B62&lt;$Q$15,'1.c Decrements'!$L$11,""))</f>
        <v/>
      </c>
      <c r="R61" s="13"/>
      <c r="S61" s="13"/>
      <c r="T61" s="72" t="str">
        <f ca="1">IF($C62="","",J62-J61*(1+i))</f>
        <v/>
      </c>
      <c r="U61" s="73" t="str">
        <f ca="1">IFERROR(T61-I61,"")</f>
        <v/>
      </c>
      <c r="V61" s="13"/>
      <c r="W61" s="13"/>
      <c r="X61" s="13"/>
      <c r="Y61" s="13"/>
      <c r="Z61" s="13"/>
      <c r="AA61" s="13"/>
      <c r="AB61" s="13"/>
      <c r="AC61" s="13"/>
    </row>
    <row r="62" spans="1:29" x14ac:dyDescent="0.25">
      <c r="A62" s="13"/>
      <c r="B62" s="60" t="str">
        <f t="shared" ca="1" si="2"/>
        <v/>
      </c>
      <c r="C62" s="74" t="str">
        <f t="shared" ca="1" si="6"/>
        <v/>
      </c>
      <c r="D62" s="75" t="str">
        <f t="shared" ca="1" si="7"/>
        <v/>
      </c>
      <c r="E62" s="76" t="str">
        <f t="shared" ca="1" si="8"/>
        <v/>
      </c>
      <c r="F62" s="65" t="str">
        <f t="shared" ca="1" si="9"/>
        <v/>
      </c>
      <c r="G62" s="65" t="str">
        <f t="shared" ca="1" si="10"/>
        <v/>
      </c>
      <c r="H62" s="66" t="str">
        <f t="shared" ca="1" si="11"/>
        <v/>
      </c>
      <c r="I62" s="67">
        <f t="shared" ca="1" si="3"/>
        <v>0</v>
      </c>
      <c r="J62" s="67">
        <f t="shared" ca="1" si="4"/>
        <v>0</v>
      </c>
      <c r="K62" s="68">
        <f t="shared" ca="1" si="5"/>
        <v>0</v>
      </c>
      <c r="L62" s="69"/>
      <c r="M62" s="70">
        <f ca="1">IF($C62="",0,
I62*'1.c Decrements'!D56+(M61-N61-O61)*(1+G61))</f>
        <v>0</v>
      </c>
      <c r="N62" s="71">
        <f ca="1">K62*'1.a Assumptions'!$C$10*'1.c Decrements'!E56</f>
        <v>0</v>
      </c>
      <c r="O62" s="71">
        <f ca="1">J63*('1.c Decrements'!F56+'1.c Decrements'!G56)</f>
        <v>0</v>
      </c>
      <c r="P62" s="71">
        <f ca="1">M62-J63*'1.c Decrements'!D56</f>
        <v>0</v>
      </c>
      <c r="Q62" s="71" t="str">
        <f ca="1">IF(B63=$Q$15,$D$3,IF(B63&lt;$Q$15,'1.c Decrements'!$L$11,""))</f>
        <v/>
      </c>
      <c r="R62" s="13"/>
      <c r="S62" s="13"/>
      <c r="T62" s="72" t="str">
        <f ca="1">IF($C63="","",J63-J62*(1+i))</f>
        <v/>
      </c>
      <c r="U62" s="73" t="str">
        <f ca="1">IFERROR(T62-I62,"")</f>
        <v/>
      </c>
      <c r="V62" s="13"/>
      <c r="W62" s="13"/>
      <c r="X62" s="13"/>
      <c r="Y62" s="13"/>
      <c r="Z62" s="13"/>
      <c r="AA62" s="13"/>
      <c r="AB62" s="13"/>
      <c r="AC62" s="13"/>
    </row>
    <row r="63" spans="1:29" x14ac:dyDescent="0.25">
      <c r="A63" s="13"/>
      <c r="B63" s="60" t="str">
        <f t="shared" ca="1" si="2"/>
        <v/>
      </c>
      <c r="C63" s="74" t="str">
        <f t="shared" ca="1" si="6"/>
        <v/>
      </c>
      <c r="D63" s="75" t="str">
        <f t="shared" ca="1" si="7"/>
        <v/>
      </c>
      <c r="E63" s="76" t="str">
        <f t="shared" ca="1" si="8"/>
        <v/>
      </c>
      <c r="F63" s="65" t="str">
        <f t="shared" ca="1" si="9"/>
        <v/>
      </c>
      <c r="G63" s="65" t="str">
        <f t="shared" ca="1" si="10"/>
        <v/>
      </c>
      <c r="H63" s="66" t="str">
        <f t="shared" ca="1" si="11"/>
        <v/>
      </c>
      <c r="I63" s="67">
        <f t="shared" ca="1" si="3"/>
        <v>0</v>
      </c>
      <c r="J63" s="67">
        <f t="shared" ca="1" si="4"/>
        <v>0</v>
      </c>
      <c r="K63" s="68">
        <f t="shared" ca="1" si="5"/>
        <v>0</v>
      </c>
      <c r="L63" s="69"/>
      <c r="M63" s="70">
        <f ca="1">IF($C63="",0,
I63*'1.c Decrements'!D57+(M62-N62-O62)*(1+G62))</f>
        <v>0</v>
      </c>
      <c r="N63" s="71">
        <f ca="1">K63*'1.a Assumptions'!$C$10*'1.c Decrements'!E57</f>
        <v>0</v>
      </c>
      <c r="O63" s="71">
        <f ca="1">J64*('1.c Decrements'!F57+'1.c Decrements'!G57)</f>
        <v>0</v>
      </c>
      <c r="P63" s="71">
        <f ca="1">M63-J64*'1.c Decrements'!D57</f>
        <v>0</v>
      </c>
      <c r="Q63" s="71" t="str">
        <f ca="1">IF(B64=$Q$15,$D$3,IF(B64&lt;$Q$15,'1.c Decrements'!$L$11,""))</f>
        <v/>
      </c>
      <c r="R63" s="13"/>
      <c r="S63" s="13"/>
      <c r="T63" s="72" t="str">
        <f ca="1">IF($C64="","",J64-J63*(1+i))</f>
        <v/>
      </c>
      <c r="U63" s="73" t="str">
        <f ca="1">IFERROR(T63-I63,"")</f>
        <v/>
      </c>
      <c r="V63" s="13"/>
      <c r="W63" s="13"/>
      <c r="X63" s="13"/>
      <c r="Y63" s="13"/>
      <c r="Z63" s="13"/>
      <c r="AA63" s="13"/>
      <c r="AB63" s="13"/>
      <c r="AC63" s="13"/>
    </row>
    <row r="64" spans="1:29" x14ac:dyDescent="0.25">
      <c r="A64" s="13"/>
      <c r="B64" s="60" t="str">
        <f t="shared" ca="1" si="2"/>
        <v/>
      </c>
      <c r="C64" s="74" t="str">
        <f t="shared" ca="1" si="6"/>
        <v/>
      </c>
      <c r="D64" s="75" t="str">
        <f t="shared" ca="1" si="7"/>
        <v/>
      </c>
      <c r="E64" s="76" t="str">
        <f t="shared" ca="1" si="8"/>
        <v/>
      </c>
      <c r="F64" s="65" t="str">
        <f t="shared" ca="1" si="9"/>
        <v/>
      </c>
      <c r="G64" s="65" t="str">
        <f t="shared" ca="1" si="10"/>
        <v/>
      </c>
      <c r="H64" s="66" t="str">
        <f t="shared" ca="1" si="11"/>
        <v/>
      </c>
      <c r="I64" s="67">
        <f t="shared" ca="1" si="3"/>
        <v>0</v>
      </c>
      <c r="J64" s="67">
        <f t="shared" ca="1" si="4"/>
        <v>0</v>
      </c>
      <c r="K64" s="68">
        <f t="shared" ca="1" si="5"/>
        <v>0</v>
      </c>
      <c r="L64" s="69"/>
      <c r="M64" s="70">
        <f ca="1">IF($C64="",0,
I64*'1.c Decrements'!D58+(M63-N63-O63)*(1+G63))</f>
        <v>0</v>
      </c>
      <c r="N64" s="71">
        <f ca="1">K64*'1.a Assumptions'!$C$10*'1.c Decrements'!E58</f>
        <v>0</v>
      </c>
      <c r="O64" s="71">
        <f ca="1">J65*('1.c Decrements'!F58+'1.c Decrements'!G58)</f>
        <v>0</v>
      </c>
      <c r="P64" s="71">
        <f ca="1">M64-J65*'1.c Decrements'!D58</f>
        <v>0</v>
      </c>
      <c r="Q64" s="71" t="str">
        <f ca="1">IF(B65=$Q$15,$D$3,IF(B65&lt;$Q$15,'1.c Decrements'!$L$11,""))</f>
        <v/>
      </c>
      <c r="R64" s="13"/>
      <c r="S64" s="13"/>
      <c r="T64" s="72" t="str">
        <f ca="1">IF($C65="","",J65-J64*(1+i))</f>
        <v/>
      </c>
      <c r="U64" s="73" t="str">
        <f ca="1">IFERROR(T64-I64,"")</f>
        <v/>
      </c>
      <c r="V64" s="13"/>
      <c r="W64" s="13"/>
      <c r="X64" s="13"/>
      <c r="Y64" s="13"/>
      <c r="Z64" s="13"/>
      <c r="AA64" s="13"/>
      <c r="AB64" s="13"/>
      <c r="AC64" s="13"/>
    </row>
    <row r="65" spans="1:29" x14ac:dyDescent="0.25">
      <c r="A65" s="13"/>
      <c r="B65" s="60" t="str">
        <f t="shared" ref="B65:B72" ca="1" si="12">IF($C65="","",B64+1)</f>
        <v/>
      </c>
      <c r="C65" s="74" t="str">
        <f t="shared" ca="1" si="6"/>
        <v/>
      </c>
      <c r="D65" s="75" t="str">
        <f t="shared" ref="D65:D72" ca="1" si="13">IF($C65="","",D64)</f>
        <v/>
      </c>
      <c r="E65" s="76" t="str">
        <f t="shared" ca="1" si="8"/>
        <v/>
      </c>
      <c r="F65" s="65" t="str">
        <f t="shared" ref="F65:F72" ca="1" si="14">IF($C65="","",F64)</f>
        <v/>
      </c>
      <c r="G65" s="65" t="str">
        <f t="shared" ref="G65:G72" ca="1" si="15">IF($C65="","",G64)</f>
        <v/>
      </c>
      <c r="H65" s="66" t="str">
        <f t="shared" ca="1" si="11"/>
        <v/>
      </c>
      <c r="I65" s="67">
        <f t="shared" ca="1" si="3"/>
        <v>0</v>
      </c>
      <c r="J65" s="67">
        <f t="shared" ca="1" si="4"/>
        <v>0</v>
      </c>
      <c r="K65" s="68">
        <f t="shared" ca="1" si="5"/>
        <v>0</v>
      </c>
      <c r="L65" s="69"/>
      <c r="M65" s="70">
        <f ca="1">IF($C65="",0,
I65*'1.c Decrements'!D59+(M64-N64-O64)*(1+G64))</f>
        <v>0</v>
      </c>
      <c r="N65" s="71">
        <f ca="1">K65*'1.a Assumptions'!$C$10*'1.c Decrements'!E59</f>
        <v>0</v>
      </c>
      <c r="O65" s="71">
        <f ca="1">J66*('1.c Decrements'!F59+'1.c Decrements'!G59)</f>
        <v>0</v>
      </c>
      <c r="P65" s="71">
        <f ca="1">M65-J66*'1.c Decrements'!D59</f>
        <v>0</v>
      </c>
      <c r="Q65" s="71" t="str">
        <f ca="1">IF(B66=$Q$15,$D$3,IF(B66&lt;$Q$15,'1.c Decrements'!$L$11,""))</f>
        <v/>
      </c>
      <c r="R65" s="13"/>
      <c r="S65" s="13"/>
      <c r="T65" s="72" t="str">
        <f ca="1">IF($C66="","",J66-J65*(1+i))</f>
        <v/>
      </c>
      <c r="U65" s="73" t="str">
        <f ca="1">IFERROR(T65-I65,"")</f>
        <v/>
      </c>
      <c r="V65" s="13"/>
      <c r="W65" s="13"/>
      <c r="X65" s="13"/>
      <c r="Y65" s="13"/>
      <c r="Z65" s="13"/>
      <c r="AA65" s="13"/>
      <c r="AB65" s="13"/>
      <c r="AC65" s="13"/>
    </row>
    <row r="66" spans="1:29" x14ac:dyDescent="0.25">
      <c r="A66" s="13"/>
      <c r="B66" s="60" t="str">
        <f t="shared" ca="1" si="12"/>
        <v/>
      </c>
      <c r="C66" s="74" t="str">
        <f t="shared" ca="1" si="6"/>
        <v/>
      </c>
      <c r="D66" s="75" t="str">
        <f t="shared" ca="1" si="13"/>
        <v/>
      </c>
      <c r="E66" s="76" t="str">
        <f t="shared" ca="1" si="8"/>
        <v/>
      </c>
      <c r="F66" s="65" t="str">
        <f t="shared" ca="1" si="14"/>
        <v/>
      </c>
      <c r="G66" s="65" t="str">
        <f t="shared" ca="1" si="15"/>
        <v/>
      </c>
      <c r="H66" s="66" t="str">
        <f t="shared" ca="1" si="11"/>
        <v/>
      </c>
      <c r="I66" s="67">
        <f t="shared" ca="1" si="3"/>
        <v>0</v>
      </c>
      <c r="J66" s="67">
        <f t="shared" ca="1" si="4"/>
        <v>0</v>
      </c>
      <c r="K66" s="68">
        <f t="shared" ca="1" si="5"/>
        <v>0</v>
      </c>
      <c r="L66" s="69"/>
      <c r="M66" s="70">
        <f ca="1">IF($C66="",0,
I66*'1.c Decrements'!D60+(M65-N65-O65)*(1+G65))</f>
        <v>0</v>
      </c>
      <c r="N66" s="71">
        <f ca="1">K66*'1.a Assumptions'!$C$10*'1.c Decrements'!E60</f>
        <v>0</v>
      </c>
      <c r="O66" s="71">
        <f ca="1">J67*('1.c Decrements'!F60+'1.c Decrements'!G60)</f>
        <v>0</v>
      </c>
      <c r="P66" s="71">
        <f ca="1">M66-J67*'1.c Decrements'!D60</f>
        <v>0</v>
      </c>
      <c r="Q66" s="71" t="str">
        <f ca="1">IF(B67=$Q$15,$D$3,IF(B67&lt;$Q$15,'1.c Decrements'!$L$11,""))</f>
        <v/>
      </c>
      <c r="R66" s="13"/>
      <c r="S66" s="13"/>
      <c r="T66" s="72" t="str">
        <f ca="1">IF($C67="","",J67-J66*(1+i))</f>
        <v/>
      </c>
      <c r="U66" s="73" t="str">
        <f ca="1">IFERROR(T66-I66,"")</f>
        <v/>
      </c>
      <c r="V66" s="13"/>
      <c r="W66" s="13"/>
      <c r="X66" s="13"/>
      <c r="Y66" s="13"/>
      <c r="Z66" s="13"/>
      <c r="AA66" s="13"/>
      <c r="AB66" s="13"/>
      <c r="AC66" s="13"/>
    </row>
    <row r="67" spans="1:29" x14ac:dyDescent="0.25">
      <c r="A67" s="13"/>
      <c r="B67" s="60" t="str">
        <f t="shared" ca="1" si="12"/>
        <v/>
      </c>
      <c r="C67" s="74" t="str">
        <f t="shared" ca="1" si="6"/>
        <v/>
      </c>
      <c r="D67" s="75" t="str">
        <f t="shared" ca="1" si="13"/>
        <v/>
      </c>
      <c r="E67" s="76" t="str">
        <f t="shared" ca="1" si="8"/>
        <v/>
      </c>
      <c r="F67" s="65" t="str">
        <f t="shared" ca="1" si="14"/>
        <v/>
      </c>
      <c r="G67" s="65" t="str">
        <f t="shared" ca="1" si="15"/>
        <v/>
      </c>
      <c r="H67" s="66" t="str">
        <f t="shared" ca="1" si="11"/>
        <v/>
      </c>
      <c r="I67" s="67">
        <f t="shared" ca="1" si="3"/>
        <v>0</v>
      </c>
      <c r="J67" s="67">
        <f t="shared" ca="1" si="4"/>
        <v>0</v>
      </c>
      <c r="K67" s="68">
        <f t="shared" ca="1" si="5"/>
        <v>0</v>
      </c>
      <c r="L67" s="69"/>
      <c r="M67" s="70">
        <f ca="1">IF($C67="",0,
I67*'1.c Decrements'!D61+(M66-N66-O66)*(1+G66))</f>
        <v>0</v>
      </c>
      <c r="N67" s="71">
        <f ca="1">K67*'1.a Assumptions'!$C$10*'1.c Decrements'!E61</f>
        <v>0</v>
      </c>
      <c r="O67" s="71">
        <f ca="1">J68*('1.c Decrements'!F61+'1.c Decrements'!G61)</f>
        <v>0</v>
      </c>
      <c r="P67" s="71">
        <f ca="1">M67-J68*'1.c Decrements'!D61</f>
        <v>0</v>
      </c>
      <c r="Q67" s="71" t="str">
        <f ca="1">IF(B68=$Q$15,$D$3,IF(B68&lt;$Q$15,'1.c Decrements'!$L$11,""))</f>
        <v/>
      </c>
      <c r="R67" s="13"/>
      <c r="S67" s="13"/>
      <c r="T67" s="72" t="str">
        <f ca="1">IF($C68="","",J68-J67*(1+i))</f>
        <v/>
      </c>
      <c r="U67" s="73" t="str">
        <f ca="1">IFERROR(T67-I67,"")</f>
        <v/>
      </c>
      <c r="V67" s="13"/>
      <c r="W67" s="13"/>
      <c r="X67" s="13"/>
      <c r="Y67" s="13"/>
      <c r="Z67" s="13"/>
      <c r="AA67" s="13"/>
      <c r="AB67" s="13"/>
      <c r="AC67" s="13"/>
    </row>
    <row r="68" spans="1:29" x14ac:dyDescent="0.25">
      <c r="A68" s="13"/>
      <c r="B68" s="60" t="str">
        <f t="shared" ca="1" si="12"/>
        <v/>
      </c>
      <c r="C68" s="74" t="str">
        <f t="shared" ca="1" si="6"/>
        <v/>
      </c>
      <c r="D68" s="75" t="str">
        <f t="shared" ca="1" si="13"/>
        <v/>
      </c>
      <c r="E68" s="76" t="str">
        <f t="shared" ca="1" si="8"/>
        <v/>
      </c>
      <c r="F68" s="65" t="str">
        <f t="shared" ca="1" si="14"/>
        <v/>
      </c>
      <c r="G68" s="65" t="str">
        <f t="shared" ca="1" si="15"/>
        <v/>
      </c>
      <c r="H68" s="66" t="str">
        <f t="shared" ca="1" si="11"/>
        <v/>
      </c>
      <c r="I68" s="67">
        <f t="shared" ca="1" si="3"/>
        <v>0</v>
      </c>
      <c r="J68" s="67">
        <f t="shared" ca="1" si="4"/>
        <v>0</v>
      </c>
      <c r="K68" s="68">
        <f t="shared" ca="1" si="5"/>
        <v>0</v>
      </c>
      <c r="L68" s="69"/>
      <c r="M68" s="70">
        <f ca="1">IF($C68="",0,
I68*'1.c Decrements'!D62+(M67-N67-O67)*(1+G67))</f>
        <v>0</v>
      </c>
      <c r="N68" s="71">
        <f ca="1">K68*'1.a Assumptions'!$C$10*'1.c Decrements'!E62</f>
        <v>0</v>
      </c>
      <c r="O68" s="71">
        <f ca="1">J69*('1.c Decrements'!F62+'1.c Decrements'!G62)</f>
        <v>0</v>
      </c>
      <c r="P68" s="71">
        <f ca="1">M68-J69*'1.c Decrements'!D62</f>
        <v>0</v>
      </c>
      <c r="Q68" s="71" t="str">
        <f ca="1">IF(B69=$Q$15,$D$3,IF(B69&lt;$Q$15,'1.c Decrements'!$L$11,""))</f>
        <v/>
      </c>
      <c r="R68" s="13"/>
      <c r="S68" s="13"/>
      <c r="T68" s="72" t="str">
        <f ca="1">IF($C69="","",J69-J68*(1+i))</f>
        <v/>
      </c>
      <c r="U68" s="73" t="str">
        <f ca="1">IFERROR(T68-I68,"")</f>
        <v/>
      </c>
      <c r="V68" s="13"/>
      <c r="W68" s="13"/>
      <c r="X68" s="13"/>
      <c r="Y68" s="13"/>
      <c r="Z68" s="13"/>
      <c r="AA68" s="13"/>
      <c r="AB68" s="13"/>
      <c r="AC68" s="13"/>
    </row>
    <row r="69" spans="1:29" x14ac:dyDescent="0.25">
      <c r="A69" s="13"/>
      <c r="B69" s="60" t="str">
        <f t="shared" ca="1" si="12"/>
        <v/>
      </c>
      <c r="C69" s="74" t="str">
        <f t="shared" ca="1" si="6"/>
        <v/>
      </c>
      <c r="D69" s="75" t="str">
        <f t="shared" ca="1" si="13"/>
        <v/>
      </c>
      <c r="E69" s="76" t="str">
        <f t="shared" ca="1" si="8"/>
        <v/>
      </c>
      <c r="F69" s="65" t="str">
        <f t="shared" ca="1" si="14"/>
        <v/>
      </c>
      <c r="G69" s="65" t="str">
        <f t="shared" ca="1" si="15"/>
        <v/>
      </c>
      <c r="H69" s="66" t="str">
        <f t="shared" ca="1" si="11"/>
        <v/>
      </c>
      <c r="I69" s="67">
        <f t="shared" ca="1" si="3"/>
        <v>0</v>
      </c>
      <c r="J69" s="67">
        <f t="shared" ca="1" si="4"/>
        <v>0</v>
      </c>
      <c r="K69" s="68">
        <f t="shared" ca="1" si="5"/>
        <v>0</v>
      </c>
      <c r="L69" s="69"/>
      <c r="M69" s="70">
        <f ca="1">IF($C69="",0,
I69*'1.c Decrements'!D63+(M68-N68-O68)*(1+G68))</f>
        <v>0</v>
      </c>
      <c r="N69" s="71">
        <f ca="1">K69*'1.a Assumptions'!$C$10*'1.c Decrements'!E63</f>
        <v>0</v>
      </c>
      <c r="O69" s="71">
        <f ca="1">J70*('1.c Decrements'!F63+'1.c Decrements'!G63)</f>
        <v>0</v>
      </c>
      <c r="P69" s="71">
        <f ca="1">M69-J70*'1.c Decrements'!D63</f>
        <v>0</v>
      </c>
      <c r="Q69" s="71" t="str">
        <f ca="1">IF(B70=$Q$15,$D$3,IF(B70&lt;$Q$15,'1.c Decrements'!$L$11,""))</f>
        <v/>
      </c>
      <c r="R69" s="13"/>
      <c r="S69" s="13"/>
      <c r="T69" s="72" t="str">
        <f ca="1">IF($C70="","",J70-J69*(1+i))</f>
        <v/>
      </c>
      <c r="U69" s="73" t="str">
        <f ca="1">IFERROR(T69-I69,"")</f>
        <v/>
      </c>
      <c r="V69" s="13"/>
      <c r="W69" s="13"/>
      <c r="X69" s="13"/>
      <c r="Y69" s="13"/>
      <c r="Z69" s="13"/>
      <c r="AA69" s="13"/>
      <c r="AB69" s="13"/>
      <c r="AC69" s="13"/>
    </row>
    <row r="70" spans="1:29" x14ac:dyDescent="0.25">
      <c r="A70" s="13"/>
      <c r="B70" s="60" t="str">
        <f t="shared" ca="1" si="12"/>
        <v/>
      </c>
      <c r="C70" s="74" t="str">
        <f t="shared" ca="1" si="6"/>
        <v/>
      </c>
      <c r="D70" s="75" t="str">
        <f t="shared" ca="1" si="13"/>
        <v/>
      </c>
      <c r="E70" s="76" t="str">
        <f t="shared" ca="1" si="8"/>
        <v/>
      </c>
      <c r="F70" s="65" t="str">
        <f t="shared" ca="1" si="14"/>
        <v/>
      </c>
      <c r="G70" s="65" t="str">
        <f t="shared" ca="1" si="15"/>
        <v/>
      </c>
      <c r="H70" s="66" t="str">
        <f t="shared" ca="1" si="11"/>
        <v/>
      </c>
      <c r="I70" s="67">
        <f t="shared" ca="1" si="3"/>
        <v>0</v>
      </c>
      <c r="J70" s="67">
        <f t="shared" ca="1" si="4"/>
        <v>0</v>
      </c>
      <c r="K70" s="68">
        <f t="shared" ca="1" si="5"/>
        <v>0</v>
      </c>
      <c r="L70" s="69"/>
      <c r="M70" s="70">
        <f ca="1">IF($C70="",0,
I70*'1.c Decrements'!D64+(M69-N69-O69)*(1+G69))</f>
        <v>0</v>
      </c>
      <c r="N70" s="71">
        <f ca="1">K70*'1.a Assumptions'!$C$10*'1.c Decrements'!E64</f>
        <v>0</v>
      </c>
      <c r="O70" s="71">
        <f ca="1">J71*('1.c Decrements'!F64+'1.c Decrements'!G64)</f>
        <v>0</v>
      </c>
      <c r="P70" s="71">
        <f ca="1">M70-J71*'1.c Decrements'!D64</f>
        <v>0</v>
      </c>
      <c r="Q70" s="71" t="str">
        <f ca="1">IF(B71=$Q$15,$D$3,IF(B71&lt;$Q$15,'1.c Decrements'!$L$11,""))</f>
        <v/>
      </c>
      <c r="R70" s="13"/>
      <c r="S70" s="13"/>
      <c r="T70" s="72" t="str">
        <f ca="1">IF($C71="","",J71-J70*(1+i))</f>
        <v/>
      </c>
      <c r="U70" s="73" t="str">
        <f ca="1">IFERROR(T70-I70,"")</f>
        <v/>
      </c>
      <c r="V70" s="13"/>
      <c r="W70" s="13"/>
      <c r="X70" s="13"/>
      <c r="Y70" s="13"/>
      <c r="Z70" s="13"/>
      <c r="AA70" s="13"/>
      <c r="AB70" s="13"/>
      <c r="AC70" s="13"/>
    </row>
    <row r="71" spans="1:29" x14ac:dyDescent="0.25">
      <c r="A71" s="13"/>
      <c r="B71" s="60" t="str">
        <f t="shared" ca="1" si="12"/>
        <v/>
      </c>
      <c r="C71" s="74" t="str">
        <f t="shared" ca="1" si="6"/>
        <v/>
      </c>
      <c r="D71" s="75" t="str">
        <f t="shared" ca="1" si="13"/>
        <v/>
      </c>
      <c r="E71" s="76" t="str">
        <f t="shared" ca="1" si="8"/>
        <v/>
      </c>
      <c r="F71" s="65" t="str">
        <f t="shared" ca="1" si="14"/>
        <v/>
      </c>
      <c r="G71" s="65" t="str">
        <f t="shared" ca="1" si="15"/>
        <v/>
      </c>
      <c r="H71" s="66" t="str">
        <f t="shared" ca="1" si="11"/>
        <v/>
      </c>
      <c r="I71" s="67">
        <f t="shared" ca="1" si="3"/>
        <v>0</v>
      </c>
      <c r="J71" s="67">
        <f t="shared" ca="1" si="4"/>
        <v>0</v>
      </c>
      <c r="K71" s="68">
        <f t="shared" ca="1" si="5"/>
        <v>0</v>
      </c>
      <c r="L71" s="69"/>
      <c r="M71" s="70">
        <f ca="1">IF($C71="",0,
I71*'1.c Decrements'!D65+(M70-N70-O70)*(1+G70))</f>
        <v>0</v>
      </c>
      <c r="N71" s="71">
        <f ca="1">K71*'1.a Assumptions'!$C$10*'1.c Decrements'!E65</f>
        <v>0</v>
      </c>
      <c r="O71" s="71">
        <f ca="1">J72*('1.c Decrements'!F65+'1.c Decrements'!G65)</f>
        <v>0</v>
      </c>
      <c r="P71" s="71">
        <f ca="1">M71-J72*'1.c Decrements'!D65</f>
        <v>0</v>
      </c>
      <c r="Q71" s="71" t="str">
        <f ca="1">IF(B72=$Q$15,$D$3,IF(B72&lt;$Q$15,'1.c Decrements'!$L$11,""))</f>
        <v/>
      </c>
      <c r="R71" s="13"/>
      <c r="S71" s="13"/>
      <c r="T71" s="72" t="str">
        <f ca="1">IF($C72="","",J72-J71*(1+i))</f>
        <v/>
      </c>
      <c r="U71" s="73" t="str">
        <f ca="1">IFERROR(T71-I71,"")</f>
        <v/>
      </c>
      <c r="V71" s="13"/>
      <c r="W71" s="13"/>
      <c r="X71" s="13"/>
      <c r="Y71" s="13"/>
      <c r="Z71" s="13"/>
      <c r="AA71" s="13"/>
      <c r="AB71" s="13"/>
      <c r="AC71" s="13"/>
    </row>
    <row r="72" spans="1:29" x14ac:dyDescent="0.25">
      <c r="A72" s="13"/>
      <c r="B72" s="60" t="str">
        <f t="shared" ca="1" si="12"/>
        <v/>
      </c>
      <c r="C72" s="74" t="str">
        <f t="shared" ca="1" si="6"/>
        <v/>
      </c>
      <c r="D72" s="75" t="str">
        <f t="shared" ca="1" si="13"/>
        <v/>
      </c>
      <c r="E72" s="76" t="str">
        <f t="shared" ca="1" si="8"/>
        <v/>
      </c>
      <c r="F72" s="65" t="str">
        <f t="shared" ca="1" si="14"/>
        <v/>
      </c>
      <c r="G72" s="65" t="str">
        <f t="shared" ca="1" si="15"/>
        <v/>
      </c>
      <c r="H72" s="66" t="str">
        <f t="shared" ca="1" si="11"/>
        <v/>
      </c>
      <c r="I72" s="67">
        <f t="shared" ca="1" si="3"/>
        <v>0</v>
      </c>
      <c r="J72" s="67">
        <f t="shared" ca="1" si="4"/>
        <v>0</v>
      </c>
      <c r="K72" s="68">
        <f t="shared" ca="1" si="5"/>
        <v>0</v>
      </c>
      <c r="L72" s="69"/>
      <c r="M72" s="70">
        <f ca="1">IF($C72="",0,
I72*'1.c Decrements'!D66+(M71-N71-O71)*(1+G71))</f>
        <v>0</v>
      </c>
      <c r="N72" s="71">
        <f ca="1">K72*'1.a Assumptions'!$C$10*'1.c Decrements'!E66</f>
        <v>0</v>
      </c>
      <c r="O72" s="71">
        <f ca="1">J73*('1.c Decrements'!F66+'1.c Decrements'!G66)</f>
        <v>0</v>
      </c>
      <c r="P72" s="71">
        <f ca="1">M72-J73*'1.c Decrements'!D66</f>
        <v>0</v>
      </c>
      <c r="Q72" s="71" t="str">
        <f ca="1">IF(B73=$Q$15,$D$3,IF(B73&lt;$Q$15,'1.c Decrements'!$L$11,""))</f>
        <v/>
      </c>
      <c r="R72" s="13"/>
      <c r="S72" s="13"/>
      <c r="T72" s="72" t="str">
        <f ca="1">IF($C73="","",J73-J72*(1+i))</f>
        <v/>
      </c>
      <c r="U72" s="73" t="str">
        <f ca="1">IFERROR(T72-I72,"")</f>
        <v/>
      </c>
      <c r="V72" s="13"/>
      <c r="W72" s="13"/>
      <c r="X72" s="13"/>
      <c r="Y72" s="13"/>
      <c r="Z72" s="13"/>
      <c r="AA72" s="13"/>
      <c r="AB72" s="13"/>
      <c r="AC72" s="13"/>
    </row>
    <row r="73" spans="1:29" x14ac:dyDescent="0.25">
      <c r="A73" s="13"/>
      <c r="B73" s="60" t="str">
        <f t="shared" ref="B73:B87" ca="1" si="16">IF($C73="","",B72+1)</f>
        <v/>
      </c>
      <c r="C73" s="74" t="str">
        <f t="shared" ca="1" si="6"/>
        <v/>
      </c>
      <c r="D73" s="75" t="str">
        <f t="shared" ref="D73:D87" ca="1" si="17">IF($C73="","",D72)</f>
        <v/>
      </c>
      <c r="E73" s="76" t="str">
        <f t="shared" ca="1" si="8"/>
        <v/>
      </c>
      <c r="F73" s="65" t="str">
        <f t="shared" ref="F73:F87" ca="1" si="18">IF($C73="","",F72)</f>
        <v/>
      </c>
      <c r="G73" s="65" t="str">
        <f t="shared" ref="G73:G87" ca="1" si="19">IF($C73="","",G72)</f>
        <v/>
      </c>
      <c r="H73" s="66" t="str">
        <f t="shared" ca="1" si="11"/>
        <v/>
      </c>
      <c r="I73" s="67">
        <f t="shared" ca="1" si="3"/>
        <v>0</v>
      </c>
      <c r="J73" s="67">
        <f t="shared" ca="1" si="4"/>
        <v>0</v>
      </c>
      <c r="K73" s="68">
        <f t="shared" ca="1" si="5"/>
        <v>0</v>
      </c>
      <c r="L73" s="69"/>
      <c r="M73" s="70">
        <f ca="1">IF($C73="",0,
I73*'1.c Decrements'!D67+(M72-N72-O72)*(1+G72))</f>
        <v>0</v>
      </c>
      <c r="N73" s="71">
        <f ca="1">K73*'1.a Assumptions'!$C$10*'1.c Decrements'!E67</f>
        <v>0</v>
      </c>
      <c r="O73" s="71">
        <f ca="1">J74*('1.c Decrements'!F67+'1.c Decrements'!G67)</f>
        <v>0</v>
      </c>
      <c r="P73" s="71">
        <f ca="1">M73-J74*'1.c Decrements'!D67</f>
        <v>0</v>
      </c>
      <c r="Q73" s="71" t="str">
        <f ca="1">IF(B74=$Q$15,$D$3,IF(B74&lt;$Q$15,'1.c Decrements'!$L$11,""))</f>
        <v/>
      </c>
      <c r="R73" s="13"/>
      <c r="S73" s="13"/>
      <c r="T73" s="72" t="str">
        <f ca="1">IF($C74="","",J74-J73*(1+i))</f>
        <v/>
      </c>
      <c r="U73" s="73" t="str">
        <f ca="1">IFERROR(T73-I73,"")</f>
        <v/>
      </c>
      <c r="V73" s="13"/>
      <c r="W73" s="13"/>
      <c r="X73" s="13"/>
      <c r="Y73" s="13"/>
      <c r="Z73" s="13"/>
      <c r="AA73" s="13"/>
      <c r="AB73" s="13"/>
      <c r="AC73" s="13"/>
    </row>
    <row r="74" spans="1:29" x14ac:dyDescent="0.25">
      <c r="A74" s="13"/>
      <c r="B74" s="60" t="str">
        <f t="shared" ca="1" si="16"/>
        <v/>
      </c>
      <c r="C74" s="74" t="str">
        <f t="shared" ca="1" si="6"/>
        <v/>
      </c>
      <c r="D74" s="75" t="str">
        <f t="shared" ca="1" si="17"/>
        <v/>
      </c>
      <c r="E74" s="76" t="str">
        <f t="shared" ca="1" si="8"/>
        <v/>
      </c>
      <c r="F74" s="65" t="str">
        <f t="shared" ca="1" si="18"/>
        <v/>
      </c>
      <c r="G74" s="65" t="str">
        <f t="shared" ca="1" si="19"/>
        <v/>
      </c>
      <c r="H74" s="66" t="str">
        <f t="shared" ca="1" si="11"/>
        <v/>
      </c>
      <c r="I74" s="67">
        <f t="shared" ca="1" si="3"/>
        <v>0</v>
      </c>
      <c r="J74" s="67">
        <f t="shared" ca="1" si="4"/>
        <v>0</v>
      </c>
      <c r="K74" s="68">
        <f t="shared" ca="1" si="5"/>
        <v>0</v>
      </c>
      <c r="L74" s="69"/>
      <c r="M74" s="70">
        <f ca="1">IF($C74="",0,
I74*'1.c Decrements'!D68+(M73-N73-O73)*(1+G73))</f>
        <v>0</v>
      </c>
      <c r="N74" s="71">
        <f ca="1">K74*'1.a Assumptions'!$C$10*'1.c Decrements'!E68</f>
        <v>0</v>
      </c>
      <c r="O74" s="71">
        <f ca="1">J75*('1.c Decrements'!F68+'1.c Decrements'!G68)</f>
        <v>0</v>
      </c>
      <c r="P74" s="71">
        <f ca="1">M74-J75*'1.c Decrements'!D68</f>
        <v>0</v>
      </c>
      <c r="Q74" s="71" t="str">
        <f ca="1">IF(B75=$Q$15,$D$3,IF(B75&lt;$Q$15,'1.c Decrements'!$L$11,""))</f>
        <v/>
      </c>
      <c r="R74" s="13"/>
      <c r="S74" s="13"/>
      <c r="T74" s="72" t="str">
        <f ca="1">IF($C75="","",J75-J74*(1+i))</f>
        <v/>
      </c>
      <c r="U74" s="73" t="str">
        <f ca="1">IFERROR(T74-I74,"")</f>
        <v/>
      </c>
      <c r="V74" s="13"/>
      <c r="W74" s="13"/>
      <c r="X74" s="13"/>
      <c r="Y74" s="13"/>
      <c r="Z74" s="13"/>
      <c r="AA74" s="13"/>
      <c r="AB74" s="13"/>
      <c r="AC74" s="13"/>
    </row>
    <row r="75" spans="1:29" x14ac:dyDescent="0.25">
      <c r="A75" s="13"/>
      <c r="B75" s="60" t="str">
        <f t="shared" ca="1" si="16"/>
        <v/>
      </c>
      <c r="C75" s="74" t="str">
        <f t="shared" ca="1" si="6"/>
        <v/>
      </c>
      <c r="D75" s="75" t="str">
        <f t="shared" ca="1" si="17"/>
        <v/>
      </c>
      <c r="E75" s="76" t="str">
        <f t="shared" ca="1" si="8"/>
        <v/>
      </c>
      <c r="F75" s="65" t="str">
        <f t="shared" ca="1" si="18"/>
        <v/>
      </c>
      <c r="G75" s="65" t="str">
        <f t="shared" ca="1" si="19"/>
        <v/>
      </c>
      <c r="H75" s="66" t="str">
        <f t="shared" ca="1" si="11"/>
        <v/>
      </c>
      <c r="I75" s="67">
        <f t="shared" ca="1" si="3"/>
        <v>0</v>
      </c>
      <c r="J75" s="67">
        <f t="shared" ca="1" si="4"/>
        <v>0</v>
      </c>
      <c r="K75" s="68">
        <f t="shared" ca="1" si="5"/>
        <v>0</v>
      </c>
      <c r="L75" s="69"/>
      <c r="M75" s="70">
        <f ca="1">IF($C75="",0,
I75*'1.c Decrements'!D69+(M74-N74-O74)*(1+G74))</f>
        <v>0</v>
      </c>
      <c r="N75" s="71">
        <f ca="1">K75*'1.a Assumptions'!$C$10*'1.c Decrements'!E69</f>
        <v>0</v>
      </c>
      <c r="O75" s="71">
        <f ca="1">J76*('1.c Decrements'!F69+'1.c Decrements'!G69)</f>
        <v>0</v>
      </c>
      <c r="P75" s="71">
        <f ca="1">M75-J76*'1.c Decrements'!D69</f>
        <v>0</v>
      </c>
      <c r="Q75" s="71" t="str">
        <f ca="1">IF(B76=$Q$15,$D$3,IF(B76&lt;$Q$15,'1.c Decrements'!$L$11,""))</f>
        <v/>
      </c>
      <c r="R75" s="13"/>
      <c r="S75" s="13"/>
      <c r="T75" s="72" t="str">
        <f ca="1">IF($C76="","",J76-J75*(1+i))</f>
        <v/>
      </c>
      <c r="U75" s="73" t="str">
        <f ca="1">IFERROR(T75-I75,"")</f>
        <v/>
      </c>
      <c r="V75" s="13"/>
      <c r="W75" s="13"/>
      <c r="X75" s="13"/>
      <c r="Y75" s="13"/>
      <c r="Z75" s="13"/>
      <c r="AA75" s="13"/>
      <c r="AB75" s="13"/>
      <c r="AC75" s="13"/>
    </row>
    <row r="76" spans="1:29" x14ac:dyDescent="0.25">
      <c r="A76" s="13"/>
      <c r="B76" s="60" t="str">
        <f t="shared" ca="1" si="16"/>
        <v/>
      </c>
      <c r="C76" s="74" t="str">
        <f t="shared" ca="1" si="6"/>
        <v/>
      </c>
      <c r="D76" s="75" t="str">
        <f t="shared" ca="1" si="17"/>
        <v/>
      </c>
      <c r="E76" s="76" t="str">
        <f t="shared" ca="1" si="8"/>
        <v/>
      </c>
      <c r="F76" s="65" t="str">
        <f t="shared" ca="1" si="18"/>
        <v/>
      </c>
      <c r="G76" s="65" t="str">
        <f t="shared" ca="1" si="19"/>
        <v/>
      </c>
      <c r="H76" s="66" t="str">
        <f t="shared" ca="1" si="11"/>
        <v/>
      </c>
      <c r="I76" s="67">
        <f t="shared" ca="1" si="3"/>
        <v>0</v>
      </c>
      <c r="J76" s="67">
        <f t="shared" ca="1" si="4"/>
        <v>0</v>
      </c>
      <c r="K76" s="68">
        <f t="shared" ca="1" si="5"/>
        <v>0</v>
      </c>
      <c r="L76" s="69"/>
      <c r="M76" s="70">
        <f ca="1">IF($C76="",0,
I76*'1.c Decrements'!D70+(M75-N75-O75)*(1+G75))</f>
        <v>0</v>
      </c>
      <c r="N76" s="71">
        <f ca="1">K76*'1.a Assumptions'!$C$10*'1.c Decrements'!E70</f>
        <v>0</v>
      </c>
      <c r="O76" s="71">
        <f ca="1">J77*('1.c Decrements'!F70+'1.c Decrements'!G70)</f>
        <v>0</v>
      </c>
      <c r="P76" s="71">
        <f ca="1">M76-J77*'1.c Decrements'!D70</f>
        <v>0</v>
      </c>
      <c r="Q76" s="71" t="str">
        <f ca="1">IF(B77=$Q$15,$D$3,IF(B77&lt;$Q$15,'1.c Decrements'!$L$11,""))</f>
        <v/>
      </c>
      <c r="R76" s="13"/>
      <c r="S76" s="13"/>
      <c r="T76" s="72" t="str">
        <f ca="1">IF($C77="","",J77-J76*(1+i))</f>
        <v/>
      </c>
      <c r="U76" s="73" t="str">
        <f ca="1">IFERROR(T76-I76,"")</f>
        <v/>
      </c>
      <c r="V76" s="13"/>
      <c r="W76" s="13"/>
      <c r="X76" s="13"/>
      <c r="Y76" s="13"/>
      <c r="Z76" s="13"/>
      <c r="AA76" s="13"/>
      <c r="AB76" s="13"/>
      <c r="AC76" s="13"/>
    </row>
    <row r="77" spans="1:29" x14ac:dyDescent="0.25">
      <c r="A77" s="13"/>
      <c r="B77" s="60" t="str">
        <f t="shared" ca="1" si="16"/>
        <v/>
      </c>
      <c r="C77" s="74" t="str">
        <f t="shared" ca="1" si="6"/>
        <v/>
      </c>
      <c r="D77" s="75" t="str">
        <f t="shared" ca="1" si="17"/>
        <v/>
      </c>
      <c r="E77" s="76" t="str">
        <f t="shared" ca="1" si="8"/>
        <v/>
      </c>
      <c r="F77" s="65" t="str">
        <f t="shared" ca="1" si="18"/>
        <v/>
      </c>
      <c r="G77" s="65" t="str">
        <f t="shared" ca="1" si="19"/>
        <v/>
      </c>
      <c r="H77" s="66" t="str">
        <f t="shared" ca="1" si="11"/>
        <v/>
      </c>
      <c r="I77" s="67">
        <f t="shared" ca="1" si="3"/>
        <v>0</v>
      </c>
      <c r="J77" s="67">
        <f t="shared" ca="1" si="4"/>
        <v>0</v>
      </c>
      <c r="K77" s="68">
        <f t="shared" ca="1" si="5"/>
        <v>0</v>
      </c>
      <c r="L77" s="69"/>
      <c r="M77" s="70">
        <f ca="1">IF($C77="",0,
I77*'1.c Decrements'!D71+(M76-N76-O76)*(1+G76))</f>
        <v>0</v>
      </c>
      <c r="N77" s="71">
        <f ca="1">K77*'1.a Assumptions'!$C$10*'1.c Decrements'!E71</f>
        <v>0</v>
      </c>
      <c r="O77" s="71">
        <f ca="1">J78*('1.c Decrements'!F71+'1.c Decrements'!G71)</f>
        <v>0</v>
      </c>
      <c r="P77" s="71">
        <f ca="1">M77-J78*'1.c Decrements'!D71</f>
        <v>0</v>
      </c>
      <c r="Q77" s="71" t="str">
        <f ca="1">IF(B78=$Q$15,$D$3,IF(B78&lt;$Q$15,'1.c Decrements'!$L$11,""))</f>
        <v/>
      </c>
      <c r="R77" s="13"/>
      <c r="S77" s="13"/>
      <c r="T77" s="72" t="str">
        <f ca="1">IF($C78="","",J78-J77*(1+i))</f>
        <v/>
      </c>
      <c r="U77" s="73" t="str">
        <f ca="1">IFERROR(T77-I77,"")</f>
        <v/>
      </c>
      <c r="V77" s="13"/>
      <c r="W77" s="13"/>
      <c r="X77" s="13"/>
      <c r="Y77" s="13"/>
      <c r="Z77" s="13"/>
      <c r="AA77" s="13"/>
      <c r="AB77" s="13"/>
      <c r="AC77" s="13"/>
    </row>
    <row r="78" spans="1:29" x14ac:dyDescent="0.25">
      <c r="A78" s="13"/>
      <c r="B78" s="60" t="str">
        <f t="shared" ca="1" si="16"/>
        <v/>
      </c>
      <c r="C78" s="74" t="str">
        <f t="shared" ca="1" si="6"/>
        <v/>
      </c>
      <c r="D78" s="75" t="str">
        <f t="shared" ca="1" si="17"/>
        <v/>
      </c>
      <c r="E78" s="76" t="str">
        <f t="shared" ca="1" si="8"/>
        <v/>
      </c>
      <c r="F78" s="65" t="str">
        <f t="shared" ca="1" si="18"/>
        <v/>
      </c>
      <c r="G78" s="65" t="str">
        <f t="shared" ca="1" si="19"/>
        <v/>
      </c>
      <c r="H78" s="66" t="str">
        <f t="shared" ca="1" si="11"/>
        <v/>
      </c>
      <c r="I78" s="67">
        <f t="shared" ca="1" si="3"/>
        <v>0</v>
      </c>
      <c r="J78" s="67">
        <f t="shared" ca="1" si="4"/>
        <v>0</v>
      </c>
      <c r="K78" s="68">
        <f t="shared" ca="1" si="5"/>
        <v>0</v>
      </c>
      <c r="L78" s="69"/>
      <c r="M78" s="70">
        <f ca="1">IF($C78="",0,
I78*'1.c Decrements'!D72+(M77-N77-O77)*(1+G77))</f>
        <v>0</v>
      </c>
      <c r="N78" s="71">
        <f ca="1">K78*'1.a Assumptions'!$C$10*'1.c Decrements'!E72</f>
        <v>0</v>
      </c>
      <c r="O78" s="71">
        <f ca="1">J79*('1.c Decrements'!F72+'1.c Decrements'!G72)</f>
        <v>0</v>
      </c>
      <c r="P78" s="71">
        <f ca="1">M78-J79*'1.c Decrements'!D72</f>
        <v>0</v>
      </c>
      <c r="Q78" s="71" t="str">
        <f ca="1">IF(B79=$Q$15,$D$3,IF(B79&lt;$Q$15,'1.c Decrements'!$L$11,""))</f>
        <v/>
      </c>
      <c r="R78" s="13"/>
      <c r="S78" s="13"/>
      <c r="T78" s="72" t="str">
        <f ca="1">IF($C79="","",J79-J78*(1+i))</f>
        <v/>
      </c>
      <c r="U78" s="73" t="str">
        <f ca="1">IFERROR(T78-I78,"")</f>
        <v/>
      </c>
      <c r="V78" s="13"/>
      <c r="W78" s="13"/>
      <c r="X78" s="13"/>
      <c r="Y78" s="13"/>
      <c r="Z78" s="13"/>
      <c r="AA78" s="13"/>
      <c r="AB78" s="13"/>
      <c r="AC78" s="13"/>
    </row>
    <row r="79" spans="1:29" x14ac:dyDescent="0.25">
      <c r="A79" s="13"/>
      <c r="B79" s="60" t="str">
        <f t="shared" ca="1" si="16"/>
        <v/>
      </c>
      <c r="C79" s="74" t="str">
        <f t="shared" ca="1" si="6"/>
        <v/>
      </c>
      <c r="D79" s="75" t="str">
        <f t="shared" ca="1" si="17"/>
        <v/>
      </c>
      <c r="E79" s="76" t="str">
        <f t="shared" ca="1" si="8"/>
        <v/>
      </c>
      <c r="F79" s="65" t="str">
        <f t="shared" ca="1" si="18"/>
        <v/>
      </c>
      <c r="G79" s="65" t="str">
        <f t="shared" ca="1" si="19"/>
        <v/>
      </c>
      <c r="H79" s="66" t="str">
        <f t="shared" ca="1" si="11"/>
        <v/>
      </c>
      <c r="I79" s="67">
        <f t="shared" ca="1" si="3"/>
        <v>0</v>
      </c>
      <c r="J79" s="67">
        <f t="shared" ca="1" si="4"/>
        <v>0</v>
      </c>
      <c r="K79" s="68">
        <f t="shared" ca="1" si="5"/>
        <v>0</v>
      </c>
      <c r="L79" s="69"/>
      <c r="M79" s="70">
        <f ca="1">IF($C79="",0,
I79*'1.c Decrements'!D73+(M78-N78-O78)*(1+G78))</f>
        <v>0</v>
      </c>
      <c r="N79" s="71">
        <f ca="1">K79*'1.a Assumptions'!$C$10*'1.c Decrements'!E73</f>
        <v>0</v>
      </c>
      <c r="O79" s="71">
        <f ca="1">J80*('1.c Decrements'!F73+'1.c Decrements'!G73)</f>
        <v>0</v>
      </c>
      <c r="P79" s="71">
        <f ca="1">M79-J80*'1.c Decrements'!D73</f>
        <v>0</v>
      </c>
      <c r="Q79" s="71" t="str">
        <f ca="1">IF(B80=$Q$15,$D$3,IF(B80&lt;$Q$15,'1.c Decrements'!$L$11,""))</f>
        <v/>
      </c>
      <c r="R79" s="13"/>
      <c r="S79" s="13"/>
      <c r="T79" s="72" t="str">
        <f ca="1">IF($C80="","",J80-J79*(1+i))</f>
        <v/>
      </c>
      <c r="U79" s="73" t="str">
        <f ca="1">IFERROR(T79-I79,"")</f>
        <v/>
      </c>
      <c r="V79" s="13"/>
      <c r="W79" s="13"/>
      <c r="X79" s="13"/>
      <c r="Y79" s="13"/>
      <c r="Z79" s="13"/>
      <c r="AA79" s="13"/>
      <c r="AB79" s="13"/>
      <c r="AC79" s="13"/>
    </row>
    <row r="80" spans="1:29" x14ac:dyDescent="0.25">
      <c r="A80" s="13"/>
      <c r="B80" s="60" t="str">
        <f t="shared" ca="1" si="16"/>
        <v/>
      </c>
      <c r="C80" s="74" t="str">
        <f t="shared" ca="1" si="6"/>
        <v/>
      </c>
      <c r="D80" s="75" t="str">
        <f t="shared" ca="1" si="17"/>
        <v/>
      </c>
      <c r="E80" s="76" t="str">
        <f t="shared" ca="1" si="8"/>
        <v/>
      </c>
      <c r="F80" s="65" t="str">
        <f t="shared" ca="1" si="18"/>
        <v/>
      </c>
      <c r="G80" s="65" t="str">
        <f t="shared" ca="1" si="19"/>
        <v/>
      </c>
      <c r="H80" s="66" t="str">
        <f t="shared" ca="1" si="11"/>
        <v/>
      </c>
      <c r="I80" s="67">
        <f t="shared" ca="1" si="3"/>
        <v>0</v>
      </c>
      <c r="J80" s="67">
        <f t="shared" ca="1" si="4"/>
        <v>0</v>
      </c>
      <c r="K80" s="68">
        <f t="shared" ca="1" si="5"/>
        <v>0</v>
      </c>
      <c r="L80" s="69"/>
      <c r="M80" s="70">
        <f ca="1">IF($C80="",0,
I80*'1.c Decrements'!D74+(M79-N79-O79)*(1+G79))</f>
        <v>0</v>
      </c>
      <c r="N80" s="71">
        <f ca="1">K80*'1.a Assumptions'!$C$10*'1.c Decrements'!E74</f>
        <v>0</v>
      </c>
      <c r="O80" s="71">
        <f ca="1">J81*('1.c Decrements'!F74+'1.c Decrements'!G74)</f>
        <v>0</v>
      </c>
      <c r="P80" s="71">
        <f ca="1">M80-J81*'1.c Decrements'!D74</f>
        <v>0</v>
      </c>
      <c r="Q80" s="71" t="str">
        <f ca="1">IF(B81=$Q$15,$D$3,IF(B81&lt;$Q$15,'1.c Decrements'!$L$11,""))</f>
        <v/>
      </c>
      <c r="R80" s="13"/>
      <c r="S80" s="13"/>
      <c r="T80" s="72" t="str">
        <f ca="1">IF($C81="","",J81-J80*(1+i))</f>
        <v/>
      </c>
      <c r="U80" s="73" t="str">
        <f ca="1">IFERROR(T80-I80,"")</f>
        <v/>
      </c>
      <c r="V80" s="13"/>
      <c r="W80" s="13"/>
      <c r="X80" s="13"/>
      <c r="Y80" s="13"/>
      <c r="Z80" s="13"/>
      <c r="AA80" s="13"/>
      <c r="AB80" s="13"/>
      <c r="AC80" s="13"/>
    </row>
    <row r="81" spans="1:29" x14ac:dyDescent="0.25">
      <c r="A81" s="13"/>
      <c r="B81" s="60" t="str">
        <f t="shared" ca="1" si="16"/>
        <v/>
      </c>
      <c r="C81" s="74" t="str">
        <f t="shared" ca="1" si="6"/>
        <v/>
      </c>
      <c r="D81" s="75" t="str">
        <f t="shared" ca="1" si="17"/>
        <v/>
      </c>
      <c r="E81" s="76" t="str">
        <f t="shared" ca="1" si="8"/>
        <v/>
      </c>
      <c r="F81" s="65" t="str">
        <f t="shared" ca="1" si="18"/>
        <v/>
      </c>
      <c r="G81" s="65" t="str">
        <f t="shared" ca="1" si="19"/>
        <v/>
      </c>
      <c r="H81" s="66" t="str">
        <f t="shared" ca="1" si="11"/>
        <v/>
      </c>
      <c r="I81" s="67">
        <f t="shared" ca="1" si="3"/>
        <v>0</v>
      </c>
      <c r="J81" s="67">
        <f t="shared" ca="1" si="4"/>
        <v>0</v>
      </c>
      <c r="K81" s="68">
        <f t="shared" ca="1" si="5"/>
        <v>0</v>
      </c>
      <c r="L81" s="69"/>
      <c r="M81" s="70">
        <f ca="1">IF($C81="",0,
I81*'1.c Decrements'!D75+(M80-N80-O80)*(1+G80))</f>
        <v>0</v>
      </c>
      <c r="N81" s="71">
        <f ca="1">K81*'1.a Assumptions'!$C$10*'1.c Decrements'!E75</f>
        <v>0</v>
      </c>
      <c r="O81" s="71">
        <f ca="1">J82*('1.c Decrements'!F75+'1.c Decrements'!G75)</f>
        <v>0</v>
      </c>
      <c r="P81" s="71">
        <f ca="1">M81-J82*'1.c Decrements'!D75</f>
        <v>0</v>
      </c>
      <c r="Q81" s="71" t="str">
        <f ca="1">IF(B82=$Q$15,$D$3,IF(B82&lt;$Q$15,'1.c Decrements'!$L$11,""))</f>
        <v/>
      </c>
      <c r="R81" s="13"/>
      <c r="S81" s="13"/>
      <c r="T81" s="72" t="str">
        <f ca="1">IF($C82="","",J82-J81*(1+i))</f>
        <v/>
      </c>
      <c r="U81" s="73" t="str">
        <f ca="1">IFERROR(T81-I81,"")</f>
        <v/>
      </c>
      <c r="V81" s="13"/>
      <c r="W81" s="13"/>
      <c r="X81" s="13"/>
      <c r="Y81" s="13"/>
      <c r="Z81" s="13"/>
      <c r="AA81" s="13"/>
      <c r="AB81" s="13"/>
      <c r="AC81" s="13"/>
    </row>
    <row r="82" spans="1:29" x14ac:dyDescent="0.25">
      <c r="A82" s="13"/>
      <c r="B82" s="60" t="str">
        <f t="shared" ca="1" si="16"/>
        <v/>
      </c>
      <c r="C82" s="74" t="str">
        <f t="shared" ca="1" si="6"/>
        <v/>
      </c>
      <c r="D82" s="75" t="str">
        <f t="shared" ca="1" si="17"/>
        <v/>
      </c>
      <c r="E82" s="76" t="str">
        <f t="shared" ca="1" si="8"/>
        <v/>
      </c>
      <c r="F82" s="65" t="str">
        <f t="shared" ca="1" si="18"/>
        <v/>
      </c>
      <c r="G82" s="65" t="str">
        <f t="shared" ca="1" si="19"/>
        <v/>
      </c>
      <c r="H82" s="66" t="str">
        <f t="shared" ca="1" si="11"/>
        <v/>
      </c>
      <c r="I82" s="67">
        <f t="shared" ref="I82:I87" ca="1" si="20">IF($C83="",0,
H82*E82*(1+F82))</f>
        <v>0</v>
      </c>
      <c r="J82" s="67">
        <f t="shared" ref="J82:J87" ca="1" si="21">IF($C82="",0,
D82*E82*B82*((1+F82)/(1+G82))^MAX(0,$D$5-C82))</f>
        <v>0</v>
      </c>
      <c r="K82" s="68">
        <f t="shared" ref="K82:K87" ca="1" si="22">J82</f>
        <v>0</v>
      </c>
      <c r="L82" s="69"/>
      <c r="M82" s="70">
        <f ca="1">IF($C82="",0,
I82*'1.c Decrements'!D76+(M81-N81-O81)*(1+G81))</f>
        <v>0</v>
      </c>
      <c r="N82" s="71">
        <f ca="1">K82*'1.a Assumptions'!$C$10*'1.c Decrements'!E76</f>
        <v>0</v>
      </c>
      <c r="O82" s="71">
        <f ca="1">J83*('1.c Decrements'!F76+'1.c Decrements'!G76)</f>
        <v>0</v>
      </c>
      <c r="P82" s="71">
        <f ca="1">M82-J83*'1.c Decrements'!D76</f>
        <v>0</v>
      </c>
      <c r="Q82" s="71" t="str">
        <f ca="1">IF(B83=$Q$15,$D$3,IF(B83&lt;$Q$15,'1.c Decrements'!$L$11,""))</f>
        <v/>
      </c>
      <c r="R82" s="13"/>
      <c r="S82" s="13"/>
      <c r="T82" s="72" t="str">
        <f ca="1">IF($C83="","",J83-J82*(1+i))</f>
        <v/>
      </c>
      <c r="U82" s="73" t="str">
        <f ca="1">IFERROR(T82-I82,"")</f>
        <v/>
      </c>
      <c r="V82" s="13"/>
      <c r="W82" s="13"/>
      <c r="X82" s="13"/>
      <c r="Y82" s="13"/>
      <c r="Z82" s="13"/>
      <c r="AA82" s="13"/>
      <c r="AB82" s="13"/>
      <c r="AC82" s="13"/>
    </row>
    <row r="83" spans="1:29" x14ac:dyDescent="0.25">
      <c r="A83" s="13"/>
      <c r="B83" s="60" t="str">
        <f t="shared" ca="1" si="16"/>
        <v/>
      </c>
      <c r="C83" s="74" t="str">
        <f t="shared" ref="C83:C87" ca="1" si="23">IF(C82="","",IF($D$2="A",IF(C82+1&gt;$D$5+15,"",C82+1),IF(C82+1&gt;$D$5,"",C82+1)))</f>
        <v/>
      </c>
      <c r="D83" s="75" t="str">
        <f t="shared" ca="1" si="17"/>
        <v/>
      </c>
      <c r="E83" s="76" t="str">
        <f t="shared" ref="E83:E87" ca="1" si="24">IF($C83="","",E82*(1+F82))</f>
        <v/>
      </c>
      <c r="F83" s="65" t="str">
        <f t="shared" ca="1" si="18"/>
        <v/>
      </c>
      <c r="G83" s="65" t="str">
        <f t="shared" ca="1" si="19"/>
        <v/>
      </c>
      <c r="H83" s="66" t="str">
        <f t="shared" ca="1" si="11"/>
        <v/>
      </c>
      <c r="I83" s="67">
        <f t="shared" ca="1" si="20"/>
        <v>0</v>
      </c>
      <c r="J83" s="67">
        <f t="shared" ca="1" si="21"/>
        <v>0</v>
      </c>
      <c r="K83" s="68">
        <f t="shared" ca="1" si="22"/>
        <v>0</v>
      </c>
      <c r="L83" s="69"/>
      <c r="M83" s="70">
        <f ca="1">IF($C83="",0,
I83*'1.c Decrements'!D77+(M82-N82-O82)*(1+G82))</f>
        <v>0</v>
      </c>
      <c r="N83" s="71">
        <f ca="1">K83*'1.a Assumptions'!$C$10*'1.c Decrements'!E77</f>
        <v>0</v>
      </c>
      <c r="O83" s="71">
        <f ca="1">J84*('1.c Decrements'!F77+'1.c Decrements'!G77)</f>
        <v>0</v>
      </c>
      <c r="P83" s="71">
        <f ca="1">M83-J84*'1.c Decrements'!D77</f>
        <v>0</v>
      </c>
      <c r="Q83" s="71" t="str">
        <f ca="1">IF(B84=$Q$15,$D$3,IF(B84&lt;$Q$15,'1.c Decrements'!$L$11,""))</f>
        <v/>
      </c>
      <c r="R83" s="13"/>
      <c r="S83" s="13"/>
      <c r="T83" s="72" t="str">
        <f ca="1">IF($C84="","",J84-J83*(1+i))</f>
        <v/>
      </c>
      <c r="U83" s="73" t="str">
        <f ca="1">IFERROR(T83-I83,"")</f>
        <v/>
      </c>
      <c r="V83" s="13"/>
      <c r="W83" s="13"/>
      <c r="X83" s="13"/>
      <c r="Y83" s="13"/>
      <c r="Z83" s="13"/>
      <c r="AA83" s="13"/>
      <c r="AB83" s="13"/>
      <c r="AC83" s="13"/>
    </row>
    <row r="84" spans="1:29" x14ac:dyDescent="0.25">
      <c r="A84" s="13"/>
      <c r="B84" s="60" t="str">
        <f t="shared" ca="1" si="16"/>
        <v/>
      </c>
      <c r="C84" s="74" t="str">
        <f t="shared" ca="1" si="23"/>
        <v/>
      </c>
      <c r="D84" s="75" t="str">
        <f t="shared" ca="1" si="17"/>
        <v/>
      </c>
      <c r="E84" s="76" t="str">
        <f t="shared" ca="1" si="24"/>
        <v/>
      </c>
      <c r="F84" s="65" t="str">
        <f t="shared" ca="1" si="18"/>
        <v/>
      </c>
      <c r="G84" s="65" t="str">
        <f t="shared" ca="1" si="19"/>
        <v/>
      </c>
      <c r="H84" s="66" t="str">
        <f t="shared" ca="1" si="11"/>
        <v/>
      </c>
      <c r="I84" s="67">
        <f t="shared" ca="1" si="20"/>
        <v>0</v>
      </c>
      <c r="J84" s="67">
        <f t="shared" ca="1" si="21"/>
        <v>0</v>
      </c>
      <c r="K84" s="68">
        <f t="shared" ca="1" si="22"/>
        <v>0</v>
      </c>
      <c r="L84" s="69"/>
      <c r="M84" s="70">
        <f ca="1">IF($C84="",0,
I84*'1.c Decrements'!D78+(M83-N83-O83)*(1+G83))</f>
        <v>0</v>
      </c>
      <c r="N84" s="71">
        <f ca="1">K84*'1.a Assumptions'!$C$10*'1.c Decrements'!E78</f>
        <v>0</v>
      </c>
      <c r="O84" s="71">
        <f ca="1">J85*('1.c Decrements'!F78+'1.c Decrements'!G78)</f>
        <v>0</v>
      </c>
      <c r="P84" s="71">
        <f ca="1">M84-J85*'1.c Decrements'!D78</f>
        <v>0</v>
      </c>
      <c r="Q84" s="71" t="str">
        <f ca="1">IF(B85=$Q$15,$D$3,IF(B85&lt;$Q$15,'1.c Decrements'!$L$11,""))</f>
        <v/>
      </c>
      <c r="R84" s="13"/>
      <c r="S84" s="13"/>
      <c r="T84" s="72" t="str">
        <f ca="1">IF($C85="","",J85-J84*(1+i))</f>
        <v/>
      </c>
      <c r="U84" s="73" t="str">
        <f ca="1">IFERROR(T84-I84,"")</f>
        <v/>
      </c>
      <c r="V84" s="13"/>
      <c r="W84" s="13"/>
      <c r="X84" s="13"/>
      <c r="Y84" s="13"/>
      <c r="Z84" s="13"/>
      <c r="AA84" s="13"/>
      <c r="AB84" s="13"/>
      <c r="AC84" s="13"/>
    </row>
    <row r="85" spans="1:29" x14ac:dyDescent="0.25">
      <c r="A85" s="13"/>
      <c r="B85" s="60" t="str">
        <f t="shared" ca="1" si="16"/>
        <v/>
      </c>
      <c r="C85" s="74" t="str">
        <f t="shared" ca="1" si="23"/>
        <v/>
      </c>
      <c r="D85" s="75" t="str">
        <f t="shared" ca="1" si="17"/>
        <v/>
      </c>
      <c r="E85" s="76" t="str">
        <f t="shared" ca="1" si="24"/>
        <v/>
      </c>
      <c r="F85" s="65" t="str">
        <f t="shared" ca="1" si="18"/>
        <v/>
      </c>
      <c r="G85" s="65" t="str">
        <f t="shared" ca="1" si="19"/>
        <v/>
      </c>
      <c r="H85" s="66" t="str">
        <f t="shared" ca="1" si="11"/>
        <v/>
      </c>
      <c r="I85" s="67">
        <f t="shared" ca="1" si="20"/>
        <v>0</v>
      </c>
      <c r="J85" s="67">
        <f t="shared" ca="1" si="21"/>
        <v>0</v>
      </c>
      <c r="K85" s="68">
        <f t="shared" ca="1" si="22"/>
        <v>0</v>
      </c>
      <c r="L85" s="69"/>
      <c r="M85" s="70">
        <f ca="1">IF($C85="",0,
I85*'1.c Decrements'!D79+(M84-N84-O84)*(1+G84))</f>
        <v>0</v>
      </c>
      <c r="N85" s="71">
        <f ca="1">K85*'1.a Assumptions'!$C$10*'1.c Decrements'!E79</f>
        <v>0</v>
      </c>
      <c r="O85" s="71">
        <f ca="1">J86*('1.c Decrements'!F79+'1.c Decrements'!G79)</f>
        <v>0</v>
      </c>
      <c r="P85" s="71">
        <f ca="1">M85-J86*'1.c Decrements'!D79</f>
        <v>0</v>
      </c>
      <c r="Q85" s="71" t="str">
        <f ca="1">IF(B86=$Q$15,$D$3,IF(B86&lt;$Q$15,'1.c Decrements'!$L$11,""))</f>
        <v/>
      </c>
      <c r="R85" s="13"/>
      <c r="S85" s="13"/>
      <c r="T85" s="72" t="str">
        <f ca="1">IF($C86="","",J86-J85*(1+i))</f>
        <v/>
      </c>
      <c r="U85" s="73" t="str">
        <f ca="1">IFERROR(T85-I85,"")</f>
        <v/>
      </c>
      <c r="V85" s="13"/>
      <c r="W85" s="13"/>
      <c r="X85" s="13"/>
      <c r="Y85" s="13"/>
      <c r="Z85" s="13"/>
      <c r="AA85" s="13"/>
      <c r="AB85" s="13"/>
      <c r="AC85" s="13"/>
    </row>
    <row r="86" spans="1:29" x14ac:dyDescent="0.25">
      <c r="A86" s="13"/>
      <c r="B86" s="60" t="str">
        <f t="shared" ca="1" si="16"/>
        <v/>
      </c>
      <c r="C86" s="74" t="str">
        <f t="shared" ca="1" si="23"/>
        <v/>
      </c>
      <c r="D86" s="75" t="str">
        <f t="shared" ca="1" si="17"/>
        <v/>
      </c>
      <c r="E86" s="76" t="str">
        <f t="shared" ca="1" si="24"/>
        <v/>
      </c>
      <c r="F86" s="65" t="str">
        <f t="shared" ca="1" si="18"/>
        <v/>
      </c>
      <c r="G86" s="65" t="str">
        <f t="shared" ca="1" si="19"/>
        <v/>
      </c>
      <c r="H86" s="66" t="str">
        <f t="shared" ca="1" si="11"/>
        <v/>
      </c>
      <c r="I86" s="67">
        <f t="shared" ca="1" si="20"/>
        <v>0</v>
      </c>
      <c r="J86" s="67">
        <f t="shared" ca="1" si="21"/>
        <v>0</v>
      </c>
      <c r="K86" s="68">
        <f t="shared" ca="1" si="22"/>
        <v>0</v>
      </c>
      <c r="L86" s="69"/>
      <c r="M86" s="70">
        <f ca="1">IF($C86="",0,
I86*'1.c Decrements'!D80+(M85-N85-O85)*(1+G85))</f>
        <v>0</v>
      </c>
      <c r="N86" s="71">
        <f ca="1">K86*'1.a Assumptions'!$C$10*'1.c Decrements'!E80</f>
        <v>0</v>
      </c>
      <c r="O86" s="71">
        <f ca="1">J87*('1.c Decrements'!F80+'1.c Decrements'!G80)</f>
        <v>0</v>
      </c>
      <c r="P86" s="71">
        <f ca="1">M86-J87*'1.c Decrements'!D80</f>
        <v>0</v>
      </c>
      <c r="Q86" s="71" t="str">
        <f ca="1">IF(B87=$Q$15,$D$3,IF(B87&lt;$Q$15,'1.c Decrements'!$L$11,""))</f>
        <v/>
      </c>
      <c r="R86" s="13"/>
      <c r="S86" s="13"/>
      <c r="T86" s="72" t="str">
        <f ca="1">IF($C87="","",J87-J86*(1+i))</f>
        <v/>
      </c>
      <c r="U86" s="73" t="str">
        <f ca="1">IFERROR(T86-I86,"")</f>
        <v/>
      </c>
      <c r="V86" s="13"/>
      <c r="W86" s="13"/>
      <c r="X86" s="13"/>
      <c r="Y86" s="13"/>
      <c r="Z86" s="13"/>
      <c r="AA86" s="13"/>
      <c r="AB86" s="13"/>
      <c r="AC86" s="13"/>
    </row>
    <row r="87" spans="1:29" x14ac:dyDescent="0.25">
      <c r="A87" s="13"/>
      <c r="B87" s="60" t="str">
        <f t="shared" ca="1" si="16"/>
        <v/>
      </c>
      <c r="C87" s="74" t="str">
        <f t="shared" ca="1" si="23"/>
        <v/>
      </c>
      <c r="D87" s="75" t="str">
        <f t="shared" ca="1" si="17"/>
        <v/>
      </c>
      <c r="E87" s="76" t="str">
        <f t="shared" ca="1" si="24"/>
        <v/>
      </c>
      <c r="F87" s="65" t="str">
        <f t="shared" ca="1" si="18"/>
        <v/>
      </c>
      <c r="G87" s="65" t="str">
        <f t="shared" ca="1" si="19"/>
        <v/>
      </c>
      <c r="H87" s="66" t="str">
        <f t="shared" ca="1" si="11"/>
        <v/>
      </c>
      <c r="I87" s="67">
        <f t="shared" si="20"/>
        <v>0</v>
      </c>
      <c r="J87" s="67">
        <f t="shared" ca="1" si="21"/>
        <v>0</v>
      </c>
      <c r="K87" s="68">
        <f t="shared" ca="1" si="22"/>
        <v>0</v>
      </c>
      <c r="L87" s="69"/>
      <c r="M87" s="70">
        <f ca="1">IF($C87="",0,
I87*'1.c Decrements'!D81+(M86-N86-O86)*(1+G86))</f>
        <v>0</v>
      </c>
      <c r="N87" s="71">
        <f ca="1">K87*'1.a Assumptions'!$C$10*'1.c Decrements'!E81</f>
        <v>0</v>
      </c>
      <c r="O87" s="71">
        <f ca="1">J88*('1.c Decrements'!F81+'1.c Decrements'!G81)</f>
        <v>0</v>
      </c>
      <c r="P87" s="71">
        <f ca="1">M87-J88*'1.c Decrements'!D81</f>
        <v>0</v>
      </c>
      <c r="Q87" s="71">
        <f ca="1">IF(B88=$Q$15,$D$3,IF(B88&lt;$Q$15,'1.c Decrements'!$L$11,""))</f>
        <v>0.75</v>
      </c>
      <c r="R87" s="13"/>
      <c r="S87" s="13"/>
      <c r="T87" s="72" t="str">
        <f>IF($C88="","",J88-J87*(1+i))</f>
        <v/>
      </c>
      <c r="U87" s="73" t="str">
        <f>IFERROR(T87-I87,"")</f>
        <v/>
      </c>
      <c r="V87" s="13"/>
      <c r="W87" s="13"/>
      <c r="X87" s="13"/>
      <c r="Y87" s="13"/>
      <c r="Z87" s="13"/>
      <c r="AA87" s="13"/>
      <c r="AB87" s="13"/>
      <c r="AC87" s="13"/>
    </row>
  </sheetData>
  <conditionalFormatting sqref="U16">
    <cfRule type="cellIs" dxfId="13" priority="5" operator="equal">
      <formula>"Pass"</formula>
    </cfRule>
    <cfRule type="cellIs" dxfId="12" priority="6" operator="equal">
      <formula>"Check!"</formula>
    </cfRule>
  </conditionalFormatting>
  <conditionalFormatting sqref="H8">
    <cfRule type="cellIs" dxfId="11" priority="3" operator="equal">
      <formula>"Pass"</formula>
    </cfRule>
    <cfRule type="cellIs" dxfId="10" priority="4" operator="equal">
      <formula>"Check!"</formula>
    </cfRule>
  </conditionalFormatting>
  <conditionalFormatting sqref="I8:Q8">
    <cfRule type="cellIs" dxfId="9" priority="1" operator="equal">
      <formula>"Pass"</formula>
    </cfRule>
    <cfRule type="cellIs" dxfId="8" priority="2" operator="equal">
      <formula>"Check!"</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4" tint="0.59999389629810485"/>
  </sheetPr>
  <dimension ref="A1:AA85"/>
  <sheetViews>
    <sheetView zoomScale="85" zoomScaleNormal="85" workbookViewId="0"/>
  </sheetViews>
  <sheetFormatPr defaultRowHeight="13.5" x14ac:dyDescent="0.25"/>
  <cols>
    <col min="1" max="1" width="3" style="13" customWidth="1"/>
    <col min="2" max="2" width="14.85546875" style="13" customWidth="1"/>
    <col min="3" max="3" width="17.85546875" style="13" bestFit="1" customWidth="1"/>
    <col min="4" max="4" width="11.140625" style="13" customWidth="1"/>
    <col min="5" max="5" width="16.28515625" style="13" customWidth="1"/>
    <col min="6" max="6" width="17.7109375" style="13" bestFit="1" customWidth="1"/>
    <col min="7" max="7" width="12.140625" style="13" customWidth="1"/>
    <col min="8" max="8" width="16.85546875" style="13" customWidth="1"/>
    <col min="9" max="9" width="15.7109375" style="13" customWidth="1"/>
    <col min="10" max="10" width="16.7109375" style="13" customWidth="1"/>
    <col min="11" max="20" width="15.7109375" style="13" customWidth="1"/>
    <col min="21" max="21" width="2.28515625" style="13" customWidth="1"/>
    <col min="22" max="22" width="13.5703125" style="13" customWidth="1"/>
    <col min="23" max="23" width="14.28515625" style="13" customWidth="1"/>
    <col min="24" max="24" width="2" style="13" customWidth="1"/>
    <col min="25" max="25" width="14.7109375" style="13" customWidth="1"/>
    <col min="26" max="26" width="14.140625" style="13" customWidth="1"/>
    <col min="27" max="27" width="13.42578125" style="13" customWidth="1"/>
    <col min="28" max="28" width="11.5703125" style="13" bestFit="1" customWidth="1"/>
    <col min="29" max="16384" width="9.140625" style="13"/>
  </cols>
  <sheetData>
    <row r="1" spans="1:27" ht="15" customHeight="1" thickBot="1" x14ac:dyDescent="0.3">
      <c r="A1" s="112" t="s">
        <v>42</v>
      </c>
    </row>
    <row r="2" spans="1:27" ht="15" customHeight="1" thickBot="1" x14ac:dyDescent="0.3">
      <c r="B2" s="18" t="s">
        <v>12</v>
      </c>
      <c r="C2" s="19" t="s">
        <v>19</v>
      </c>
      <c r="D2" s="125" t="str">
        <f>RIGHT($B$3,1)</f>
        <v>A</v>
      </c>
      <c r="H2" s="21" t="s">
        <v>60</v>
      </c>
      <c r="I2" s="22"/>
      <c r="J2" s="22"/>
      <c r="K2" s="22"/>
      <c r="L2" s="22"/>
      <c r="M2" s="22"/>
      <c r="N2" s="22"/>
      <c r="O2" s="22"/>
      <c r="P2" s="22"/>
      <c r="Q2" s="22"/>
    </row>
    <row r="3" spans="1:27" ht="15" customHeight="1" thickBot="1" x14ac:dyDescent="0.3">
      <c r="B3" s="23" t="s">
        <v>45</v>
      </c>
      <c r="C3" s="19" t="s">
        <v>59</v>
      </c>
      <c r="D3" s="125">
        <f>VLOOKUP($B$3,'opening demographics'!$A$1:$E$11,3,FALSE)</f>
        <v>15</v>
      </c>
      <c r="F3" s="24" t="s">
        <v>55</v>
      </c>
      <c r="G3" s="86" t="str">
        <f>B3</f>
        <v>40A</v>
      </c>
      <c r="H3" s="26" t="s">
        <v>13</v>
      </c>
      <c r="I3" s="27" t="s">
        <v>45</v>
      </c>
      <c r="J3" s="27" t="s">
        <v>47</v>
      </c>
      <c r="K3" s="27" t="s">
        <v>49</v>
      </c>
      <c r="L3" s="28" t="s">
        <v>51</v>
      </c>
      <c r="M3" s="29" t="s">
        <v>43</v>
      </c>
      <c r="N3" s="27" t="s">
        <v>44</v>
      </c>
      <c r="O3" s="27" t="s">
        <v>46</v>
      </c>
      <c r="P3" s="27" t="s">
        <v>48</v>
      </c>
      <c r="Q3" s="30" t="s">
        <v>50</v>
      </c>
    </row>
    <row r="4" spans="1:27" ht="15" customHeight="1" x14ac:dyDescent="0.25">
      <c r="C4" s="19" t="s">
        <v>20</v>
      </c>
      <c r="D4" s="125">
        <f>VALUE(LEFT($B$3,2))</f>
        <v>40</v>
      </c>
      <c r="F4" s="31" t="s">
        <v>56</v>
      </c>
      <c r="G4" s="87">
        <f>D3</f>
        <v>15</v>
      </c>
      <c r="H4" s="33">
        <f t="dataTable" ref="H4:Q8" dt2D="0" dtr="1" r1="B3" ca="1"/>
        <v>20</v>
      </c>
      <c r="I4" s="34">
        <v>15</v>
      </c>
      <c r="J4" s="34">
        <v>30</v>
      </c>
      <c r="K4" s="34">
        <v>25</v>
      </c>
      <c r="L4" s="35">
        <v>10</v>
      </c>
      <c r="M4" s="36">
        <v>210</v>
      </c>
      <c r="N4" s="34">
        <v>220</v>
      </c>
      <c r="O4" s="34">
        <v>240</v>
      </c>
      <c r="P4" s="34">
        <v>180</v>
      </c>
      <c r="Q4" s="37">
        <v>50</v>
      </c>
    </row>
    <row r="5" spans="1:27" ht="15" customHeight="1" x14ac:dyDescent="0.25">
      <c r="C5" s="19" t="s">
        <v>21</v>
      </c>
      <c r="D5" s="125">
        <f ca="1">INDIRECT("NRA_"&amp;$D$2)</f>
        <v>50</v>
      </c>
      <c r="F5" s="31" t="s">
        <v>95</v>
      </c>
      <c r="G5" s="88">
        <f ca="1">K15</f>
        <v>14998.770562237423</v>
      </c>
      <c r="H5" s="33">
        <v>9999.1803748249495</v>
      </c>
      <c r="I5" s="34">
        <v>14998.770562237423</v>
      </c>
      <c r="J5" s="34">
        <v>17498.565655943661</v>
      </c>
      <c r="K5" s="34">
        <v>18498.483693426158</v>
      </c>
      <c r="L5" s="35">
        <v>24997.950937062371</v>
      </c>
      <c r="M5" s="36">
        <v>2801.5600248310916</v>
      </c>
      <c r="N5" s="34">
        <v>3124.8169507731404</v>
      </c>
      <c r="O5" s="34">
        <v>3412.156440499406</v>
      </c>
      <c r="P5" s="34">
        <v>3699.4959302256716</v>
      </c>
      <c r="Q5" s="37">
        <v>3699.4959302256716</v>
      </c>
    </row>
    <row r="6" spans="1:27" ht="15" customHeight="1" x14ac:dyDescent="0.25">
      <c r="C6" s="19" t="s">
        <v>22</v>
      </c>
      <c r="D6" s="126">
        <f ca="1">INDIRECT("accrual_rate_"&amp;$D$2)</f>
        <v>0.1</v>
      </c>
      <c r="F6" s="31" t="s">
        <v>58</v>
      </c>
      <c r="G6" s="88">
        <f ca="1">E16</f>
        <v>155472.64756382565</v>
      </c>
      <c r="H6" s="33">
        <v>103648.4317092171</v>
      </c>
      <c r="I6" s="34">
        <v>155472.64756382565</v>
      </c>
      <c r="J6" s="34">
        <v>181384.75549112991</v>
      </c>
      <c r="K6" s="34">
        <v>191749.59866205163</v>
      </c>
      <c r="L6" s="35">
        <v>259121.07927304273</v>
      </c>
      <c r="M6" s="36">
        <v>78878.105937687986</v>
      </c>
      <c r="N6" s="34">
        <v>87979.425853575071</v>
      </c>
      <c r="O6" s="34">
        <v>96069.488001030244</v>
      </c>
      <c r="P6" s="34">
        <v>104159.55014848542</v>
      </c>
      <c r="Q6" s="37">
        <v>104159.55014848542</v>
      </c>
    </row>
    <row r="7" spans="1:27" ht="25.5" x14ac:dyDescent="0.25">
      <c r="C7" s="19" t="s">
        <v>23</v>
      </c>
      <c r="D7" s="127">
        <f>VLOOKUP($B$3,'opening demographics'!$A$1:$E$11,4,FALSE)</f>
        <v>150000</v>
      </c>
      <c r="F7" s="124" t="str">
        <f>"Total surplus / deficit at EOY "&amp;$S$13</f>
        <v>Total surplus / deficit at EOY 15</v>
      </c>
      <c r="G7" s="88">
        <f ca="1">T15</f>
        <v>690297.57303008321</v>
      </c>
      <c r="H7" s="33">
        <v>1264319.2607208104</v>
      </c>
      <c r="I7" s="34">
        <v>690297.57303008321</v>
      </c>
      <c r="J7" s="34">
        <v>651215.3061604976</v>
      </c>
      <c r="K7" s="34">
        <v>26555.858201984003</v>
      </c>
      <c r="L7" s="35">
        <v>-5429.0275121353279</v>
      </c>
      <c r="M7" s="34">
        <v>7160893.0461405786</v>
      </c>
      <c r="N7" s="34">
        <v>3579522.7332704589</v>
      </c>
      <c r="O7" s="34">
        <v>1861134.6892151122</v>
      </c>
      <c r="P7" s="34">
        <v>-397316.83587046369</v>
      </c>
      <c r="Q7" s="37">
        <v>-68502.257896698284</v>
      </c>
      <c r="R7" s="133"/>
    </row>
    <row r="8" spans="1:27" ht="15" customHeight="1" thickBot="1" x14ac:dyDescent="0.3">
      <c r="C8" s="19" t="s">
        <v>24</v>
      </c>
      <c r="D8" s="128">
        <f ca="1">INDIRECT("e_"&amp;$D$2)</f>
        <v>3.6484317092170926E-2</v>
      </c>
      <c r="F8" s="41" t="s">
        <v>18</v>
      </c>
      <c r="G8" s="89" t="str">
        <f ca="1">W14</f>
        <v>Pass</v>
      </c>
      <c r="H8" s="43" t="str">
        <v>Pass</v>
      </c>
      <c r="I8" s="44" t="str">
        <v>Pass</v>
      </c>
      <c r="J8" s="44" t="str">
        <v>Pass</v>
      </c>
      <c r="K8" s="44" t="str">
        <v>Pass</v>
      </c>
      <c r="L8" s="45" t="str">
        <v>Pass</v>
      </c>
      <c r="M8" s="44" t="str">
        <v>Pass</v>
      </c>
      <c r="N8" s="44" t="str">
        <v>Pass</v>
      </c>
      <c r="O8" s="44" t="str">
        <v>Pass</v>
      </c>
      <c r="P8" s="44" t="str">
        <v>Pass</v>
      </c>
      <c r="Q8" s="46" t="str">
        <v>Pass</v>
      </c>
    </row>
    <row r="9" spans="1:27" ht="15" customHeight="1" thickBot="1" x14ac:dyDescent="0.3">
      <c r="C9" s="19" t="s">
        <v>25</v>
      </c>
      <c r="D9" s="155">
        <f ca="1">INDIRECT("EA_"&amp;$D$2)</f>
        <v>43.5</v>
      </c>
      <c r="G9" s="90" t="s">
        <v>54</v>
      </c>
      <c r="H9" s="91">
        <f>H5/H6</f>
        <v>9.647208558714504E-2</v>
      </c>
      <c r="I9" s="92">
        <f t="shared" ref="I9:Q9" si="0">I5/I6</f>
        <v>9.6472085587145026E-2</v>
      </c>
      <c r="J9" s="92">
        <f t="shared" si="0"/>
        <v>9.647208558714504E-2</v>
      </c>
      <c r="K9" s="92">
        <f t="shared" si="0"/>
        <v>9.647208558714504E-2</v>
      </c>
      <c r="L9" s="93">
        <f t="shared" si="0"/>
        <v>9.6472085587145026E-2</v>
      </c>
      <c r="M9" s="94">
        <f t="shared" si="0"/>
        <v>3.5517587441111532E-2</v>
      </c>
      <c r="N9" s="92">
        <f t="shared" si="0"/>
        <v>3.5517587441111526E-2</v>
      </c>
      <c r="O9" s="92">
        <f t="shared" si="0"/>
        <v>3.5517587441111526E-2</v>
      </c>
      <c r="P9" s="92">
        <f t="shared" si="0"/>
        <v>3.5517587441111526E-2</v>
      </c>
      <c r="Q9" s="95">
        <f t="shared" si="0"/>
        <v>3.5517587441111526E-2</v>
      </c>
    </row>
    <row r="10" spans="1:27" ht="15" customHeight="1" x14ac:dyDescent="0.25">
      <c r="C10" s="19" t="s">
        <v>63</v>
      </c>
      <c r="D10" s="128">
        <f ca="1">(1+G15)/(1+D8)-1</f>
        <v>1.3039929968016395E-2</v>
      </c>
      <c r="E10" s="96"/>
    </row>
    <row r="11" spans="1:27" ht="15" customHeight="1" x14ac:dyDescent="0.25"/>
    <row r="12" spans="1:27" ht="15" customHeight="1" x14ac:dyDescent="0.25">
      <c r="S12" s="123" t="s">
        <v>92</v>
      </c>
    </row>
    <row r="13" spans="1:27" ht="15" customHeight="1" x14ac:dyDescent="0.25">
      <c r="S13" s="122">
        <v>15</v>
      </c>
    </row>
    <row r="14" spans="1:27" ht="51.75" customHeight="1" x14ac:dyDescent="0.25">
      <c r="B14" s="102" t="s">
        <v>57</v>
      </c>
      <c r="C14" s="102" t="s">
        <v>16</v>
      </c>
      <c r="D14" s="102" t="s">
        <v>14</v>
      </c>
      <c r="E14" s="102" t="s">
        <v>17</v>
      </c>
      <c r="F14" s="102" t="s">
        <v>67</v>
      </c>
      <c r="G14" s="102" t="s">
        <v>15</v>
      </c>
      <c r="H14" s="102" t="s">
        <v>74</v>
      </c>
      <c r="I14" s="102" t="s">
        <v>75</v>
      </c>
      <c r="J14" s="102" t="s">
        <v>76</v>
      </c>
      <c r="K14" s="102" t="s">
        <v>31</v>
      </c>
      <c r="L14" s="102" t="s">
        <v>68</v>
      </c>
      <c r="M14" s="102" t="s">
        <v>65</v>
      </c>
      <c r="N14" s="104" t="s">
        <v>69</v>
      </c>
      <c r="O14" s="102" t="s">
        <v>66</v>
      </c>
      <c r="P14" s="102" t="s">
        <v>70</v>
      </c>
      <c r="Q14" s="102" t="s">
        <v>71</v>
      </c>
      <c r="R14" s="115" t="s">
        <v>88</v>
      </c>
      <c r="S14" s="102" t="s">
        <v>94</v>
      </c>
      <c r="T14" s="115" t="s">
        <v>91</v>
      </c>
      <c r="V14" s="101" t="s">
        <v>61</v>
      </c>
      <c r="W14" s="59" t="str">
        <f ca="1">IF(ABS(SUM(W15:W85))&lt;0.0001,"Pass","Check!")</f>
        <v>Pass</v>
      </c>
      <c r="Y14" s="101" t="s">
        <v>72</v>
      </c>
      <c r="Z14" s="101" t="s">
        <v>73</v>
      </c>
      <c r="AA14" s="59" t="str">
        <f ca="1">IF(ABS(SUM(AA15:AA85))&lt;0.0001,"Pass","Check!")</f>
        <v>Pass</v>
      </c>
    </row>
    <row r="15" spans="1:27" ht="15" customHeight="1" x14ac:dyDescent="0.25">
      <c r="B15" s="60">
        <v>0</v>
      </c>
      <c r="C15" s="61">
        <f>D4</f>
        <v>40</v>
      </c>
      <c r="D15" s="62">
        <f ca="1">D6</f>
        <v>0.1</v>
      </c>
      <c r="E15" s="63">
        <f>D7</f>
        <v>150000</v>
      </c>
      <c r="F15" s="64">
        <f ca="1">D8</f>
        <v>3.6484317092170926E-2</v>
      </c>
      <c r="G15" s="65">
        <f t="shared" ref="G15" si="1">i</f>
        <v>0.05</v>
      </c>
      <c r="H15" s="97">
        <f ca="1">(1-(1+$D$10)^-($D$5-$D$9))/$D$10</f>
        <v>6.1935411046173305</v>
      </c>
      <c r="I15" s="97">
        <f ca="1">IFERROR((1-(1+$D$10)^-($D$5-$C15))/$D$10,0)</f>
        <v>9.3186832801908785</v>
      </c>
      <c r="J15" s="66">
        <f ca="1">IF($C15="","",
D15*($D$5-$D$9)*((1+F15)/(1+G15))^($D$5-$D$9)/$H$15)</f>
        <v>9.647208558714504E-2</v>
      </c>
      <c r="K15" s="68">
        <f t="shared" ref="K15:K46" ca="1" si="2">IF($C16="",0,
J15*E15*(1+F15))</f>
        <v>14998.770562237423</v>
      </c>
      <c r="L15" s="67">
        <f ca="1">IF($C15="",0,
IF($C15&gt;$D$5,D15*B15*E15,
D15*($D$5-$D$4)*E15*((1+F15)/(1+G15))^($D$5-C15)-J15*E15*I15))</f>
        <v>-3076.1682500828756</v>
      </c>
      <c r="M15" s="68">
        <f ca="1">IF($C15="",0,
D15*B15*E15*((1+F15)/(1+G15))^MAX(0,$D$5-C15))</f>
        <v>0</v>
      </c>
      <c r="N15" s="69"/>
      <c r="O15" s="70">
        <f ca="1">IF($C15="",0,
(K15)*'1.c Decrements'!D11)</f>
        <v>14998.770562237423</v>
      </c>
      <c r="P15" s="71">
        <f ca="1">M15*'1.a Assumptions'!$C$10*'1.c Decrements'!E11</f>
        <v>0</v>
      </c>
      <c r="Q15" s="71">
        <f ca="1">L16*('1.c Decrements'!F11+'1.c Decrements'!G11)</f>
        <v>0</v>
      </c>
      <c r="R15" s="71">
        <f ca="1">O15-L16*'1.c Decrements'!D11</f>
        <v>3229.976662587087</v>
      </c>
      <c r="S15" s="71">
        <f ca="1">IF(B16=$S$13,$D$3,IF(B16&lt;$S$13,'1.c Decrements'!$L$11,""))</f>
        <v>0.75</v>
      </c>
      <c r="T15" s="121">
        <f ca="1">SUMPRODUCT(S15:S85,R15:R85)</f>
        <v>690297.57303008321</v>
      </c>
      <c r="V15" s="72">
        <f ca="1">IF($C16&lt;=$D$5,L16-L15*(1+i),"")</f>
        <v>14998.770562237356</v>
      </c>
      <c r="W15" s="73">
        <f ca="1">IF(V15="","",V15-K15)</f>
        <v>-6.730260793119669E-11</v>
      </c>
      <c r="X15" s="98"/>
      <c r="Y15" s="99">
        <f ca="1">IF(V15="","",J15/'1.c PUC_Projection'!H17)</f>
        <v>1.0840286041384133</v>
      </c>
      <c r="Z15" s="99">
        <f ca="1">IF(V15="","",($D$5-$D$9)/$H$15*(1+$D$10)^-(C15-$D$9+1))</f>
        <v>1.0840286041384135</v>
      </c>
      <c r="AA15" s="100">
        <f ca="1">IF(V15="","",Y15-Z15)</f>
        <v>-2.2204460492503131E-16</v>
      </c>
    </row>
    <row r="16" spans="1:27" ht="15" customHeight="1" x14ac:dyDescent="0.25">
      <c r="B16" s="60">
        <f ca="1">IF($C16="","",B15+1)</f>
        <v>1</v>
      </c>
      <c r="C16" s="74">
        <f ca="1">IF(C15="","",IF($D$2="A",IF(C15+1&gt;$D$5+15,"",C15+1),IF(C15+1&gt;$D$5,"",C15+1)))</f>
        <v>41</v>
      </c>
      <c r="D16" s="75">
        <f ca="1">IF($C16="","",D15)</f>
        <v>0.1</v>
      </c>
      <c r="E16" s="76">
        <f ca="1">IF($C16="","",E15*(1+F15))</f>
        <v>155472.64756382565</v>
      </c>
      <c r="F16" s="65">
        <f ca="1">IF($C16="","",F15)</f>
        <v>3.6484317092170926E-2</v>
      </c>
      <c r="G16" s="65">
        <f ca="1">IF($C16="","",G15)</f>
        <v>0.05</v>
      </c>
      <c r="I16" s="97">
        <f ca="1">IFERROR((1-(1+$D$10)^-($D$5-$C16))/$D$10,0)</f>
        <v>8.4401982575586985</v>
      </c>
      <c r="J16" s="66">
        <f ca="1">IF($C16="","",
D16*($D$5-$D$9)*((1+F16)/(1+G16))^($D$5-$D$9)/$H$15)</f>
        <v>9.647208558714504E-2</v>
      </c>
      <c r="K16" s="68">
        <f t="shared" ca="1" si="2"/>
        <v>15545.990463422813</v>
      </c>
      <c r="L16" s="67">
        <f t="shared" ref="L16:L79" ca="1" si="3">IF($C16="",0,
IF($C16&gt;$D$5,D16*B16*E16,
D16*($D$5-$D$4)*E16*((1+F16)/(1+G16))^($D$5-C16)-J16*E16*I16))</f>
        <v>11768.793899650336</v>
      </c>
      <c r="M16" s="68">
        <f t="shared" ref="M16:M79" ca="1" si="4">IF($C16="",0,
D16*B16*E16*((1+F16)/(1+G16))^MAX(0,$D$5-C16))</f>
        <v>13836.139106456936</v>
      </c>
      <c r="N16" s="69"/>
      <c r="O16" s="70">
        <f ca="1">IF($C16="",0,
K16*'1.c Decrements'!D12+(O15-P15-Q15)*(1+G15))</f>
        <v>30517.400030600969</v>
      </c>
      <c r="P16" s="71">
        <f ca="1">M16*'1.a Assumptions'!$C$10*'1.c Decrements'!E12</f>
        <v>492.91245566752838</v>
      </c>
      <c r="Q16" s="71">
        <f ca="1">L17*('1.c Decrements'!F12+'1.c Decrements'!G12)</f>
        <v>0</v>
      </c>
      <c r="R16" s="71">
        <f ca="1">O16-L17*'1.c Decrements'!D12</f>
        <v>4009.3371754481414</v>
      </c>
      <c r="S16" s="71">
        <f ca="1">IF(B17=$S$13,$D$3,IF(B17&lt;$S$13,'1.c Decrements'!$L$11,""))</f>
        <v>0.75</v>
      </c>
      <c r="V16" s="72">
        <f ca="1">IF($C17&lt;=$D$5,L17-L16*(1+i),"")</f>
        <v>15545.990463422757</v>
      </c>
      <c r="W16" s="73">
        <f ca="1">IF(V16="","",V16-K16)</f>
        <v>-5.6388671509921551E-11</v>
      </c>
      <c r="X16" s="98"/>
      <c r="Y16" s="99">
        <f ca="1">IF(V16="","",J16/'1.c PUC_Projection'!H18)</f>
        <v>1.0700749023512215</v>
      </c>
      <c r="Z16" s="99">
        <f ca="1">IF(V16="","",($D$5-$D$9)/$H$15*(1+$D$10)^-(C16-$D$9+1))</f>
        <v>1.0700749023512217</v>
      </c>
      <c r="AA16" s="100">
        <f t="shared" ref="AA16:AA79" ca="1" si="5">IF(V16="","",Y16-Z16)</f>
        <v>-2.2204460492503131E-16</v>
      </c>
    </row>
    <row r="17" spans="2:27" ht="15" customHeight="1" x14ac:dyDescent="0.25">
      <c r="B17" s="60">
        <f t="shared" ref="B17:B80" ca="1" si="6">IF($C17="","",B16+1)</f>
        <v>2</v>
      </c>
      <c r="C17" s="74">
        <f t="shared" ref="C17:C80" ca="1" si="7">IF(C16="","",IF($D$2="A",IF(C16+1&gt;$D$5+15,"",C16+1),IF(C16+1&gt;$D$5,"",C16+1)))</f>
        <v>42</v>
      </c>
      <c r="D17" s="75">
        <f t="shared" ref="D17:D80" ca="1" si="8">IF($C17="","",D16)</f>
        <v>0.1</v>
      </c>
      <c r="E17" s="76">
        <f t="shared" ref="E17:E80" ca="1" si="9">IF($C17="","",E16*(1+F16))</f>
        <v>161144.9609367036</v>
      </c>
      <c r="F17" s="65">
        <f t="shared" ref="F17:G32" ca="1" si="10">IF($C17="","",F16)</f>
        <v>3.6484317092170926E-2</v>
      </c>
      <c r="G17" s="65">
        <f t="shared" ca="1" si="10"/>
        <v>0.05</v>
      </c>
      <c r="I17" s="97">
        <f ca="1">IFERROR((1-(1+$D$10)^-($D$5-$C17))/$D$10,0)</f>
        <v>7.5502578517534396</v>
      </c>
      <c r="J17" s="66">
        <f ca="1">IF($C17="","",
D17*($D$5-$D$9)*((1+F17)/(1+G17))^($D$5-$D$9)/$H$15)</f>
        <v>9.647208558714504E-2</v>
      </c>
      <c r="K17" s="68">
        <f t="shared" ca="1" si="2"/>
        <v>16113.175309002196</v>
      </c>
      <c r="L17" s="67">
        <f t="shared" ca="1" si="3"/>
        <v>27903.22405805561</v>
      </c>
      <c r="M17" s="68">
        <f t="shared" ca="1" si="4"/>
        <v>29055.892123559563</v>
      </c>
      <c r="N17" s="69"/>
      <c r="O17" s="70">
        <f ca="1">IF($C17="",0,
K17*'1.c Decrements'!D13+(O16-P16-Q16)*(1+G16))</f>
        <v>46067.852670054592</v>
      </c>
      <c r="P17" s="71">
        <f ca="1">M17*'1.a Assumptions'!$C$10*'1.c Decrements'!E13</f>
        <v>983.36034905671886</v>
      </c>
      <c r="Q17" s="71">
        <f ca="1">L18*('1.c Decrements'!F13+'1.c Decrements'!G13)</f>
        <v>0</v>
      </c>
      <c r="R17" s="71">
        <f ca="1">O17-L18*'1.c Decrements'!D13</f>
        <v>5083.9192556652779</v>
      </c>
      <c r="S17" s="71">
        <f ca="1">IF(B18=$S$13,$D$3,IF(B18&lt;$S$13,'1.c Decrements'!$L$11,""))</f>
        <v>0.75</v>
      </c>
      <c r="V17" s="72">
        <f ca="1">IF($C18&lt;=$D$5,L18-L17*(1+i),"")</f>
        <v>16113.175309002072</v>
      </c>
      <c r="W17" s="73">
        <f ca="1">IF(V17="","",V17-K17)</f>
        <v>-1.2369127944111824E-10</v>
      </c>
      <c r="X17" s="98"/>
      <c r="Y17" s="99">
        <f ca="1">IF(V17="","",J17/'1.c PUC_Projection'!H19)</f>
        <v>1.0563008137152163</v>
      </c>
      <c r="Z17" s="99">
        <f ca="1">IF(V17="","",($D$5-$D$9)/$H$15*(1+$D$10)^-(C17-$D$9+1))</f>
        <v>1.0563008137152166</v>
      </c>
      <c r="AA17" s="100">
        <f t="shared" ca="1" si="5"/>
        <v>-2.2204460492503131E-16</v>
      </c>
    </row>
    <row r="18" spans="2:27" ht="15" customHeight="1" x14ac:dyDescent="0.25">
      <c r="B18" s="60">
        <f t="shared" ca="1" si="6"/>
        <v>3</v>
      </c>
      <c r="C18" s="74">
        <f t="shared" ca="1" si="7"/>
        <v>43</v>
      </c>
      <c r="D18" s="75">
        <f t="shared" ca="1" si="8"/>
        <v>0.1</v>
      </c>
      <c r="E18" s="76">
        <f t="shared" ca="1" si="9"/>
        <v>167024.22478932378</v>
      </c>
      <c r="F18" s="65">
        <f t="shared" ca="1" si="10"/>
        <v>3.6484317092170926E-2</v>
      </c>
      <c r="G18" s="65">
        <f t="shared" ca="1" si="10"/>
        <v>0.05</v>
      </c>
      <c r="I18" s="97">
        <f ca="1">IFERROR((1-(1+$D$10)^-($D$5-$C18))/$D$10,0)</f>
        <v>6.6487126853807776</v>
      </c>
      <c r="J18" s="66">
        <f ca="1">IF($C18="","",
D18*($D$5-$D$9)*((1+F18)/(1+G18))^($D$5-$D$9)/$H$15)</f>
        <v>9.647208558714504E-2</v>
      </c>
      <c r="K18" s="68">
        <f t="shared" ca="1" si="2"/>
        <v>16701.053506337572</v>
      </c>
      <c r="L18" s="67">
        <f t="shared" ca="1" si="3"/>
        <v>45411.560569960464</v>
      </c>
      <c r="M18" s="68">
        <f t="shared" ca="1" si="4"/>
        <v>45763.030094606322</v>
      </c>
      <c r="N18" s="69"/>
      <c r="O18" s="70">
        <f ca="1">IF($C18="",0,
K18*'1.c Decrements'!D14+(O17-P17-Q17)*(1+G17))</f>
        <v>61657.782687043946</v>
      </c>
      <c r="P18" s="71">
        <f ca="1">M18*'1.a Assumptions'!$C$10*'1.c Decrements'!E14</f>
        <v>1471.352922276116</v>
      </c>
      <c r="Q18" s="71">
        <f ca="1">L19*('1.c Decrements'!F14+'1.c Decrements'!G14)</f>
        <v>0</v>
      </c>
      <c r="R18" s="71">
        <f ca="1">O18-L19*'1.c Decrements'!D14</f>
        <v>6457.2433561945581</v>
      </c>
      <c r="S18" s="71">
        <f ca="1">IF(B19=$S$13,$D$3,IF(B19&lt;$S$13,'1.c Decrements'!$L$11,""))</f>
        <v>0.75</v>
      </c>
      <c r="V18" s="72">
        <f ca="1">IF($C19&lt;=$D$5,L19-L18*(1+i),"")</f>
        <v>16701.053506337412</v>
      </c>
      <c r="W18" s="73">
        <f ca="1">IF(V18="","",V18-K18)</f>
        <v>-1.6007106751203537E-10</v>
      </c>
      <c r="X18" s="98"/>
      <c r="Y18" s="99">
        <f ca="1">IF(V18="","",J18/'1.c PUC_Projection'!H20)</f>
        <v>1.0427040262357339</v>
      </c>
      <c r="Z18" s="99">
        <f ca="1">IF(V18="","",($D$5-$D$9)/$H$15*(1+$D$10)^-(C18-$D$9+1))</f>
        <v>1.0427040262357339</v>
      </c>
      <c r="AA18" s="100">
        <f t="shared" ca="1" si="5"/>
        <v>0</v>
      </c>
    </row>
    <row r="19" spans="2:27" ht="15" customHeight="1" x14ac:dyDescent="0.25">
      <c r="B19" s="60">
        <f t="shared" ca="1" si="6"/>
        <v>4</v>
      </c>
      <c r="C19" s="74">
        <f t="shared" ca="1" si="7"/>
        <v>44</v>
      </c>
      <c r="D19" s="75">
        <f t="shared" ca="1" si="8"/>
        <v>0.1</v>
      </c>
      <c r="E19" s="76">
        <f t="shared" ca="1" si="9"/>
        <v>173117.98956861149</v>
      </c>
      <c r="F19" s="65">
        <f t="shared" ca="1" si="10"/>
        <v>3.6484317092170926E-2</v>
      </c>
      <c r="G19" s="65">
        <f t="shared" ca="1" si="10"/>
        <v>0.05</v>
      </c>
      <c r="I19" s="97">
        <f ca="1">IFERROR((1-(1+$D$10)^-($D$5-$C19))/$D$10,0)</f>
        <v>5.7354114331756136</v>
      </c>
      <c r="J19" s="66">
        <f ca="1">IF($C19="","",
D19*($D$5-$D$9)*((1+F19)/(1+G19))^($D$5-$D$9)/$H$15)</f>
        <v>9.647208558714504E-2</v>
      </c>
      <c r="K19" s="68">
        <f t="shared" ca="1" si="2"/>
        <v>17310.380038236101</v>
      </c>
      <c r="L19" s="67">
        <f t="shared" ca="1" si="3"/>
        <v>64383.192104795904</v>
      </c>
      <c r="M19" s="68">
        <f t="shared" ca="1" si="4"/>
        <v>64068.242132448817</v>
      </c>
      <c r="N19" s="69"/>
      <c r="O19" s="70">
        <f ca="1">IF($C19="",0,
K19*'1.c Decrements'!D15+(O18-P18-Q18)*(1+G18))</f>
        <v>77295.163984024766</v>
      </c>
      <c r="P19" s="71">
        <f ca="1">M19*'1.a Assumptions'!$C$10*'1.c Decrements'!E15</f>
        <v>1956.8993866272333</v>
      </c>
      <c r="Q19" s="71">
        <f ca="1">L20*('1.c Decrements'!F15+'1.c Decrements'!G15)</f>
        <v>0</v>
      </c>
      <c r="R19" s="71">
        <f ca="1">O19-L20*'1.c Decrements'!D15</f>
        <v>8133.2132704839169</v>
      </c>
      <c r="S19" s="71">
        <f ca="1">IF(B20=$S$13,$D$3,IF(B20&lt;$S$13,'1.c Decrements'!$L$11,""))</f>
        <v>0.75</v>
      </c>
      <c r="V19" s="72">
        <f ca="1">IF($C20&lt;=$D$5,L20-L19*(1+i),"")</f>
        <v>17310.380038236151</v>
      </c>
      <c r="W19" s="73">
        <f ca="1">IF(V19="","",V19-K19)</f>
        <v>5.0931703299283981E-11</v>
      </c>
      <c r="X19" s="98"/>
      <c r="Y19" s="99">
        <f ca="1">IF(V19="","",J19/'1.c PUC_Projection'!H21)</f>
        <v>1.0292822576782874</v>
      </c>
      <c r="Z19" s="99">
        <f ca="1">IF(V19="","",($D$5-$D$9)/$H$15*(1+$D$10)^-(C19-$D$9+1))</f>
        <v>1.0292822576782872</v>
      </c>
      <c r="AA19" s="100">
        <f t="shared" ca="1" si="5"/>
        <v>2.2204460492503131E-16</v>
      </c>
    </row>
    <row r="20" spans="2:27" ht="15" customHeight="1" x14ac:dyDescent="0.25">
      <c r="B20" s="60">
        <f t="shared" ca="1" si="6"/>
        <v>5</v>
      </c>
      <c r="C20" s="74">
        <f t="shared" ca="1" si="7"/>
        <v>45</v>
      </c>
      <c r="D20" s="75">
        <f t="shared" ca="1" si="8"/>
        <v>0.1</v>
      </c>
      <c r="E20" s="76">
        <f t="shared" ca="1" si="9"/>
        <v>179434.08119439185</v>
      </c>
      <c r="F20" s="65">
        <f t="shared" ca="1" si="10"/>
        <v>3.6484317092170926E-2</v>
      </c>
      <c r="G20" s="65">
        <f t="shared" ca="1" si="10"/>
        <v>0.05</v>
      </c>
      <c r="I20" s="97">
        <f ca="1">IFERROR((1-(1+$D$10)^-($D$5-$C20))/$D$10,0)</f>
        <v>4.81020079660198</v>
      </c>
      <c r="J20" s="66">
        <f ca="1">IF($C20="","",
D20*($D$5-$D$9)*((1+F20)/(1+G20))^($D$5-$D$9)/$H$15)</f>
        <v>9.647208558714504E-2</v>
      </c>
      <c r="K20" s="68">
        <f t="shared" ca="1" si="2"/>
        <v>17941.937432537095</v>
      </c>
      <c r="L20" s="67">
        <f t="shared" ca="1" si="3"/>
        <v>84912.73174827185</v>
      </c>
      <c r="M20" s="68">
        <f t="shared" ca="1" si="4"/>
        <v>84089.567798839082</v>
      </c>
      <c r="N20" s="69"/>
      <c r="O20" s="70">
        <f ca="1">IF($C20="",0,
K20*'1.c Decrements'!D16+(O19-P19-Q19)*(1+G19))</f>
        <v>92988.306994382307</v>
      </c>
      <c r="P20" s="71">
        <f ca="1">M20*'1.a Assumptions'!$C$10*'1.c Decrements'!E16</f>
        <v>2440.008922700832</v>
      </c>
      <c r="Q20" s="71">
        <f ca="1">L21*('1.c Decrements'!F16+'1.c Decrements'!G16)</f>
        <v>0</v>
      </c>
      <c r="R20" s="71">
        <f ca="1">O20-L21*'1.c Decrements'!D16</f>
        <v>10116.131990510446</v>
      </c>
      <c r="S20" s="71">
        <f ca="1">IF(B21=$S$13,$D$3,IF(B21&lt;$S$13,'1.c Decrements'!$L$11,""))</f>
        <v>0.75</v>
      </c>
      <c r="V20" s="72">
        <f ca="1">IF($C21&lt;=$D$5,L21-L20*(1+i),"")</f>
        <v>17941.937432537059</v>
      </c>
      <c r="W20" s="73">
        <f ca="1">IF(V20="","",V20-K20)</f>
        <v>-3.637978807091713E-11</v>
      </c>
      <c r="X20" s="98"/>
      <c r="Y20" s="99">
        <f ca="1">IF(V20="","",J20/'1.c PUC_Projection'!H22)</f>
        <v>1.0160332551854929</v>
      </c>
      <c r="Z20" s="99">
        <f ca="1">IF(V20="","",($D$5-$D$9)/$H$15*(1+$D$10)^-(C20-$D$9+1))</f>
        <v>1.0160332551854927</v>
      </c>
      <c r="AA20" s="100">
        <f t="shared" ca="1" si="5"/>
        <v>2.2204460492503131E-16</v>
      </c>
    </row>
    <row r="21" spans="2:27" ht="15" customHeight="1" x14ac:dyDescent="0.25">
      <c r="B21" s="60">
        <f t="shared" ca="1" si="6"/>
        <v>6</v>
      </c>
      <c r="C21" s="74">
        <f t="shared" ca="1" si="7"/>
        <v>46</v>
      </c>
      <c r="D21" s="75">
        <f t="shared" ca="1" si="8"/>
        <v>0.1</v>
      </c>
      <c r="E21" s="76">
        <f t="shared" ca="1" si="9"/>
        <v>185980.61110983038</v>
      </c>
      <c r="F21" s="65">
        <f t="shared" ca="1" si="10"/>
        <v>3.6484317092170926E-2</v>
      </c>
      <c r="G21" s="65">
        <f t="shared" ca="1" si="10"/>
        <v>0.05</v>
      </c>
      <c r="I21" s="97">
        <f ca="1">IFERROR((1-(1+$D$10)^-($D$5-$C21))/$D$10,0)</f>
        <v>3.8729254781217679</v>
      </c>
      <c r="J21" s="66">
        <f ca="1">IF($C21="","",
D21*($D$5-$D$9)*((1+F21)/(1+G21))^($D$5-$D$9)/$H$15)</f>
        <v>9.647208558714504E-2</v>
      </c>
      <c r="K21" s="68">
        <f t="shared" ca="1" si="2"/>
        <v>18596.53676707367</v>
      </c>
      <c r="L21" s="67">
        <f t="shared" ca="1" si="3"/>
        <v>107100.3057682225</v>
      </c>
      <c r="M21" s="68">
        <f t="shared" ca="1" si="4"/>
        <v>105952.85542653725</v>
      </c>
      <c r="N21" s="69"/>
      <c r="O21" s="70">
        <f ca="1">IF($C21="",0,
K21*'1.c Decrements'!D17+(O20-P20-Q20)*(1+G20))</f>
        <v>108745.87634645107</v>
      </c>
      <c r="P21" s="71">
        <f ca="1">M21*'1.a Assumptions'!$C$10*'1.c Decrements'!E17</f>
        <v>2920.6906804728965</v>
      </c>
      <c r="Q21" s="71">
        <f ca="1">L22*('1.c Decrements'!F17+'1.c Decrements'!G17)</f>
        <v>0</v>
      </c>
      <c r="R21" s="71">
        <f ca="1">O21-L22*'1.c Decrements'!D17</f>
        <v>12410.718408903485</v>
      </c>
      <c r="S21" s="71">
        <f ca="1">IF(B22=$S$13,$D$3,IF(B22&lt;$S$13,'1.c Decrements'!$L$11,""))</f>
        <v>0.75</v>
      </c>
      <c r="V21" s="72">
        <f ca="1">IF($C22&lt;=$D$5,L22-L21*(1+i),"")</f>
        <v>18596.536767073514</v>
      </c>
      <c r="W21" s="73">
        <f ca="1">IF(V21="","",V21-K21)</f>
        <v>-1.5643308870494366E-10</v>
      </c>
      <c r="X21" s="98"/>
      <c r="Y21" s="99">
        <f ca="1">IF(V21="","",J21/'1.c PUC_Projection'!H23)</f>
        <v>1.0029547948989248</v>
      </c>
      <c r="Z21" s="99">
        <f ca="1">IF(V21="","",($D$5-$D$9)/$H$15*(1+$D$10)^-(C21-$D$9+1))</f>
        <v>1.0029547948989244</v>
      </c>
      <c r="AA21" s="100">
        <f t="shared" ca="1" si="5"/>
        <v>4.4408920985006262E-16</v>
      </c>
    </row>
    <row r="22" spans="2:27" ht="15" customHeight="1" x14ac:dyDescent="0.25">
      <c r="B22" s="60">
        <f t="shared" ca="1" si="6"/>
        <v>7</v>
      </c>
      <c r="C22" s="74">
        <f t="shared" ca="1" si="7"/>
        <v>47</v>
      </c>
      <c r="D22" s="75">
        <f t="shared" ca="1" si="8"/>
        <v>0.1</v>
      </c>
      <c r="E22" s="76">
        <f t="shared" ca="1" si="9"/>
        <v>192765.98669855716</v>
      </c>
      <c r="F22" s="65">
        <f t="shared" ca="1" si="10"/>
        <v>3.6484317092170926E-2</v>
      </c>
      <c r="G22" s="65">
        <f t="shared" ca="1" si="10"/>
        <v>0.05</v>
      </c>
      <c r="I22" s="97">
        <f ca="1">IFERROR((1-(1+$D$10)^-($D$5-$C22))/$D$10,0)</f>
        <v>2.9234281551278296</v>
      </c>
      <c r="J22" s="66">
        <f ca="1">IF($C22="","",
D22*($D$5-$D$9)*((1+F22)/(1+G22))^($D$5-$D$9)/$H$15)</f>
        <v>9.647208558714504E-2</v>
      </c>
      <c r="K22" s="68">
        <f t="shared" ca="1" si="2"/>
        <v>19275.018711299799</v>
      </c>
      <c r="L22" s="67">
        <f t="shared" ca="1" si="3"/>
        <v>131051.85782370715</v>
      </c>
      <c r="M22" s="68">
        <f t="shared" ca="1" si="4"/>
        <v>129792.24789750815</v>
      </c>
      <c r="N22" s="69"/>
      <c r="O22" s="70">
        <f ca="1">IF($C22="",0,
K22*'1.c Decrements'!D18+(O21-P21-Q21)*(1+G21))</f>
        <v>124576.90939828263</v>
      </c>
      <c r="P22" s="71">
        <f ca="1">M22*'1.a Assumptions'!$C$10*'1.c Decrements'!E18</f>
        <v>3398.9537794003331</v>
      </c>
      <c r="Q22" s="71">
        <f ca="1">L23*('1.c Decrements'!F18+'1.c Decrements'!G18)</f>
        <v>0</v>
      </c>
      <c r="R22" s="71">
        <f ca="1">O22-L23*'1.c Decrements'!D18</f>
        <v>15022.124906573416</v>
      </c>
      <c r="S22" s="71">
        <f ca="1">IF(B23=$S$13,$D$3,IF(B23&lt;$S$13,'1.c Decrements'!$L$11,""))</f>
        <v>0.75</v>
      </c>
      <c r="V22" s="72">
        <f ca="1">IF($C23&lt;=$D$5,L23-L22*(1+i),"")</f>
        <v>19275.018711299723</v>
      </c>
      <c r="W22" s="73">
        <f ca="1">IF(V22="","",V22-K22)</f>
        <v>-7.6397554948925972E-11</v>
      </c>
      <c r="X22" s="98"/>
      <c r="Y22" s="99">
        <f ca="1">IF(V22="","",J22/'1.c PUC_Projection'!H24)</f>
        <v>0.99004468158583847</v>
      </c>
      <c r="Z22" s="99">
        <f ca="1">IF(V22="","",($D$5-$D$9)/$H$15*(1+$D$10)^-(C22-$D$9+1))</f>
        <v>0.99004468158583792</v>
      </c>
      <c r="AA22" s="100">
        <f t="shared" ca="1" si="5"/>
        <v>5.5511151231257827E-16</v>
      </c>
    </row>
    <row r="23" spans="2:27" ht="15" customHeight="1" x14ac:dyDescent="0.25">
      <c r="B23" s="60">
        <f t="shared" ca="1" si="6"/>
        <v>8</v>
      </c>
      <c r="C23" s="74">
        <f t="shared" ca="1" si="7"/>
        <v>48</v>
      </c>
      <c r="D23" s="75">
        <f t="shared" ca="1" si="8"/>
        <v>0.1</v>
      </c>
      <c r="E23" s="76">
        <f t="shared" ca="1" si="9"/>
        <v>199798.92208185251</v>
      </c>
      <c r="F23" s="65">
        <f t="shared" ca="1" si="10"/>
        <v>3.6484317092170926E-2</v>
      </c>
      <c r="G23" s="65">
        <f t="shared" ca="1" si="10"/>
        <v>0.05</v>
      </c>
      <c r="I23" s="97">
        <f ca="1">IFERROR((1-(1+$D$10)^-($D$5-$C23))/$D$10,0)</f>
        <v>1.9615494535372255</v>
      </c>
      <c r="J23" s="66">
        <f ca="1">IF($C23="","",
D23*($D$5-$D$9)*((1+F23)/(1+G23))^($D$5-$D$9)/$H$15)</f>
        <v>9.647208558714504E-2</v>
      </c>
      <c r="K23" s="68">
        <f t="shared" ca="1" si="2"/>
        <v>19978.254605920389</v>
      </c>
      <c r="L23" s="67">
        <f t="shared" ca="1" si="3"/>
        <v>156879.46942619223</v>
      </c>
      <c r="M23" s="68">
        <f t="shared" ca="1" si="4"/>
        <v>155750.69747700973</v>
      </c>
      <c r="N23" s="69"/>
      <c r="O23" s="70">
        <f ca="1">IF($C23="",0,
K23*'1.c Decrements'!D19+(O22-P22-Q22)*(1+G22))</f>
        <v>140490.83568688884</v>
      </c>
      <c r="P23" s="71">
        <f ca="1">M23*'1.a Assumptions'!$C$10*'1.c Decrements'!E19</f>
        <v>3874.8073085163792</v>
      </c>
      <c r="Q23" s="71">
        <f ca="1">L24*('1.c Decrements'!F19+'1.c Decrements'!G19)</f>
        <v>0</v>
      </c>
      <c r="R23" s="71">
        <f ca="1">O23-L24*'1.c Decrements'!D19</f>
        <v>17955.95586934661</v>
      </c>
      <c r="S23" s="71">
        <f ca="1">IF(B24=$S$13,$D$3,IF(B24&lt;$S$13,'1.c Decrements'!$L$11,""))</f>
        <v>0.75</v>
      </c>
      <c r="V23" s="72">
        <f ca="1">IF($C24&lt;=$D$5,L24-L23*(1+i),"")</f>
        <v>19978.2546059202</v>
      </c>
      <c r="W23" s="73">
        <f ca="1">IF(V23="","",V23-K23)</f>
        <v>-1.8917489796876907E-10</v>
      </c>
      <c r="X23" s="98"/>
      <c r="Y23" s="99">
        <f ca="1">IF(V23="","",J23/'1.c PUC_Projection'!H25)</f>
        <v>0.97730074827069868</v>
      </c>
      <c r="Z23" s="99">
        <f ca="1">IF(V23="","",($D$5-$D$9)/$H$15*(1+$D$10)^-(C23-$D$9+1))</f>
        <v>0.97730074827069802</v>
      </c>
      <c r="AA23" s="100">
        <f t="shared" ca="1" si="5"/>
        <v>6.6613381477509392E-16</v>
      </c>
    </row>
    <row r="24" spans="2:27" ht="15" customHeight="1" x14ac:dyDescent="0.25">
      <c r="B24" s="60">
        <f t="shared" ca="1" si="6"/>
        <v>9</v>
      </c>
      <c r="C24" s="74">
        <f t="shared" ca="1" si="7"/>
        <v>49</v>
      </c>
      <c r="D24" s="75">
        <f t="shared" ca="1" si="8"/>
        <v>0.1</v>
      </c>
      <c r="E24" s="76">
        <f t="shared" ca="1" si="9"/>
        <v>207088.44930976076</v>
      </c>
      <c r="F24" s="65">
        <f t="shared" ca="1" si="10"/>
        <v>3.6484317092170926E-2</v>
      </c>
      <c r="G24" s="65">
        <f t="shared" ca="1" si="10"/>
        <v>0.05</v>
      </c>
      <c r="I24" s="97">
        <f ca="1">IFERROR((1-(1+$D$10)^-($D$5-$C24))/$D$10,0)</f>
        <v>0.987127921040162</v>
      </c>
      <c r="J24" s="66">
        <f ca="1">IF($C24="","",
D24*($D$5-$D$9)*((1+F24)/(1+G24))^($D$5-$D$9)/$H$15)</f>
        <v>9.647208558714504E-2</v>
      </c>
      <c r="K24" s="68">
        <f t="shared" ca="1" si="2"/>
        <v>20707.147581910911</v>
      </c>
      <c r="L24" s="67">
        <f t="shared" ca="1" si="3"/>
        <v>184701.69750342204</v>
      </c>
      <c r="M24" s="68">
        <f t="shared" ca="1" si="4"/>
        <v>183980.51139471776</v>
      </c>
      <c r="N24" s="69"/>
      <c r="O24" s="70">
        <f ca="1">IF($C24="",0,
K24*'1.c Decrements'!D20+(O23-P23-Q23)*(1+G23))</f>
        <v>156497.49733787079</v>
      </c>
      <c r="P24" s="71">
        <f ca="1">M24*'1.a Assumptions'!$C$10*'1.c Decrements'!E20</f>
        <v>4344.1142603043827</v>
      </c>
      <c r="Q24" s="71">
        <f ca="1">L25*('1.c Decrements'!F20+'1.c Decrements'!G20)</f>
        <v>27159.033013224576</v>
      </c>
      <c r="R24" s="71">
        <f ca="1">O24-L25*'1.c Decrements'!D20</f>
        <v>21218.287179292733</v>
      </c>
      <c r="S24" s="71">
        <f ca="1">IF(B25=$S$13,$D$3,IF(B25&lt;$S$13,'1.c Decrements'!$L$11,""))</f>
        <v>0.75</v>
      </c>
      <c r="V24" s="72">
        <f ca="1">IF($C25&lt;=$D$5,L25-L24*(1+i),"")</f>
        <v>20707.147581910889</v>
      </c>
      <c r="W24" s="73">
        <f ca="1">IF(V24="","",V24-K24)</f>
        <v>-2.1827872842550278E-11</v>
      </c>
      <c r="X24" s="98"/>
      <c r="Y24" s="99">
        <f ca="1">IF(V24="","",J24/'1.c PUC_Projection'!H26)</f>
        <v>0.9647208558714504</v>
      </c>
      <c r="Z24" s="99">
        <f ca="1">IF(V24="","",($D$5-$D$9)/$H$15*(1+$D$10)^-(C24-$D$9+1))</f>
        <v>0.96472085587144951</v>
      </c>
      <c r="AA24" s="100">
        <f t="shared" ca="1" si="5"/>
        <v>8.8817841970012523E-16</v>
      </c>
    </row>
    <row r="25" spans="2:27" ht="15" customHeight="1" x14ac:dyDescent="0.25">
      <c r="B25" s="60">
        <f t="shared" ca="1" si="6"/>
        <v>10</v>
      </c>
      <c r="C25" s="74">
        <f t="shared" ca="1" si="7"/>
        <v>50</v>
      </c>
      <c r="D25" s="75">
        <f t="shared" ca="1" si="8"/>
        <v>0.1</v>
      </c>
      <c r="E25" s="76">
        <f t="shared" ca="1" si="9"/>
        <v>214643.92996050403</v>
      </c>
      <c r="F25" s="65">
        <f t="shared" ca="1" si="10"/>
        <v>3.6484317092170926E-2</v>
      </c>
      <c r="G25" s="65">
        <f t="shared" ca="1" si="10"/>
        <v>0.05</v>
      </c>
      <c r="I25" s="97">
        <f ca="1">IFERROR((1-(1+$D$10)^-($D$5-$C25))/$D$10,0)</f>
        <v>0</v>
      </c>
      <c r="J25" s="66">
        <f ca="1">IF($C25="","",
D25*($D$5-$D$9)*((1+F25)/(1+G25))^($D$5-$D$9)/$H$15)</f>
        <v>9.647208558714504E-2</v>
      </c>
      <c r="K25" s="68">
        <f t="shared" ca="1" si="2"/>
        <v>21462.63372036373</v>
      </c>
      <c r="L25" s="67">
        <f t="shared" ca="1" si="3"/>
        <v>214643.92996050403</v>
      </c>
      <c r="M25" s="68">
        <f t="shared" ca="1" si="4"/>
        <v>214643.92996050403</v>
      </c>
      <c r="N25" s="69"/>
      <c r="O25" s="70">
        <f ca="1">IF($C25="",0,
K25*'1.c Decrements'!D21+(O24-P24-Q24)*(1+G24))</f>
        <v>141379.50338100659</v>
      </c>
      <c r="P25" s="71">
        <f ca="1">M25*'1.a Assumptions'!$C$10*'1.c Decrements'!E21</f>
        <v>0</v>
      </c>
      <c r="Q25" s="71">
        <f ca="1">L26*('1.c Decrements'!F21+'1.c Decrements'!G21)</f>
        <v>23211.009932282206</v>
      </c>
      <c r="R25" s="71">
        <f ca="1">O25-L26*'1.c Decrements'!D21</f>
        <v>25812.608284483271</v>
      </c>
      <c r="S25" s="71">
        <f ca="1">IF(B26=$S$13,$D$3,IF(B26&lt;$S$13,'1.c Decrements'!$L$11,""))</f>
        <v>0.75</v>
      </c>
      <c r="V25" s="72" t="str">
        <f ca="1">IF($C26&lt;=$D$5,L26-L25*(1+i),"")</f>
        <v/>
      </c>
      <c r="W25" s="73" t="str">
        <f ca="1">IF(V25="","",V25-K25)</f>
        <v/>
      </c>
      <c r="X25" s="98"/>
      <c r="Y25" s="99" t="str">
        <f ca="1">IF(V25="","",J25/'1.c PUC_Projection'!H27)</f>
        <v/>
      </c>
      <c r="Z25" s="99" t="str">
        <f ca="1">IF(V25="","",($D$5-$D$9)/$H$15*(1+$D$10)^-(C25-$D$9+1))</f>
        <v/>
      </c>
      <c r="AA25" s="100" t="str">
        <f t="shared" ca="1" si="5"/>
        <v/>
      </c>
    </row>
    <row r="26" spans="2:27" ht="15" customHeight="1" x14ac:dyDescent="0.25">
      <c r="B26" s="60">
        <f t="shared" ca="1" si="6"/>
        <v>11</v>
      </c>
      <c r="C26" s="74">
        <f t="shared" ca="1" si="7"/>
        <v>51</v>
      </c>
      <c r="D26" s="75">
        <f t="shared" ca="1" si="8"/>
        <v>0.1</v>
      </c>
      <c r="E26" s="76">
        <f t="shared" ca="1" si="9"/>
        <v>222475.06716309278</v>
      </c>
      <c r="F26" s="65">
        <f t="shared" ca="1" si="10"/>
        <v>3.6484317092170926E-2</v>
      </c>
      <c r="G26" s="65">
        <f t="shared" ca="1" si="10"/>
        <v>0.05</v>
      </c>
      <c r="I26" s="97">
        <f ca="1">IFERROR((1-(1+$D$10)^-($D$5-$C26))/$D$10,0)</f>
        <v>-1</v>
      </c>
      <c r="J26" s="66">
        <f ca="1">IF($C26="","",
D26*($D$5-$D$9)*((1+F26)/(1+G26))^($D$5-$D$9)/$H$15)</f>
        <v>9.647208558714504E-2</v>
      </c>
      <c r="K26" s="68">
        <f t="shared" ca="1" si="2"/>
        <v>22245.683254650598</v>
      </c>
      <c r="L26" s="67">
        <f t="shared" ca="1" si="3"/>
        <v>244722.57387940207</v>
      </c>
      <c r="M26" s="68">
        <f t="shared" ca="1" si="4"/>
        <v>244722.57387940207</v>
      </c>
      <c r="N26" s="69"/>
      <c r="O26" s="70">
        <f ca="1">IF($C26="",0,
K26*'1.c Decrements'!D22+(O25-P25-Q25)*(1+G25))</f>
        <v>132472.21952510485</v>
      </c>
      <c r="P26" s="71">
        <f ca="1">M26*'1.a Assumptions'!$C$10*'1.c Decrements'!E22</f>
        <v>0</v>
      </c>
      <c r="Q26" s="71">
        <f ca="1">L27*('1.c Decrements'!F22+'1.c Decrements'!G22)</f>
        <v>20982.874265823099</v>
      </c>
      <c r="R26" s="71">
        <f ca="1">O26-L27*'1.c Decrements'!D22</f>
        <v>28044.481455394212</v>
      </c>
      <c r="S26" s="71">
        <f ca="1">IF(B27=$S$13,$D$3,IF(B27&lt;$S$13,'1.c Decrements'!$L$11,""))</f>
        <v>0.75</v>
      </c>
      <c r="V26" s="72" t="str">
        <f ca="1">IF($C27&lt;=$D$5,L27-L26*(1+i),"")</f>
        <v/>
      </c>
      <c r="W26" s="73" t="str">
        <f ca="1">IF(V26="","",V26-K26)</f>
        <v/>
      </c>
      <c r="X26" s="98"/>
      <c r="Y26" s="99" t="str">
        <f ca="1">IF(V26="","",J26/'1.c PUC_Projection'!H28)</f>
        <v/>
      </c>
      <c r="Z26" s="99" t="str">
        <f ca="1">IF(V26="","",($D$5-$D$9)/$H$15*(1+$D$10)^-(C26-$D$9+1))</f>
        <v/>
      </c>
      <c r="AA26" s="100" t="str">
        <f t="shared" ca="1" si="5"/>
        <v/>
      </c>
    </row>
    <row r="27" spans="2:27" ht="15" customHeight="1" x14ac:dyDescent="0.25">
      <c r="B27" s="60">
        <f t="shared" ca="1" si="6"/>
        <v>12</v>
      </c>
      <c r="C27" s="74">
        <f t="shared" ca="1" si="7"/>
        <v>52</v>
      </c>
      <c r="D27" s="75">
        <f t="shared" ca="1" si="8"/>
        <v>0.1</v>
      </c>
      <c r="E27" s="76">
        <f t="shared" ca="1" si="9"/>
        <v>230591.91805857309</v>
      </c>
      <c r="F27" s="65">
        <f t="shared" ca="1" si="10"/>
        <v>3.6484317092170926E-2</v>
      </c>
      <c r="G27" s="65">
        <f t="shared" ca="1" si="10"/>
        <v>0.05</v>
      </c>
      <c r="I27" s="97">
        <f ca="1">IFERROR((1-(1+$D$10)^-($D$5-$C27))/$D$10,0)</f>
        <v>-2.013039929968008</v>
      </c>
      <c r="J27" s="66">
        <f ca="1">IF($C27="","",
D27*($D$5-$D$9)*((1+F27)/(1+G27))^($D$5-$D$9)/$H$15)</f>
        <v>9.647208558714504E-2</v>
      </c>
      <c r="K27" s="68">
        <f t="shared" ca="1" si="2"/>
        <v>23057.30181644527</v>
      </c>
      <c r="L27" s="67">
        <f t="shared" ca="1" si="3"/>
        <v>276710.30167028774</v>
      </c>
      <c r="M27" s="68">
        <f t="shared" ca="1" si="4"/>
        <v>276710.30167028774</v>
      </c>
      <c r="N27" s="69"/>
      <c r="O27" s="70">
        <f ca="1">IF($C27="",0,
K27*'1.c Decrements'!D23+(O26-P26-Q26)*(1+G26))</f>
        <v>124016.98122664395</v>
      </c>
      <c r="P27" s="71">
        <f ca="1">M27*'1.a Assumptions'!$C$10*'1.c Decrements'!E23</f>
        <v>0</v>
      </c>
      <c r="Q27" s="71">
        <f ca="1">L28*('1.c Decrements'!F23+'1.c Decrements'!G23)</f>
        <v>18835.404637588868</v>
      </c>
      <c r="R27" s="71">
        <f ca="1">O27-L28*'1.c Decrements'!D23</f>
        <v>30320.247495803895</v>
      </c>
      <c r="S27" s="71">
        <f ca="1">IF(B28=$S$13,$D$3,IF(B28&lt;$S$13,'1.c Decrements'!$L$11,""))</f>
        <v>0.75</v>
      </c>
      <c r="V27" s="72" t="str">
        <f ca="1">IF($C28&lt;=$D$5,L28-L27*(1+i),"")</f>
        <v/>
      </c>
      <c r="W27" s="73" t="str">
        <f ca="1">IF(V27="","",V27-K27)</f>
        <v/>
      </c>
      <c r="X27" s="98"/>
      <c r="Y27" s="99" t="str">
        <f ca="1">IF(V27="","",J27/'1.c PUC_Projection'!H29)</f>
        <v/>
      </c>
      <c r="Z27" s="99" t="str">
        <f ca="1">IF(V27="","",($D$5-$D$9)/$H$15*(1+$D$10)^-(C27-$D$9+1))</f>
        <v/>
      </c>
      <c r="AA27" s="100" t="str">
        <f t="shared" ca="1" si="5"/>
        <v/>
      </c>
    </row>
    <row r="28" spans="2:27" ht="15" customHeight="1" x14ac:dyDescent="0.25">
      <c r="B28" s="60">
        <f t="shared" ca="1" si="6"/>
        <v>13</v>
      </c>
      <c r="C28" s="74">
        <f t="shared" ca="1" si="7"/>
        <v>53</v>
      </c>
      <c r="D28" s="75">
        <f t="shared" ca="1" si="8"/>
        <v>0.1</v>
      </c>
      <c r="E28" s="76">
        <f t="shared" ca="1" si="9"/>
        <v>239004.90671591397</v>
      </c>
      <c r="F28" s="65">
        <f t="shared" ca="1" si="10"/>
        <v>3.6484317092170926E-2</v>
      </c>
      <c r="G28" s="65">
        <f t="shared" ca="1" si="10"/>
        <v>0.05</v>
      </c>
      <c r="I28" s="97">
        <f ca="1">IFERROR((1-(1+$D$10)^-($D$5-$C28))/$D$10,0)</f>
        <v>-3.039289829677609</v>
      </c>
      <c r="J28" s="66">
        <f ca="1">IF($C28="","",
D28*($D$5-$D$9)*((1+F28)/(1+G28))^($D$5-$D$9)/$H$15)</f>
        <v>9.647208558714504E-2</v>
      </c>
      <c r="K28" s="68">
        <f t="shared" ca="1" si="2"/>
        <v>23898.531727206348</v>
      </c>
      <c r="L28" s="67">
        <f t="shared" ca="1" si="3"/>
        <v>310706.37873068819</v>
      </c>
      <c r="M28" s="68">
        <f t="shared" ca="1" si="4"/>
        <v>310706.37873068819</v>
      </c>
      <c r="N28" s="69"/>
      <c r="O28" s="70">
        <f ca="1">IF($C28="",0,
K28*'1.c Decrements'!D24+(O27-P27-Q27)*(1+G27))</f>
        <v>116198.74720852745</v>
      </c>
      <c r="P28" s="71">
        <f ca="1">M28*'1.a Assumptions'!$C$10*'1.c Decrements'!E24</f>
        <v>0</v>
      </c>
      <c r="Q28" s="71">
        <f ca="1">L29*('1.c Decrements'!F24+'1.c Decrements'!G24)</f>
        <v>16806.207195687613</v>
      </c>
      <c r="R28" s="71">
        <f ca="1">O28-L29*'1.c Decrements'!D24</f>
        <v>32637.492603478968</v>
      </c>
      <c r="S28" s="71">
        <f ca="1">IF(B29=$S$13,$D$3,IF(B29&lt;$S$13,'1.c Decrements'!$L$11,""))</f>
        <v>0.75</v>
      </c>
      <c r="V28" s="72" t="str">
        <f ca="1">IF($C29&lt;=$D$5,L29-L28*(1+i),"")</f>
        <v/>
      </c>
      <c r="W28" s="73" t="str">
        <f ca="1">IF(V28="","",V28-K28)</f>
        <v/>
      </c>
      <c r="X28" s="98"/>
      <c r="Y28" s="99" t="str">
        <f ca="1">IF(V28="","",J28/'1.c PUC_Projection'!H30)</f>
        <v/>
      </c>
      <c r="Z28" s="99" t="str">
        <f ca="1">IF(V28="","",($D$5-$D$9)/$H$15*(1+$D$10)^-(C28-$D$9+1))</f>
        <v/>
      </c>
      <c r="AA28" s="100" t="str">
        <f t="shared" ca="1" si="5"/>
        <v/>
      </c>
    </row>
    <row r="29" spans="2:27" ht="15" customHeight="1" x14ac:dyDescent="0.25">
      <c r="B29" s="60">
        <f t="shared" ca="1" si="6"/>
        <v>14</v>
      </c>
      <c r="C29" s="74">
        <f t="shared" ca="1" si="7"/>
        <v>54</v>
      </c>
      <c r="D29" s="75">
        <f t="shared" ca="1" si="8"/>
        <v>0.1</v>
      </c>
      <c r="E29" s="76">
        <f t="shared" ca="1" si="9"/>
        <v>247724.83751912211</v>
      </c>
      <c r="F29" s="65">
        <f t="shared" ca="1" si="10"/>
        <v>3.6484317092170926E-2</v>
      </c>
      <c r="G29" s="65">
        <f t="shared" ca="1" si="10"/>
        <v>0.05</v>
      </c>
      <c r="I29" s="97">
        <f ca="1">IFERROR((1-(1+$D$10)^-($D$5-$C29))/$D$10,0)</f>
        <v>-4.0789219562091006</v>
      </c>
      <c r="J29" s="66">
        <f ca="1">IF($C29="","",
D29*($D$5-$D$9)*((1+F29)/(1+G29))^($D$5-$D$9)/$H$15)</f>
        <v>9.647208558714504E-2</v>
      </c>
      <c r="K29" s="68">
        <f t="shared" ca="1" si="2"/>
        <v>24770.45333677905</v>
      </c>
      <c r="L29" s="67">
        <f t="shared" ca="1" si="3"/>
        <v>346814.772526771</v>
      </c>
      <c r="M29" s="68">
        <f t="shared" ca="1" si="4"/>
        <v>346814.772526771</v>
      </c>
      <c r="N29" s="69"/>
      <c r="O29" s="70">
        <f ca="1">IF($C29="",0,
K29*'1.c Decrements'!D25+(O28-P28-Q28)*(1+G28))</f>
        <v>109129.99387045461</v>
      </c>
      <c r="P29" s="71">
        <f ca="1">M29*'1.a Assumptions'!$C$10*'1.c Decrements'!E25</f>
        <v>0</v>
      </c>
      <c r="Q29" s="71">
        <f ca="1">L30*('1.c Decrements'!F25+'1.c Decrements'!G25)</f>
        <v>14917.820745476465</v>
      </c>
      <c r="R29" s="71">
        <f ca="1">O29-L30*'1.c Decrements'!D25</f>
        <v>34997.251306297243</v>
      </c>
      <c r="S29" s="71">
        <f ca="1">IF(B30=$S$13,$D$3,IF(B30&lt;$S$13,'1.c Decrements'!$L$11,""))</f>
        <v>15</v>
      </c>
      <c r="V29" s="72" t="str">
        <f ca="1">IF($C30&lt;=$D$5,L30-L29*(1+i),"")</f>
        <v/>
      </c>
      <c r="W29" s="73" t="str">
        <f ca="1">IF(V29="","",V29-K29)</f>
        <v/>
      </c>
      <c r="X29" s="98"/>
      <c r="Y29" s="99" t="str">
        <f ca="1">IF(V29="","",J29/'1.c PUC_Projection'!H31)</f>
        <v/>
      </c>
      <c r="Z29" s="99" t="str">
        <f ca="1">IF(V29="","",($D$5-$D$9)/$H$15*(1+$D$10)^-(C29-$D$9+1))</f>
        <v/>
      </c>
      <c r="AA29" s="100" t="str">
        <f t="shared" ca="1" si="5"/>
        <v/>
      </c>
    </row>
    <row r="30" spans="2:27" ht="15" customHeight="1" x14ac:dyDescent="0.25">
      <c r="B30" s="60">
        <f t="shared" ca="1" si="6"/>
        <v>15</v>
      </c>
      <c r="C30" s="74">
        <f t="shared" ca="1" si="7"/>
        <v>55</v>
      </c>
      <c r="D30" s="75">
        <f t="shared" ca="1" si="8"/>
        <v>0.1</v>
      </c>
      <c r="E30" s="76">
        <f t="shared" ca="1" si="9"/>
        <v>256762.90904277627</v>
      </c>
      <c r="F30" s="65">
        <f t="shared" ca="1" si="10"/>
        <v>3.6484317092170926E-2</v>
      </c>
      <c r="G30" s="65">
        <f t="shared" ca="1" si="10"/>
        <v>0.05</v>
      </c>
      <c r="I30" s="97">
        <f ca="1">IFERROR((1-(1+$D$10)^-($D$5-$C30))/$D$10,0)</f>
        <v>-5.1321108128630719</v>
      </c>
      <c r="J30" s="66">
        <f ca="1">IF($C30="","",
D30*($D$5-$D$9)*((1+F30)/(1+G30))^($D$5-$D$9)/$H$15)</f>
        <v>9.647208558714504E-2</v>
      </c>
      <c r="K30" s="68">
        <f t="shared" ca="1" si="2"/>
        <v>25674.186410834922</v>
      </c>
      <c r="L30" s="67">
        <f t="shared" ca="1" si="3"/>
        <v>385144.36356416438</v>
      </c>
      <c r="M30" s="68">
        <f t="shared" ca="1" si="4"/>
        <v>385144.36356416438</v>
      </c>
      <c r="N30" s="69"/>
      <c r="O30" s="70">
        <f ca="1">IF($C30="",0,
K30*'1.c Decrements'!D26+(O29-P29-Q29)*(1+G29))</f>
        <v>102870.1196755347</v>
      </c>
      <c r="P30" s="71">
        <f ca="1">M30*'1.a Assumptions'!$C$10*'1.c Decrements'!E26</f>
        <v>0</v>
      </c>
      <c r="Q30" s="71">
        <f ca="1">L31*('1.c Decrements'!F26+'1.c Decrements'!G26)</f>
        <v>13181.576389902189</v>
      </c>
      <c r="R30" s="71">
        <f ca="1">O30-L31*'1.c Decrements'!D26</f>
        <v>37403.092685772819</v>
      </c>
      <c r="S30" s="71" t="str">
        <f ca="1">IF(B31=$S$13,$D$3,IF(B31&lt;$S$13,'1.c Decrements'!$L$11,""))</f>
        <v/>
      </c>
      <c r="V30" s="72" t="str">
        <f ca="1">IF($C31&lt;=$D$5,L31-L30*(1+i),"")</f>
        <v/>
      </c>
      <c r="W30" s="73" t="str">
        <f ca="1">IF(V30="","",V30-K30)</f>
        <v/>
      </c>
      <c r="X30" s="98"/>
      <c r="Y30" s="99" t="str">
        <f ca="1">IF(V30="","",J30/'1.c PUC_Projection'!H32)</f>
        <v/>
      </c>
      <c r="Z30" s="99" t="str">
        <f ca="1">IF(V30="","",($D$5-$D$9)/$H$15*(1+$D$10)^-(C30-$D$9+1))</f>
        <v/>
      </c>
      <c r="AA30" s="100" t="str">
        <f t="shared" ca="1" si="5"/>
        <v/>
      </c>
    </row>
    <row r="31" spans="2:27" ht="15" customHeight="1" x14ac:dyDescent="0.25">
      <c r="B31" s="60">
        <f t="shared" ca="1" si="6"/>
        <v>16</v>
      </c>
      <c r="C31" s="74">
        <f t="shared" ca="1" si="7"/>
        <v>56</v>
      </c>
      <c r="D31" s="75">
        <f t="shared" ca="1" si="8"/>
        <v>0.1</v>
      </c>
      <c r="E31" s="76">
        <f t="shared" ca="1" si="9"/>
        <v>266130.72843380115</v>
      </c>
      <c r="F31" s="65">
        <f t="shared" ca="1" si="10"/>
        <v>3.6484317092170926E-2</v>
      </c>
      <c r="G31" s="65">
        <f t="shared" ca="1" si="10"/>
        <v>0.05</v>
      </c>
      <c r="I31" s="97">
        <f ca="1">IFERROR((1-(1+$D$10)^-($D$5-$C31))/$D$10,0)</f>
        <v>-6.1990331784509047</v>
      </c>
      <c r="J31" s="66">
        <f ca="1">IF($C31="","",
D31*($D$5-$D$9)*((1+F31)/(1+G31))^($D$5-$D$9)/$H$15)</f>
        <v>9.647208558714504E-2</v>
      </c>
      <c r="K31" s="68">
        <f t="shared" ca="1" si="2"/>
        <v>26610.891568931325</v>
      </c>
      <c r="L31" s="67">
        <f t="shared" ca="1" si="3"/>
        <v>425809.16549408186</v>
      </c>
      <c r="M31" s="68">
        <f t="shared" ca="1" si="4"/>
        <v>425809.16549408186</v>
      </c>
      <c r="N31" s="69"/>
      <c r="O31" s="70">
        <f ca="1">IF($C31="",0,
K31*'1.c Decrements'!D27+(O30-P30-Q30)*(1+G30))</f>
        <v>97440.543271957882</v>
      </c>
      <c r="P31" s="71">
        <f ca="1">M31*'1.a Assumptions'!$C$10*'1.c Decrements'!E27</f>
        <v>0</v>
      </c>
      <c r="Q31" s="71">
        <f ca="1">L32*('1.c Decrements'!F27+'1.c Decrements'!G27)</f>
        <v>11600.827024858227</v>
      </c>
      <c r="R31" s="71">
        <f ca="1">O31-L32*'1.c Decrements'!D27</f>
        <v>39860.428115677605</v>
      </c>
      <c r="S31" s="71" t="str">
        <f ca="1">IF(B32=$S$13,$D$3,IF(B32&lt;$S$13,'1.c Decrements'!$L$11,""))</f>
        <v/>
      </c>
      <c r="V31" s="72" t="str">
        <f ca="1">IF($C32&lt;=$D$5,L32-L31*(1+i),"")</f>
        <v/>
      </c>
      <c r="W31" s="73" t="str">
        <f ca="1">IF(V31="","",V31-K31)</f>
        <v/>
      </c>
      <c r="X31" s="98"/>
      <c r="Y31" s="99" t="str">
        <f ca="1">IF(V31="","",J31/'1.c PUC_Projection'!H33)</f>
        <v/>
      </c>
      <c r="Z31" s="99" t="str">
        <f ca="1">IF(V31="","",($D$5-$D$9)/$H$15*(1+$D$10)^-(C31-$D$9+1))</f>
        <v/>
      </c>
      <c r="AA31" s="100" t="str">
        <f t="shared" ca="1" si="5"/>
        <v/>
      </c>
    </row>
    <row r="32" spans="2:27" ht="15" customHeight="1" x14ac:dyDescent="0.25">
      <c r="B32" s="60">
        <f t="shared" ca="1" si="6"/>
        <v>17</v>
      </c>
      <c r="C32" s="74">
        <f t="shared" ca="1" si="7"/>
        <v>57</v>
      </c>
      <c r="D32" s="75">
        <f t="shared" ca="1" si="8"/>
        <v>0.1</v>
      </c>
      <c r="E32" s="76">
        <f t="shared" ca="1" si="9"/>
        <v>275840.32631795038</v>
      </c>
      <c r="F32" s="65">
        <f t="shared" ca="1" si="10"/>
        <v>3.6484317092170926E-2</v>
      </c>
      <c r="G32" s="65">
        <f t="shared" ca="1" si="10"/>
        <v>0.05</v>
      </c>
      <c r="I32" s="97">
        <f ca="1">IFERROR((1-(1+$D$10)^-($D$5-$C32))/$D$10,0)</f>
        <v>-7.2798681369673064</v>
      </c>
      <c r="J32" s="66">
        <f ca="1">IF($C32="","",
D32*($D$5-$D$9)*((1+F32)/(1+G32))^($D$5-$D$9)/$H$15)</f>
        <v>9.647208558714504E-2</v>
      </c>
      <c r="K32" s="68">
        <f t="shared" ca="1" si="2"/>
        <v>27581.771775037592</v>
      </c>
      <c r="L32" s="67">
        <f t="shared" ca="1" si="3"/>
        <v>468928.55474051571</v>
      </c>
      <c r="M32" s="68">
        <f t="shared" ca="1" si="4"/>
        <v>468928.55474051571</v>
      </c>
      <c r="N32" s="69"/>
      <c r="O32" s="70">
        <f ca="1">IF($C32="",0,
K32*'1.c Decrements'!D28+(O31-P31-Q31)*(1+G31))</f>
        <v>92836.144386114276</v>
      </c>
      <c r="P32" s="71">
        <f ca="1">M32*'1.a Assumptions'!$C$10*'1.c Decrements'!E28</f>
        <v>0</v>
      </c>
      <c r="Q32" s="71">
        <f ca="1">L33*('1.c Decrements'!F28+'1.c Decrements'!G28)</f>
        <v>10173.392527773402</v>
      </c>
      <c r="R32" s="71">
        <f ca="1">O32-L33*'1.c Decrements'!D28</f>
        <v>42375.991499816606</v>
      </c>
      <c r="S32" s="71" t="str">
        <f ca="1">IF(B33=$S$13,$D$3,IF(B33&lt;$S$13,'1.c Decrements'!$L$11,""))</f>
        <v/>
      </c>
      <c r="V32" s="72" t="str">
        <f ca="1">IF($C33&lt;=$D$5,L33-L32*(1+i),"")</f>
        <v/>
      </c>
      <c r="W32" s="73" t="str">
        <f ca="1">IF(V32="","",V32-K32)</f>
        <v/>
      </c>
      <c r="X32" s="98"/>
      <c r="Y32" s="99" t="str">
        <f ca="1">IF(V32="","",J32/'1.c PUC_Projection'!H34)</f>
        <v/>
      </c>
      <c r="Z32" s="99" t="str">
        <f ca="1">IF(V32="","",($D$5-$D$9)/$H$15*(1+$D$10)^-(C32-$D$9+1))</f>
        <v/>
      </c>
      <c r="AA32" s="100" t="str">
        <f t="shared" ca="1" si="5"/>
        <v/>
      </c>
    </row>
    <row r="33" spans="2:27" ht="15" customHeight="1" x14ac:dyDescent="0.25">
      <c r="B33" s="60">
        <f t="shared" ca="1" si="6"/>
        <v>18</v>
      </c>
      <c r="C33" s="74">
        <f t="shared" ca="1" si="7"/>
        <v>58</v>
      </c>
      <c r="D33" s="75">
        <f t="shared" ca="1" si="8"/>
        <v>0.1</v>
      </c>
      <c r="E33" s="76">
        <f t="shared" ca="1" si="9"/>
        <v>285904.17225014238</v>
      </c>
      <c r="F33" s="65">
        <f t="shared" ref="F33:G48" ca="1" si="11">IF($C33="","",F32)</f>
        <v>3.6484317092170926E-2</v>
      </c>
      <c r="G33" s="65">
        <f t="shared" ca="1" si="11"/>
        <v>0.05</v>
      </c>
      <c r="I33" s="97">
        <f ca="1">IFERROR((1-(1+$D$10)^-($D$5-$C33))/$D$10,0)</f>
        <v>-8.3747971076497478</v>
      </c>
      <c r="J33" s="66">
        <f ca="1">IF($C33="","",
D33*($D$5-$D$9)*((1+F33)/(1+G33))^($D$5-$D$9)/$H$15)</f>
        <v>9.647208558714504E-2</v>
      </c>
      <c r="K33" s="68">
        <f t="shared" ca="1" si="2"/>
        <v>28588.073882441953</v>
      </c>
      <c r="L33" s="67">
        <f t="shared" ca="1" si="3"/>
        <v>514627.51005025627</v>
      </c>
      <c r="M33" s="68">
        <f t="shared" ca="1" si="4"/>
        <v>514627.51005025627</v>
      </c>
      <c r="N33" s="69"/>
      <c r="O33" s="70">
        <f ca="1">IF($C33="",0,
K33*'1.c Decrements'!D29+(O32-P32-Q32)*(1+G32))</f>
        <v>89033.859359825874</v>
      </c>
      <c r="P33" s="71">
        <f ca="1">M33*'1.a Assumptions'!$C$10*'1.c Decrements'!E29</f>
        <v>0</v>
      </c>
      <c r="Q33" s="71">
        <f ca="1">L34*('1.c Decrements'!F29+'1.c Decrements'!G29)</f>
        <v>8893.1906850977739</v>
      </c>
      <c r="R33" s="71">
        <f ca="1">O33-L34*'1.c Decrements'!D29</f>
        <v>44957.45321187262</v>
      </c>
      <c r="S33" s="71" t="str">
        <f ca="1">IF(B34=$S$13,$D$3,IF(B34&lt;$S$13,'1.c Decrements'!$L$11,""))</f>
        <v/>
      </c>
      <c r="V33" s="72" t="str">
        <f ca="1">IF($C34&lt;=$D$5,L34-L33*(1+i),"")</f>
        <v/>
      </c>
      <c r="W33" s="73" t="str">
        <f ca="1">IF(V33="","",V33-K33)</f>
        <v/>
      </c>
      <c r="X33" s="98"/>
      <c r="Y33" s="99" t="str">
        <f ca="1">IF(V33="","",J33/'1.c PUC_Projection'!H35)</f>
        <v/>
      </c>
      <c r="Z33" s="99" t="str">
        <f ca="1">IF(V33="","",($D$5-$D$9)/$H$15*(1+$D$10)^-(C33-$D$9+1))</f>
        <v/>
      </c>
      <c r="AA33" s="100" t="str">
        <f t="shared" ca="1" si="5"/>
        <v/>
      </c>
    </row>
    <row r="34" spans="2:27" ht="15" customHeight="1" x14ac:dyDescent="0.25">
      <c r="B34" s="60">
        <f t="shared" ca="1" si="6"/>
        <v>19</v>
      </c>
      <c r="C34" s="74">
        <f t="shared" ca="1" si="7"/>
        <v>59</v>
      </c>
      <c r="D34" s="75">
        <f t="shared" ca="1" si="8"/>
        <v>0.1</v>
      </c>
      <c r="E34" s="76">
        <f t="shared" ca="1" si="9"/>
        <v>296335.19072849123</v>
      </c>
      <c r="F34" s="65">
        <f t="shared" ca="1" si="11"/>
        <v>3.6484317092170926E-2</v>
      </c>
      <c r="G34" s="65">
        <f t="shared" ca="1" si="11"/>
        <v>0.05</v>
      </c>
      <c r="I34" s="97">
        <f ca="1">IFERROR((1-(1+$D$10)^-($D$5-$C34))/$D$10,0)</f>
        <v>-9.4840038754298455</v>
      </c>
      <c r="J34" s="66">
        <f ca="1">IF($C34="","",
D34*($D$5-$D$9)*((1+F34)/(1+G34))^($D$5-$D$9)/$H$15)</f>
        <v>9.647208558714504E-2</v>
      </c>
      <c r="K34" s="68">
        <f t="shared" ca="1" si="2"/>
        <v>29631.090235023381</v>
      </c>
      <c r="L34" s="67">
        <f t="shared" ca="1" si="3"/>
        <v>563036.86238413339</v>
      </c>
      <c r="M34" s="68">
        <f t="shared" ca="1" si="4"/>
        <v>563036.86238413339</v>
      </c>
      <c r="N34" s="69"/>
      <c r="O34" s="70">
        <f ca="1">IF($C34="",0,
K34*'1.c Decrements'!D30+(O33-P33-Q33)*(1+G33))</f>
        <v>85999.298516777257</v>
      </c>
      <c r="P34" s="71">
        <f ca="1">M34*'1.a Assumptions'!$C$10*'1.c Decrements'!E30</f>
        <v>0</v>
      </c>
      <c r="Q34" s="71">
        <f ca="1">L35*('1.c Decrements'!F30+'1.c Decrements'!G30)</f>
        <v>7751.793075693201</v>
      </c>
      <c r="R34" s="71">
        <f ca="1">O34-L35*'1.c Decrements'!D30</f>
        <v>47613.13951454097</v>
      </c>
      <c r="S34" s="71" t="str">
        <f ca="1">IF(B35=$S$13,$D$3,IF(B35&lt;$S$13,'1.c Decrements'!$L$11,""))</f>
        <v/>
      </c>
      <c r="V34" s="72" t="str">
        <f ca="1">IF($C35&lt;=$D$5,L35-L34*(1+i),"")</f>
        <v/>
      </c>
      <c r="W34" s="73" t="str">
        <f ca="1">IF(V34="","",V34-K34)</f>
        <v/>
      </c>
      <c r="X34" s="98"/>
      <c r="Y34" s="99" t="str">
        <f ca="1">IF(V34="","",J34/'1.c PUC_Projection'!H36)</f>
        <v/>
      </c>
      <c r="Z34" s="99" t="str">
        <f ca="1">IF(V34="","",($D$5-$D$9)/$H$15*(1+$D$10)^-(C34-$D$9+1))</f>
        <v/>
      </c>
      <c r="AA34" s="100" t="str">
        <f t="shared" ca="1" si="5"/>
        <v/>
      </c>
    </row>
    <row r="35" spans="2:27" ht="15" customHeight="1" x14ac:dyDescent="0.25">
      <c r="B35" s="60">
        <f t="shared" ca="1" si="6"/>
        <v>20</v>
      </c>
      <c r="C35" s="74">
        <f t="shared" ca="1" si="7"/>
        <v>60</v>
      </c>
      <c r="D35" s="75">
        <f t="shared" ca="1" si="8"/>
        <v>0.1</v>
      </c>
      <c r="E35" s="76">
        <f t="shared" ca="1" si="9"/>
        <v>307146.77779259847</v>
      </c>
      <c r="F35" s="65">
        <f t="shared" ca="1" si="11"/>
        <v>3.6484317092170926E-2</v>
      </c>
      <c r="G35" s="65">
        <f t="shared" ca="1" si="11"/>
        <v>0.05</v>
      </c>
      <c r="I35" s="97">
        <f ca="1">IFERROR((1-(1+$D$10)^-($D$5-$C35))/$D$10,0)</f>
        <v>-10.607674621781838</v>
      </c>
      <c r="J35" s="66">
        <f ca="1">IF($C35="","",
D35*($D$5-$D$9)*((1+F35)/(1+G35))^($D$5-$D$9)/$H$15)</f>
        <v>9.647208558714504E-2</v>
      </c>
      <c r="K35" s="68">
        <f t="shared" ca="1" si="2"/>
        <v>30712.160326944701</v>
      </c>
      <c r="L35" s="67">
        <f t="shared" ca="1" si="3"/>
        <v>614293.55558519694</v>
      </c>
      <c r="M35" s="68">
        <f t="shared" ca="1" si="4"/>
        <v>614293.55558519694</v>
      </c>
      <c r="N35" s="69"/>
      <c r="O35" s="70">
        <f ca="1">IF($C35="",0,
K35*'1.c Decrements'!D31+(O34-P34-Q34)*(1+G34))</f>
        <v>83691.473465977746</v>
      </c>
      <c r="P35" s="71">
        <f ca="1">M35*'1.a Assumptions'!$C$10*'1.c Decrements'!E31</f>
        <v>0</v>
      </c>
      <c r="Q35" s="71">
        <f ca="1">L36*('1.c Decrements'!F31+'1.c Decrements'!G31)</f>
        <v>6739.2485296767518</v>
      </c>
      <c r="R35" s="71">
        <f ca="1">O35-L36*'1.c Decrements'!D31</f>
        <v>50351.831626706829</v>
      </c>
      <c r="S35" s="71" t="str">
        <f ca="1">IF(B36=$S$13,$D$3,IF(B36&lt;$S$13,'1.c Decrements'!$L$11,""))</f>
        <v/>
      </c>
      <c r="V35" s="72" t="str">
        <f ca="1">IF($C36&lt;=$D$5,L36-L35*(1+i),"")</f>
        <v/>
      </c>
      <c r="W35" s="73" t="str">
        <f ca="1">IF(V35="","",V35-K35)</f>
        <v/>
      </c>
      <c r="X35" s="98"/>
      <c r="Y35" s="99" t="str">
        <f ca="1">IF(V35="","",J35/'1.c PUC_Projection'!H37)</f>
        <v/>
      </c>
      <c r="Z35" s="99" t="str">
        <f ca="1">IF(V35="","",($D$5-$D$9)/$H$15*(1+$D$10)^-(C35-$D$9+1))</f>
        <v/>
      </c>
      <c r="AA35" s="100" t="str">
        <f t="shared" ca="1" si="5"/>
        <v/>
      </c>
    </row>
    <row r="36" spans="2:27" ht="15" customHeight="1" x14ac:dyDescent="0.25">
      <c r="B36" s="60">
        <f t="shared" ca="1" si="6"/>
        <v>21</v>
      </c>
      <c r="C36" s="74">
        <f t="shared" ca="1" si="7"/>
        <v>61</v>
      </c>
      <c r="D36" s="75">
        <f t="shared" ca="1" si="8"/>
        <v>0.1</v>
      </c>
      <c r="E36" s="76">
        <f t="shared" ca="1" si="9"/>
        <v>318352.81822742219</v>
      </c>
      <c r="F36" s="65">
        <f t="shared" ca="1" si="11"/>
        <v>3.6484317092170926E-2</v>
      </c>
      <c r="G36" s="65">
        <f t="shared" ca="1" si="11"/>
        <v>0.05</v>
      </c>
      <c r="I36" s="97">
        <f ca="1">IFERROR((1-(1+$D$10)^-($D$5-$C36))/$D$10,0)</f>
        <v>-11.745997955973378</v>
      </c>
      <c r="J36" s="66">
        <f ca="1">IF($C36="","",
D36*($D$5-$D$9)*((1+F36)/(1+G36))^($D$5-$D$9)/$H$15)</f>
        <v>9.647208558714504E-2</v>
      </c>
      <c r="K36" s="68">
        <f t="shared" ca="1" si="2"/>
        <v>31832.672522898542</v>
      </c>
      <c r="L36" s="67">
        <f t="shared" ca="1" si="3"/>
        <v>668540.91827758658</v>
      </c>
      <c r="M36" s="68">
        <f t="shared" ca="1" si="4"/>
        <v>668540.91827758658</v>
      </c>
      <c r="N36" s="69"/>
      <c r="O36" s="70">
        <f ca="1">IF($C36="",0,
K36*'1.c Decrements'!D32+(O35-P35-Q35)*(1+G35))</f>
        <v>82066.417758087089</v>
      </c>
      <c r="P36" s="71">
        <f ca="1">M36*'1.a Assumptions'!$C$10*'1.c Decrements'!E32</f>
        <v>0</v>
      </c>
      <c r="Q36" s="71">
        <f ca="1">L37*('1.c Decrements'!F32+'1.c Decrements'!G32)</f>
        <v>5844.9699668023886</v>
      </c>
      <c r="R36" s="71">
        <f ca="1">O36-L37*'1.c Decrements'!D32</f>
        <v>53182.627716881703</v>
      </c>
      <c r="S36" s="71" t="str">
        <f ca="1">IF(B37=$S$13,$D$3,IF(B37&lt;$S$13,'1.c Decrements'!$L$11,""))</f>
        <v/>
      </c>
      <c r="V36" s="72" t="str">
        <f ca="1">IF($C37&lt;=$D$5,L37-L36*(1+i),"")</f>
        <v/>
      </c>
      <c r="W36" s="73" t="str">
        <f ca="1">IF(V36="","",V36-K36)</f>
        <v/>
      </c>
      <c r="X36" s="98"/>
      <c r="Y36" s="99" t="str">
        <f ca="1">IF(V36="","",J36/'1.c PUC_Projection'!H38)</f>
        <v/>
      </c>
      <c r="Z36" s="99" t="str">
        <f ca="1">IF(V36="","",($D$5-$D$9)/$H$15*(1+$D$10)^-(C36-$D$9+1))</f>
        <v/>
      </c>
      <c r="AA36" s="100" t="str">
        <f t="shared" ca="1" si="5"/>
        <v/>
      </c>
    </row>
    <row r="37" spans="2:27" ht="15" customHeight="1" x14ac:dyDescent="0.25">
      <c r="B37" s="60">
        <f t="shared" ca="1" si="6"/>
        <v>22</v>
      </c>
      <c r="C37" s="74">
        <f t="shared" ca="1" si="7"/>
        <v>62</v>
      </c>
      <c r="D37" s="75">
        <f t="shared" ca="1" si="8"/>
        <v>0.1</v>
      </c>
      <c r="E37" s="76">
        <f t="shared" ca="1" si="9"/>
        <v>329967.70339481771</v>
      </c>
      <c r="F37" s="65">
        <f t="shared" ca="1" si="11"/>
        <v>3.6484317092170926E-2</v>
      </c>
      <c r="G37" s="65">
        <f t="shared" ca="1" si="11"/>
        <v>0.05</v>
      </c>
      <c r="I37" s="97">
        <f ca="1">IFERROR((1-(1+$D$10)^-($D$5-$C37))/$D$10,0)</f>
        <v>-12.899164946723713</v>
      </c>
      <c r="J37" s="66">
        <f ca="1">IF($C37="","",
D37*($D$5-$D$9)*((1+F37)/(1+G37))^($D$5-$D$9)/$H$15)</f>
        <v>9.647208558714504E-2</v>
      </c>
      <c r="K37" s="68">
        <f t="shared" ca="1" si="2"/>
        <v>32994.065841115211</v>
      </c>
      <c r="L37" s="67">
        <f t="shared" ca="1" si="3"/>
        <v>725928.94746859907</v>
      </c>
      <c r="M37" s="68">
        <f t="shared" ca="1" si="4"/>
        <v>725928.94746859907</v>
      </c>
      <c r="N37" s="69"/>
      <c r="O37" s="70">
        <f ca="1">IF($C37="",0,
K37*'1.c Decrements'!D33+(O36-P36-Q36)*(1+G36))</f>
        <v>81079.653442426643</v>
      </c>
      <c r="P37" s="71">
        <f ca="1">M37*'1.a Assumptions'!$C$10*'1.c Decrements'!E33</f>
        <v>0</v>
      </c>
      <c r="Q37" s="71">
        <f ca="1">L38*('1.c Decrements'!F33+'1.c Decrements'!G33)</f>
        <v>5058.1784202208491</v>
      </c>
      <c r="R37" s="71">
        <f ca="1">O37-L38*'1.c Decrements'!D33</f>
        <v>56114.851583207521</v>
      </c>
      <c r="S37" s="71" t="str">
        <f ca="1">IF(B38=$S$13,$D$3,IF(B38&lt;$S$13,'1.c Decrements'!$L$11,""))</f>
        <v/>
      </c>
      <c r="V37" s="72" t="str">
        <f ca="1">IF($C38&lt;=$D$5,L38-L37*(1+i),"")</f>
        <v/>
      </c>
      <c r="W37" s="73" t="str">
        <f ca="1">IF(V37="","",V37-K37)</f>
        <v/>
      </c>
      <c r="X37" s="98"/>
      <c r="Y37" s="99" t="str">
        <f ca="1">IF(V37="","",J37/'1.c PUC_Projection'!H39)</f>
        <v/>
      </c>
      <c r="Z37" s="99" t="str">
        <f ca="1">IF(V37="","",($D$5-$D$9)/$H$15*(1+$D$10)^-(C37-$D$9+1))</f>
        <v/>
      </c>
      <c r="AA37" s="100" t="str">
        <f t="shared" ca="1" si="5"/>
        <v/>
      </c>
    </row>
    <row r="38" spans="2:27" ht="15" customHeight="1" x14ac:dyDescent="0.25">
      <c r="B38" s="60">
        <f t="shared" ca="1" si="6"/>
        <v>23</v>
      </c>
      <c r="C38" s="74">
        <f t="shared" ca="1" si="7"/>
        <v>63</v>
      </c>
      <c r="D38" s="75">
        <f t="shared" ca="1" si="8"/>
        <v>0.1</v>
      </c>
      <c r="E38" s="76">
        <f t="shared" ca="1" si="9"/>
        <v>342006.34971564967</v>
      </c>
      <c r="F38" s="65">
        <f t="shared" ca="1" si="11"/>
        <v>3.6484317092170926E-2</v>
      </c>
      <c r="G38" s="65">
        <f t="shared" ca="1" si="11"/>
        <v>0.05</v>
      </c>
      <c r="I38" s="97">
        <f ca="1">IFERROR((1-(1+$D$10)^-($D$5-$C38))/$D$10,0)</f>
        <v>-14.067369154274884</v>
      </c>
      <c r="J38" s="66">
        <f ca="1">IF($C38="","",
D38*($D$5-$D$9)*((1+F38)/(1+G38))^($D$5-$D$9)/$H$15)</f>
        <v>9.647208558714504E-2</v>
      </c>
      <c r="K38" s="68">
        <f t="shared" ca="1" si="2"/>
        <v>34197.831801422421</v>
      </c>
      <c r="L38" s="67">
        <f t="shared" ca="1" si="3"/>
        <v>786614.6043459943</v>
      </c>
      <c r="M38" s="68">
        <f t="shared" ca="1" si="4"/>
        <v>786614.6043459943</v>
      </c>
      <c r="N38" s="69"/>
      <c r="O38" s="70">
        <f ca="1">IF($C38="",0,
K38*'1.c Decrements'!D34+(O37-P37-Q37)*(1+G37))</f>
        <v>80687.983201230265</v>
      </c>
      <c r="P38" s="71">
        <f ca="1">M38*'1.a Assumptions'!$C$10*'1.c Decrements'!E34</f>
        <v>0</v>
      </c>
      <c r="Q38" s="71">
        <f ca="1">L39*('1.c Decrements'!F34+'1.c Decrements'!G34)</f>
        <v>4368.3393746976917</v>
      </c>
      <c r="R38" s="71">
        <f ca="1">O38-L39*'1.c Decrements'!D34</f>
        <v>59157.997461284744</v>
      </c>
      <c r="S38" s="71" t="str">
        <f ca="1">IF(B39=$S$13,$D$3,IF(B39&lt;$S$13,'1.c Decrements'!$L$11,""))</f>
        <v/>
      </c>
      <c r="V38" s="72" t="str">
        <f ca="1">IF($C39&lt;=$D$5,L39-L38*(1+i),"")</f>
        <v/>
      </c>
      <c r="W38" s="73" t="str">
        <f ca="1">IF(V38="","",V38-K38)</f>
        <v/>
      </c>
      <c r="X38" s="98"/>
      <c r="Y38" s="99" t="str">
        <f ca="1">IF(V38="","",J38/'1.c PUC_Projection'!H40)</f>
        <v/>
      </c>
      <c r="Z38" s="99" t="str">
        <f ca="1">IF(V38="","",($D$5-$D$9)/$H$15*(1+$D$10)^-(C38-$D$9+1))</f>
        <v/>
      </c>
      <c r="AA38" s="100" t="str">
        <f t="shared" ca="1" si="5"/>
        <v/>
      </c>
    </row>
    <row r="39" spans="2:27" ht="15" customHeight="1" x14ac:dyDescent="0.25">
      <c r="B39" s="60">
        <f t="shared" ca="1" si="6"/>
        <v>24</v>
      </c>
      <c r="C39" s="74">
        <f t="shared" ca="1" si="7"/>
        <v>64</v>
      </c>
      <c r="D39" s="75">
        <f t="shared" ca="1" si="8"/>
        <v>0.1</v>
      </c>
      <c r="E39" s="76">
        <f t="shared" ca="1" si="9"/>
        <v>354484.21782621136</v>
      </c>
      <c r="F39" s="65">
        <f t="shared" ca="1" si="11"/>
        <v>3.6484317092170926E-2</v>
      </c>
      <c r="G39" s="65">
        <f t="shared" ca="1" si="11"/>
        <v>0.05</v>
      </c>
      <c r="I39" s="97">
        <f ca="1">IFERROR((1-(1+$D$10)^-($D$5-$C39))/$D$10,0)</f>
        <v>-15.250806662880873</v>
      </c>
      <c r="J39" s="66">
        <f ca="1">IF($C39="","",
D39*($D$5-$D$9)*((1+F39)/(1+G39))^($D$5-$D$9)/$H$15)</f>
        <v>9.647208558714504E-2</v>
      </c>
      <c r="K39" s="68">
        <f t="shared" ca="1" si="2"/>
        <v>35445.516340730253</v>
      </c>
      <c r="L39" s="67">
        <f t="shared" ca="1" si="3"/>
        <v>850762.12278290733</v>
      </c>
      <c r="M39" s="68">
        <f t="shared" ca="1" si="4"/>
        <v>850762.12278290733</v>
      </c>
      <c r="N39" s="69"/>
      <c r="O39" s="70">
        <f ca="1">IF($C39="",0,
K39*'1.c Decrements'!D35+(O38-P38-Q38)*(1+G38))</f>
        <v>80850.636007588677</v>
      </c>
      <c r="P39" s="71">
        <f ca="1">M39*'1.a Assumptions'!$C$10*'1.c Decrements'!E35</f>
        <v>0</v>
      </c>
      <c r="Q39" s="71">
        <f ca="1">L40*('1.c Decrements'!F35+'1.c Decrements'!G35)</f>
        <v>18528.934701105456</v>
      </c>
      <c r="R39" s="71">
        <f ca="1">O39-L40*'1.c Decrements'!D35</f>
        <v>62321.701306483221</v>
      </c>
      <c r="S39" s="71" t="str">
        <f ca="1">IF(B40=$S$13,$D$3,IF(B40&lt;$S$13,'1.c Decrements'!$L$11,""))</f>
        <v/>
      </c>
      <c r="V39" s="72" t="str">
        <f ca="1">IF($C40&lt;=$D$5,L40-L39*(1+i),"")</f>
        <v/>
      </c>
      <c r="W39" s="73" t="str">
        <f ca="1">IF(V39="","",V39-K39)</f>
        <v/>
      </c>
      <c r="X39" s="98"/>
      <c r="Y39" s="99" t="str">
        <f ca="1">IF(V39="","",J39/'1.c PUC_Projection'!H41)</f>
        <v/>
      </c>
      <c r="Z39" s="99" t="str">
        <f ca="1">IF(V39="","",($D$5-$D$9)/$H$15*(1+$D$10)^-(C39-$D$9+1))</f>
        <v/>
      </c>
      <c r="AA39" s="100" t="str">
        <f t="shared" ca="1" si="5"/>
        <v/>
      </c>
    </row>
    <row r="40" spans="2:27" ht="15" customHeight="1" x14ac:dyDescent="0.25">
      <c r="B40" s="60">
        <f t="shared" ca="1" si="6"/>
        <v>25</v>
      </c>
      <c r="C40" s="74">
        <f t="shared" ca="1" si="7"/>
        <v>65</v>
      </c>
      <c r="D40" s="75">
        <f t="shared" ca="1" si="8"/>
        <v>0.1</v>
      </c>
      <c r="E40" s="76">
        <f t="shared" ca="1" si="9"/>
        <v>367417.33243355306</v>
      </c>
      <c r="F40" s="65">
        <f t="shared" ca="1" si="11"/>
        <v>3.6484317092170926E-2</v>
      </c>
      <c r="G40" s="65">
        <f t="shared" ca="1" si="11"/>
        <v>0.05</v>
      </c>
      <c r="I40" s="97">
        <f ca="1">IFERROR((1-(1+$D$10)^-($D$5-$C40))/$D$10,0)</f>
        <v>-16.449676113720589</v>
      </c>
      <c r="J40" s="66">
        <f ca="1">IF($C40="","",
D40*($D$5-$D$9)*((1+F40)/(1+G40))^($D$5-$D$9)/$H$15)</f>
        <v>9.647208558714504E-2</v>
      </c>
      <c r="K40" s="68">
        <f t="shared" ca="1" si="2"/>
        <v>0</v>
      </c>
      <c r="L40" s="67">
        <f t="shared" ca="1" si="3"/>
        <v>918543.3310838826</v>
      </c>
      <c r="M40" s="68">
        <f t="shared" ca="1" si="4"/>
        <v>918543.3310838826</v>
      </c>
      <c r="N40" s="69"/>
      <c r="O40" s="70">
        <f ca="1">IF($C40="",0,
K40*'1.c Decrements'!D36+(O39-P39-Q39)*(1+G39))</f>
        <v>65437.786371807386</v>
      </c>
      <c r="P40" s="71">
        <f ca="1">M40*'1.a Assumptions'!$C$10*'1.c Decrements'!E36</f>
        <v>0</v>
      </c>
      <c r="Q40" s="71">
        <f ca="1">L41*('1.c Decrements'!F36+'1.c Decrements'!G36)</f>
        <v>0</v>
      </c>
      <c r="R40" s="71">
        <f ca="1">O40-L41*'1.c Decrements'!D36</f>
        <v>65437.786371807386</v>
      </c>
      <c r="S40" s="71" t="str">
        <f ca="1">IF(B41=$S$13,$D$3,IF(B41&lt;$S$13,'1.c Decrements'!$L$11,""))</f>
        <v/>
      </c>
      <c r="V40" s="72" t="str">
        <f ca="1">IF($C41&lt;=$D$5,L41-L40*(1+i),"")</f>
        <v/>
      </c>
      <c r="W40" s="73" t="str">
        <f ca="1">IF(V40="","",V40-K40)</f>
        <v/>
      </c>
      <c r="X40" s="98"/>
      <c r="Y40" s="99" t="str">
        <f ca="1">IF(V40="","",J40/'1.c PUC_Projection'!H42)</f>
        <v/>
      </c>
      <c r="Z40" s="99" t="str">
        <f ca="1">IF(V40="","",($D$5-$D$9)/$H$15*(1+$D$10)^-(C40-$D$9+1))</f>
        <v/>
      </c>
      <c r="AA40" s="100" t="str">
        <f t="shared" ca="1" si="5"/>
        <v/>
      </c>
    </row>
    <row r="41" spans="2:27" ht="15" customHeight="1" x14ac:dyDescent="0.25">
      <c r="B41" s="60" t="str">
        <f t="shared" ca="1" si="6"/>
        <v/>
      </c>
      <c r="C41" s="74" t="str">
        <f t="shared" ca="1" si="7"/>
        <v/>
      </c>
      <c r="D41" s="75" t="str">
        <f t="shared" ca="1" si="8"/>
        <v/>
      </c>
      <c r="E41" s="76" t="str">
        <f t="shared" ca="1" si="9"/>
        <v/>
      </c>
      <c r="F41" s="65" t="str">
        <f t="shared" ca="1" si="11"/>
        <v/>
      </c>
      <c r="G41" s="65" t="str">
        <f t="shared" ca="1" si="11"/>
        <v/>
      </c>
      <c r="I41" s="97">
        <f ca="1">IFERROR((1-(1+$D$10)^-($D$5-$C41))/$D$10,0)</f>
        <v>0</v>
      </c>
      <c r="J41" s="66" t="str">
        <f ca="1">IF($C41="","",
D41*($D$5-$D$9)*((1+F41)/(1+G41))^($D$5-$D$9)/$H$15)</f>
        <v/>
      </c>
      <c r="K41" s="68">
        <f t="shared" ca="1" si="2"/>
        <v>0</v>
      </c>
      <c r="L41" s="67">
        <f t="shared" ca="1" si="3"/>
        <v>0</v>
      </c>
      <c r="M41" s="68">
        <f t="shared" ca="1" si="4"/>
        <v>0</v>
      </c>
      <c r="N41" s="69"/>
      <c r="O41" s="70">
        <f ca="1">IF($C41="",0,
K41*'1.c Decrements'!D37+(O40-P40-Q40)*(1+G40))</f>
        <v>0</v>
      </c>
      <c r="P41" s="71">
        <f ca="1">M41*'1.a Assumptions'!$C$10*'1.c Decrements'!E37</f>
        <v>0</v>
      </c>
      <c r="Q41" s="71">
        <f ca="1">L42*('1.c Decrements'!F37+'1.c Decrements'!G37)</f>
        <v>0</v>
      </c>
      <c r="R41" s="71">
        <f ca="1">O41-L42*'1.c Decrements'!D37</f>
        <v>0</v>
      </c>
      <c r="S41" s="71" t="str">
        <f ca="1">IF(B42=$S$13,$D$3,IF(B42&lt;$S$13,'1.c Decrements'!$L$11,""))</f>
        <v/>
      </c>
      <c r="V41" s="72" t="str">
        <f ca="1">IF($C42&lt;=$D$5,L42-L41*(1+i),"")</f>
        <v/>
      </c>
      <c r="W41" s="73" t="str">
        <f ca="1">IF(V41="","",V41-K41)</f>
        <v/>
      </c>
      <c r="X41" s="98"/>
      <c r="Y41" s="99" t="str">
        <f ca="1">IF(V41="","",J41/'1.c PUC_Projection'!H43)</f>
        <v/>
      </c>
      <c r="Z41" s="99" t="str">
        <f ca="1">IF(V41="","",($D$5-$D$9)/$H$15*(1+$D$10)^-(C41-$D$9+1))</f>
        <v/>
      </c>
      <c r="AA41" s="100" t="str">
        <f t="shared" ca="1" si="5"/>
        <v/>
      </c>
    </row>
    <row r="42" spans="2:27" ht="15" customHeight="1" x14ac:dyDescent="0.25">
      <c r="B42" s="60" t="str">
        <f t="shared" ca="1" si="6"/>
        <v/>
      </c>
      <c r="C42" s="74" t="str">
        <f t="shared" ca="1" si="7"/>
        <v/>
      </c>
      <c r="D42" s="75" t="str">
        <f t="shared" ca="1" si="8"/>
        <v/>
      </c>
      <c r="E42" s="76" t="str">
        <f t="shared" ca="1" si="9"/>
        <v/>
      </c>
      <c r="F42" s="65" t="str">
        <f t="shared" ca="1" si="11"/>
        <v/>
      </c>
      <c r="G42" s="65" t="str">
        <f t="shared" ca="1" si="11"/>
        <v/>
      </c>
      <c r="I42" s="97">
        <f ca="1">IFERROR((1-(1+$D$10)^-($D$5-$C42))/$D$10,0)</f>
        <v>0</v>
      </c>
      <c r="J42" s="66" t="str">
        <f ca="1">IF($C42="","",
D42*($D$5-$D$9)*((1+F42)/(1+G42))^($D$5-$D$9)/$H$15)</f>
        <v/>
      </c>
      <c r="K42" s="68">
        <f t="shared" ca="1" si="2"/>
        <v>0</v>
      </c>
      <c r="L42" s="67">
        <f t="shared" ca="1" si="3"/>
        <v>0</v>
      </c>
      <c r="M42" s="68">
        <f t="shared" ca="1" si="4"/>
        <v>0</v>
      </c>
      <c r="N42" s="69"/>
      <c r="O42" s="70">
        <f ca="1">IF($C42="",0,
K42*'1.c Decrements'!D38+(O41-P41-Q41)*(1+G41))</f>
        <v>0</v>
      </c>
      <c r="P42" s="71">
        <f ca="1">M42*'1.a Assumptions'!$C$10*'1.c Decrements'!E38</f>
        <v>0</v>
      </c>
      <c r="Q42" s="71">
        <f ca="1">L43*('1.c Decrements'!F38+'1.c Decrements'!G38)</f>
        <v>0</v>
      </c>
      <c r="R42" s="71">
        <f ca="1">O42-L43*'1.c Decrements'!D38</f>
        <v>0</v>
      </c>
      <c r="S42" s="71" t="str">
        <f ca="1">IF(B43=$S$13,$D$3,IF(B43&lt;$S$13,'1.c Decrements'!$L$11,""))</f>
        <v/>
      </c>
      <c r="V42" s="72" t="str">
        <f ca="1">IF($C43&lt;=$D$5,L43-L42*(1+i),"")</f>
        <v/>
      </c>
      <c r="W42" s="73" t="str">
        <f ca="1">IF(V42="","",V42-K42)</f>
        <v/>
      </c>
      <c r="X42" s="98"/>
      <c r="Y42" s="99" t="str">
        <f ca="1">IF(V42="","",J42/'1.c PUC_Projection'!H44)</f>
        <v/>
      </c>
      <c r="Z42" s="99" t="str">
        <f ca="1">IF(V42="","",($D$5-$D$9)/$H$15*(1+$D$10)^-(C42-$D$9+1))</f>
        <v/>
      </c>
      <c r="AA42" s="100" t="str">
        <f t="shared" ca="1" si="5"/>
        <v/>
      </c>
    </row>
    <row r="43" spans="2:27" ht="15" customHeight="1" x14ac:dyDescent="0.25">
      <c r="B43" s="60" t="str">
        <f t="shared" ca="1" si="6"/>
        <v/>
      </c>
      <c r="C43" s="74" t="str">
        <f t="shared" ca="1" si="7"/>
        <v/>
      </c>
      <c r="D43" s="75" t="str">
        <f t="shared" ca="1" si="8"/>
        <v/>
      </c>
      <c r="E43" s="76" t="str">
        <f t="shared" ca="1" si="9"/>
        <v/>
      </c>
      <c r="F43" s="65" t="str">
        <f t="shared" ca="1" si="11"/>
        <v/>
      </c>
      <c r="G43" s="65" t="str">
        <f t="shared" ca="1" si="11"/>
        <v/>
      </c>
      <c r="I43" s="97">
        <f ca="1">IFERROR((1-(1+$D$10)^-($D$5-$C43))/$D$10,0)</f>
        <v>0</v>
      </c>
      <c r="J43" s="66" t="str">
        <f ca="1">IF($C43="","",
D43*($D$5-$D$9)*((1+F43)/(1+G43))^($D$5-$D$9)/$H$15)</f>
        <v/>
      </c>
      <c r="K43" s="68">
        <f t="shared" ca="1" si="2"/>
        <v>0</v>
      </c>
      <c r="L43" s="67">
        <f t="shared" ca="1" si="3"/>
        <v>0</v>
      </c>
      <c r="M43" s="68">
        <f t="shared" ca="1" si="4"/>
        <v>0</v>
      </c>
      <c r="N43" s="69"/>
      <c r="O43" s="70">
        <f ca="1">IF($C43="",0,
K43*'1.c Decrements'!D39+(O42-P42-Q42)*(1+G42))</f>
        <v>0</v>
      </c>
      <c r="P43" s="71">
        <f ca="1">M43*'1.a Assumptions'!$C$10*'1.c Decrements'!E39</f>
        <v>0</v>
      </c>
      <c r="Q43" s="71">
        <f ca="1">L44*('1.c Decrements'!F39+'1.c Decrements'!G39)</f>
        <v>0</v>
      </c>
      <c r="R43" s="71">
        <f ca="1">O43-L44*'1.c Decrements'!D39</f>
        <v>0</v>
      </c>
      <c r="S43" s="71" t="str">
        <f ca="1">IF(B44=$S$13,$D$3,IF(B44&lt;$S$13,'1.c Decrements'!$L$11,""))</f>
        <v/>
      </c>
      <c r="V43" s="72" t="str">
        <f ca="1">IF($C44&lt;=$D$5,L44-L43*(1+i),"")</f>
        <v/>
      </c>
      <c r="W43" s="73" t="str">
        <f ca="1">IF(V43="","",V43-K43)</f>
        <v/>
      </c>
      <c r="X43" s="98"/>
      <c r="Y43" s="99" t="str">
        <f ca="1">IF(V43="","",J43/'1.c PUC_Projection'!H45)</f>
        <v/>
      </c>
      <c r="Z43" s="99" t="str">
        <f ca="1">IF(V43="","",($D$5-$D$9)/$H$15*(1+$D$10)^-(C43-$D$9+1))</f>
        <v/>
      </c>
      <c r="AA43" s="100" t="str">
        <f t="shared" ca="1" si="5"/>
        <v/>
      </c>
    </row>
    <row r="44" spans="2:27" ht="15" customHeight="1" x14ac:dyDescent="0.25">
      <c r="B44" s="60" t="str">
        <f t="shared" ca="1" si="6"/>
        <v/>
      </c>
      <c r="C44" s="74" t="str">
        <f t="shared" ca="1" si="7"/>
        <v/>
      </c>
      <c r="D44" s="75" t="str">
        <f t="shared" ca="1" si="8"/>
        <v/>
      </c>
      <c r="E44" s="76" t="str">
        <f t="shared" ca="1" si="9"/>
        <v/>
      </c>
      <c r="F44" s="65" t="str">
        <f t="shared" ca="1" si="11"/>
        <v/>
      </c>
      <c r="G44" s="65" t="str">
        <f t="shared" ca="1" si="11"/>
        <v/>
      </c>
      <c r="I44" s="97">
        <f ca="1">IFERROR((1-(1+$D$10)^-($D$5-$C44))/$D$10,0)</f>
        <v>0</v>
      </c>
      <c r="J44" s="66" t="str">
        <f ca="1">IF($C44="","",
D44*($D$5-$D$9)*((1+F44)/(1+G44))^($D$5-$D$9)/$H$15)</f>
        <v/>
      </c>
      <c r="K44" s="68">
        <f t="shared" ca="1" si="2"/>
        <v>0</v>
      </c>
      <c r="L44" s="67">
        <f t="shared" ca="1" si="3"/>
        <v>0</v>
      </c>
      <c r="M44" s="68">
        <f t="shared" ca="1" si="4"/>
        <v>0</v>
      </c>
      <c r="N44" s="69"/>
      <c r="O44" s="70">
        <f ca="1">IF($C44="",0,
K44*'1.c Decrements'!D40+(O43-P43-Q43)*(1+G43))</f>
        <v>0</v>
      </c>
      <c r="P44" s="71">
        <f ca="1">M44*'1.a Assumptions'!$C$10*'1.c Decrements'!E40</f>
        <v>0</v>
      </c>
      <c r="Q44" s="71">
        <f ca="1">L45*('1.c Decrements'!F40+'1.c Decrements'!G40)</f>
        <v>0</v>
      </c>
      <c r="R44" s="71">
        <f ca="1">O44-L45*'1.c Decrements'!D40</f>
        <v>0</v>
      </c>
      <c r="S44" s="71" t="str">
        <f ca="1">IF(B45=$S$13,$D$3,IF(B45&lt;$S$13,'1.c Decrements'!$L$11,""))</f>
        <v/>
      </c>
      <c r="V44" s="72" t="str">
        <f ca="1">IF($C45&lt;=$D$5,L45-L44*(1+i),"")</f>
        <v/>
      </c>
      <c r="W44" s="73" t="str">
        <f ca="1">IF(V44="","",V44-K44)</f>
        <v/>
      </c>
      <c r="X44" s="98"/>
      <c r="Y44" s="99" t="str">
        <f ca="1">IF(V44="","",J44/'1.c PUC_Projection'!H46)</f>
        <v/>
      </c>
      <c r="Z44" s="99" t="str">
        <f ca="1">IF(V44="","",($D$5-$D$9)/$H$15*(1+$D$10)^-(C44-$D$9+1))</f>
        <v/>
      </c>
      <c r="AA44" s="100" t="str">
        <f t="shared" ca="1" si="5"/>
        <v/>
      </c>
    </row>
    <row r="45" spans="2:27" ht="15" customHeight="1" x14ac:dyDescent="0.25">
      <c r="B45" s="60" t="str">
        <f t="shared" ca="1" si="6"/>
        <v/>
      </c>
      <c r="C45" s="74" t="str">
        <f t="shared" ca="1" si="7"/>
        <v/>
      </c>
      <c r="D45" s="75" t="str">
        <f t="shared" ca="1" si="8"/>
        <v/>
      </c>
      <c r="E45" s="76" t="str">
        <f t="shared" ca="1" si="9"/>
        <v/>
      </c>
      <c r="F45" s="65" t="str">
        <f t="shared" ca="1" si="11"/>
        <v/>
      </c>
      <c r="G45" s="65" t="str">
        <f t="shared" ca="1" si="11"/>
        <v/>
      </c>
      <c r="I45" s="97">
        <f ca="1">IFERROR((1-(1+$D$10)^-($D$5-$C45))/$D$10,0)</f>
        <v>0</v>
      </c>
      <c r="J45" s="66" t="str">
        <f ca="1">IF($C45="","",
D45*($D$5-$D$9)*((1+F45)/(1+G45))^($D$5-$D$9)/$H$15)</f>
        <v/>
      </c>
      <c r="K45" s="68">
        <f t="shared" ca="1" si="2"/>
        <v>0</v>
      </c>
      <c r="L45" s="67">
        <f t="shared" ca="1" si="3"/>
        <v>0</v>
      </c>
      <c r="M45" s="68">
        <f t="shared" ca="1" si="4"/>
        <v>0</v>
      </c>
      <c r="N45" s="69"/>
      <c r="O45" s="70">
        <f ca="1">IF($C45="",0,
K45*'1.c Decrements'!D41+(O44-P44-Q44)*(1+G44))</f>
        <v>0</v>
      </c>
      <c r="P45" s="71">
        <f ca="1">M45*'1.a Assumptions'!$C$10*'1.c Decrements'!E41</f>
        <v>0</v>
      </c>
      <c r="Q45" s="71">
        <f ca="1">L46*('1.c Decrements'!F41+'1.c Decrements'!G41)</f>
        <v>0</v>
      </c>
      <c r="R45" s="71">
        <f ca="1">O45-L46*'1.c Decrements'!D41</f>
        <v>0</v>
      </c>
      <c r="S45" s="71" t="str">
        <f ca="1">IF(B46=$S$13,$D$3,IF(B46&lt;$S$13,'1.c Decrements'!$L$11,""))</f>
        <v/>
      </c>
      <c r="V45" s="72" t="str">
        <f ca="1">IF($C46&lt;=$D$5,L46-L45*(1+i),"")</f>
        <v/>
      </c>
      <c r="W45" s="73" t="str">
        <f ca="1">IF(V45="","",V45-K45)</f>
        <v/>
      </c>
      <c r="X45" s="98"/>
      <c r="Y45" s="99" t="str">
        <f ca="1">IF(V45="","",J45/'1.c PUC_Projection'!H47)</f>
        <v/>
      </c>
      <c r="Z45" s="99" t="str">
        <f ca="1">IF(V45="","",($D$5-$D$9)/$H$15*(1+$D$10)^-(C45-$D$9+1))</f>
        <v/>
      </c>
      <c r="AA45" s="100" t="str">
        <f t="shared" ca="1" si="5"/>
        <v/>
      </c>
    </row>
    <row r="46" spans="2:27" ht="15" customHeight="1" x14ac:dyDescent="0.25">
      <c r="B46" s="60" t="str">
        <f t="shared" ca="1" si="6"/>
        <v/>
      </c>
      <c r="C46" s="74" t="str">
        <f t="shared" ca="1" si="7"/>
        <v/>
      </c>
      <c r="D46" s="75" t="str">
        <f t="shared" ca="1" si="8"/>
        <v/>
      </c>
      <c r="E46" s="76" t="str">
        <f t="shared" ca="1" si="9"/>
        <v/>
      </c>
      <c r="F46" s="65" t="str">
        <f t="shared" ca="1" si="11"/>
        <v/>
      </c>
      <c r="G46" s="65" t="str">
        <f t="shared" ca="1" si="11"/>
        <v/>
      </c>
      <c r="I46" s="97">
        <f ca="1">IFERROR((1-(1+$D$10)^-($D$5-$C46))/$D$10,0)</f>
        <v>0</v>
      </c>
      <c r="J46" s="66" t="str">
        <f ca="1">IF($C46="","",
D46*($D$5-$D$9)*((1+F46)/(1+G46))^($D$5-$D$9)/$H$15)</f>
        <v/>
      </c>
      <c r="K46" s="68">
        <f t="shared" ca="1" si="2"/>
        <v>0</v>
      </c>
      <c r="L46" s="67">
        <f t="shared" ca="1" si="3"/>
        <v>0</v>
      </c>
      <c r="M46" s="68">
        <f t="shared" ca="1" si="4"/>
        <v>0</v>
      </c>
      <c r="N46" s="69"/>
      <c r="O46" s="70">
        <f ca="1">IF($C46="",0,
K46*'1.c Decrements'!D42+(O45-P45-Q45)*(1+G45))</f>
        <v>0</v>
      </c>
      <c r="P46" s="71">
        <f ca="1">M46*'1.a Assumptions'!$C$10*'1.c Decrements'!E42</f>
        <v>0</v>
      </c>
      <c r="Q46" s="71">
        <f ca="1">L47*('1.c Decrements'!F42+'1.c Decrements'!G42)</f>
        <v>0</v>
      </c>
      <c r="R46" s="71">
        <f ca="1">O46-L47*'1.c Decrements'!D42</f>
        <v>0</v>
      </c>
      <c r="S46" s="71" t="str">
        <f ca="1">IF(B47=$S$13,$D$3,IF(B47&lt;$S$13,'1.c Decrements'!$L$11,""))</f>
        <v/>
      </c>
      <c r="V46" s="72" t="str">
        <f ca="1">IF($C47&lt;=$D$5,L47-L46*(1+i),"")</f>
        <v/>
      </c>
      <c r="W46" s="73" t="str">
        <f ca="1">IF(V46="","",V46-K46)</f>
        <v/>
      </c>
      <c r="X46" s="98"/>
      <c r="Y46" s="99" t="str">
        <f ca="1">IF(V46="","",J46/'1.c PUC_Projection'!H48)</f>
        <v/>
      </c>
      <c r="Z46" s="99" t="str">
        <f ca="1">IF(V46="","",($D$5-$D$9)/$H$15*(1+$D$10)^-(C46-$D$9+1))</f>
        <v/>
      </c>
      <c r="AA46" s="100" t="str">
        <f t="shared" ca="1" si="5"/>
        <v/>
      </c>
    </row>
    <row r="47" spans="2:27" ht="15" customHeight="1" x14ac:dyDescent="0.25">
      <c r="B47" s="60" t="str">
        <f t="shared" ca="1" si="6"/>
        <v/>
      </c>
      <c r="C47" s="74" t="str">
        <f t="shared" ca="1" si="7"/>
        <v/>
      </c>
      <c r="D47" s="75" t="str">
        <f t="shared" ca="1" si="8"/>
        <v/>
      </c>
      <c r="E47" s="76" t="str">
        <f t="shared" ca="1" si="9"/>
        <v/>
      </c>
      <c r="F47" s="65" t="str">
        <f t="shared" ca="1" si="11"/>
        <v/>
      </c>
      <c r="G47" s="65" t="str">
        <f t="shared" ca="1" si="11"/>
        <v/>
      </c>
      <c r="I47" s="97">
        <f ca="1">IFERROR((1-(1+$D$10)^-($D$5-$C47))/$D$10,0)</f>
        <v>0</v>
      </c>
      <c r="J47" s="66" t="str">
        <f ca="1">IF($C47="","",
D47*($D$5-$D$9)*((1+F47)/(1+G47))^($D$5-$D$9)/$H$15)</f>
        <v/>
      </c>
      <c r="K47" s="68">
        <f t="shared" ref="K47:K78" ca="1" si="12">IF($C48="",0,
J47*E47*(1+F47))</f>
        <v>0</v>
      </c>
      <c r="L47" s="67">
        <f t="shared" ca="1" si="3"/>
        <v>0</v>
      </c>
      <c r="M47" s="68">
        <f t="shared" ca="1" si="4"/>
        <v>0</v>
      </c>
      <c r="N47" s="69"/>
      <c r="O47" s="70">
        <f ca="1">IF($C47="",0,
K47*'1.c Decrements'!D43+(O46-P46-Q46)*(1+G46))</f>
        <v>0</v>
      </c>
      <c r="P47" s="71">
        <f ca="1">M47*'1.a Assumptions'!$C$10*'1.c Decrements'!E43</f>
        <v>0</v>
      </c>
      <c r="Q47" s="71">
        <f ca="1">L48*('1.c Decrements'!F43+'1.c Decrements'!G43)</f>
        <v>0</v>
      </c>
      <c r="R47" s="71">
        <f ca="1">O47-L48*'1.c Decrements'!D43</f>
        <v>0</v>
      </c>
      <c r="S47" s="71" t="str">
        <f ca="1">IF(B48=$S$13,$D$3,IF(B48&lt;$S$13,'1.c Decrements'!$L$11,""))</f>
        <v/>
      </c>
      <c r="V47" s="72" t="str">
        <f ca="1">IF($C48&lt;=$D$5,L48-L47*(1+i),"")</f>
        <v/>
      </c>
      <c r="W47" s="73" t="str">
        <f ca="1">IF(V47="","",V47-K47)</f>
        <v/>
      </c>
      <c r="X47" s="98"/>
      <c r="Y47" s="99" t="str">
        <f ca="1">IF(V47="","",J47/'1.c PUC_Projection'!H49)</f>
        <v/>
      </c>
      <c r="Z47" s="99" t="str">
        <f ca="1">IF(V47="","",($D$5-$D$9)/$H$15*(1+$D$10)^-(C47-$D$9+1))</f>
        <v/>
      </c>
      <c r="AA47" s="100" t="str">
        <f t="shared" ca="1" si="5"/>
        <v/>
      </c>
    </row>
    <row r="48" spans="2:27" ht="15" customHeight="1" x14ac:dyDescent="0.25">
      <c r="B48" s="60" t="str">
        <f t="shared" ca="1" si="6"/>
        <v/>
      </c>
      <c r="C48" s="74" t="str">
        <f t="shared" ca="1" si="7"/>
        <v/>
      </c>
      <c r="D48" s="75" t="str">
        <f t="shared" ca="1" si="8"/>
        <v/>
      </c>
      <c r="E48" s="76" t="str">
        <f t="shared" ca="1" si="9"/>
        <v/>
      </c>
      <c r="F48" s="65" t="str">
        <f t="shared" ca="1" si="11"/>
        <v/>
      </c>
      <c r="G48" s="65" t="str">
        <f t="shared" ca="1" si="11"/>
        <v/>
      </c>
      <c r="I48" s="97">
        <f ca="1">IFERROR((1-(1+$D$10)^-($D$5-$C48))/$D$10,0)</f>
        <v>0</v>
      </c>
      <c r="J48" s="66" t="str">
        <f ca="1">IF($C48="","",
D48*($D$5-$D$9)*((1+F48)/(1+G48))^($D$5-$D$9)/$H$15)</f>
        <v/>
      </c>
      <c r="K48" s="68">
        <f t="shared" ca="1" si="12"/>
        <v>0</v>
      </c>
      <c r="L48" s="67">
        <f t="shared" ca="1" si="3"/>
        <v>0</v>
      </c>
      <c r="M48" s="68">
        <f t="shared" ca="1" si="4"/>
        <v>0</v>
      </c>
      <c r="N48" s="69"/>
      <c r="O48" s="70">
        <f ca="1">IF($C48="",0,
K48*'1.c Decrements'!D44+(O47-P47-Q47)*(1+G47))</f>
        <v>0</v>
      </c>
      <c r="P48" s="71">
        <f ca="1">M48*'1.a Assumptions'!$C$10*'1.c Decrements'!E44</f>
        <v>0</v>
      </c>
      <c r="Q48" s="71">
        <f ca="1">L49*('1.c Decrements'!F44+'1.c Decrements'!G44)</f>
        <v>0</v>
      </c>
      <c r="R48" s="71">
        <f ca="1">O48-L49*'1.c Decrements'!D44</f>
        <v>0</v>
      </c>
      <c r="S48" s="71" t="str">
        <f ca="1">IF(B49=$S$13,$D$3,IF(B49&lt;$S$13,'1.c Decrements'!$L$11,""))</f>
        <v/>
      </c>
      <c r="V48" s="72" t="str">
        <f ca="1">IF($C49&lt;=$D$5,L49-L48*(1+i),"")</f>
        <v/>
      </c>
      <c r="W48" s="73" t="str">
        <f ca="1">IF(V48="","",V48-K48)</f>
        <v/>
      </c>
      <c r="X48" s="98"/>
      <c r="Y48" s="99" t="str">
        <f ca="1">IF(V48="","",J48/'1.c PUC_Projection'!H50)</f>
        <v/>
      </c>
      <c r="Z48" s="99" t="str">
        <f ca="1">IF(V48="","",($D$5-$D$9)/$H$15*(1+$D$10)^-(C48-$D$9+1))</f>
        <v/>
      </c>
      <c r="AA48" s="100" t="str">
        <f t="shared" ca="1" si="5"/>
        <v/>
      </c>
    </row>
    <row r="49" spans="2:27" ht="15" customHeight="1" x14ac:dyDescent="0.25">
      <c r="B49" s="60" t="str">
        <f t="shared" ca="1" si="6"/>
        <v/>
      </c>
      <c r="C49" s="74" t="str">
        <f t="shared" ca="1" si="7"/>
        <v/>
      </c>
      <c r="D49" s="75" t="str">
        <f t="shared" ca="1" si="8"/>
        <v/>
      </c>
      <c r="E49" s="76" t="str">
        <f t="shared" ca="1" si="9"/>
        <v/>
      </c>
      <c r="F49" s="65" t="str">
        <f t="shared" ref="F49:G64" ca="1" si="13">IF($C49="","",F48)</f>
        <v/>
      </c>
      <c r="G49" s="65" t="str">
        <f t="shared" ca="1" si="13"/>
        <v/>
      </c>
      <c r="I49" s="97">
        <f ca="1">IFERROR((1-(1+$D$10)^-($D$5-$C49))/$D$10,0)</f>
        <v>0</v>
      </c>
      <c r="J49" s="66" t="str">
        <f ca="1">IF($C49="","",
D49*($D$5-$D$9)*((1+F49)/(1+G49))^($D$5-$D$9)/$H$15)</f>
        <v/>
      </c>
      <c r="K49" s="68">
        <f t="shared" ca="1" si="12"/>
        <v>0</v>
      </c>
      <c r="L49" s="67">
        <f t="shared" ca="1" si="3"/>
        <v>0</v>
      </c>
      <c r="M49" s="68">
        <f t="shared" ca="1" si="4"/>
        <v>0</v>
      </c>
      <c r="N49" s="69"/>
      <c r="O49" s="70">
        <f ca="1">IF($C49="",0,
K49*'1.c Decrements'!D45+(O48-P48-Q48)*(1+G48))</f>
        <v>0</v>
      </c>
      <c r="P49" s="71">
        <f ca="1">M49*'1.a Assumptions'!$C$10*'1.c Decrements'!E45</f>
        <v>0</v>
      </c>
      <c r="Q49" s="71">
        <f ca="1">L50*('1.c Decrements'!F45+'1.c Decrements'!G45)</f>
        <v>0</v>
      </c>
      <c r="R49" s="71">
        <f ca="1">O49-L50*'1.c Decrements'!D45</f>
        <v>0</v>
      </c>
      <c r="S49" s="71" t="str">
        <f ca="1">IF(B50=$S$13,$D$3,IF(B50&lt;$S$13,'1.c Decrements'!$L$11,""))</f>
        <v/>
      </c>
      <c r="V49" s="72" t="str">
        <f ca="1">IF($C50&lt;=$D$5,L50-L49*(1+i),"")</f>
        <v/>
      </c>
      <c r="W49" s="73" t="str">
        <f ca="1">IF(V49="","",V49-K49)</f>
        <v/>
      </c>
      <c r="X49" s="98"/>
      <c r="Y49" s="99" t="str">
        <f ca="1">IF(V49="","",J49/'1.c PUC_Projection'!H51)</f>
        <v/>
      </c>
      <c r="Z49" s="99" t="str">
        <f ca="1">IF(V49="","",($D$5-$D$9)/$H$15*(1+$D$10)^-(C49-$D$9+1))</f>
        <v/>
      </c>
      <c r="AA49" s="100" t="str">
        <f t="shared" ca="1" si="5"/>
        <v/>
      </c>
    </row>
    <row r="50" spans="2:27" ht="15" customHeight="1" x14ac:dyDescent="0.25">
      <c r="B50" s="60" t="str">
        <f t="shared" ca="1" si="6"/>
        <v/>
      </c>
      <c r="C50" s="74" t="str">
        <f t="shared" ca="1" si="7"/>
        <v/>
      </c>
      <c r="D50" s="75" t="str">
        <f t="shared" ca="1" si="8"/>
        <v/>
      </c>
      <c r="E50" s="76" t="str">
        <f t="shared" ca="1" si="9"/>
        <v/>
      </c>
      <c r="F50" s="65" t="str">
        <f t="shared" ca="1" si="13"/>
        <v/>
      </c>
      <c r="G50" s="65" t="str">
        <f t="shared" ca="1" si="13"/>
        <v/>
      </c>
      <c r="I50" s="97">
        <f ca="1">IFERROR((1-(1+$D$10)^-($D$5-$C50))/$D$10,0)</f>
        <v>0</v>
      </c>
      <c r="J50" s="66" t="str">
        <f ca="1">IF($C50="","",
D50*($D$5-$D$9)*((1+F50)/(1+G50))^($D$5-$D$9)/$H$15)</f>
        <v/>
      </c>
      <c r="K50" s="68">
        <f t="shared" ca="1" si="12"/>
        <v>0</v>
      </c>
      <c r="L50" s="67">
        <f t="shared" ca="1" si="3"/>
        <v>0</v>
      </c>
      <c r="M50" s="68">
        <f t="shared" ca="1" si="4"/>
        <v>0</v>
      </c>
      <c r="N50" s="69"/>
      <c r="O50" s="70">
        <f ca="1">IF($C50="",0,
K50*'1.c Decrements'!D46+(O49-P49-Q49)*(1+G49))</f>
        <v>0</v>
      </c>
      <c r="P50" s="71">
        <f ca="1">M50*'1.a Assumptions'!$C$10*'1.c Decrements'!E46</f>
        <v>0</v>
      </c>
      <c r="Q50" s="71">
        <f ca="1">L51*('1.c Decrements'!F46+'1.c Decrements'!G46)</f>
        <v>0</v>
      </c>
      <c r="R50" s="71">
        <f ca="1">O50-L51*'1.c Decrements'!D46</f>
        <v>0</v>
      </c>
      <c r="S50" s="71" t="str">
        <f ca="1">IF(B51=$S$13,$D$3,IF(B51&lt;$S$13,'1.c Decrements'!$L$11,""))</f>
        <v/>
      </c>
      <c r="V50" s="72" t="str">
        <f ca="1">IF($C51&lt;=$D$5,L51-L50*(1+i),"")</f>
        <v/>
      </c>
      <c r="W50" s="73" t="str">
        <f ca="1">IF(V50="","",V50-K50)</f>
        <v/>
      </c>
      <c r="X50" s="98"/>
      <c r="Y50" s="99" t="str">
        <f ca="1">IF(V50="","",J50/'1.c PUC_Projection'!H52)</f>
        <v/>
      </c>
      <c r="Z50" s="99" t="str">
        <f ca="1">IF(V50="","",($D$5-$D$9)/$H$15*(1+$D$10)^-(C50-$D$9+1))</f>
        <v/>
      </c>
      <c r="AA50" s="100" t="str">
        <f t="shared" ca="1" si="5"/>
        <v/>
      </c>
    </row>
    <row r="51" spans="2:27" ht="15" customHeight="1" x14ac:dyDescent="0.25">
      <c r="B51" s="60" t="str">
        <f t="shared" ca="1" si="6"/>
        <v/>
      </c>
      <c r="C51" s="74" t="str">
        <f t="shared" ca="1" si="7"/>
        <v/>
      </c>
      <c r="D51" s="75" t="str">
        <f t="shared" ca="1" si="8"/>
        <v/>
      </c>
      <c r="E51" s="76" t="str">
        <f t="shared" ca="1" si="9"/>
        <v/>
      </c>
      <c r="F51" s="65" t="str">
        <f t="shared" ca="1" si="13"/>
        <v/>
      </c>
      <c r="G51" s="65" t="str">
        <f t="shared" ca="1" si="13"/>
        <v/>
      </c>
      <c r="I51" s="97">
        <f ca="1">IFERROR((1-(1+$D$10)^-($D$5-$C51))/$D$10,0)</f>
        <v>0</v>
      </c>
      <c r="J51" s="66" t="str">
        <f ca="1">IF($C51="","",
D51*($D$5-$D$9)*((1+F51)/(1+G51))^($D$5-$D$9)/$H$15)</f>
        <v/>
      </c>
      <c r="K51" s="68">
        <f t="shared" ca="1" si="12"/>
        <v>0</v>
      </c>
      <c r="L51" s="67">
        <f t="shared" ca="1" si="3"/>
        <v>0</v>
      </c>
      <c r="M51" s="68">
        <f t="shared" ca="1" si="4"/>
        <v>0</v>
      </c>
      <c r="N51" s="69"/>
      <c r="O51" s="70">
        <f ca="1">IF($C51="",0,
K51*'1.c Decrements'!D47+(O50-P50-Q50)*(1+G50))</f>
        <v>0</v>
      </c>
      <c r="P51" s="71">
        <f ca="1">M51*'1.a Assumptions'!$C$10*'1.c Decrements'!E47</f>
        <v>0</v>
      </c>
      <c r="Q51" s="71">
        <f ca="1">L52*('1.c Decrements'!F47+'1.c Decrements'!G47)</f>
        <v>0</v>
      </c>
      <c r="R51" s="71">
        <f ca="1">O51-L52*'1.c Decrements'!D47</f>
        <v>0</v>
      </c>
      <c r="S51" s="71" t="str">
        <f ca="1">IF(B52=$S$13,$D$3,IF(B52&lt;$S$13,'1.c Decrements'!$L$11,""))</f>
        <v/>
      </c>
      <c r="V51" s="72" t="str">
        <f ca="1">IF($C52&lt;=$D$5,L52-L51*(1+i),"")</f>
        <v/>
      </c>
      <c r="W51" s="73" t="str">
        <f ca="1">IF(V51="","",V51-K51)</f>
        <v/>
      </c>
      <c r="X51" s="98"/>
      <c r="Y51" s="99" t="str">
        <f ca="1">IF(V51="","",J51/'1.c PUC_Projection'!H53)</f>
        <v/>
      </c>
      <c r="Z51" s="99" t="str">
        <f ca="1">IF(V51="","",($D$5-$D$9)/$H$15*(1+$D$10)^-(C51-$D$9+1))</f>
        <v/>
      </c>
      <c r="AA51" s="100" t="str">
        <f t="shared" ca="1" si="5"/>
        <v/>
      </c>
    </row>
    <row r="52" spans="2:27" ht="15" customHeight="1" x14ac:dyDescent="0.25">
      <c r="B52" s="60" t="str">
        <f t="shared" ca="1" si="6"/>
        <v/>
      </c>
      <c r="C52" s="74" t="str">
        <f t="shared" ca="1" si="7"/>
        <v/>
      </c>
      <c r="D52" s="75" t="str">
        <f t="shared" ca="1" si="8"/>
        <v/>
      </c>
      <c r="E52" s="76" t="str">
        <f t="shared" ca="1" si="9"/>
        <v/>
      </c>
      <c r="F52" s="65" t="str">
        <f t="shared" ca="1" si="13"/>
        <v/>
      </c>
      <c r="G52" s="65" t="str">
        <f t="shared" ca="1" si="13"/>
        <v/>
      </c>
      <c r="I52" s="97">
        <f ca="1">IFERROR((1-(1+$D$10)^-($D$5-$C52))/$D$10,0)</f>
        <v>0</v>
      </c>
      <c r="J52" s="66" t="str">
        <f ca="1">IF($C52="","",
D52*($D$5-$D$9)*((1+F52)/(1+G52))^($D$5-$D$9)/$H$15)</f>
        <v/>
      </c>
      <c r="K52" s="68">
        <f t="shared" ca="1" si="12"/>
        <v>0</v>
      </c>
      <c r="L52" s="67">
        <f t="shared" ca="1" si="3"/>
        <v>0</v>
      </c>
      <c r="M52" s="68">
        <f t="shared" ca="1" si="4"/>
        <v>0</v>
      </c>
      <c r="N52" s="69"/>
      <c r="O52" s="70">
        <f ca="1">IF($C52="",0,
K52*'1.c Decrements'!D48+(O51-P51-Q51)*(1+G51))</f>
        <v>0</v>
      </c>
      <c r="P52" s="71">
        <f ca="1">M52*'1.a Assumptions'!$C$10*'1.c Decrements'!E48</f>
        <v>0</v>
      </c>
      <c r="Q52" s="71">
        <f ca="1">L53*('1.c Decrements'!F48+'1.c Decrements'!G48)</f>
        <v>0</v>
      </c>
      <c r="R52" s="71">
        <f ca="1">O52-L53*'1.c Decrements'!D48</f>
        <v>0</v>
      </c>
      <c r="S52" s="71" t="str">
        <f ca="1">IF(B53=$S$13,$D$3,IF(B53&lt;$S$13,'1.c Decrements'!$L$11,""))</f>
        <v/>
      </c>
      <c r="V52" s="72" t="str">
        <f ca="1">IF($C53&lt;=$D$5,L53-L52*(1+i),"")</f>
        <v/>
      </c>
      <c r="W52" s="73" t="str">
        <f ca="1">IF(V52="","",V52-K52)</f>
        <v/>
      </c>
      <c r="X52" s="98"/>
      <c r="Y52" s="99" t="str">
        <f ca="1">IF(V52="","",J52/'1.c PUC_Projection'!H54)</f>
        <v/>
      </c>
      <c r="Z52" s="99" t="str">
        <f ca="1">IF(V52="","",($D$5-$D$9)/$H$15*(1+$D$10)^-(C52-$D$9+1))</f>
        <v/>
      </c>
      <c r="AA52" s="100" t="str">
        <f t="shared" ca="1" si="5"/>
        <v/>
      </c>
    </row>
    <row r="53" spans="2:27" ht="15" customHeight="1" x14ac:dyDescent="0.25">
      <c r="B53" s="60" t="str">
        <f t="shared" ca="1" si="6"/>
        <v/>
      </c>
      <c r="C53" s="74" t="str">
        <f t="shared" ca="1" si="7"/>
        <v/>
      </c>
      <c r="D53" s="75" t="str">
        <f t="shared" ca="1" si="8"/>
        <v/>
      </c>
      <c r="E53" s="76" t="str">
        <f t="shared" ca="1" si="9"/>
        <v/>
      </c>
      <c r="F53" s="65" t="str">
        <f t="shared" ca="1" si="13"/>
        <v/>
      </c>
      <c r="G53" s="65" t="str">
        <f t="shared" ca="1" si="13"/>
        <v/>
      </c>
      <c r="I53" s="97">
        <f ca="1">IFERROR((1-(1+$D$10)^-($D$5-$C53))/$D$10,0)</f>
        <v>0</v>
      </c>
      <c r="J53" s="66" t="str">
        <f ca="1">IF($C53="","",
D53*($D$5-$D$9)*((1+F53)/(1+G53))^($D$5-$D$9)/$H$15)</f>
        <v/>
      </c>
      <c r="K53" s="68">
        <f t="shared" ca="1" si="12"/>
        <v>0</v>
      </c>
      <c r="L53" s="67">
        <f t="shared" ca="1" si="3"/>
        <v>0</v>
      </c>
      <c r="M53" s="68">
        <f t="shared" ca="1" si="4"/>
        <v>0</v>
      </c>
      <c r="N53" s="69"/>
      <c r="O53" s="70">
        <f ca="1">IF($C53="",0,
K53*'1.c Decrements'!D49+(O52-P52-Q52)*(1+G52))</f>
        <v>0</v>
      </c>
      <c r="P53" s="71">
        <f ca="1">M53*'1.a Assumptions'!$C$10*'1.c Decrements'!E49</f>
        <v>0</v>
      </c>
      <c r="Q53" s="71">
        <f ca="1">L54*('1.c Decrements'!F49+'1.c Decrements'!G49)</f>
        <v>0</v>
      </c>
      <c r="R53" s="71">
        <f ca="1">O53-L54*'1.c Decrements'!D49</f>
        <v>0</v>
      </c>
      <c r="S53" s="71" t="str">
        <f ca="1">IF(B54=$S$13,$D$3,IF(B54&lt;$S$13,'1.c Decrements'!$L$11,""))</f>
        <v/>
      </c>
      <c r="V53" s="72" t="str">
        <f ca="1">IF($C54&lt;=$D$5,L54-L53*(1+i),"")</f>
        <v/>
      </c>
      <c r="W53" s="73" t="str">
        <f ca="1">IF(V53="","",V53-K53)</f>
        <v/>
      </c>
      <c r="X53" s="98"/>
      <c r="Y53" s="99" t="str">
        <f ca="1">IF(V53="","",J53/'1.c PUC_Projection'!H55)</f>
        <v/>
      </c>
      <c r="Z53" s="99" t="str">
        <f ca="1">IF(V53="","",($D$5-$D$9)/$H$15*(1+$D$10)^-(C53-$D$9+1))</f>
        <v/>
      </c>
      <c r="AA53" s="100" t="str">
        <f t="shared" ca="1" si="5"/>
        <v/>
      </c>
    </row>
    <row r="54" spans="2:27" ht="15" customHeight="1" x14ac:dyDescent="0.25">
      <c r="B54" s="60" t="str">
        <f t="shared" ca="1" si="6"/>
        <v/>
      </c>
      <c r="C54" s="74" t="str">
        <f t="shared" ca="1" si="7"/>
        <v/>
      </c>
      <c r="D54" s="75" t="str">
        <f t="shared" ca="1" si="8"/>
        <v/>
      </c>
      <c r="E54" s="76" t="str">
        <f t="shared" ca="1" si="9"/>
        <v/>
      </c>
      <c r="F54" s="65" t="str">
        <f t="shared" ca="1" si="13"/>
        <v/>
      </c>
      <c r="G54" s="65" t="str">
        <f t="shared" ca="1" si="13"/>
        <v/>
      </c>
      <c r="I54" s="97">
        <f ca="1">IFERROR((1-(1+$D$10)^-($D$5-$C54))/$D$10,0)</f>
        <v>0</v>
      </c>
      <c r="J54" s="66" t="str">
        <f ca="1">IF($C54="","",
D54*($D$5-$D$9)*((1+F54)/(1+G54))^($D$5-$D$9)/$H$15)</f>
        <v/>
      </c>
      <c r="K54" s="68">
        <f t="shared" ca="1" si="12"/>
        <v>0</v>
      </c>
      <c r="L54" s="67">
        <f t="shared" ca="1" si="3"/>
        <v>0</v>
      </c>
      <c r="M54" s="68">
        <f t="shared" ca="1" si="4"/>
        <v>0</v>
      </c>
      <c r="N54" s="69"/>
      <c r="O54" s="70">
        <f ca="1">IF($C54="",0,
K54*'1.c Decrements'!D50+(O53-P53-Q53)*(1+G53))</f>
        <v>0</v>
      </c>
      <c r="P54" s="71">
        <f ca="1">M54*'1.a Assumptions'!$C$10*'1.c Decrements'!E50</f>
        <v>0</v>
      </c>
      <c r="Q54" s="71">
        <f ca="1">L55*('1.c Decrements'!F50+'1.c Decrements'!G50)</f>
        <v>0</v>
      </c>
      <c r="R54" s="71">
        <f ca="1">O54-L55*'1.c Decrements'!D50</f>
        <v>0</v>
      </c>
      <c r="S54" s="71" t="str">
        <f ca="1">IF(B55=$S$13,$D$3,IF(B55&lt;$S$13,'1.c Decrements'!$L$11,""))</f>
        <v/>
      </c>
      <c r="V54" s="72" t="str">
        <f ca="1">IF($C55&lt;=$D$5,L55-L54*(1+i),"")</f>
        <v/>
      </c>
      <c r="W54" s="73" t="str">
        <f ca="1">IF(V54="","",V54-K54)</f>
        <v/>
      </c>
      <c r="X54" s="98"/>
      <c r="Y54" s="99" t="str">
        <f ca="1">IF(V54="","",J54/'1.c PUC_Projection'!H56)</f>
        <v/>
      </c>
      <c r="Z54" s="99" t="str">
        <f ca="1">IF(V54="","",($D$5-$D$9)/$H$15*(1+$D$10)^-(C54-$D$9+1))</f>
        <v/>
      </c>
      <c r="AA54" s="100" t="str">
        <f t="shared" ca="1" si="5"/>
        <v/>
      </c>
    </row>
    <row r="55" spans="2:27" ht="15" customHeight="1" x14ac:dyDescent="0.25">
      <c r="B55" s="60" t="str">
        <f t="shared" ca="1" si="6"/>
        <v/>
      </c>
      <c r="C55" s="74" t="str">
        <f t="shared" ca="1" si="7"/>
        <v/>
      </c>
      <c r="D55" s="75" t="str">
        <f t="shared" ca="1" si="8"/>
        <v/>
      </c>
      <c r="E55" s="76" t="str">
        <f t="shared" ca="1" si="9"/>
        <v/>
      </c>
      <c r="F55" s="65" t="str">
        <f t="shared" ca="1" si="13"/>
        <v/>
      </c>
      <c r="G55" s="65" t="str">
        <f t="shared" ca="1" si="13"/>
        <v/>
      </c>
      <c r="I55" s="97">
        <f ca="1">IFERROR((1-(1+$D$10)^-($D$5-$C55))/$D$10,0)</f>
        <v>0</v>
      </c>
      <c r="J55" s="66" t="str">
        <f ca="1">IF($C55="","",
D55*($D$5-$D$9)*((1+F55)/(1+G55))^($D$5-$D$9)/$H$15)</f>
        <v/>
      </c>
      <c r="K55" s="68">
        <f t="shared" ca="1" si="12"/>
        <v>0</v>
      </c>
      <c r="L55" s="67">
        <f t="shared" ca="1" si="3"/>
        <v>0</v>
      </c>
      <c r="M55" s="68">
        <f t="shared" ca="1" si="4"/>
        <v>0</v>
      </c>
      <c r="N55" s="69"/>
      <c r="O55" s="70">
        <f ca="1">IF($C55="",0,
K55*'1.c Decrements'!D51+(O54-P54-Q54)*(1+G54))</f>
        <v>0</v>
      </c>
      <c r="P55" s="71">
        <f ca="1">M55*'1.a Assumptions'!$C$10*'1.c Decrements'!E51</f>
        <v>0</v>
      </c>
      <c r="Q55" s="71">
        <f ca="1">L56*('1.c Decrements'!F51+'1.c Decrements'!G51)</f>
        <v>0</v>
      </c>
      <c r="R55" s="71">
        <f ca="1">O55-L56*'1.c Decrements'!D51</f>
        <v>0</v>
      </c>
      <c r="S55" s="71" t="str">
        <f ca="1">IF(B56=$S$13,$D$3,IF(B56&lt;$S$13,'1.c Decrements'!$L$11,""))</f>
        <v/>
      </c>
      <c r="V55" s="72" t="str">
        <f ca="1">IF($C56&lt;=$D$5,L56-L55*(1+i),"")</f>
        <v/>
      </c>
      <c r="W55" s="73" t="str">
        <f ca="1">IF(V55="","",V55-K55)</f>
        <v/>
      </c>
      <c r="X55" s="98"/>
      <c r="Y55" s="99" t="str">
        <f ca="1">IF(V55="","",J55/'1.c PUC_Projection'!H57)</f>
        <v/>
      </c>
      <c r="Z55" s="99" t="str">
        <f ca="1">IF(V55="","",($D$5-$D$9)/$H$15*(1+$D$10)^-(C55-$D$9+1))</f>
        <v/>
      </c>
      <c r="AA55" s="100" t="str">
        <f t="shared" ca="1" si="5"/>
        <v/>
      </c>
    </row>
    <row r="56" spans="2:27" ht="15" customHeight="1" x14ac:dyDescent="0.25">
      <c r="B56" s="60" t="str">
        <f t="shared" ca="1" si="6"/>
        <v/>
      </c>
      <c r="C56" s="74" t="str">
        <f t="shared" ca="1" si="7"/>
        <v/>
      </c>
      <c r="D56" s="75" t="str">
        <f t="shared" ca="1" si="8"/>
        <v/>
      </c>
      <c r="E56" s="76" t="str">
        <f t="shared" ca="1" si="9"/>
        <v/>
      </c>
      <c r="F56" s="65" t="str">
        <f t="shared" ca="1" si="13"/>
        <v/>
      </c>
      <c r="G56" s="65" t="str">
        <f t="shared" ca="1" si="13"/>
        <v/>
      </c>
      <c r="I56" s="97">
        <f ca="1">IFERROR((1-(1+$D$10)^-($D$5-$C56))/$D$10,0)</f>
        <v>0</v>
      </c>
      <c r="J56" s="66" t="str">
        <f ca="1">IF($C56="","",
D56*($D$5-$D$9)*((1+F56)/(1+G56))^($D$5-$D$9)/$H$15)</f>
        <v/>
      </c>
      <c r="K56" s="68">
        <f t="shared" ca="1" si="12"/>
        <v>0</v>
      </c>
      <c r="L56" s="67">
        <f t="shared" ca="1" si="3"/>
        <v>0</v>
      </c>
      <c r="M56" s="68">
        <f t="shared" ca="1" si="4"/>
        <v>0</v>
      </c>
      <c r="N56" s="69"/>
      <c r="O56" s="70">
        <f ca="1">IF($C56="",0,
K56*'1.c Decrements'!D52+(O55-P55-Q55)*(1+G55))</f>
        <v>0</v>
      </c>
      <c r="P56" s="71">
        <f ca="1">M56*'1.a Assumptions'!$C$10*'1.c Decrements'!E52</f>
        <v>0</v>
      </c>
      <c r="Q56" s="71">
        <f ca="1">L57*('1.c Decrements'!F52+'1.c Decrements'!G52)</f>
        <v>0</v>
      </c>
      <c r="R56" s="71">
        <f ca="1">O56-L57*'1.c Decrements'!D52</f>
        <v>0</v>
      </c>
      <c r="S56" s="71" t="str">
        <f ca="1">IF(B57=$S$13,$D$3,IF(B57&lt;$S$13,'1.c Decrements'!$L$11,""))</f>
        <v/>
      </c>
      <c r="V56" s="72" t="str">
        <f ca="1">IF($C57&lt;=$D$5,L57-L56*(1+i),"")</f>
        <v/>
      </c>
      <c r="W56" s="73" t="str">
        <f ca="1">IF(V56="","",V56-K56)</f>
        <v/>
      </c>
      <c r="X56" s="98"/>
      <c r="Y56" s="99" t="str">
        <f ca="1">IF(V56="","",J56/'1.c PUC_Projection'!H58)</f>
        <v/>
      </c>
      <c r="Z56" s="99" t="str">
        <f ca="1">IF(V56="","",($D$5-$D$9)/$H$15*(1+$D$10)^-(C56-$D$9+1))</f>
        <v/>
      </c>
      <c r="AA56" s="100" t="str">
        <f t="shared" ca="1" si="5"/>
        <v/>
      </c>
    </row>
    <row r="57" spans="2:27" ht="15" customHeight="1" x14ac:dyDescent="0.25">
      <c r="B57" s="60" t="str">
        <f t="shared" ca="1" si="6"/>
        <v/>
      </c>
      <c r="C57" s="74" t="str">
        <f t="shared" ca="1" si="7"/>
        <v/>
      </c>
      <c r="D57" s="75" t="str">
        <f t="shared" ca="1" si="8"/>
        <v/>
      </c>
      <c r="E57" s="76" t="str">
        <f t="shared" ca="1" si="9"/>
        <v/>
      </c>
      <c r="F57" s="65" t="str">
        <f t="shared" ca="1" si="13"/>
        <v/>
      </c>
      <c r="G57" s="65" t="str">
        <f t="shared" ca="1" si="13"/>
        <v/>
      </c>
      <c r="I57" s="97">
        <f ca="1">IFERROR((1-(1+$D$10)^-($D$5-$C57))/$D$10,0)</f>
        <v>0</v>
      </c>
      <c r="J57" s="66" t="str">
        <f ca="1">IF($C57="","",
D57*($D$5-$D$9)*((1+F57)/(1+G57))^($D$5-$D$9)/$H$15)</f>
        <v/>
      </c>
      <c r="K57" s="68">
        <f t="shared" ca="1" si="12"/>
        <v>0</v>
      </c>
      <c r="L57" s="67">
        <f t="shared" ca="1" si="3"/>
        <v>0</v>
      </c>
      <c r="M57" s="68">
        <f t="shared" ca="1" si="4"/>
        <v>0</v>
      </c>
      <c r="N57" s="69"/>
      <c r="O57" s="70">
        <f ca="1">IF($C57="",0,
K57*'1.c Decrements'!D53+(O56-P56-Q56)*(1+G56))</f>
        <v>0</v>
      </c>
      <c r="P57" s="71">
        <f ca="1">M57*'1.a Assumptions'!$C$10*'1.c Decrements'!E53</f>
        <v>0</v>
      </c>
      <c r="Q57" s="71">
        <f ca="1">L58*('1.c Decrements'!F53+'1.c Decrements'!G53)</f>
        <v>0</v>
      </c>
      <c r="R57" s="71">
        <f ca="1">O57-L58*'1.c Decrements'!D53</f>
        <v>0</v>
      </c>
      <c r="S57" s="71" t="str">
        <f ca="1">IF(B58=$S$13,$D$3,IF(B58&lt;$S$13,'1.c Decrements'!$L$11,""))</f>
        <v/>
      </c>
      <c r="V57" s="72" t="str">
        <f ca="1">IF($C58&lt;=$D$5,L58-L57*(1+i),"")</f>
        <v/>
      </c>
      <c r="W57" s="73" t="str">
        <f ca="1">IF(V57="","",V57-K57)</f>
        <v/>
      </c>
      <c r="X57" s="98"/>
      <c r="Y57" s="99" t="str">
        <f ca="1">IF(V57="","",J57/'1.c PUC_Projection'!H59)</f>
        <v/>
      </c>
      <c r="Z57" s="99" t="str">
        <f ca="1">IF(V57="","",($D$5-$D$9)/$H$15*(1+$D$10)^-(C57-$D$9+1))</f>
        <v/>
      </c>
      <c r="AA57" s="100" t="str">
        <f t="shared" ca="1" si="5"/>
        <v/>
      </c>
    </row>
    <row r="58" spans="2:27" ht="15" customHeight="1" x14ac:dyDescent="0.25">
      <c r="B58" s="60" t="str">
        <f t="shared" ca="1" si="6"/>
        <v/>
      </c>
      <c r="C58" s="74" t="str">
        <f t="shared" ca="1" si="7"/>
        <v/>
      </c>
      <c r="D58" s="75" t="str">
        <f t="shared" ca="1" si="8"/>
        <v/>
      </c>
      <c r="E58" s="76" t="str">
        <f t="shared" ca="1" si="9"/>
        <v/>
      </c>
      <c r="F58" s="65" t="str">
        <f t="shared" ca="1" si="13"/>
        <v/>
      </c>
      <c r="G58" s="65" t="str">
        <f t="shared" ca="1" si="13"/>
        <v/>
      </c>
      <c r="I58" s="97">
        <f ca="1">IFERROR((1-(1+$D$10)^-($D$5-$C58))/$D$10,0)</f>
        <v>0</v>
      </c>
      <c r="J58" s="66" t="str">
        <f ca="1">IF($C58="","",
D58*($D$5-$D$9)*((1+F58)/(1+G58))^($D$5-$D$9)/$H$15)</f>
        <v/>
      </c>
      <c r="K58" s="68">
        <f t="shared" ca="1" si="12"/>
        <v>0</v>
      </c>
      <c r="L58" s="67">
        <f t="shared" ca="1" si="3"/>
        <v>0</v>
      </c>
      <c r="M58" s="68">
        <f t="shared" ca="1" si="4"/>
        <v>0</v>
      </c>
      <c r="N58" s="69"/>
      <c r="O58" s="70">
        <f ca="1">IF($C58="",0,
K58*'1.c Decrements'!D54+(O57-P57-Q57)*(1+G57))</f>
        <v>0</v>
      </c>
      <c r="P58" s="71">
        <f ca="1">M58*'1.a Assumptions'!$C$10*'1.c Decrements'!E54</f>
        <v>0</v>
      </c>
      <c r="Q58" s="71">
        <f ca="1">L59*('1.c Decrements'!F54+'1.c Decrements'!G54)</f>
        <v>0</v>
      </c>
      <c r="R58" s="71">
        <f ca="1">O58-L59*'1.c Decrements'!D54</f>
        <v>0</v>
      </c>
      <c r="S58" s="71" t="str">
        <f ca="1">IF(B59=$S$13,$D$3,IF(B59&lt;$S$13,'1.c Decrements'!$L$11,""))</f>
        <v/>
      </c>
      <c r="V58" s="72" t="str">
        <f ca="1">IF($C59&lt;=$D$5,L59-L58*(1+i),"")</f>
        <v/>
      </c>
      <c r="W58" s="73" t="str">
        <f ca="1">IF(V58="","",V58-K58)</f>
        <v/>
      </c>
      <c r="X58" s="98"/>
      <c r="Y58" s="99" t="str">
        <f ca="1">IF(V58="","",J58/'1.c PUC_Projection'!H60)</f>
        <v/>
      </c>
      <c r="Z58" s="99" t="str">
        <f ca="1">IF(V58="","",($D$5-$D$9)/$H$15*(1+$D$10)^-(C58-$D$9+1))</f>
        <v/>
      </c>
      <c r="AA58" s="100" t="str">
        <f t="shared" ca="1" si="5"/>
        <v/>
      </c>
    </row>
    <row r="59" spans="2:27" ht="15" customHeight="1" x14ac:dyDescent="0.25">
      <c r="B59" s="60" t="str">
        <f t="shared" ca="1" si="6"/>
        <v/>
      </c>
      <c r="C59" s="74" t="str">
        <f t="shared" ca="1" si="7"/>
        <v/>
      </c>
      <c r="D59" s="75" t="str">
        <f t="shared" ca="1" si="8"/>
        <v/>
      </c>
      <c r="E59" s="76" t="str">
        <f t="shared" ca="1" si="9"/>
        <v/>
      </c>
      <c r="F59" s="65" t="str">
        <f t="shared" ca="1" si="13"/>
        <v/>
      </c>
      <c r="G59" s="65" t="str">
        <f t="shared" ca="1" si="13"/>
        <v/>
      </c>
      <c r="I59" s="97">
        <f ca="1">IFERROR((1-(1+$D$10)^-($D$5-$C59))/$D$10,0)</f>
        <v>0</v>
      </c>
      <c r="J59" s="66" t="str">
        <f ca="1">IF($C59="","",
D59*($D$5-$D$9)*((1+F59)/(1+G59))^($D$5-$D$9)/$H$15)</f>
        <v/>
      </c>
      <c r="K59" s="68">
        <f t="shared" ca="1" si="12"/>
        <v>0</v>
      </c>
      <c r="L59" s="67">
        <f t="shared" ca="1" si="3"/>
        <v>0</v>
      </c>
      <c r="M59" s="68">
        <f t="shared" ca="1" si="4"/>
        <v>0</v>
      </c>
      <c r="N59" s="69"/>
      <c r="O59" s="70">
        <f ca="1">IF($C59="",0,
K59*'1.c Decrements'!D55+(O58-P58-Q58)*(1+G58))</f>
        <v>0</v>
      </c>
      <c r="P59" s="71">
        <f ca="1">M59*'1.a Assumptions'!$C$10*'1.c Decrements'!E55</f>
        <v>0</v>
      </c>
      <c r="Q59" s="71">
        <f ca="1">L60*('1.c Decrements'!F55+'1.c Decrements'!G55)</f>
        <v>0</v>
      </c>
      <c r="R59" s="71">
        <f ca="1">O59-L60*'1.c Decrements'!D55</f>
        <v>0</v>
      </c>
      <c r="S59" s="71" t="str">
        <f ca="1">IF(B60=$S$13,$D$3,IF(B60&lt;$S$13,'1.c Decrements'!$L$11,""))</f>
        <v/>
      </c>
      <c r="V59" s="72" t="str">
        <f ca="1">IF($C60&lt;=$D$5,L60-L59*(1+i),"")</f>
        <v/>
      </c>
      <c r="W59" s="73" t="str">
        <f ca="1">IF(V59="","",V59-K59)</f>
        <v/>
      </c>
      <c r="X59" s="98"/>
      <c r="Y59" s="99" t="str">
        <f ca="1">IF(V59="","",J59/'1.c PUC_Projection'!H61)</f>
        <v/>
      </c>
      <c r="Z59" s="99" t="str">
        <f ca="1">IF(V59="","",($D$5-$D$9)/$H$15*(1+$D$10)^-(C59-$D$9+1))</f>
        <v/>
      </c>
      <c r="AA59" s="100" t="str">
        <f t="shared" ca="1" si="5"/>
        <v/>
      </c>
    </row>
    <row r="60" spans="2:27" ht="15" customHeight="1" x14ac:dyDescent="0.25">
      <c r="B60" s="60" t="str">
        <f t="shared" ca="1" si="6"/>
        <v/>
      </c>
      <c r="C60" s="74" t="str">
        <f t="shared" ca="1" si="7"/>
        <v/>
      </c>
      <c r="D60" s="75" t="str">
        <f t="shared" ca="1" si="8"/>
        <v/>
      </c>
      <c r="E60" s="76" t="str">
        <f t="shared" ca="1" si="9"/>
        <v/>
      </c>
      <c r="F60" s="65" t="str">
        <f t="shared" ca="1" si="13"/>
        <v/>
      </c>
      <c r="G60" s="65" t="str">
        <f t="shared" ca="1" si="13"/>
        <v/>
      </c>
      <c r="I60" s="97">
        <f ca="1">IFERROR((1-(1+$D$10)^-($D$5-$C60))/$D$10,0)</f>
        <v>0</v>
      </c>
      <c r="J60" s="66" t="str">
        <f ca="1">IF($C60="","",
D60*($D$5-$D$9)*((1+F60)/(1+G60))^($D$5-$D$9)/$H$15)</f>
        <v/>
      </c>
      <c r="K60" s="68">
        <f t="shared" ca="1" si="12"/>
        <v>0</v>
      </c>
      <c r="L60" s="67">
        <f t="shared" ca="1" si="3"/>
        <v>0</v>
      </c>
      <c r="M60" s="68">
        <f t="shared" ca="1" si="4"/>
        <v>0</v>
      </c>
      <c r="N60" s="69"/>
      <c r="O60" s="70">
        <f ca="1">IF($C60="",0,
K60*'1.c Decrements'!D56+(O59-P59-Q59)*(1+G59))</f>
        <v>0</v>
      </c>
      <c r="P60" s="71">
        <f ca="1">M60*'1.a Assumptions'!$C$10*'1.c Decrements'!E56</f>
        <v>0</v>
      </c>
      <c r="Q60" s="71">
        <f ca="1">L61*('1.c Decrements'!F56+'1.c Decrements'!G56)</f>
        <v>0</v>
      </c>
      <c r="R60" s="71">
        <f ca="1">O60-L61*'1.c Decrements'!D56</f>
        <v>0</v>
      </c>
      <c r="S60" s="71" t="str">
        <f ca="1">IF(B61=$S$13,$D$3,IF(B61&lt;$S$13,'1.c Decrements'!$L$11,""))</f>
        <v/>
      </c>
      <c r="V60" s="72" t="str">
        <f ca="1">IF($C61&lt;=$D$5,L61-L60*(1+i),"")</f>
        <v/>
      </c>
      <c r="W60" s="73" t="str">
        <f ca="1">IF(V60="","",V60-K60)</f>
        <v/>
      </c>
      <c r="X60" s="98"/>
      <c r="Y60" s="99" t="str">
        <f ca="1">IF(V60="","",J60/'1.c PUC_Projection'!H62)</f>
        <v/>
      </c>
      <c r="Z60" s="99" t="str">
        <f ca="1">IF(V60="","",($D$5-$D$9)/$H$15*(1+$D$10)^-(C60-$D$9+1))</f>
        <v/>
      </c>
      <c r="AA60" s="100" t="str">
        <f t="shared" ca="1" si="5"/>
        <v/>
      </c>
    </row>
    <row r="61" spans="2:27" ht="15" customHeight="1" x14ac:dyDescent="0.25">
      <c r="B61" s="60" t="str">
        <f t="shared" ca="1" si="6"/>
        <v/>
      </c>
      <c r="C61" s="74" t="str">
        <f t="shared" ca="1" si="7"/>
        <v/>
      </c>
      <c r="D61" s="75" t="str">
        <f t="shared" ca="1" si="8"/>
        <v/>
      </c>
      <c r="E61" s="76" t="str">
        <f t="shared" ca="1" si="9"/>
        <v/>
      </c>
      <c r="F61" s="65" t="str">
        <f t="shared" ca="1" si="13"/>
        <v/>
      </c>
      <c r="G61" s="65" t="str">
        <f t="shared" ca="1" si="13"/>
        <v/>
      </c>
      <c r="I61" s="97">
        <f ca="1">IFERROR((1-(1+$D$10)^-($D$5-$C61))/$D$10,0)</f>
        <v>0</v>
      </c>
      <c r="J61" s="66" t="str">
        <f ca="1">IF($C61="","",
D61*($D$5-$D$9)*((1+F61)/(1+G61))^($D$5-$D$9)/$H$15)</f>
        <v/>
      </c>
      <c r="K61" s="68">
        <f t="shared" ca="1" si="12"/>
        <v>0</v>
      </c>
      <c r="L61" s="67">
        <f t="shared" ca="1" si="3"/>
        <v>0</v>
      </c>
      <c r="M61" s="68">
        <f t="shared" ca="1" si="4"/>
        <v>0</v>
      </c>
      <c r="N61" s="69"/>
      <c r="O61" s="70">
        <f ca="1">IF($C61="",0,
K61*'1.c Decrements'!D57+(O60-P60-Q60)*(1+G60))</f>
        <v>0</v>
      </c>
      <c r="P61" s="71">
        <f ca="1">M61*'1.a Assumptions'!$C$10*'1.c Decrements'!E57</f>
        <v>0</v>
      </c>
      <c r="Q61" s="71">
        <f ca="1">L62*('1.c Decrements'!F57+'1.c Decrements'!G57)</f>
        <v>0</v>
      </c>
      <c r="R61" s="71">
        <f ca="1">O61-L62*'1.c Decrements'!D57</f>
        <v>0</v>
      </c>
      <c r="S61" s="71" t="str">
        <f ca="1">IF(B62=$S$13,$D$3,IF(B62&lt;$S$13,'1.c Decrements'!$L$11,""))</f>
        <v/>
      </c>
      <c r="V61" s="72" t="str">
        <f ca="1">IF($C62&lt;=$D$5,L62-L61*(1+i),"")</f>
        <v/>
      </c>
      <c r="W61" s="73" t="str">
        <f ca="1">IF(V61="","",V61-K61)</f>
        <v/>
      </c>
      <c r="X61" s="98"/>
      <c r="Y61" s="99" t="str">
        <f ca="1">IF(V61="","",J61/'1.c PUC_Projection'!H63)</f>
        <v/>
      </c>
      <c r="Z61" s="99" t="str">
        <f ca="1">IF(V61="","",($D$5-$D$9)/$H$15*(1+$D$10)^-(C61-$D$9+1))</f>
        <v/>
      </c>
      <c r="AA61" s="100" t="str">
        <f t="shared" ca="1" si="5"/>
        <v/>
      </c>
    </row>
    <row r="62" spans="2:27" ht="15" customHeight="1" x14ac:dyDescent="0.25">
      <c r="B62" s="60" t="str">
        <f t="shared" ca="1" si="6"/>
        <v/>
      </c>
      <c r="C62" s="74" t="str">
        <f t="shared" ca="1" si="7"/>
        <v/>
      </c>
      <c r="D62" s="75" t="str">
        <f t="shared" ca="1" si="8"/>
        <v/>
      </c>
      <c r="E62" s="76" t="str">
        <f t="shared" ca="1" si="9"/>
        <v/>
      </c>
      <c r="F62" s="65" t="str">
        <f t="shared" ca="1" si="13"/>
        <v/>
      </c>
      <c r="G62" s="65" t="str">
        <f t="shared" ca="1" si="13"/>
        <v/>
      </c>
      <c r="I62" s="97">
        <f ca="1">IFERROR((1-(1+$D$10)^-($D$5-$C62))/$D$10,0)</f>
        <v>0</v>
      </c>
      <c r="J62" s="66" t="str">
        <f ca="1">IF($C62="","",
D62*($D$5-$D$9)*((1+F62)/(1+G62))^($D$5-$D$9)/$H$15)</f>
        <v/>
      </c>
      <c r="K62" s="68">
        <f t="shared" ca="1" si="12"/>
        <v>0</v>
      </c>
      <c r="L62" s="67">
        <f t="shared" ca="1" si="3"/>
        <v>0</v>
      </c>
      <c r="M62" s="68">
        <f t="shared" ca="1" si="4"/>
        <v>0</v>
      </c>
      <c r="N62" s="69"/>
      <c r="O62" s="70">
        <f ca="1">IF($C62="",0,
K62*'1.c Decrements'!D58+(O61-P61-Q61)*(1+G61))</f>
        <v>0</v>
      </c>
      <c r="P62" s="71">
        <f ca="1">M62*'1.a Assumptions'!$C$10*'1.c Decrements'!E58</f>
        <v>0</v>
      </c>
      <c r="Q62" s="71">
        <f ca="1">L63*('1.c Decrements'!F58+'1.c Decrements'!G58)</f>
        <v>0</v>
      </c>
      <c r="R62" s="71">
        <f ca="1">O62-L63*'1.c Decrements'!D58</f>
        <v>0</v>
      </c>
      <c r="S62" s="71" t="str">
        <f ca="1">IF(B63=$S$13,$D$3,IF(B63&lt;$S$13,'1.c Decrements'!$L$11,""))</f>
        <v/>
      </c>
      <c r="V62" s="72" t="str">
        <f ca="1">IF($C63&lt;=$D$5,L63-L62*(1+i),"")</f>
        <v/>
      </c>
      <c r="W62" s="73" t="str">
        <f ca="1">IF(V62="","",V62-K62)</f>
        <v/>
      </c>
      <c r="X62" s="98"/>
      <c r="Y62" s="99" t="str">
        <f ca="1">IF(V62="","",J62/'1.c PUC_Projection'!H64)</f>
        <v/>
      </c>
      <c r="Z62" s="99" t="str">
        <f ca="1">IF(V62="","",($D$5-$D$9)/$H$15*(1+$D$10)^-(C62-$D$9+1))</f>
        <v/>
      </c>
      <c r="AA62" s="100" t="str">
        <f t="shared" ca="1" si="5"/>
        <v/>
      </c>
    </row>
    <row r="63" spans="2:27" ht="15" customHeight="1" x14ac:dyDescent="0.25">
      <c r="B63" s="60" t="str">
        <f t="shared" ca="1" si="6"/>
        <v/>
      </c>
      <c r="C63" s="74" t="str">
        <f t="shared" ca="1" si="7"/>
        <v/>
      </c>
      <c r="D63" s="75" t="str">
        <f t="shared" ca="1" si="8"/>
        <v/>
      </c>
      <c r="E63" s="76" t="str">
        <f t="shared" ca="1" si="9"/>
        <v/>
      </c>
      <c r="F63" s="65" t="str">
        <f t="shared" ca="1" si="13"/>
        <v/>
      </c>
      <c r="G63" s="65" t="str">
        <f t="shared" ca="1" si="13"/>
        <v/>
      </c>
      <c r="I63" s="97">
        <f ca="1">IFERROR((1-(1+$D$10)^-($D$5-$C63))/$D$10,0)</f>
        <v>0</v>
      </c>
      <c r="J63" s="66" t="str">
        <f ca="1">IF($C63="","",
D63*($D$5-$D$9)*((1+F63)/(1+G63))^($D$5-$D$9)/$H$15)</f>
        <v/>
      </c>
      <c r="K63" s="68">
        <f t="shared" ca="1" si="12"/>
        <v>0</v>
      </c>
      <c r="L63" s="67">
        <f t="shared" ca="1" si="3"/>
        <v>0</v>
      </c>
      <c r="M63" s="68">
        <f t="shared" ca="1" si="4"/>
        <v>0</v>
      </c>
      <c r="N63" s="69"/>
      <c r="O63" s="70">
        <f ca="1">IF($C63="",0,
K63*'1.c Decrements'!D59+(O62-P62-Q62)*(1+G62))</f>
        <v>0</v>
      </c>
      <c r="P63" s="71">
        <f ca="1">M63*'1.a Assumptions'!$C$10*'1.c Decrements'!E59</f>
        <v>0</v>
      </c>
      <c r="Q63" s="71">
        <f ca="1">L64*('1.c Decrements'!F59+'1.c Decrements'!G59)</f>
        <v>0</v>
      </c>
      <c r="R63" s="71">
        <f ca="1">O63-L64*'1.c Decrements'!D59</f>
        <v>0</v>
      </c>
      <c r="S63" s="71" t="str">
        <f ca="1">IF(B64=$S$13,$D$3,IF(B64&lt;$S$13,'1.c Decrements'!$L$11,""))</f>
        <v/>
      </c>
      <c r="V63" s="72" t="str">
        <f ca="1">IF($C64&lt;=$D$5,L64-L63*(1+i),"")</f>
        <v/>
      </c>
      <c r="W63" s="73" t="str">
        <f ca="1">IF(V63="","",V63-K63)</f>
        <v/>
      </c>
      <c r="X63" s="98"/>
      <c r="Y63" s="99" t="str">
        <f ca="1">IF(V63="","",J63/'1.c PUC_Projection'!H65)</f>
        <v/>
      </c>
      <c r="Z63" s="99" t="str">
        <f ca="1">IF(V63="","",($D$5-$D$9)/$H$15*(1+$D$10)^-(C63-$D$9+1))</f>
        <v/>
      </c>
      <c r="AA63" s="100" t="str">
        <f t="shared" ca="1" si="5"/>
        <v/>
      </c>
    </row>
    <row r="64" spans="2:27" ht="15" customHeight="1" x14ac:dyDescent="0.25">
      <c r="B64" s="60" t="str">
        <f t="shared" ca="1" si="6"/>
        <v/>
      </c>
      <c r="C64" s="74" t="str">
        <f t="shared" ca="1" si="7"/>
        <v/>
      </c>
      <c r="D64" s="75" t="str">
        <f t="shared" ca="1" si="8"/>
        <v/>
      </c>
      <c r="E64" s="76" t="str">
        <f t="shared" ca="1" si="9"/>
        <v/>
      </c>
      <c r="F64" s="65" t="str">
        <f t="shared" ca="1" si="13"/>
        <v/>
      </c>
      <c r="G64" s="65" t="str">
        <f t="shared" ca="1" si="13"/>
        <v/>
      </c>
      <c r="I64" s="97">
        <f ca="1">IFERROR((1-(1+$D$10)^-($D$5-$C64))/$D$10,0)</f>
        <v>0</v>
      </c>
      <c r="J64" s="66" t="str">
        <f ca="1">IF($C64="","",
D64*($D$5-$D$9)*((1+F64)/(1+G64))^($D$5-$D$9)/$H$15)</f>
        <v/>
      </c>
      <c r="K64" s="68">
        <f t="shared" ca="1" si="12"/>
        <v>0</v>
      </c>
      <c r="L64" s="67">
        <f t="shared" ca="1" si="3"/>
        <v>0</v>
      </c>
      <c r="M64" s="68">
        <f t="shared" ca="1" si="4"/>
        <v>0</v>
      </c>
      <c r="N64" s="69"/>
      <c r="O64" s="70">
        <f ca="1">IF($C64="",0,
K64*'1.c Decrements'!D60+(O63-P63-Q63)*(1+G63))</f>
        <v>0</v>
      </c>
      <c r="P64" s="71">
        <f ca="1">M64*'1.a Assumptions'!$C$10*'1.c Decrements'!E60</f>
        <v>0</v>
      </c>
      <c r="Q64" s="71">
        <f ca="1">L65*('1.c Decrements'!F60+'1.c Decrements'!G60)</f>
        <v>0</v>
      </c>
      <c r="R64" s="71">
        <f ca="1">O64-L65*'1.c Decrements'!D60</f>
        <v>0</v>
      </c>
      <c r="S64" s="71" t="str">
        <f ca="1">IF(B65=$S$13,$D$3,IF(B65&lt;$S$13,'1.c Decrements'!$L$11,""))</f>
        <v/>
      </c>
      <c r="V64" s="72" t="str">
        <f ca="1">IF($C65&lt;=$D$5,L65-L64*(1+i),"")</f>
        <v/>
      </c>
      <c r="W64" s="73" t="str">
        <f ca="1">IF(V64="","",V64-K64)</f>
        <v/>
      </c>
      <c r="X64" s="98"/>
      <c r="Y64" s="99" t="str">
        <f ca="1">IF(V64="","",J64/'1.c PUC_Projection'!H66)</f>
        <v/>
      </c>
      <c r="Z64" s="99" t="str">
        <f ca="1">IF(V64="","",($D$5-$D$9)/$H$15*(1+$D$10)^-(C64-$D$9+1))</f>
        <v/>
      </c>
      <c r="AA64" s="100" t="str">
        <f t="shared" ca="1" si="5"/>
        <v/>
      </c>
    </row>
    <row r="65" spans="2:27" ht="15" customHeight="1" x14ac:dyDescent="0.25">
      <c r="B65" s="60" t="str">
        <f t="shared" ca="1" si="6"/>
        <v/>
      </c>
      <c r="C65" s="74" t="str">
        <f t="shared" ca="1" si="7"/>
        <v/>
      </c>
      <c r="D65" s="75" t="str">
        <f t="shared" ca="1" si="8"/>
        <v/>
      </c>
      <c r="E65" s="76" t="str">
        <f t="shared" ca="1" si="9"/>
        <v/>
      </c>
      <c r="F65" s="65" t="str">
        <f t="shared" ref="F65:G80" ca="1" si="14">IF($C65="","",F64)</f>
        <v/>
      </c>
      <c r="G65" s="65" t="str">
        <f t="shared" ca="1" si="14"/>
        <v/>
      </c>
      <c r="I65" s="97">
        <f ca="1">IFERROR((1-(1+$D$10)^-($D$5-$C65))/$D$10,0)</f>
        <v>0</v>
      </c>
      <c r="J65" s="66" t="str">
        <f ca="1">IF($C65="","",
D65*($D$5-$D$9)*((1+F65)/(1+G65))^($D$5-$D$9)/$H$15)</f>
        <v/>
      </c>
      <c r="K65" s="68">
        <f t="shared" ca="1" si="12"/>
        <v>0</v>
      </c>
      <c r="L65" s="67">
        <f t="shared" ca="1" si="3"/>
        <v>0</v>
      </c>
      <c r="M65" s="68">
        <f t="shared" ca="1" si="4"/>
        <v>0</v>
      </c>
      <c r="N65" s="69"/>
      <c r="O65" s="70">
        <f ca="1">IF($C65="",0,
K65*'1.c Decrements'!D61+(O64-P64-Q64)*(1+G64))</f>
        <v>0</v>
      </c>
      <c r="P65" s="71">
        <f ca="1">M65*'1.a Assumptions'!$C$10*'1.c Decrements'!E61</f>
        <v>0</v>
      </c>
      <c r="Q65" s="71">
        <f ca="1">L66*('1.c Decrements'!F61+'1.c Decrements'!G61)</f>
        <v>0</v>
      </c>
      <c r="R65" s="71">
        <f ca="1">O65-L66*'1.c Decrements'!D61</f>
        <v>0</v>
      </c>
      <c r="S65" s="71" t="str">
        <f ca="1">IF(B66=$S$13,$D$3,IF(B66&lt;$S$13,'1.c Decrements'!$L$11,""))</f>
        <v/>
      </c>
      <c r="V65" s="72" t="str">
        <f ca="1">IF($C66&lt;=$D$5,L66-L65*(1+i),"")</f>
        <v/>
      </c>
      <c r="W65" s="73" t="str">
        <f ca="1">IF(V65="","",V65-K65)</f>
        <v/>
      </c>
      <c r="X65" s="98"/>
      <c r="Y65" s="99" t="str">
        <f ca="1">IF(V65="","",J65/'1.c PUC_Projection'!H67)</f>
        <v/>
      </c>
      <c r="Z65" s="99" t="str">
        <f ca="1">IF(V65="","",($D$5-$D$9)/$H$15*(1+$D$10)^-(C65-$D$9+1))</f>
        <v/>
      </c>
      <c r="AA65" s="100" t="str">
        <f t="shared" ca="1" si="5"/>
        <v/>
      </c>
    </row>
    <row r="66" spans="2:27" ht="15" customHeight="1" x14ac:dyDescent="0.25">
      <c r="B66" s="60" t="str">
        <f t="shared" ca="1" si="6"/>
        <v/>
      </c>
      <c r="C66" s="74" t="str">
        <f t="shared" ca="1" si="7"/>
        <v/>
      </c>
      <c r="D66" s="75" t="str">
        <f t="shared" ca="1" si="8"/>
        <v/>
      </c>
      <c r="E66" s="76" t="str">
        <f t="shared" ca="1" si="9"/>
        <v/>
      </c>
      <c r="F66" s="65" t="str">
        <f t="shared" ca="1" si="14"/>
        <v/>
      </c>
      <c r="G66" s="65" t="str">
        <f t="shared" ca="1" si="14"/>
        <v/>
      </c>
      <c r="I66" s="97">
        <f ca="1">IFERROR((1-(1+$D$10)^-($D$5-$C66))/$D$10,0)</f>
        <v>0</v>
      </c>
      <c r="J66" s="66" t="str">
        <f ca="1">IF($C66="","",
D66*($D$5-$D$9)*((1+F66)/(1+G66))^($D$5-$D$9)/$H$15)</f>
        <v/>
      </c>
      <c r="K66" s="68">
        <f t="shared" ca="1" si="12"/>
        <v>0</v>
      </c>
      <c r="L66" s="67">
        <f t="shared" ca="1" si="3"/>
        <v>0</v>
      </c>
      <c r="M66" s="68">
        <f t="shared" ca="1" si="4"/>
        <v>0</v>
      </c>
      <c r="N66" s="69"/>
      <c r="O66" s="70">
        <f ca="1">IF($C66="",0,
K66*'1.c Decrements'!D62+(O65-P65-Q65)*(1+G65))</f>
        <v>0</v>
      </c>
      <c r="P66" s="71">
        <f ca="1">M66*'1.a Assumptions'!$C$10*'1.c Decrements'!E62</f>
        <v>0</v>
      </c>
      <c r="Q66" s="71">
        <f ca="1">L67*('1.c Decrements'!F62+'1.c Decrements'!G62)</f>
        <v>0</v>
      </c>
      <c r="R66" s="71">
        <f ca="1">O66-L67*'1.c Decrements'!D62</f>
        <v>0</v>
      </c>
      <c r="S66" s="71" t="str">
        <f ca="1">IF(B67=$S$13,$D$3,IF(B67&lt;$S$13,'1.c Decrements'!$L$11,""))</f>
        <v/>
      </c>
      <c r="V66" s="72" t="str">
        <f ca="1">IF($C67&lt;=$D$5,L67-L66*(1+i),"")</f>
        <v/>
      </c>
      <c r="W66" s="73" t="str">
        <f ca="1">IF(V66="","",V66-K66)</f>
        <v/>
      </c>
      <c r="X66" s="98"/>
      <c r="Y66" s="99" t="str">
        <f ca="1">IF(V66="","",J66/'1.c PUC_Projection'!H68)</f>
        <v/>
      </c>
      <c r="Z66" s="99" t="str">
        <f ca="1">IF(V66="","",($D$5-$D$9)/$H$15*(1+$D$10)^-(C66-$D$9+1))</f>
        <v/>
      </c>
      <c r="AA66" s="100" t="str">
        <f t="shared" ca="1" si="5"/>
        <v/>
      </c>
    </row>
    <row r="67" spans="2:27" ht="15" customHeight="1" x14ac:dyDescent="0.25">
      <c r="B67" s="60" t="str">
        <f t="shared" ca="1" si="6"/>
        <v/>
      </c>
      <c r="C67" s="74" t="str">
        <f t="shared" ca="1" si="7"/>
        <v/>
      </c>
      <c r="D67" s="75" t="str">
        <f t="shared" ca="1" si="8"/>
        <v/>
      </c>
      <c r="E67" s="76" t="str">
        <f t="shared" ca="1" si="9"/>
        <v/>
      </c>
      <c r="F67" s="65" t="str">
        <f t="shared" ca="1" si="14"/>
        <v/>
      </c>
      <c r="G67" s="65" t="str">
        <f t="shared" ca="1" si="14"/>
        <v/>
      </c>
      <c r="I67" s="97">
        <f ca="1">IFERROR((1-(1+$D$10)^-($D$5-$C67))/$D$10,0)</f>
        <v>0</v>
      </c>
      <c r="J67" s="66" t="str">
        <f ca="1">IF($C67="","",
D67*($D$5-$D$9)*((1+F67)/(1+G67))^($D$5-$D$9)/$H$15)</f>
        <v/>
      </c>
      <c r="K67" s="68">
        <f t="shared" ca="1" si="12"/>
        <v>0</v>
      </c>
      <c r="L67" s="67">
        <f t="shared" ca="1" si="3"/>
        <v>0</v>
      </c>
      <c r="M67" s="68">
        <f t="shared" ca="1" si="4"/>
        <v>0</v>
      </c>
      <c r="N67" s="69"/>
      <c r="O67" s="70">
        <f ca="1">IF($C67="",0,
K67*'1.c Decrements'!D63+(O66-P66-Q66)*(1+G66))</f>
        <v>0</v>
      </c>
      <c r="P67" s="71">
        <f ca="1">M67*'1.a Assumptions'!$C$10*'1.c Decrements'!E63</f>
        <v>0</v>
      </c>
      <c r="Q67" s="71">
        <f ca="1">L68*('1.c Decrements'!F63+'1.c Decrements'!G63)</f>
        <v>0</v>
      </c>
      <c r="R67" s="71">
        <f ca="1">O67-L68*'1.c Decrements'!D63</f>
        <v>0</v>
      </c>
      <c r="S67" s="71" t="str">
        <f ca="1">IF(B68=$S$13,$D$3,IF(B68&lt;$S$13,'1.c Decrements'!$L$11,""))</f>
        <v/>
      </c>
      <c r="V67" s="72" t="str">
        <f ca="1">IF($C68&lt;=$D$5,L68-L67*(1+i),"")</f>
        <v/>
      </c>
      <c r="W67" s="73" t="str">
        <f ca="1">IF(V67="","",V67-K67)</f>
        <v/>
      </c>
      <c r="X67" s="98"/>
      <c r="Y67" s="99" t="str">
        <f ca="1">IF(V67="","",J67/'1.c PUC_Projection'!H69)</f>
        <v/>
      </c>
      <c r="Z67" s="99" t="str">
        <f ca="1">IF(V67="","",($D$5-$D$9)/$H$15*(1+$D$10)^-(C67-$D$9+1))</f>
        <v/>
      </c>
      <c r="AA67" s="100" t="str">
        <f t="shared" ca="1" si="5"/>
        <v/>
      </c>
    </row>
    <row r="68" spans="2:27" ht="15" customHeight="1" x14ac:dyDescent="0.25">
      <c r="B68" s="60" t="str">
        <f t="shared" ca="1" si="6"/>
        <v/>
      </c>
      <c r="C68" s="74" t="str">
        <f t="shared" ca="1" si="7"/>
        <v/>
      </c>
      <c r="D68" s="75" t="str">
        <f t="shared" ca="1" si="8"/>
        <v/>
      </c>
      <c r="E68" s="76" t="str">
        <f t="shared" ca="1" si="9"/>
        <v/>
      </c>
      <c r="F68" s="65" t="str">
        <f t="shared" ca="1" si="14"/>
        <v/>
      </c>
      <c r="G68" s="65" t="str">
        <f t="shared" ca="1" si="14"/>
        <v/>
      </c>
      <c r="I68" s="97">
        <f ca="1">IFERROR((1-(1+$D$10)^-($D$5-$C68))/$D$10,0)</f>
        <v>0</v>
      </c>
      <c r="J68" s="66" t="str">
        <f ca="1">IF($C68="","",
D68*($D$5-$D$9)*((1+F68)/(1+G68))^($D$5-$D$9)/$H$15)</f>
        <v/>
      </c>
      <c r="K68" s="68">
        <f t="shared" ca="1" si="12"/>
        <v>0</v>
      </c>
      <c r="L68" s="67">
        <f t="shared" ca="1" si="3"/>
        <v>0</v>
      </c>
      <c r="M68" s="68">
        <f t="shared" ca="1" si="4"/>
        <v>0</v>
      </c>
      <c r="N68" s="69"/>
      <c r="O68" s="70">
        <f ca="1">IF($C68="",0,
K68*'1.c Decrements'!D64+(O67-P67-Q67)*(1+G67))</f>
        <v>0</v>
      </c>
      <c r="P68" s="71">
        <f ca="1">M68*'1.a Assumptions'!$C$10*'1.c Decrements'!E64</f>
        <v>0</v>
      </c>
      <c r="Q68" s="71">
        <f ca="1">L69*('1.c Decrements'!F64+'1.c Decrements'!G64)</f>
        <v>0</v>
      </c>
      <c r="R68" s="71">
        <f ca="1">O68-L69*'1.c Decrements'!D64</f>
        <v>0</v>
      </c>
      <c r="S68" s="71" t="str">
        <f ca="1">IF(B69=$S$13,$D$3,IF(B69&lt;$S$13,'1.c Decrements'!$L$11,""))</f>
        <v/>
      </c>
      <c r="V68" s="72" t="str">
        <f ca="1">IF($C69&lt;=$D$5,L69-L68*(1+i),"")</f>
        <v/>
      </c>
      <c r="W68" s="73" t="str">
        <f ca="1">IF(V68="","",V68-K68)</f>
        <v/>
      </c>
      <c r="X68" s="98"/>
      <c r="Y68" s="99" t="str">
        <f ca="1">IF(V68="","",J68/'1.c PUC_Projection'!H70)</f>
        <v/>
      </c>
      <c r="Z68" s="99" t="str">
        <f ca="1">IF(V68="","",($D$5-$D$9)/$H$15*(1+$D$10)^-(C68-$D$9+1))</f>
        <v/>
      </c>
      <c r="AA68" s="100" t="str">
        <f t="shared" ca="1" si="5"/>
        <v/>
      </c>
    </row>
    <row r="69" spans="2:27" ht="15" customHeight="1" x14ac:dyDescent="0.25">
      <c r="B69" s="60" t="str">
        <f t="shared" ca="1" si="6"/>
        <v/>
      </c>
      <c r="C69" s="74" t="str">
        <f t="shared" ca="1" si="7"/>
        <v/>
      </c>
      <c r="D69" s="75" t="str">
        <f t="shared" ca="1" si="8"/>
        <v/>
      </c>
      <c r="E69" s="76" t="str">
        <f t="shared" ca="1" si="9"/>
        <v/>
      </c>
      <c r="F69" s="65" t="str">
        <f t="shared" ca="1" si="14"/>
        <v/>
      </c>
      <c r="G69" s="65" t="str">
        <f t="shared" ca="1" si="14"/>
        <v/>
      </c>
      <c r="I69" s="97">
        <f ca="1">IFERROR((1-(1+$D$10)^-($D$5-$C69))/$D$10,0)</f>
        <v>0</v>
      </c>
      <c r="J69" s="66" t="str">
        <f ca="1">IF($C69="","",
D69*($D$5-$D$9)*((1+F69)/(1+G69))^($D$5-$D$9)/$H$15)</f>
        <v/>
      </c>
      <c r="K69" s="68">
        <f t="shared" ca="1" si="12"/>
        <v>0</v>
      </c>
      <c r="L69" s="67">
        <f t="shared" ca="1" si="3"/>
        <v>0</v>
      </c>
      <c r="M69" s="68">
        <f t="shared" ca="1" si="4"/>
        <v>0</v>
      </c>
      <c r="N69" s="69"/>
      <c r="O69" s="70">
        <f ca="1">IF($C69="",0,
K69*'1.c Decrements'!D65+(O68-P68-Q68)*(1+G68))</f>
        <v>0</v>
      </c>
      <c r="P69" s="71">
        <f ca="1">M69*'1.a Assumptions'!$C$10*'1.c Decrements'!E65</f>
        <v>0</v>
      </c>
      <c r="Q69" s="71">
        <f ca="1">L70*('1.c Decrements'!F65+'1.c Decrements'!G65)</f>
        <v>0</v>
      </c>
      <c r="R69" s="71">
        <f ca="1">O69-L70*'1.c Decrements'!D65</f>
        <v>0</v>
      </c>
      <c r="S69" s="71" t="str">
        <f ca="1">IF(B70=$S$13,$D$3,IF(B70&lt;$S$13,'1.c Decrements'!$L$11,""))</f>
        <v/>
      </c>
      <c r="V69" s="72" t="str">
        <f ca="1">IF($C70&lt;=$D$5,L70-L69*(1+i),"")</f>
        <v/>
      </c>
      <c r="W69" s="73" t="str">
        <f ca="1">IF(V69="","",V69-K69)</f>
        <v/>
      </c>
      <c r="X69" s="98"/>
      <c r="Y69" s="99" t="str">
        <f ca="1">IF(V69="","",J69/'1.c PUC_Projection'!H71)</f>
        <v/>
      </c>
      <c r="Z69" s="99" t="str">
        <f ca="1">IF(V69="","",($D$5-$D$9)/$H$15*(1+$D$10)^-(C69-$D$9+1))</f>
        <v/>
      </c>
      <c r="AA69" s="100" t="str">
        <f t="shared" ca="1" si="5"/>
        <v/>
      </c>
    </row>
    <row r="70" spans="2:27" ht="15" customHeight="1" x14ac:dyDescent="0.25">
      <c r="B70" s="60" t="str">
        <f t="shared" ca="1" si="6"/>
        <v/>
      </c>
      <c r="C70" s="74" t="str">
        <f t="shared" ca="1" si="7"/>
        <v/>
      </c>
      <c r="D70" s="75" t="str">
        <f t="shared" ca="1" si="8"/>
        <v/>
      </c>
      <c r="E70" s="76" t="str">
        <f t="shared" ca="1" si="9"/>
        <v/>
      </c>
      <c r="F70" s="65" t="str">
        <f t="shared" ca="1" si="14"/>
        <v/>
      </c>
      <c r="G70" s="65" t="str">
        <f t="shared" ca="1" si="14"/>
        <v/>
      </c>
      <c r="I70" s="97">
        <f ca="1">IFERROR((1-(1+$D$10)^-($D$5-$C70))/$D$10,0)</f>
        <v>0</v>
      </c>
      <c r="J70" s="66" t="str">
        <f ca="1">IF($C70="","",
D70*($D$5-$D$9)*((1+F70)/(1+G70))^($D$5-$D$9)/$H$15)</f>
        <v/>
      </c>
      <c r="K70" s="68">
        <f t="shared" ca="1" si="12"/>
        <v>0</v>
      </c>
      <c r="L70" s="67">
        <f t="shared" ca="1" si="3"/>
        <v>0</v>
      </c>
      <c r="M70" s="68">
        <f t="shared" ca="1" si="4"/>
        <v>0</v>
      </c>
      <c r="N70" s="69"/>
      <c r="O70" s="70">
        <f ca="1">IF($C70="",0,
K70*'1.c Decrements'!D66+(O69-P69-Q69)*(1+G69))</f>
        <v>0</v>
      </c>
      <c r="P70" s="71">
        <f ca="1">M70*'1.a Assumptions'!$C$10*'1.c Decrements'!E66</f>
        <v>0</v>
      </c>
      <c r="Q70" s="71">
        <f ca="1">L71*('1.c Decrements'!F66+'1.c Decrements'!G66)</f>
        <v>0</v>
      </c>
      <c r="R70" s="71">
        <f ca="1">O70-L71*'1.c Decrements'!D66</f>
        <v>0</v>
      </c>
      <c r="S70" s="71" t="str">
        <f ca="1">IF(B71=$S$13,$D$3,IF(B71&lt;$S$13,'1.c Decrements'!$L$11,""))</f>
        <v/>
      </c>
      <c r="V70" s="72" t="str">
        <f ca="1">IF($C71&lt;=$D$5,L71-L70*(1+i),"")</f>
        <v/>
      </c>
      <c r="W70" s="73" t="str">
        <f ca="1">IF(V70="","",V70-K70)</f>
        <v/>
      </c>
      <c r="X70" s="98"/>
      <c r="Y70" s="99" t="str">
        <f ca="1">IF(V70="","",J70/'1.c PUC_Projection'!H72)</f>
        <v/>
      </c>
      <c r="Z70" s="99" t="str">
        <f ca="1">IF(V70="","",($D$5-$D$9)/$H$15*(1+$D$10)^-(C70-$D$9+1))</f>
        <v/>
      </c>
      <c r="AA70" s="100" t="str">
        <f t="shared" ca="1" si="5"/>
        <v/>
      </c>
    </row>
    <row r="71" spans="2:27" ht="15" customHeight="1" x14ac:dyDescent="0.25">
      <c r="B71" s="60" t="str">
        <f t="shared" ca="1" si="6"/>
        <v/>
      </c>
      <c r="C71" s="74" t="str">
        <f t="shared" ca="1" si="7"/>
        <v/>
      </c>
      <c r="D71" s="75" t="str">
        <f t="shared" ca="1" si="8"/>
        <v/>
      </c>
      <c r="E71" s="76" t="str">
        <f t="shared" ca="1" si="9"/>
        <v/>
      </c>
      <c r="F71" s="65" t="str">
        <f t="shared" ca="1" si="14"/>
        <v/>
      </c>
      <c r="G71" s="65" t="str">
        <f t="shared" ca="1" si="14"/>
        <v/>
      </c>
      <c r="I71" s="97">
        <f ca="1">IFERROR((1-(1+$D$10)^-($D$5-$C71))/$D$10,0)</f>
        <v>0</v>
      </c>
      <c r="J71" s="66" t="str">
        <f ca="1">IF($C71="","",
D71*($D$5-$D$9)*((1+F71)/(1+G71))^($D$5-$D$9)/$H$15)</f>
        <v/>
      </c>
      <c r="K71" s="68">
        <f t="shared" ca="1" si="12"/>
        <v>0</v>
      </c>
      <c r="L71" s="67">
        <f t="shared" ca="1" si="3"/>
        <v>0</v>
      </c>
      <c r="M71" s="68">
        <f t="shared" ca="1" si="4"/>
        <v>0</v>
      </c>
      <c r="N71" s="69"/>
      <c r="O71" s="70">
        <f ca="1">IF($C71="",0,
K71*'1.c Decrements'!D67+(O70-P70-Q70)*(1+G70))</f>
        <v>0</v>
      </c>
      <c r="P71" s="71">
        <f ca="1">M71*'1.a Assumptions'!$C$10*'1.c Decrements'!E67</f>
        <v>0</v>
      </c>
      <c r="Q71" s="71">
        <f ca="1">L72*('1.c Decrements'!F67+'1.c Decrements'!G67)</f>
        <v>0</v>
      </c>
      <c r="R71" s="71">
        <f ca="1">O71-L72*'1.c Decrements'!D67</f>
        <v>0</v>
      </c>
      <c r="S71" s="71" t="str">
        <f ca="1">IF(B72=$S$13,$D$3,IF(B72&lt;$S$13,'1.c Decrements'!$L$11,""))</f>
        <v/>
      </c>
      <c r="V71" s="72" t="str">
        <f ca="1">IF($C72&lt;=$D$5,L72-L71*(1+i),"")</f>
        <v/>
      </c>
      <c r="W71" s="73" t="str">
        <f ca="1">IF(V71="","",V71-K71)</f>
        <v/>
      </c>
      <c r="X71" s="98"/>
      <c r="Y71" s="99" t="str">
        <f ca="1">IF(V71="","",J71/'1.c PUC_Projection'!H73)</f>
        <v/>
      </c>
      <c r="Z71" s="99" t="str">
        <f ca="1">IF(V71="","",($D$5-$D$9)/$H$15*(1+$D$10)^-(C71-$D$9+1))</f>
        <v/>
      </c>
      <c r="AA71" s="100" t="str">
        <f t="shared" ca="1" si="5"/>
        <v/>
      </c>
    </row>
    <row r="72" spans="2:27" ht="15" customHeight="1" x14ac:dyDescent="0.25">
      <c r="B72" s="60" t="str">
        <f t="shared" ca="1" si="6"/>
        <v/>
      </c>
      <c r="C72" s="74" t="str">
        <f t="shared" ca="1" si="7"/>
        <v/>
      </c>
      <c r="D72" s="75" t="str">
        <f t="shared" ca="1" si="8"/>
        <v/>
      </c>
      <c r="E72" s="76" t="str">
        <f t="shared" ca="1" si="9"/>
        <v/>
      </c>
      <c r="F72" s="65" t="str">
        <f t="shared" ca="1" si="14"/>
        <v/>
      </c>
      <c r="G72" s="65" t="str">
        <f t="shared" ca="1" si="14"/>
        <v/>
      </c>
      <c r="I72" s="97">
        <f ca="1">IFERROR((1-(1+$D$10)^-($D$5-$C72))/$D$10,0)</f>
        <v>0</v>
      </c>
      <c r="J72" s="66" t="str">
        <f ca="1">IF($C72="","",
D72*($D$5-$D$9)*((1+F72)/(1+G72))^($D$5-$D$9)/$H$15)</f>
        <v/>
      </c>
      <c r="K72" s="68">
        <f t="shared" ca="1" si="12"/>
        <v>0</v>
      </c>
      <c r="L72" s="67">
        <f t="shared" ca="1" si="3"/>
        <v>0</v>
      </c>
      <c r="M72" s="68">
        <f t="shared" ca="1" si="4"/>
        <v>0</v>
      </c>
      <c r="N72" s="69"/>
      <c r="O72" s="70">
        <f ca="1">IF($C72="",0,
K72*'1.c Decrements'!D68+(O71-P71-Q71)*(1+G71))</f>
        <v>0</v>
      </c>
      <c r="P72" s="71">
        <f ca="1">M72*'1.a Assumptions'!$C$10*'1.c Decrements'!E68</f>
        <v>0</v>
      </c>
      <c r="Q72" s="71">
        <f ca="1">L73*('1.c Decrements'!F68+'1.c Decrements'!G68)</f>
        <v>0</v>
      </c>
      <c r="R72" s="71">
        <f ca="1">O72-L73*'1.c Decrements'!D68</f>
        <v>0</v>
      </c>
      <c r="S72" s="71" t="str">
        <f ca="1">IF(B73=$S$13,$D$3,IF(B73&lt;$S$13,'1.c Decrements'!$L$11,""))</f>
        <v/>
      </c>
      <c r="V72" s="72" t="str">
        <f ca="1">IF($C73&lt;=$D$5,L73-L72*(1+i),"")</f>
        <v/>
      </c>
      <c r="W72" s="73" t="str">
        <f ca="1">IF(V72="","",V72-K72)</f>
        <v/>
      </c>
      <c r="X72" s="98"/>
      <c r="Y72" s="99" t="str">
        <f ca="1">IF(V72="","",J72/'1.c PUC_Projection'!H74)</f>
        <v/>
      </c>
      <c r="Z72" s="99" t="str">
        <f ca="1">IF(V72="","",($D$5-$D$9)/$H$15*(1+$D$10)^-(C72-$D$9+1))</f>
        <v/>
      </c>
      <c r="AA72" s="100" t="str">
        <f t="shared" ca="1" si="5"/>
        <v/>
      </c>
    </row>
    <row r="73" spans="2:27" ht="15" customHeight="1" x14ac:dyDescent="0.25">
      <c r="B73" s="60" t="str">
        <f t="shared" ca="1" si="6"/>
        <v/>
      </c>
      <c r="C73" s="74" t="str">
        <f t="shared" ca="1" si="7"/>
        <v/>
      </c>
      <c r="D73" s="75" t="str">
        <f t="shared" ca="1" si="8"/>
        <v/>
      </c>
      <c r="E73" s="76" t="str">
        <f t="shared" ca="1" si="9"/>
        <v/>
      </c>
      <c r="F73" s="65" t="str">
        <f t="shared" ca="1" si="14"/>
        <v/>
      </c>
      <c r="G73" s="65" t="str">
        <f t="shared" ca="1" si="14"/>
        <v/>
      </c>
      <c r="I73" s="97">
        <f ca="1">IFERROR((1-(1+$D$10)^-($D$5-$C73))/$D$10,0)</f>
        <v>0</v>
      </c>
      <c r="J73" s="66" t="str">
        <f ca="1">IF($C73="","",
D73*($D$5-$D$9)*((1+F73)/(1+G73))^($D$5-$D$9)/$H$15)</f>
        <v/>
      </c>
      <c r="K73" s="68">
        <f t="shared" ca="1" si="12"/>
        <v>0</v>
      </c>
      <c r="L73" s="67">
        <f t="shared" ca="1" si="3"/>
        <v>0</v>
      </c>
      <c r="M73" s="68">
        <f t="shared" ca="1" si="4"/>
        <v>0</v>
      </c>
      <c r="N73" s="69"/>
      <c r="O73" s="70">
        <f ca="1">IF($C73="",0,
K73*'1.c Decrements'!D69+(O72-P72-Q72)*(1+G72))</f>
        <v>0</v>
      </c>
      <c r="P73" s="71">
        <f ca="1">M73*'1.a Assumptions'!$C$10*'1.c Decrements'!E69</f>
        <v>0</v>
      </c>
      <c r="Q73" s="71">
        <f ca="1">L74*('1.c Decrements'!F69+'1.c Decrements'!G69)</f>
        <v>0</v>
      </c>
      <c r="R73" s="71">
        <f ca="1">O73-L74*'1.c Decrements'!D69</f>
        <v>0</v>
      </c>
      <c r="S73" s="71" t="str">
        <f ca="1">IF(B74=$S$13,$D$3,IF(B74&lt;$S$13,'1.c Decrements'!$L$11,""))</f>
        <v/>
      </c>
      <c r="V73" s="72" t="str">
        <f ca="1">IF($C74&lt;=$D$5,L74-L73*(1+i),"")</f>
        <v/>
      </c>
      <c r="W73" s="73" t="str">
        <f ca="1">IF(V73="","",V73-K73)</f>
        <v/>
      </c>
      <c r="X73" s="98"/>
      <c r="Y73" s="99" t="str">
        <f ca="1">IF(V73="","",J73/'1.c PUC_Projection'!H75)</f>
        <v/>
      </c>
      <c r="Z73" s="99" t="str">
        <f ca="1">IF(V73="","",($D$5-$D$9)/$H$15*(1+$D$10)^-(C73-$D$9+1))</f>
        <v/>
      </c>
      <c r="AA73" s="100" t="str">
        <f t="shared" ca="1" si="5"/>
        <v/>
      </c>
    </row>
    <row r="74" spans="2:27" ht="15" customHeight="1" x14ac:dyDescent="0.25">
      <c r="B74" s="60" t="str">
        <f t="shared" ca="1" si="6"/>
        <v/>
      </c>
      <c r="C74" s="74" t="str">
        <f t="shared" ca="1" si="7"/>
        <v/>
      </c>
      <c r="D74" s="75" t="str">
        <f t="shared" ca="1" si="8"/>
        <v/>
      </c>
      <c r="E74" s="76" t="str">
        <f t="shared" ca="1" si="9"/>
        <v/>
      </c>
      <c r="F74" s="65" t="str">
        <f t="shared" ca="1" si="14"/>
        <v/>
      </c>
      <c r="G74" s="65" t="str">
        <f t="shared" ca="1" si="14"/>
        <v/>
      </c>
      <c r="I74" s="97">
        <f ca="1">IFERROR((1-(1+$D$10)^-($D$5-$C74))/$D$10,0)</f>
        <v>0</v>
      </c>
      <c r="J74" s="66" t="str">
        <f ca="1">IF($C74="","",
D74*($D$5-$D$9)*((1+F74)/(1+G74))^($D$5-$D$9)/$H$15)</f>
        <v/>
      </c>
      <c r="K74" s="68">
        <f t="shared" ca="1" si="12"/>
        <v>0</v>
      </c>
      <c r="L74" s="67">
        <f t="shared" ca="1" si="3"/>
        <v>0</v>
      </c>
      <c r="M74" s="68">
        <f t="shared" ca="1" si="4"/>
        <v>0</v>
      </c>
      <c r="N74" s="69"/>
      <c r="O74" s="70">
        <f ca="1">IF($C74="",0,
K74*'1.c Decrements'!D70+(O73-P73-Q73)*(1+G73))</f>
        <v>0</v>
      </c>
      <c r="P74" s="71">
        <f ca="1">M74*'1.a Assumptions'!$C$10*'1.c Decrements'!E70</f>
        <v>0</v>
      </c>
      <c r="Q74" s="71">
        <f ca="1">L75*('1.c Decrements'!F70+'1.c Decrements'!G70)</f>
        <v>0</v>
      </c>
      <c r="R74" s="71">
        <f ca="1">O74-L75*'1.c Decrements'!D70</f>
        <v>0</v>
      </c>
      <c r="S74" s="71" t="str">
        <f ca="1">IF(B75=$S$13,$D$3,IF(B75&lt;$S$13,'1.c Decrements'!$L$11,""))</f>
        <v/>
      </c>
      <c r="V74" s="72" t="str">
        <f ca="1">IF($C75&lt;=$D$5,L75-L74*(1+i),"")</f>
        <v/>
      </c>
      <c r="W74" s="73" t="str">
        <f ca="1">IF(V74="","",V74-K74)</f>
        <v/>
      </c>
      <c r="X74" s="98"/>
      <c r="Y74" s="99" t="str">
        <f ca="1">IF(V74="","",J74/'1.c PUC_Projection'!H76)</f>
        <v/>
      </c>
      <c r="Z74" s="99" t="str">
        <f ca="1">IF(V74="","",($D$5-$D$9)/$H$15*(1+$D$10)^-(C74-$D$9+1))</f>
        <v/>
      </c>
      <c r="AA74" s="100" t="str">
        <f t="shared" ca="1" si="5"/>
        <v/>
      </c>
    </row>
    <row r="75" spans="2:27" ht="15" customHeight="1" x14ac:dyDescent="0.25">
      <c r="B75" s="60" t="str">
        <f t="shared" ca="1" si="6"/>
        <v/>
      </c>
      <c r="C75" s="74" t="str">
        <f t="shared" ca="1" si="7"/>
        <v/>
      </c>
      <c r="D75" s="75" t="str">
        <f t="shared" ca="1" si="8"/>
        <v/>
      </c>
      <c r="E75" s="76" t="str">
        <f t="shared" ca="1" si="9"/>
        <v/>
      </c>
      <c r="F75" s="65" t="str">
        <f t="shared" ca="1" si="14"/>
        <v/>
      </c>
      <c r="G75" s="65" t="str">
        <f t="shared" ca="1" si="14"/>
        <v/>
      </c>
      <c r="I75" s="97">
        <f ca="1">IFERROR((1-(1+$D$10)^-($D$5-$C75))/$D$10,0)</f>
        <v>0</v>
      </c>
      <c r="J75" s="66" t="str">
        <f ca="1">IF($C75="","",
D75*($D$5-$D$9)*((1+F75)/(1+G75))^($D$5-$D$9)/$H$15)</f>
        <v/>
      </c>
      <c r="K75" s="68">
        <f t="shared" ca="1" si="12"/>
        <v>0</v>
      </c>
      <c r="L75" s="67">
        <f t="shared" ca="1" si="3"/>
        <v>0</v>
      </c>
      <c r="M75" s="68">
        <f t="shared" ca="1" si="4"/>
        <v>0</v>
      </c>
      <c r="N75" s="69"/>
      <c r="O75" s="70">
        <f ca="1">IF($C75="",0,
K75*'1.c Decrements'!D71+(O74-P74-Q74)*(1+G74))</f>
        <v>0</v>
      </c>
      <c r="P75" s="71">
        <f ca="1">M75*'1.a Assumptions'!$C$10*'1.c Decrements'!E71</f>
        <v>0</v>
      </c>
      <c r="Q75" s="71">
        <f ca="1">L76*('1.c Decrements'!F71+'1.c Decrements'!G71)</f>
        <v>0</v>
      </c>
      <c r="R75" s="71">
        <f ca="1">O75-L76*'1.c Decrements'!D71</f>
        <v>0</v>
      </c>
      <c r="S75" s="71" t="str">
        <f ca="1">IF(B76=$S$13,$D$3,IF(B76&lt;$S$13,'1.c Decrements'!$L$11,""))</f>
        <v/>
      </c>
      <c r="V75" s="72" t="str">
        <f ca="1">IF($C76&lt;=$D$5,L76-L75*(1+i),"")</f>
        <v/>
      </c>
      <c r="W75" s="73" t="str">
        <f ca="1">IF(V75="","",V75-K75)</f>
        <v/>
      </c>
      <c r="X75" s="98"/>
      <c r="Y75" s="99" t="str">
        <f ca="1">IF(V75="","",J75/'1.c PUC_Projection'!H77)</f>
        <v/>
      </c>
      <c r="Z75" s="99" t="str">
        <f ca="1">IF(V75="","",($D$5-$D$9)/$H$15*(1+$D$10)^-(C75-$D$9+1))</f>
        <v/>
      </c>
      <c r="AA75" s="100" t="str">
        <f t="shared" ca="1" si="5"/>
        <v/>
      </c>
    </row>
    <row r="76" spans="2:27" ht="15" customHeight="1" x14ac:dyDescent="0.25">
      <c r="B76" s="60" t="str">
        <f t="shared" ca="1" si="6"/>
        <v/>
      </c>
      <c r="C76" s="74" t="str">
        <f t="shared" ca="1" si="7"/>
        <v/>
      </c>
      <c r="D76" s="75" t="str">
        <f t="shared" ca="1" si="8"/>
        <v/>
      </c>
      <c r="E76" s="76" t="str">
        <f t="shared" ca="1" si="9"/>
        <v/>
      </c>
      <c r="F76" s="65" t="str">
        <f t="shared" ca="1" si="14"/>
        <v/>
      </c>
      <c r="G76" s="65" t="str">
        <f t="shared" ca="1" si="14"/>
        <v/>
      </c>
      <c r="I76" s="97">
        <f ca="1">IFERROR((1-(1+$D$10)^-($D$5-$C76))/$D$10,0)</f>
        <v>0</v>
      </c>
      <c r="J76" s="66" t="str">
        <f ca="1">IF($C76="","",
D76*($D$5-$D$9)*((1+F76)/(1+G76))^($D$5-$D$9)/$H$15)</f>
        <v/>
      </c>
      <c r="K76" s="68">
        <f t="shared" ca="1" si="12"/>
        <v>0</v>
      </c>
      <c r="L76" s="67">
        <f t="shared" ca="1" si="3"/>
        <v>0</v>
      </c>
      <c r="M76" s="68">
        <f t="shared" ca="1" si="4"/>
        <v>0</v>
      </c>
      <c r="N76" s="69"/>
      <c r="O76" s="70">
        <f ca="1">IF($C76="",0,
K76*'1.c Decrements'!D72+(O75-P75-Q75)*(1+G75))</f>
        <v>0</v>
      </c>
      <c r="P76" s="71">
        <f ca="1">M76*'1.a Assumptions'!$C$10*'1.c Decrements'!E72</f>
        <v>0</v>
      </c>
      <c r="Q76" s="71">
        <f ca="1">L77*('1.c Decrements'!F72+'1.c Decrements'!G72)</f>
        <v>0</v>
      </c>
      <c r="R76" s="71">
        <f ca="1">O76-L77*'1.c Decrements'!D72</f>
        <v>0</v>
      </c>
      <c r="S76" s="71" t="str">
        <f ca="1">IF(B77=$S$13,$D$3,IF(B77&lt;$S$13,'1.c Decrements'!$L$11,""))</f>
        <v/>
      </c>
      <c r="V76" s="72" t="str">
        <f ca="1">IF($C77&lt;=$D$5,L77-L76*(1+i),"")</f>
        <v/>
      </c>
      <c r="W76" s="73" t="str">
        <f ca="1">IF(V76="","",V76-K76)</f>
        <v/>
      </c>
      <c r="X76" s="98"/>
      <c r="Y76" s="99" t="str">
        <f ca="1">IF(V76="","",J76/'1.c PUC_Projection'!H78)</f>
        <v/>
      </c>
      <c r="Z76" s="99" t="str">
        <f ca="1">IF(V76="","",($D$5-$D$9)/$H$15*(1+$D$10)^-(C76-$D$9+1))</f>
        <v/>
      </c>
      <c r="AA76" s="100" t="str">
        <f t="shared" ca="1" si="5"/>
        <v/>
      </c>
    </row>
    <row r="77" spans="2:27" ht="15" customHeight="1" x14ac:dyDescent="0.25">
      <c r="B77" s="60" t="str">
        <f t="shared" ca="1" si="6"/>
        <v/>
      </c>
      <c r="C77" s="74" t="str">
        <f t="shared" ca="1" si="7"/>
        <v/>
      </c>
      <c r="D77" s="75" t="str">
        <f t="shared" ca="1" si="8"/>
        <v/>
      </c>
      <c r="E77" s="76" t="str">
        <f t="shared" ca="1" si="9"/>
        <v/>
      </c>
      <c r="F77" s="65" t="str">
        <f t="shared" ca="1" si="14"/>
        <v/>
      </c>
      <c r="G77" s="65" t="str">
        <f t="shared" ca="1" si="14"/>
        <v/>
      </c>
      <c r="I77" s="97">
        <f ca="1">IFERROR((1-(1+$D$10)^-($D$5-$C77))/$D$10,0)</f>
        <v>0</v>
      </c>
      <c r="J77" s="66" t="str">
        <f ca="1">IF($C77="","",
D77*($D$5-$D$9)*((1+F77)/(1+G77))^($D$5-$D$9)/$H$15)</f>
        <v/>
      </c>
      <c r="K77" s="68">
        <f t="shared" ca="1" si="12"/>
        <v>0</v>
      </c>
      <c r="L77" s="67">
        <f t="shared" ca="1" si="3"/>
        <v>0</v>
      </c>
      <c r="M77" s="68">
        <f t="shared" ca="1" si="4"/>
        <v>0</v>
      </c>
      <c r="N77" s="69"/>
      <c r="O77" s="70">
        <f ca="1">IF($C77="",0,
K77*'1.c Decrements'!D73+(O76-P76-Q76)*(1+G76))</f>
        <v>0</v>
      </c>
      <c r="P77" s="71">
        <f ca="1">M77*'1.a Assumptions'!$C$10*'1.c Decrements'!E73</f>
        <v>0</v>
      </c>
      <c r="Q77" s="71">
        <f ca="1">L78*('1.c Decrements'!F73+'1.c Decrements'!G73)</f>
        <v>0</v>
      </c>
      <c r="R77" s="71">
        <f ca="1">O77-L78*'1.c Decrements'!D73</f>
        <v>0</v>
      </c>
      <c r="S77" s="71" t="str">
        <f ca="1">IF(B78=$S$13,$D$3,IF(B78&lt;$S$13,'1.c Decrements'!$L$11,""))</f>
        <v/>
      </c>
      <c r="V77" s="72" t="str">
        <f ca="1">IF($C78&lt;=$D$5,L78-L77*(1+i),"")</f>
        <v/>
      </c>
      <c r="W77" s="73" t="str">
        <f ca="1">IF(V77="","",V77-K77)</f>
        <v/>
      </c>
      <c r="X77" s="98"/>
      <c r="Y77" s="99" t="str">
        <f ca="1">IF(V77="","",J77/'1.c PUC_Projection'!H79)</f>
        <v/>
      </c>
      <c r="Z77" s="99" t="str">
        <f ca="1">IF(V77="","",($D$5-$D$9)/$H$15*(1+$D$10)^-(C77-$D$9+1))</f>
        <v/>
      </c>
      <c r="AA77" s="100" t="str">
        <f t="shared" ca="1" si="5"/>
        <v/>
      </c>
    </row>
    <row r="78" spans="2:27" ht="15" customHeight="1" x14ac:dyDescent="0.25">
      <c r="B78" s="60" t="str">
        <f t="shared" ca="1" si="6"/>
        <v/>
      </c>
      <c r="C78" s="74" t="str">
        <f t="shared" ca="1" si="7"/>
        <v/>
      </c>
      <c r="D78" s="75" t="str">
        <f t="shared" ca="1" si="8"/>
        <v/>
      </c>
      <c r="E78" s="76" t="str">
        <f t="shared" ca="1" si="9"/>
        <v/>
      </c>
      <c r="F78" s="65" t="str">
        <f t="shared" ca="1" si="14"/>
        <v/>
      </c>
      <c r="G78" s="65" t="str">
        <f t="shared" ca="1" si="14"/>
        <v/>
      </c>
      <c r="I78" s="97">
        <f ca="1">IFERROR((1-(1+$D$10)^-($D$5-$C78))/$D$10,0)</f>
        <v>0</v>
      </c>
      <c r="J78" s="66" t="str">
        <f ca="1">IF($C78="","",
D78*($D$5-$D$9)*((1+F78)/(1+G78))^($D$5-$D$9)/$H$15)</f>
        <v/>
      </c>
      <c r="K78" s="68">
        <f t="shared" ca="1" si="12"/>
        <v>0</v>
      </c>
      <c r="L78" s="67">
        <f t="shared" ca="1" si="3"/>
        <v>0</v>
      </c>
      <c r="M78" s="68">
        <f t="shared" ca="1" si="4"/>
        <v>0</v>
      </c>
      <c r="N78" s="69"/>
      <c r="O78" s="70">
        <f ca="1">IF($C78="",0,
K78*'1.c Decrements'!D74+(O77-P77-Q77)*(1+G77))</f>
        <v>0</v>
      </c>
      <c r="P78" s="71">
        <f ca="1">M78*'1.a Assumptions'!$C$10*'1.c Decrements'!E74</f>
        <v>0</v>
      </c>
      <c r="Q78" s="71">
        <f ca="1">L79*('1.c Decrements'!F74+'1.c Decrements'!G74)</f>
        <v>0</v>
      </c>
      <c r="R78" s="71">
        <f ca="1">O78-L79*'1.c Decrements'!D74</f>
        <v>0</v>
      </c>
      <c r="S78" s="71" t="str">
        <f ca="1">IF(B79=$S$13,$D$3,IF(B79&lt;$S$13,'1.c Decrements'!$L$11,""))</f>
        <v/>
      </c>
      <c r="V78" s="72" t="str">
        <f ca="1">IF($C79&lt;=$D$5,L79-L78*(1+i),"")</f>
        <v/>
      </c>
      <c r="W78" s="73" t="str">
        <f ca="1">IF(V78="","",V78-K78)</f>
        <v/>
      </c>
      <c r="X78" s="98"/>
      <c r="Y78" s="99" t="str">
        <f ca="1">IF(V78="","",J78/'1.c PUC_Projection'!H80)</f>
        <v/>
      </c>
      <c r="Z78" s="99" t="str">
        <f ca="1">IF(V78="","",($D$5-$D$9)/$H$15*(1+$D$10)^-(C78-$D$9+1))</f>
        <v/>
      </c>
      <c r="AA78" s="100" t="str">
        <f t="shared" ca="1" si="5"/>
        <v/>
      </c>
    </row>
    <row r="79" spans="2:27" ht="15" customHeight="1" x14ac:dyDescent="0.25">
      <c r="B79" s="60" t="str">
        <f t="shared" ca="1" si="6"/>
        <v/>
      </c>
      <c r="C79" s="74" t="str">
        <f t="shared" ca="1" si="7"/>
        <v/>
      </c>
      <c r="D79" s="75" t="str">
        <f t="shared" ca="1" si="8"/>
        <v/>
      </c>
      <c r="E79" s="76" t="str">
        <f t="shared" ca="1" si="9"/>
        <v/>
      </c>
      <c r="F79" s="65" t="str">
        <f t="shared" ca="1" si="14"/>
        <v/>
      </c>
      <c r="G79" s="65" t="str">
        <f t="shared" ca="1" si="14"/>
        <v/>
      </c>
      <c r="I79" s="97">
        <f ca="1">IFERROR((1-(1+$D$10)^-($D$5-$C79))/$D$10,0)</f>
        <v>0</v>
      </c>
      <c r="J79" s="66" t="str">
        <f ca="1">IF($C79="","",
D79*($D$5-$D$9)*((1+F79)/(1+G79))^($D$5-$D$9)/$H$15)</f>
        <v/>
      </c>
      <c r="K79" s="68">
        <f t="shared" ref="K79:K85" ca="1" si="15">IF($C80="",0,
J79*E79*(1+F79))</f>
        <v>0</v>
      </c>
      <c r="L79" s="67">
        <f t="shared" ca="1" si="3"/>
        <v>0</v>
      </c>
      <c r="M79" s="68">
        <f t="shared" ca="1" si="4"/>
        <v>0</v>
      </c>
      <c r="N79" s="69"/>
      <c r="O79" s="70">
        <f ca="1">IF($C79="",0,
K79*'1.c Decrements'!D75+(O78-P78-Q78)*(1+G78))</f>
        <v>0</v>
      </c>
      <c r="P79" s="71">
        <f ca="1">M79*'1.a Assumptions'!$C$10*'1.c Decrements'!E75</f>
        <v>0</v>
      </c>
      <c r="Q79" s="71">
        <f ca="1">L80*('1.c Decrements'!F75+'1.c Decrements'!G75)</f>
        <v>0</v>
      </c>
      <c r="R79" s="71">
        <f ca="1">O79-L80*'1.c Decrements'!D75</f>
        <v>0</v>
      </c>
      <c r="S79" s="71" t="str">
        <f ca="1">IF(B80=$S$13,$D$3,IF(B80&lt;$S$13,'1.c Decrements'!$L$11,""))</f>
        <v/>
      </c>
      <c r="V79" s="72" t="str">
        <f ca="1">IF($C80&lt;=$D$5,L80-L79*(1+i),"")</f>
        <v/>
      </c>
      <c r="W79" s="73" t="str">
        <f ca="1">IF(V79="","",V79-K79)</f>
        <v/>
      </c>
      <c r="X79" s="98"/>
      <c r="Y79" s="99" t="str">
        <f ca="1">IF(V79="","",J79/'1.c PUC_Projection'!H81)</f>
        <v/>
      </c>
      <c r="Z79" s="99" t="str">
        <f ca="1">IF(V79="","",($D$5-$D$9)/$H$15*(1+$D$10)^-(C79-$D$9+1))</f>
        <v/>
      </c>
      <c r="AA79" s="100" t="str">
        <f t="shared" ca="1" si="5"/>
        <v/>
      </c>
    </row>
    <row r="80" spans="2:27" ht="15" customHeight="1" x14ac:dyDescent="0.25">
      <c r="B80" s="60" t="str">
        <f t="shared" ca="1" si="6"/>
        <v/>
      </c>
      <c r="C80" s="74" t="str">
        <f t="shared" ca="1" si="7"/>
        <v/>
      </c>
      <c r="D80" s="75" t="str">
        <f t="shared" ca="1" si="8"/>
        <v/>
      </c>
      <c r="E80" s="76" t="str">
        <f t="shared" ca="1" si="9"/>
        <v/>
      </c>
      <c r="F80" s="65" t="str">
        <f t="shared" ca="1" si="14"/>
        <v/>
      </c>
      <c r="G80" s="65" t="str">
        <f t="shared" ca="1" si="14"/>
        <v/>
      </c>
      <c r="I80" s="97">
        <f ca="1">IFERROR((1-(1+$D$10)^-($D$5-$C80))/$D$10,0)</f>
        <v>0</v>
      </c>
      <c r="J80" s="66" t="str">
        <f ca="1">IF($C80="","",
D80*($D$5-$D$9)*((1+F80)/(1+G80))^($D$5-$D$9)/$H$15)</f>
        <v/>
      </c>
      <c r="K80" s="68">
        <f t="shared" ca="1" si="15"/>
        <v>0</v>
      </c>
      <c r="L80" s="67">
        <f t="shared" ref="L80:L85" ca="1" si="16">IF($C80="",0,
IF($C80&gt;$D$5,D80*B80*E80,
D80*($D$5-$D$4)*E80*((1+F80)/(1+G80))^($D$5-C80)-J80*E80*I80))</f>
        <v>0</v>
      </c>
      <c r="M80" s="68">
        <f t="shared" ref="M80:M85" ca="1" si="17">IF($C80="",0,
D80*B80*E80*((1+F80)/(1+G80))^MAX(0,$D$5-C80))</f>
        <v>0</v>
      </c>
      <c r="N80" s="69"/>
      <c r="O80" s="70">
        <f ca="1">IF($C80="",0,
K80*'1.c Decrements'!D76+(O79-P79-Q79)*(1+G79))</f>
        <v>0</v>
      </c>
      <c r="P80" s="71">
        <f ca="1">M80*'1.a Assumptions'!$C$10*'1.c Decrements'!E76</f>
        <v>0</v>
      </c>
      <c r="Q80" s="71">
        <f ca="1">L81*('1.c Decrements'!F76+'1.c Decrements'!G76)</f>
        <v>0</v>
      </c>
      <c r="R80" s="71">
        <f ca="1">O80-L81*'1.c Decrements'!D76</f>
        <v>0</v>
      </c>
      <c r="S80" s="71" t="str">
        <f ca="1">IF(B81=$S$13,$D$3,IF(B81&lt;$S$13,'1.c Decrements'!$L$11,""))</f>
        <v/>
      </c>
      <c r="V80" s="72" t="str">
        <f ca="1">IF($C81&lt;=$D$5,L81-L80*(1+i),"")</f>
        <v/>
      </c>
      <c r="W80" s="73" t="str">
        <f ca="1">IF(V80="","",V80-K80)</f>
        <v/>
      </c>
      <c r="X80" s="98"/>
      <c r="Y80" s="99" t="str">
        <f ca="1">IF(V80="","",J80/'1.c PUC_Projection'!H82)</f>
        <v/>
      </c>
      <c r="Z80" s="99" t="str">
        <f ca="1">IF(V80="","",($D$5-$D$9)/$H$15*(1+$D$10)^-(C80-$D$9+1))</f>
        <v/>
      </c>
      <c r="AA80" s="100" t="str">
        <f t="shared" ref="AA80:AA84" ca="1" si="18">IF(V80="","",Y80-Z80)</f>
        <v/>
      </c>
    </row>
    <row r="81" spans="2:27" ht="15" customHeight="1" x14ac:dyDescent="0.25">
      <c r="B81" s="60" t="str">
        <f t="shared" ref="B81:B85" ca="1" si="19">IF($C81="","",B80+1)</f>
        <v/>
      </c>
      <c r="C81" s="74" t="str">
        <f t="shared" ref="C81:C85" ca="1" si="20">IF(C80="","",IF($D$2="A",IF(C80+1&gt;$D$5+15,"",C80+1),IF(C80+1&gt;$D$5,"",C80+1)))</f>
        <v/>
      </c>
      <c r="D81" s="75" t="str">
        <f t="shared" ref="D81:D85" ca="1" si="21">IF($C81="","",D80)</f>
        <v/>
      </c>
      <c r="E81" s="76" t="str">
        <f t="shared" ref="E81:E85" ca="1" si="22">IF($C81="","",E80*(1+F80))</f>
        <v/>
      </c>
      <c r="F81" s="65" t="str">
        <f t="shared" ref="F81:G85" ca="1" si="23">IF($C81="","",F80)</f>
        <v/>
      </c>
      <c r="G81" s="65" t="str">
        <f t="shared" ca="1" si="23"/>
        <v/>
      </c>
      <c r="I81" s="97">
        <f ca="1">IFERROR((1-(1+$D$10)^-($D$5-$C81))/$D$10,0)</f>
        <v>0</v>
      </c>
      <c r="J81" s="66" t="str">
        <f ca="1">IF($C81="","",
D81*($D$5-$D$9)*((1+F81)/(1+G81))^($D$5-$D$9)/$H$15)</f>
        <v/>
      </c>
      <c r="K81" s="68">
        <f t="shared" ca="1" si="15"/>
        <v>0</v>
      </c>
      <c r="L81" s="67">
        <f t="shared" ca="1" si="16"/>
        <v>0</v>
      </c>
      <c r="M81" s="68">
        <f t="shared" ca="1" si="17"/>
        <v>0</v>
      </c>
      <c r="N81" s="69"/>
      <c r="O81" s="70">
        <f ca="1">IF($C81="",0,
K81*'1.c Decrements'!D77+(O80-P80-Q80)*(1+G80))</f>
        <v>0</v>
      </c>
      <c r="P81" s="71">
        <f ca="1">M81*'1.a Assumptions'!$C$10*'1.c Decrements'!E77</f>
        <v>0</v>
      </c>
      <c r="Q81" s="71">
        <f ca="1">L82*('1.c Decrements'!F77+'1.c Decrements'!G77)</f>
        <v>0</v>
      </c>
      <c r="R81" s="71">
        <f ca="1">O81-L82*'1.c Decrements'!D77</f>
        <v>0</v>
      </c>
      <c r="S81" s="71" t="str">
        <f ca="1">IF(B82=$S$13,$D$3,IF(B82&lt;$S$13,'1.c Decrements'!$L$11,""))</f>
        <v/>
      </c>
      <c r="V81" s="72" t="str">
        <f ca="1">IF($C82&lt;=$D$5,L82-L81*(1+i),"")</f>
        <v/>
      </c>
      <c r="W81" s="73" t="str">
        <f ca="1">IF(V81="","",V81-K81)</f>
        <v/>
      </c>
      <c r="X81" s="98"/>
      <c r="Y81" s="99" t="str">
        <f ca="1">IF(V81="","",J81/'1.c PUC_Projection'!H83)</f>
        <v/>
      </c>
      <c r="Z81" s="99" t="str">
        <f ca="1">IF(V81="","",($D$5-$D$9)/$H$15*(1+$D$10)^-(C81-$D$9+1))</f>
        <v/>
      </c>
      <c r="AA81" s="100" t="str">
        <f t="shared" ca="1" si="18"/>
        <v/>
      </c>
    </row>
    <row r="82" spans="2:27" ht="15" customHeight="1" x14ac:dyDescent="0.25">
      <c r="B82" s="60" t="str">
        <f t="shared" ca="1" si="19"/>
        <v/>
      </c>
      <c r="C82" s="74" t="str">
        <f t="shared" ca="1" si="20"/>
        <v/>
      </c>
      <c r="D82" s="75" t="str">
        <f t="shared" ca="1" si="21"/>
        <v/>
      </c>
      <c r="E82" s="76" t="str">
        <f t="shared" ca="1" si="22"/>
        <v/>
      </c>
      <c r="F82" s="65" t="str">
        <f t="shared" ca="1" si="23"/>
        <v/>
      </c>
      <c r="G82" s="65" t="str">
        <f t="shared" ca="1" si="23"/>
        <v/>
      </c>
      <c r="I82" s="97">
        <f ca="1">IFERROR((1-(1+$D$10)^-($D$5-$C82))/$D$10,0)</f>
        <v>0</v>
      </c>
      <c r="J82" s="66" t="str">
        <f ca="1">IF($C82="","",
D82*($D$5-$D$9)*((1+F82)/(1+G82))^($D$5-$D$9)/$H$15)</f>
        <v/>
      </c>
      <c r="K82" s="68">
        <f t="shared" ca="1" si="15"/>
        <v>0</v>
      </c>
      <c r="L82" s="67">
        <f t="shared" ca="1" si="16"/>
        <v>0</v>
      </c>
      <c r="M82" s="68">
        <f t="shared" ca="1" si="17"/>
        <v>0</v>
      </c>
      <c r="N82" s="69"/>
      <c r="O82" s="70">
        <f ca="1">IF($C82="",0,
K82*'1.c Decrements'!D78+(O81-P81-Q81)*(1+G81))</f>
        <v>0</v>
      </c>
      <c r="P82" s="71">
        <f ca="1">M82*'1.a Assumptions'!$C$10*'1.c Decrements'!E78</f>
        <v>0</v>
      </c>
      <c r="Q82" s="71">
        <f ca="1">L83*('1.c Decrements'!F78+'1.c Decrements'!G78)</f>
        <v>0</v>
      </c>
      <c r="R82" s="71">
        <f ca="1">O82-L83*'1.c Decrements'!D78</f>
        <v>0</v>
      </c>
      <c r="S82" s="71" t="str">
        <f ca="1">IF(B83=$S$13,$D$3,IF(B83&lt;$S$13,'1.c Decrements'!$L$11,""))</f>
        <v/>
      </c>
      <c r="V82" s="72" t="str">
        <f ca="1">IF($C83&lt;=$D$5,L83-L82*(1+i),"")</f>
        <v/>
      </c>
      <c r="W82" s="73" t="str">
        <f ca="1">IF(V82="","",V82-K82)</f>
        <v/>
      </c>
      <c r="X82" s="98"/>
      <c r="Y82" s="99" t="str">
        <f ca="1">IF(V82="","",J82/'1.c PUC_Projection'!H84)</f>
        <v/>
      </c>
      <c r="Z82" s="99" t="str">
        <f ca="1">IF(V82="","",($D$5-$D$9)/$H$15*(1+$D$10)^-(C82-$D$9+1))</f>
        <v/>
      </c>
      <c r="AA82" s="100" t="str">
        <f t="shared" ca="1" si="18"/>
        <v/>
      </c>
    </row>
    <row r="83" spans="2:27" ht="15" customHeight="1" x14ac:dyDescent="0.25">
      <c r="B83" s="60" t="str">
        <f t="shared" ca="1" si="19"/>
        <v/>
      </c>
      <c r="C83" s="74" t="str">
        <f t="shared" ca="1" si="20"/>
        <v/>
      </c>
      <c r="D83" s="75" t="str">
        <f t="shared" ca="1" si="21"/>
        <v/>
      </c>
      <c r="E83" s="76" t="str">
        <f t="shared" ca="1" si="22"/>
        <v/>
      </c>
      <c r="F83" s="65" t="str">
        <f t="shared" ca="1" si="23"/>
        <v/>
      </c>
      <c r="G83" s="65" t="str">
        <f t="shared" ca="1" si="23"/>
        <v/>
      </c>
      <c r="I83" s="97">
        <f ca="1">IFERROR((1-(1+$D$10)^-($D$5-$C83))/$D$10,0)</f>
        <v>0</v>
      </c>
      <c r="J83" s="66" t="str">
        <f ca="1">IF($C83="","",
D83*($D$5-$D$9)*((1+F83)/(1+G83))^($D$5-$D$9)/$H$15)</f>
        <v/>
      </c>
      <c r="K83" s="68">
        <f t="shared" ca="1" si="15"/>
        <v>0</v>
      </c>
      <c r="L83" s="67">
        <f t="shared" ca="1" si="16"/>
        <v>0</v>
      </c>
      <c r="M83" s="68">
        <f t="shared" ca="1" si="17"/>
        <v>0</v>
      </c>
      <c r="N83" s="69"/>
      <c r="O83" s="70">
        <f ca="1">IF($C83="",0,
K83*'1.c Decrements'!D79+(O82-P82-Q82)*(1+G82))</f>
        <v>0</v>
      </c>
      <c r="P83" s="71">
        <f ca="1">M83*'1.a Assumptions'!$C$10*'1.c Decrements'!E79</f>
        <v>0</v>
      </c>
      <c r="Q83" s="71">
        <f ca="1">L84*('1.c Decrements'!F79+'1.c Decrements'!G79)</f>
        <v>0</v>
      </c>
      <c r="R83" s="71">
        <f ca="1">O83-L84*'1.c Decrements'!D79</f>
        <v>0</v>
      </c>
      <c r="S83" s="71" t="str">
        <f ca="1">IF(B84=$S$13,$D$3,IF(B84&lt;$S$13,'1.c Decrements'!$L$11,""))</f>
        <v/>
      </c>
      <c r="V83" s="72" t="str">
        <f ca="1">IF($C84&lt;=$D$5,L84-L83*(1+i),"")</f>
        <v/>
      </c>
      <c r="W83" s="73" t="str">
        <f ca="1">IF(V83="","",V83-K83)</f>
        <v/>
      </c>
      <c r="X83" s="98"/>
      <c r="Y83" s="99" t="str">
        <f ca="1">IF(V83="","",J83/'1.c PUC_Projection'!H85)</f>
        <v/>
      </c>
      <c r="Z83" s="99" t="str">
        <f ca="1">IF(V83="","",($D$5-$D$9)/$H$15*(1+$D$10)^-(C83-$D$9+1))</f>
        <v/>
      </c>
      <c r="AA83" s="100" t="str">
        <f t="shared" ca="1" si="18"/>
        <v/>
      </c>
    </row>
    <row r="84" spans="2:27" ht="15" customHeight="1" x14ac:dyDescent="0.25">
      <c r="B84" s="60" t="str">
        <f t="shared" ca="1" si="19"/>
        <v/>
      </c>
      <c r="C84" s="74" t="str">
        <f t="shared" ca="1" si="20"/>
        <v/>
      </c>
      <c r="D84" s="75" t="str">
        <f t="shared" ca="1" si="21"/>
        <v/>
      </c>
      <c r="E84" s="76" t="str">
        <f t="shared" ca="1" si="22"/>
        <v/>
      </c>
      <c r="F84" s="65" t="str">
        <f t="shared" ca="1" si="23"/>
        <v/>
      </c>
      <c r="G84" s="65" t="str">
        <f t="shared" ca="1" si="23"/>
        <v/>
      </c>
      <c r="I84" s="97">
        <f ca="1">IFERROR((1-(1+$D$10)^-($D$5-$C84))/$D$10,0)</f>
        <v>0</v>
      </c>
      <c r="J84" s="66" t="str">
        <f ca="1">IF($C84="","",
D84*($D$5-$D$9)*((1+F84)/(1+G84))^($D$5-$D$9)/$H$15)</f>
        <v/>
      </c>
      <c r="K84" s="68">
        <f t="shared" ca="1" si="15"/>
        <v>0</v>
      </c>
      <c r="L84" s="67">
        <f t="shared" ca="1" si="16"/>
        <v>0</v>
      </c>
      <c r="M84" s="68">
        <f t="shared" ca="1" si="17"/>
        <v>0</v>
      </c>
      <c r="N84" s="69"/>
      <c r="O84" s="70">
        <f ca="1">IF($C84="",0,
K84*'1.c Decrements'!D80+(O83-P83-Q83)*(1+G83))</f>
        <v>0</v>
      </c>
      <c r="P84" s="71">
        <f ca="1">M84*'1.a Assumptions'!$C$10*'1.c Decrements'!E80</f>
        <v>0</v>
      </c>
      <c r="Q84" s="71">
        <f ca="1">L85*('1.c Decrements'!F80+'1.c Decrements'!G80)</f>
        <v>0</v>
      </c>
      <c r="R84" s="71">
        <f ca="1">O84-L85*'1.c Decrements'!D80</f>
        <v>0</v>
      </c>
      <c r="S84" s="71" t="str">
        <f ca="1">IF(B85=$S$13,$D$3,IF(B85&lt;$S$13,'1.c Decrements'!$L$11,""))</f>
        <v/>
      </c>
      <c r="V84" s="72" t="str">
        <f ca="1">IF($C85&lt;=$D$5,L85-L84*(1+i),"")</f>
        <v/>
      </c>
      <c r="W84" s="73" t="str">
        <f ca="1">IF(V84="","",V84-K84)</f>
        <v/>
      </c>
      <c r="X84" s="98"/>
      <c r="Y84" s="99" t="str">
        <f ca="1">IF(V84="","",J84/'1.c PUC_Projection'!H86)</f>
        <v/>
      </c>
      <c r="Z84" s="99" t="str">
        <f ca="1">IF(V84="","",($D$5-$D$9)/$H$15*(1+$D$10)^-(C84-$D$9+1))</f>
        <v/>
      </c>
      <c r="AA84" s="100" t="str">
        <f t="shared" ca="1" si="18"/>
        <v/>
      </c>
    </row>
    <row r="85" spans="2:27" ht="15" customHeight="1" x14ac:dyDescent="0.25">
      <c r="B85" s="60" t="str">
        <f t="shared" ca="1" si="19"/>
        <v/>
      </c>
      <c r="C85" s="74" t="str">
        <f t="shared" ca="1" si="20"/>
        <v/>
      </c>
      <c r="D85" s="75" t="str">
        <f t="shared" ca="1" si="21"/>
        <v/>
      </c>
      <c r="E85" s="76" t="str">
        <f t="shared" ca="1" si="22"/>
        <v/>
      </c>
      <c r="F85" s="65" t="str">
        <f t="shared" ca="1" si="23"/>
        <v/>
      </c>
      <c r="G85" s="65" t="str">
        <f t="shared" ca="1" si="23"/>
        <v/>
      </c>
      <c r="I85" s="97">
        <f ca="1">IFERROR((1-(1+$D$10)^-($D$5-$C85))/$D$10,0)</f>
        <v>0</v>
      </c>
      <c r="J85" s="66" t="str">
        <f ca="1">IF($C85="","",
D85*($D$5-$D$9)*((1+F85)/(1+G85))^($D$5-$D$9)/$H$15)</f>
        <v/>
      </c>
      <c r="K85" s="68">
        <f t="shared" si="15"/>
        <v>0</v>
      </c>
      <c r="L85" s="67">
        <f t="shared" ca="1" si="16"/>
        <v>0</v>
      </c>
      <c r="M85" s="68">
        <f t="shared" ca="1" si="17"/>
        <v>0</v>
      </c>
      <c r="N85" s="69"/>
      <c r="O85" s="70">
        <f ca="1">IF($C85="",0,
K85*'1.c Decrements'!D81+(O84-P84-Q84)*(1+G84))</f>
        <v>0</v>
      </c>
      <c r="P85" s="71">
        <f ca="1">M85*'1.a Assumptions'!$C$10*'1.c Decrements'!E81</f>
        <v>0</v>
      </c>
      <c r="Q85" s="71">
        <f ca="1">L86*('1.c Decrements'!F81+'1.c Decrements'!G81)</f>
        <v>0</v>
      </c>
      <c r="R85" s="71">
        <f ca="1">O85-L86*'1.c Decrements'!D81</f>
        <v>0</v>
      </c>
      <c r="S85" s="71">
        <f ca="1">IF(B86=$S$13,$D$3,IF(B86&lt;$S$13,'1.c Decrements'!$L$11,""))</f>
        <v>0.75</v>
      </c>
      <c r="V85" s="72"/>
      <c r="W85" s="73"/>
      <c r="X85" s="98"/>
      <c r="Y85" s="99"/>
      <c r="Z85" s="99"/>
      <c r="AA85" s="100"/>
    </row>
  </sheetData>
  <conditionalFormatting sqref="W14">
    <cfRule type="cellIs" dxfId="7" priority="7" operator="equal">
      <formula>"Pass"</formula>
    </cfRule>
    <cfRule type="cellIs" dxfId="6" priority="8" operator="equal">
      <formula>"Check!"</formula>
    </cfRule>
  </conditionalFormatting>
  <conditionalFormatting sqref="AA14">
    <cfRule type="cellIs" dxfId="5" priority="5" operator="equal">
      <formula>"Pass"</formula>
    </cfRule>
    <cfRule type="cellIs" dxfId="4" priority="6" operator="equal">
      <formula>"Check!"</formula>
    </cfRule>
  </conditionalFormatting>
  <conditionalFormatting sqref="H8">
    <cfRule type="cellIs" dxfId="3" priority="3" operator="equal">
      <formula>"Pass"</formula>
    </cfRule>
    <cfRule type="cellIs" dxfId="2" priority="4" operator="equal">
      <formula>"Check!"</formula>
    </cfRule>
  </conditionalFormatting>
  <conditionalFormatting sqref="I8:Q8">
    <cfRule type="cellIs" dxfId="1" priority="1" operator="equal">
      <formula>"Pass"</formula>
    </cfRule>
    <cfRule type="cellIs" dxfId="0" priority="2" operator="equal">
      <formula>"Check!"</formula>
    </cfRule>
  </conditionalFormatting>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499984740745262"/>
  </sheetPr>
  <dimension ref="A1"/>
  <sheetViews>
    <sheetView showGridLines="0" workbookViewId="0"/>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249977111117893"/>
  </sheetPr>
  <dimension ref="A1:I12"/>
  <sheetViews>
    <sheetView workbookViewId="0"/>
  </sheetViews>
  <sheetFormatPr defaultRowHeight="15" x14ac:dyDescent="0.25"/>
  <cols>
    <col min="3" max="3" width="11" customWidth="1"/>
    <col min="6" max="6" width="9.140625" customWidth="1"/>
  </cols>
  <sheetData>
    <row r="1" spans="1:9" ht="41.25" thickBot="1" x14ac:dyDescent="0.3">
      <c r="A1" s="8" t="s">
        <v>12</v>
      </c>
      <c r="B1" s="1" t="s">
        <v>1</v>
      </c>
      <c r="C1" s="1" t="s">
        <v>2</v>
      </c>
      <c r="D1" s="1" t="s">
        <v>3</v>
      </c>
      <c r="E1" s="1" t="s">
        <v>4</v>
      </c>
      <c r="F1" s="11" t="s">
        <v>6</v>
      </c>
      <c r="G1" s="12" t="s">
        <v>5</v>
      </c>
      <c r="H1" s="12" t="s">
        <v>494</v>
      </c>
      <c r="I1" s="151" t="s">
        <v>495</v>
      </c>
    </row>
    <row r="2" spans="1:9" ht="15.75" thickBot="1" x14ac:dyDescent="0.3">
      <c r="A2" s="2" t="str">
        <f>B2&amp;E2</f>
        <v>30B</v>
      </c>
      <c r="B2" s="2">
        <v>30</v>
      </c>
      <c r="C2" s="3">
        <v>210</v>
      </c>
      <c r="D2" s="4">
        <v>78000</v>
      </c>
      <c r="E2" s="9" t="s">
        <v>5</v>
      </c>
      <c r="F2" s="79"/>
      <c r="G2" s="80"/>
      <c r="H2" s="152">
        <f>1*(E2="A")</f>
        <v>0</v>
      </c>
      <c r="I2" s="150">
        <f>1*(E2="B")</f>
        <v>1</v>
      </c>
    </row>
    <row r="3" spans="1:9" ht="15.75" thickBot="1" x14ac:dyDescent="0.3">
      <c r="A3" s="5" t="str">
        <f t="shared" ref="A3:A12" si="0">B3&amp;E3</f>
        <v>30A</v>
      </c>
      <c r="B3" s="5">
        <v>30</v>
      </c>
      <c r="C3" s="6">
        <v>20</v>
      </c>
      <c r="D3" s="7">
        <v>100000</v>
      </c>
      <c r="E3" s="10" t="s">
        <v>6</v>
      </c>
      <c r="F3" s="81"/>
      <c r="G3" s="82"/>
      <c r="H3" s="152">
        <f t="shared" ref="H3:I12" si="1">1*(E3="A")</f>
        <v>1</v>
      </c>
      <c r="I3" s="150">
        <f t="shared" ref="I3:I12" si="2">1*(E3="B")</f>
        <v>0</v>
      </c>
    </row>
    <row r="4" spans="1:9" ht="15.75" thickBot="1" x14ac:dyDescent="0.3">
      <c r="A4" s="5" t="str">
        <f t="shared" si="0"/>
        <v>40B</v>
      </c>
      <c r="B4" s="5">
        <v>40</v>
      </c>
      <c r="C4" s="6">
        <v>220</v>
      </c>
      <c r="D4" s="7">
        <v>87000</v>
      </c>
      <c r="E4" s="10" t="s">
        <v>5</v>
      </c>
      <c r="F4" s="79"/>
      <c r="G4" s="80">
        <f>($D4/$D2)^(1/($B4-$B2))</f>
        <v>1.0109797692413225</v>
      </c>
      <c r="H4" s="152">
        <f t="shared" si="1"/>
        <v>0</v>
      </c>
      <c r="I4" s="150">
        <f t="shared" si="2"/>
        <v>1</v>
      </c>
    </row>
    <row r="5" spans="1:9" ht="15.75" thickBot="1" x14ac:dyDescent="0.3">
      <c r="A5" s="5" t="str">
        <f t="shared" si="0"/>
        <v>40A</v>
      </c>
      <c r="B5" s="5">
        <v>40</v>
      </c>
      <c r="C5" s="6">
        <v>15</v>
      </c>
      <c r="D5" s="7">
        <v>150000</v>
      </c>
      <c r="E5" s="10" t="s">
        <v>6</v>
      </c>
      <c r="F5" s="81">
        <f>($D5/$D3)^(1/($B5-$B3))</f>
        <v>1.0413797439924106</v>
      </c>
      <c r="G5" s="82"/>
      <c r="H5" s="152">
        <f t="shared" si="1"/>
        <v>1</v>
      </c>
      <c r="I5" s="150">
        <f t="shared" si="2"/>
        <v>0</v>
      </c>
    </row>
    <row r="6" spans="1:9" ht="15.75" thickBot="1" x14ac:dyDescent="0.3">
      <c r="A6" s="5" t="str">
        <f t="shared" si="0"/>
        <v>45B</v>
      </c>
      <c r="B6" s="5">
        <v>45</v>
      </c>
      <c r="C6" s="6">
        <v>240</v>
      </c>
      <c r="D6" s="7">
        <v>95000</v>
      </c>
      <c r="E6" s="10" t="s">
        <v>5</v>
      </c>
      <c r="F6" s="79"/>
      <c r="G6" s="80">
        <f>($D6/$D4)^(1/($B6-$B4))</f>
        <v>1.0177494363582376</v>
      </c>
      <c r="H6" s="152">
        <f t="shared" si="1"/>
        <v>0</v>
      </c>
      <c r="I6" s="150">
        <f t="shared" si="2"/>
        <v>1</v>
      </c>
    </row>
    <row r="7" spans="1:9" ht="15.75" thickBot="1" x14ac:dyDescent="0.3">
      <c r="A7" s="5" t="str">
        <f t="shared" si="0"/>
        <v>45A</v>
      </c>
      <c r="B7" s="5">
        <v>45</v>
      </c>
      <c r="C7" s="6">
        <v>30</v>
      </c>
      <c r="D7" s="7">
        <v>175000</v>
      </c>
      <c r="E7" s="10" t="s">
        <v>6</v>
      </c>
      <c r="F7" s="81">
        <f>($D7/$D5)^(1/($B7-$B5))</f>
        <v>1.0313103064775451</v>
      </c>
      <c r="G7" s="82"/>
      <c r="H7" s="152">
        <f t="shared" si="1"/>
        <v>1</v>
      </c>
      <c r="I7" s="150">
        <f t="shared" si="2"/>
        <v>0</v>
      </c>
    </row>
    <row r="8" spans="1:9" ht="15.75" thickBot="1" x14ac:dyDescent="0.3">
      <c r="A8" s="5" t="str">
        <f t="shared" si="0"/>
        <v>50B</v>
      </c>
      <c r="B8" s="5">
        <v>50</v>
      </c>
      <c r="C8" s="6">
        <v>180</v>
      </c>
      <c r="D8" s="7">
        <v>103000</v>
      </c>
      <c r="E8" s="10" t="s">
        <v>5</v>
      </c>
      <c r="F8" s="79"/>
      <c r="G8" s="80">
        <f>($D8/$D6)^(1/($B8-$B6))</f>
        <v>1.0163018681280294</v>
      </c>
      <c r="H8" s="152">
        <f t="shared" si="1"/>
        <v>0</v>
      </c>
      <c r="I8" s="150">
        <f t="shared" si="2"/>
        <v>1</v>
      </c>
    </row>
    <row r="9" spans="1:9" ht="15.75" thickBot="1" x14ac:dyDescent="0.3">
      <c r="A9" s="5" t="str">
        <f t="shared" si="0"/>
        <v>50A</v>
      </c>
      <c r="B9" s="5">
        <v>50</v>
      </c>
      <c r="C9" s="6">
        <v>25</v>
      </c>
      <c r="D9" s="7">
        <v>185000</v>
      </c>
      <c r="E9" s="10" t="s">
        <v>6</v>
      </c>
      <c r="F9" s="81">
        <f>($D9/$D7)^(1/($B9-$B7))</f>
        <v>1.0111759598354646</v>
      </c>
      <c r="G9" s="82"/>
      <c r="H9" s="152">
        <f t="shared" si="1"/>
        <v>1</v>
      </c>
      <c r="I9" s="150">
        <f t="shared" si="2"/>
        <v>0</v>
      </c>
    </row>
    <row r="10" spans="1:9" ht="15.75" thickBot="1" x14ac:dyDescent="0.3">
      <c r="A10" s="5" t="str">
        <f t="shared" si="0"/>
        <v>55B</v>
      </c>
      <c r="B10" s="5">
        <v>55</v>
      </c>
      <c r="C10" s="6">
        <v>50</v>
      </c>
      <c r="D10" s="7">
        <v>103000</v>
      </c>
      <c r="E10" s="10" t="s">
        <v>5</v>
      </c>
      <c r="F10" s="79"/>
      <c r="G10" s="80">
        <f>($D10/$D8)^(1/($B10-$B8))</f>
        <v>1</v>
      </c>
      <c r="H10" s="152">
        <f t="shared" si="1"/>
        <v>0</v>
      </c>
      <c r="I10" s="150">
        <f t="shared" si="2"/>
        <v>1</v>
      </c>
    </row>
    <row r="11" spans="1:9" ht="15.75" thickBot="1" x14ac:dyDescent="0.3">
      <c r="A11" s="5" t="str">
        <f t="shared" si="0"/>
        <v>55A</v>
      </c>
      <c r="B11" s="5">
        <v>55</v>
      </c>
      <c r="C11" s="6">
        <v>10</v>
      </c>
      <c r="D11" s="7">
        <v>250000</v>
      </c>
      <c r="E11" s="10" t="s">
        <v>6</v>
      </c>
      <c r="F11" s="83">
        <f>($D11/$D9)^(1/($B11-$B9))</f>
        <v>1.062071258063263</v>
      </c>
      <c r="G11" s="84"/>
      <c r="H11" s="153">
        <f t="shared" si="1"/>
        <v>1</v>
      </c>
      <c r="I11" s="85">
        <f t="shared" si="2"/>
        <v>0</v>
      </c>
    </row>
    <row r="12" spans="1:9" ht="16.5" x14ac:dyDescent="0.3">
      <c r="A12" s="17" t="str">
        <f t="shared" si="0"/>
        <v/>
      </c>
      <c r="B12" s="17"/>
      <c r="C12" s="17"/>
      <c r="D12" s="17"/>
      <c r="E12" s="17"/>
      <c r="F12" s="143">
        <f>AVERAGE(F2:F11)-1</f>
        <v>3.6484317092170926E-2</v>
      </c>
      <c r="G12" s="143">
        <f>AVERAGE(G2:G11)-1</f>
        <v>1.1257768431897297E-2</v>
      </c>
      <c r="H12" s="13"/>
      <c r="I12" s="13"/>
    </row>
  </sheetData>
  <autoFilter ref="B2:B1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249977111117893"/>
  </sheetPr>
  <dimension ref="A1:B172"/>
  <sheetViews>
    <sheetView topLeftCell="A30" zoomScaleNormal="100" workbookViewId="0">
      <selection activeCell="B70" sqref="B70"/>
    </sheetView>
  </sheetViews>
  <sheetFormatPr defaultRowHeight="12.75" customHeight="1" x14ac:dyDescent="0.25"/>
  <cols>
    <col min="1" max="16384" width="9.140625" style="146"/>
  </cols>
  <sheetData>
    <row r="1" spans="1:2" ht="12.75" customHeight="1" x14ac:dyDescent="0.25">
      <c r="A1" s="146" t="s">
        <v>103</v>
      </c>
      <c r="B1" s="146" t="s">
        <v>104</v>
      </c>
    </row>
    <row r="2" spans="1:2" ht="12.75" customHeight="1" x14ac:dyDescent="0.25">
      <c r="A2" s="146" t="s">
        <v>105</v>
      </c>
      <c r="B2" s="146" t="s">
        <v>106</v>
      </c>
    </row>
    <row r="3" spans="1:2" ht="12.75" customHeight="1" x14ac:dyDescent="0.25">
      <c r="A3" s="146" t="s">
        <v>107</v>
      </c>
      <c r="B3" s="146" t="s">
        <v>108</v>
      </c>
    </row>
    <row r="4" spans="1:2" ht="12.75" customHeight="1" x14ac:dyDescent="0.25">
      <c r="A4" s="146" t="s">
        <v>109</v>
      </c>
      <c r="B4" s="146" t="s">
        <v>110</v>
      </c>
    </row>
    <row r="5" spans="1:2" ht="12.75" customHeight="1" x14ac:dyDescent="0.25">
      <c r="A5" s="146" t="s">
        <v>111</v>
      </c>
      <c r="B5" s="146" t="s">
        <v>112</v>
      </c>
    </row>
    <row r="6" spans="1:2" ht="12.75" customHeight="1" x14ac:dyDescent="0.25">
      <c r="A6" s="146" t="s">
        <v>113</v>
      </c>
      <c r="B6" s="146" t="s">
        <v>114</v>
      </c>
    </row>
    <row r="7" spans="1:2" ht="12.75" customHeight="1" x14ac:dyDescent="0.25">
      <c r="A7" s="146" t="s">
        <v>115</v>
      </c>
      <c r="B7" s="146" t="s">
        <v>116</v>
      </c>
    </row>
    <row r="8" spans="1:2" ht="12.75" customHeight="1" x14ac:dyDescent="0.25">
      <c r="A8" s="146" t="s">
        <v>117</v>
      </c>
      <c r="B8" s="146" t="s">
        <v>118</v>
      </c>
    </row>
    <row r="9" spans="1:2" ht="12.75" customHeight="1" x14ac:dyDescent="0.25">
      <c r="A9" s="146" t="s">
        <v>119</v>
      </c>
      <c r="B9" s="146" t="s">
        <v>120</v>
      </c>
    </row>
    <row r="10" spans="1:2" ht="12.75" customHeight="1" x14ac:dyDescent="0.25">
      <c r="A10" s="146" t="s">
        <v>121</v>
      </c>
      <c r="B10" s="146" t="s">
        <v>122</v>
      </c>
    </row>
    <row r="12" spans="1:2" ht="12.75" customHeight="1" x14ac:dyDescent="0.25">
      <c r="A12" s="146" t="s">
        <v>123</v>
      </c>
      <c r="B12" s="146" t="s">
        <v>124</v>
      </c>
    </row>
    <row r="13" spans="1:2" ht="12.75" customHeight="1" x14ac:dyDescent="0.25">
      <c r="A13" s="146" t="s">
        <v>115</v>
      </c>
      <c r="B13" s="146" t="s">
        <v>125</v>
      </c>
    </row>
    <row r="14" spans="1:2" ht="12.75" customHeight="1" x14ac:dyDescent="0.25">
      <c r="A14" s="146" t="s">
        <v>126</v>
      </c>
      <c r="B14" s="146" t="s">
        <v>127</v>
      </c>
    </row>
    <row r="15" spans="1:2" ht="12.75" customHeight="1" x14ac:dyDescent="0.25">
      <c r="A15" s="146" t="s">
        <v>128</v>
      </c>
      <c r="B15" s="146" t="s">
        <v>129</v>
      </c>
    </row>
    <row r="16" spans="1:2" ht="12.75" customHeight="1" x14ac:dyDescent="0.25">
      <c r="A16" s="146" t="s">
        <v>130</v>
      </c>
      <c r="B16" s="146" t="s">
        <v>131</v>
      </c>
    </row>
    <row r="17" spans="1:2" ht="12.75" customHeight="1" x14ac:dyDescent="0.25">
      <c r="A17" s="146" t="s">
        <v>132</v>
      </c>
      <c r="B17" s="146" t="s">
        <v>82</v>
      </c>
    </row>
    <row r="18" spans="1:2" ht="12.75" customHeight="1" x14ac:dyDescent="0.25">
      <c r="A18" s="146" t="s">
        <v>133</v>
      </c>
      <c r="B18" s="146" t="s">
        <v>82</v>
      </c>
    </row>
    <row r="19" spans="1:2" ht="12.75" customHeight="1" x14ac:dyDescent="0.25">
      <c r="A19" s="146" t="s">
        <v>134</v>
      </c>
      <c r="B19" s="146" t="s">
        <v>82</v>
      </c>
    </row>
    <row r="20" spans="1:2" ht="12.75" customHeight="1" x14ac:dyDescent="0.25">
      <c r="A20" s="146" t="s">
        <v>135</v>
      </c>
      <c r="B20" s="146" t="s">
        <v>136</v>
      </c>
    </row>
    <row r="21" spans="1:2" ht="12.75" customHeight="1" x14ac:dyDescent="0.25">
      <c r="A21" s="146" t="s">
        <v>137</v>
      </c>
      <c r="B21" s="146" t="s">
        <v>138</v>
      </c>
    </row>
    <row r="22" spans="1:2" ht="12.75" customHeight="1" x14ac:dyDescent="0.25">
      <c r="A22" s="146" t="s">
        <v>139</v>
      </c>
      <c r="B22" s="146" t="s">
        <v>124</v>
      </c>
    </row>
    <row r="24" spans="1:2" ht="12.75" customHeight="1" x14ac:dyDescent="0.25">
      <c r="A24" s="146" t="s">
        <v>140</v>
      </c>
      <c r="B24" s="146" t="s">
        <v>124</v>
      </c>
    </row>
    <row r="25" spans="1:2" ht="12.75" customHeight="1" x14ac:dyDescent="0.25">
      <c r="A25" s="146" t="s">
        <v>136</v>
      </c>
      <c r="B25" s="146" t="s">
        <v>141</v>
      </c>
    </row>
    <row r="26" spans="1:2" ht="12.75" customHeight="1" x14ac:dyDescent="0.25">
      <c r="A26" s="146" t="s">
        <v>142</v>
      </c>
      <c r="B26" s="146" t="s">
        <v>143</v>
      </c>
    </row>
    <row r="27" spans="1:2" ht="12.75" customHeight="1" x14ac:dyDescent="0.25">
      <c r="A27" s="146" t="s">
        <v>144</v>
      </c>
      <c r="B27" s="146" t="s">
        <v>145</v>
      </c>
    </row>
    <row r="28" spans="1:2" ht="12.75" customHeight="1" x14ac:dyDescent="0.25">
      <c r="A28" s="146" t="s">
        <v>146</v>
      </c>
      <c r="B28" s="146" t="s">
        <v>147</v>
      </c>
    </row>
    <row r="29" spans="1:2" ht="12.75" customHeight="1" x14ac:dyDescent="0.25">
      <c r="A29" s="146" t="s">
        <v>148</v>
      </c>
      <c r="B29" s="146" t="s">
        <v>149</v>
      </c>
    </row>
    <row r="30" spans="1:2" ht="12.75" customHeight="1" x14ac:dyDescent="0.25">
      <c r="A30" s="146" t="s">
        <v>150</v>
      </c>
      <c r="B30" s="146" t="s">
        <v>151</v>
      </c>
    </row>
    <row r="31" spans="1:2" ht="12.75" customHeight="1" x14ac:dyDescent="0.25">
      <c r="A31" s="146" t="s">
        <v>152</v>
      </c>
      <c r="B31" s="146" t="s">
        <v>153</v>
      </c>
    </row>
    <row r="32" spans="1:2" ht="12.75" customHeight="1" x14ac:dyDescent="0.25">
      <c r="A32" s="146" t="s">
        <v>154</v>
      </c>
      <c r="B32" s="146" t="s">
        <v>155</v>
      </c>
    </row>
    <row r="33" spans="1:2" ht="12.75" customHeight="1" x14ac:dyDescent="0.25">
      <c r="A33" s="146" t="s">
        <v>156</v>
      </c>
      <c r="B33" s="146" t="s">
        <v>157</v>
      </c>
    </row>
    <row r="34" spans="1:2" ht="12.75" customHeight="1" x14ac:dyDescent="0.25">
      <c r="A34" s="146" t="s">
        <v>158</v>
      </c>
      <c r="B34" s="146" t="s">
        <v>147</v>
      </c>
    </row>
    <row r="35" spans="1:2" ht="12.75" customHeight="1" x14ac:dyDescent="0.25">
      <c r="A35" s="146" t="s">
        <v>159</v>
      </c>
      <c r="B35" s="146" t="s">
        <v>160</v>
      </c>
    </row>
    <row r="36" spans="1:2" ht="12.75" customHeight="1" x14ac:dyDescent="0.25">
      <c r="A36" s="146" t="s">
        <v>161</v>
      </c>
      <c r="B36" s="146" t="s">
        <v>162</v>
      </c>
    </row>
    <row r="37" spans="1:2" ht="12.75" customHeight="1" x14ac:dyDescent="0.25">
      <c r="A37" s="146" t="s">
        <v>163</v>
      </c>
      <c r="B37" s="146" t="s">
        <v>164</v>
      </c>
    </row>
    <row r="38" spans="1:2" ht="12.75" customHeight="1" x14ac:dyDescent="0.25">
      <c r="A38" s="146" t="s">
        <v>165</v>
      </c>
      <c r="B38" s="146" t="s">
        <v>166</v>
      </c>
    </row>
    <row r="39" spans="1:2" ht="12.75" customHeight="1" x14ac:dyDescent="0.25">
      <c r="A39" s="146" t="s">
        <v>167</v>
      </c>
      <c r="B39" s="146" t="s">
        <v>168</v>
      </c>
    </row>
    <row r="40" spans="1:2" ht="12.75" customHeight="1" x14ac:dyDescent="0.25">
      <c r="A40" s="146" t="s">
        <v>169</v>
      </c>
      <c r="B40" s="146" t="s">
        <v>170</v>
      </c>
    </row>
    <row r="41" spans="1:2" ht="12.75" customHeight="1" x14ac:dyDescent="0.25">
      <c r="A41" s="146" t="s">
        <v>171</v>
      </c>
      <c r="B41" s="146" t="s">
        <v>172</v>
      </c>
    </row>
    <row r="42" spans="1:2" ht="12.75" customHeight="1" x14ac:dyDescent="0.25">
      <c r="A42" s="146" t="s">
        <v>173</v>
      </c>
      <c r="B42" s="146" t="s">
        <v>174</v>
      </c>
    </row>
    <row r="43" spans="1:2" ht="12.75" customHeight="1" x14ac:dyDescent="0.25">
      <c r="A43" s="146" t="s">
        <v>175</v>
      </c>
      <c r="B43" s="146" t="s">
        <v>176</v>
      </c>
    </row>
    <row r="44" spans="1:2" ht="12.75" customHeight="1" x14ac:dyDescent="0.25">
      <c r="A44" s="146" t="s">
        <v>177</v>
      </c>
      <c r="B44" s="146" t="s">
        <v>178</v>
      </c>
    </row>
    <row r="45" spans="1:2" ht="12.75" customHeight="1" x14ac:dyDescent="0.25">
      <c r="A45" s="146" t="s">
        <v>179</v>
      </c>
      <c r="B45" s="146" t="s">
        <v>180</v>
      </c>
    </row>
    <row r="46" spans="1:2" ht="12.75" customHeight="1" x14ac:dyDescent="0.25">
      <c r="A46" s="146" t="s">
        <v>181</v>
      </c>
      <c r="B46" s="146" t="s">
        <v>182</v>
      </c>
    </row>
    <row r="47" spans="1:2" ht="12.75" customHeight="1" x14ac:dyDescent="0.25">
      <c r="A47" s="146" t="s">
        <v>183</v>
      </c>
      <c r="B47" s="146" t="s">
        <v>184</v>
      </c>
    </row>
    <row r="48" spans="1:2" ht="12.75" customHeight="1" x14ac:dyDescent="0.25">
      <c r="A48" s="146" t="s">
        <v>185</v>
      </c>
      <c r="B48" s="146" t="s">
        <v>186</v>
      </c>
    </row>
    <row r="49" spans="1:2" ht="12.75" customHeight="1" x14ac:dyDescent="0.25">
      <c r="A49" s="146" t="s">
        <v>187</v>
      </c>
      <c r="B49" s="146" t="s">
        <v>188</v>
      </c>
    </row>
    <row r="50" spans="1:2" ht="12.75" customHeight="1" x14ac:dyDescent="0.25">
      <c r="A50" s="146" t="s">
        <v>189</v>
      </c>
      <c r="B50" s="146" t="s">
        <v>190</v>
      </c>
    </row>
    <row r="51" spans="1:2" ht="12.75" customHeight="1" x14ac:dyDescent="0.25">
      <c r="A51" s="146" t="s">
        <v>191</v>
      </c>
      <c r="B51" s="146" t="s">
        <v>192</v>
      </c>
    </row>
    <row r="52" spans="1:2" ht="12.75" customHeight="1" x14ac:dyDescent="0.25">
      <c r="A52" s="146" t="s">
        <v>193</v>
      </c>
      <c r="B52" s="146" t="s">
        <v>194</v>
      </c>
    </row>
    <row r="53" spans="1:2" ht="12.75" customHeight="1" x14ac:dyDescent="0.25">
      <c r="A53" s="146" t="s">
        <v>195</v>
      </c>
      <c r="B53" s="146" t="s">
        <v>196</v>
      </c>
    </row>
    <row r="54" spans="1:2" ht="12.75" customHeight="1" x14ac:dyDescent="0.25">
      <c r="A54" s="146" t="s">
        <v>197</v>
      </c>
      <c r="B54" s="146" t="s">
        <v>198</v>
      </c>
    </row>
    <row r="55" spans="1:2" ht="12.75" customHeight="1" x14ac:dyDescent="0.25">
      <c r="A55" s="146" t="s">
        <v>199</v>
      </c>
      <c r="B55" s="146" t="s">
        <v>200</v>
      </c>
    </row>
    <row r="56" spans="1:2" ht="12.75" customHeight="1" x14ac:dyDescent="0.25">
      <c r="A56" s="146" t="s">
        <v>201</v>
      </c>
      <c r="B56" s="146" t="s">
        <v>202</v>
      </c>
    </row>
    <row r="57" spans="1:2" ht="12.75" customHeight="1" x14ac:dyDescent="0.25">
      <c r="A57" s="146" t="s">
        <v>203</v>
      </c>
      <c r="B57" s="146" t="s">
        <v>204</v>
      </c>
    </row>
    <row r="58" spans="1:2" ht="12.75" customHeight="1" x14ac:dyDescent="0.25">
      <c r="A58" s="146" t="s">
        <v>205</v>
      </c>
      <c r="B58" s="146" t="s">
        <v>206</v>
      </c>
    </row>
    <row r="59" spans="1:2" ht="12.75" customHeight="1" x14ac:dyDescent="0.25">
      <c r="A59" s="146" t="s">
        <v>207</v>
      </c>
      <c r="B59" s="146" t="s">
        <v>208</v>
      </c>
    </row>
    <row r="60" spans="1:2" ht="12.75" customHeight="1" x14ac:dyDescent="0.25">
      <c r="A60" s="146" t="s">
        <v>209</v>
      </c>
      <c r="B60" s="146" t="s">
        <v>210</v>
      </c>
    </row>
    <row r="61" spans="1:2" ht="12.75" customHeight="1" x14ac:dyDescent="0.25">
      <c r="A61" s="146" t="s">
        <v>211</v>
      </c>
      <c r="B61" s="146" t="s">
        <v>212</v>
      </c>
    </row>
    <row r="62" spans="1:2" ht="12.75" customHeight="1" x14ac:dyDescent="0.25">
      <c r="A62" s="146" t="s">
        <v>213</v>
      </c>
      <c r="B62" s="146" t="s">
        <v>214</v>
      </c>
    </row>
    <row r="63" spans="1:2" ht="12.75" customHeight="1" x14ac:dyDescent="0.25">
      <c r="A63" s="146" t="s">
        <v>215</v>
      </c>
      <c r="B63" s="146" t="s">
        <v>216</v>
      </c>
    </row>
    <row r="64" spans="1:2" ht="12.75" customHeight="1" x14ac:dyDescent="0.25">
      <c r="A64" s="146" t="s">
        <v>217</v>
      </c>
      <c r="B64" s="146" t="s">
        <v>218</v>
      </c>
    </row>
    <row r="65" spans="1:2" ht="12.75" customHeight="1" x14ac:dyDescent="0.25">
      <c r="A65" s="146" t="s">
        <v>219</v>
      </c>
      <c r="B65" s="146" t="s">
        <v>220</v>
      </c>
    </row>
    <row r="66" spans="1:2" ht="12.75" customHeight="1" x14ac:dyDescent="0.25">
      <c r="A66" s="146" t="s">
        <v>221</v>
      </c>
      <c r="B66" s="146" t="s">
        <v>222</v>
      </c>
    </row>
    <row r="67" spans="1:2" ht="12.75" customHeight="1" x14ac:dyDescent="0.25">
      <c r="A67" s="146" t="s">
        <v>223</v>
      </c>
      <c r="B67" s="146" t="s">
        <v>224</v>
      </c>
    </row>
    <row r="68" spans="1:2" ht="12.75" customHeight="1" x14ac:dyDescent="0.25">
      <c r="A68" s="146" t="s">
        <v>225</v>
      </c>
      <c r="B68" s="146" t="s">
        <v>226</v>
      </c>
    </row>
    <row r="69" spans="1:2" ht="12.75" customHeight="1" x14ac:dyDescent="0.25">
      <c r="A69" s="146" t="s">
        <v>227</v>
      </c>
      <c r="B69" s="146" t="s">
        <v>228</v>
      </c>
    </row>
    <row r="70" spans="1:2" ht="12.75" customHeight="1" x14ac:dyDescent="0.25">
      <c r="A70" s="146" t="s">
        <v>229</v>
      </c>
      <c r="B70" s="146" t="s">
        <v>230</v>
      </c>
    </row>
    <row r="71" spans="1:2" ht="12.75" customHeight="1" x14ac:dyDescent="0.25">
      <c r="A71" s="146" t="s">
        <v>231</v>
      </c>
      <c r="B71" s="146" t="s">
        <v>232</v>
      </c>
    </row>
    <row r="72" spans="1:2" ht="12.75" customHeight="1" x14ac:dyDescent="0.25">
      <c r="A72" s="146" t="s">
        <v>233</v>
      </c>
      <c r="B72" s="146" t="s">
        <v>234</v>
      </c>
    </row>
    <row r="73" spans="1:2" ht="12.75" customHeight="1" x14ac:dyDescent="0.25">
      <c r="A73" s="146" t="s">
        <v>235</v>
      </c>
      <c r="B73" s="146" t="s">
        <v>236</v>
      </c>
    </row>
    <row r="74" spans="1:2" ht="12.75" customHeight="1" x14ac:dyDescent="0.25">
      <c r="A74" s="146" t="s">
        <v>237</v>
      </c>
      <c r="B74" s="146" t="s">
        <v>238</v>
      </c>
    </row>
    <row r="75" spans="1:2" ht="12.75" customHeight="1" x14ac:dyDescent="0.25">
      <c r="A75" s="146" t="s">
        <v>239</v>
      </c>
      <c r="B75" s="146" t="s">
        <v>240</v>
      </c>
    </row>
    <row r="76" spans="1:2" ht="12.75" customHeight="1" x14ac:dyDescent="0.25">
      <c r="A76" s="146" t="s">
        <v>241</v>
      </c>
      <c r="B76" s="146" t="s">
        <v>242</v>
      </c>
    </row>
    <row r="77" spans="1:2" ht="12.75" customHeight="1" x14ac:dyDescent="0.25">
      <c r="A77" s="146" t="s">
        <v>243</v>
      </c>
      <c r="B77" s="146" t="s">
        <v>244</v>
      </c>
    </row>
    <row r="78" spans="1:2" ht="12.75" customHeight="1" x14ac:dyDescent="0.25">
      <c r="A78" s="146" t="s">
        <v>245</v>
      </c>
      <c r="B78" s="146" t="s">
        <v>246</v>
      </c>
    </row>
    <row r="79" spans="1:2" ht="12.75" customHeight="1" x14ac:dyDescent="0.25">
      <c r="A79" s="146" t="s">
        <v>247</v>
      </c>
      <c r="B79" s="146" t="s">
        <v>248</v>
      </c>
    </row>
    <row r="80" spans="1:2" ht="12.75" customHeight="1" x14ac:dyDescent="0.25">
      <c r="A80" s="146" t="s">
        <v>249</v>
      </c>
      <c r="B80" s="146" t="s">
        <v>250</v>
      </c>
    </row>
    <row r="81" spans="1:2" ht="12.75" customHeight="1" x14ac:dyDescent="0.25">
      <c r="A81" s="146" t="s">
        <v>251</v>
      </c>
      <c r="B81" s="146" t="s">
        <v>252</v>
      </c>
    </row>
    <row r="82" spans="1:2" ht="12.75" customHeight="1" x14ac:dyDescent="0.25">
      <c r="A82" s="146" t="s">
        <v>253</v>
      </c>
      <c r="B82" s="146" t="s">
        <v>254</v>
      </c>
    </row>
    <row r="83" spans="1:2" ht="12.75" customHeight="1" x14ac:dyDescent="0.25">
      <c r="A83" s="146" t="s">
        <v>255</v>
      </c>
      <c r="B83" s="146" t="s">
        <v>256</v>
      </c>
    </row>
    <row r="84" spans="1:2" ht="12.75" customHeight="1" x14ac:dyDescent="0.25">
      <c r="A84" s="146" t="s">
        <v>257</v>
      </c>
      <c r="B84" s="146" t="s">
        <v>258</v>
      </c>
    </row>
    <row r="85" spans="1:2" ht="12.75" customHeight="1" x14ac:dyDescent="0.25">
      <c r="A85" s="146" t="s">
        <v>259</v>
      </c>
      <c r="B85" s="146" t="s">
        <v>260</v>
      </c>
    </row>
    <row r="86" spans="1:2" ht="12.75" customHeight="1" x14ac:dyDescent="0.25">
      <c r="A86" s="146" t="s">
        <v>261</v>
      </c>
      <c r="B86" s="146" t="s">
        <v>262</v>
      </c>
    </row>
    <row r="87" spans="1:2" ht="12.75" customHeight="1" x14ac:dyDescent="0.25">
      <c r="A87" s="146" t="s">
        <v>138</v>
      </c>
      <c r="B87" s="146" t="s">
        <v>263</v>
      </c>
    </row>
    <row r="89" spans="1:2" ht="12.75" customHeight="1" x14ac:dyDescent="0.25">
      <c r="A89" s="146" t="s">
        <v>123</v>
      </c>
      <c r="B89" s="146" t="s">
        <v>264</v>
      </c>
    </row>
    <row r="90" spans="1:2" ht="12.75" customHeight="1" x14ac:dyDescent="0.25">
      <c r="A90" s="146" t="s">
        <v>115</v>
      </c>
      <c r="B90" s="146" t="s">
        <v>265</v>
      </c>
    </row>
    <row r="91" spans="1:2" ht="12.75" customHeight="1" x14ac:dyDescent="0.25">
      <c r="A91" s="146" t="s">
        <v>126</v>
      </c>
      <c r="B91" s="146" t="s">
        <v>127</v>
      </c>
    </row>
    <row r="92" spans="1:2" ht="12.75" customHeight="1" x14ac:dyDescent="0.25">
      <c r="A92" s="146" t="s">
        <v>128</v>
      </c>
      <c r="B92" s="146" t="s">
        <v>129</v>
      </c>
    </row>
    <row r="93" spans="1:2" ht="12.75" customHeight="1" x14ac:dyDescent="0.25">
      <c r="A93" s="146" t="s">
        <v>130</v>
      </c>
      <c r="B93" s="146" t="s">
        <v>131</v>
      </c>
    </row>
    <row r="94" spans="1:2" ht="12.75" customHeight="1" x14ac:dyDescent="0.25">
      <c r="A94" s="146" t="s">
        <v>132</v>
      </c>
      <c r="B94" s="146" t="s">
        <v>82</v>
      </c>
    </row>
    <row r="95" spans="1:2" ht="12.75" customHeight="1" x14ac:dyDescent="0.25">
      <c r="A95" s="146" t="s">
        <v>133</v>
      </c>
      <c r="B95" s="146" t="s">
        <v>82</v>
      </c>
    </row>
    <row r="96" spans="1:2" ht="12.75" customHeight="1" x14ac:dyDescent="0.25">
      <c r="A96" s="146" t="s">
        <v>134</v>
      </c>
      <c r="B96" s="146" t="s">
        <v>82</v>
      </c>
    </row>
    <row r="97" spans="1:2" ht="12.75" customHeight="1" x14ac:dyDescent="0.25">
      <c r="A97" s="146" t="s">
        <v>135</v>
      </c>
      <c r="B97" s="146" t="s">
        <v>203</v>
      </c>
    </row>
    <row r="98" spans="1:2" ht="12.75" customHeight="1" x14ac:dyDescent="0.25">
      <c r="A98" s="146" t="s">
        <v>137</v>
      </c>
      <c r="B98" s="146" t="s">
        <v>266</v>
      </c>
    </row>
    <row r="99" spans="1:2" ht="12.75" customHeight="1" x14ac:dyDescent="0.25">
      <c r="A99" s="146" t="s">
        <v>139</v>
      </c>
      <c r="B99" s="146" t="s">
        <v>124</v>
      </c>
    </row>
    <row r="101" spans="1:2" ht="12.75" customHeight="1" x14ac:dyDescent="0.25">
      <c r="A101" s="146" t="s">
        <v>140</v>
      </c>
      <c r="B101" s="146" t="s">
        <v>124</v>
      </c>
    </row>
    <row r="102" spans="1:2" ht="12.75" customHeight="1" x14ac:dyDescent="0.25">
      <c r="A102" s="146" t="s">
        <v>203</v>
      </c>
      <c r="B102" s="146" t="s">
        <v>267</v>
      </c>
    </row>
    <row r="103" spans="1:2" ht="12.75" customHeight="1" x14ac:dyDescent="0.25">
      <c r="A103" s="146" t="s">
        <v>205</v>
      </c>
      <c r="B103" s="146" t="s">
        <v>268</v>
      </c>
    </row>
    <row r="104" spans="1:2" ht="12.75" customHeight="1" x14ac:dyDescent="0.25">
      <c r="A104" s="146" t="s">
        <v>207</v>
      </c>
      <c r="B104" s="146" t="s">
        <v>269</v>
      </c>
    </row>
    <row r="105" spans="1:2" ht="12.75" customHeight="1" x14ac:dyDescent="0.25">
      <c r="A105" s="146" t="s">
        <v>209</v>
      </c>
      <c r="B105" s="146" t="s">
        <v>270</v>
      </c>
    </row>
    <row r="106" spans="1:2" ht="12.75" customHeight="1" x14ac:dyDescent="0.25">
      <c r="A106" s="146" t="s">
        <v>211</v>
      </c>
      <c r="B106" s="146" t="s">
        <v>271</v>
      </c>
    </row>
    <row r="107" spans="1:2" ht="12.75" customHeight="1" x14ac:dyDescent="0.25">
      <c r="A107" s="146" t="s">
        <v>213</v>
      </c>
      <c r="B107" s="146" t="s">
        <v>272</v>
      </c>
    </row>
    <row r="108" spans="1:2" ht="12.75" customHeight="1" x14ac:dyDescent="0.25">
      <c r="A108" s="146" t="s">
        <v>215</v>
      </c>
      <c r="B108" s="146" t="s">
        <v>273</v>
      </c>
    </row>
    <row r="109" spans="1:2" ht="12.75" customHeight="1" x14ac:dyDescent="0.25">
      <c r="A109" s="146" t="s">
        <v>217</v>
      </c>
      <c r="B109" s="146" t="s">
        <v>274</v>
      </c>
    </row>
    <row r="110" spans="1:2" ht="12.75" customHeight="1" x14ac:dyDescent="0.25">
      <c r="A110" s="146" t="s">
        <v>219</v>
      </c>
      <c r="B110" s="146" t="s">
        <v>275</v>
      </c>
    </row>
    <row r="111" spans="1:2" ht="12.75" customHeight="1" x14ac:dyDescent="0.25">
      <c r="A111" s="146" t="s">
        <v>221</v>
      </c>
      <c r="B111" s="146" t="s">
        <v>276</v>
      </c>
    </row>
    <row r="112" spans="1:2" ht="12.75" customHeight="1" x14ac:dyDescent="0.25">
      <c r="A112" s="146" t="s">
        <v>223</v>
      </c>
      <c r="B112" s="146" t="s">
        <v>277</v>
      </c>
    </row>
    <row r="113" spans="1:2" ht="12.75" customHeight="1" x14ac:dyDescent="0.25">
      <c r="A113" s="146" t="s">
        <v>225</v>
      </c>
      <c r="B113" s="146" t="s">
        <v>278</v>
      </c>
    </row>
    <row r="114" spans="1:2" ht="12.75" customHeight="1" x14ac:dyDescent="0.25">
      <c r="A114" s="146" t="s">
        <v>227</v>
      </c>
      <c r="B114" s="146" t="s">
        <v>279</v>
      </c>
    </row>
    <row r="115" spans="1:2" ht="12.75" customHeight="1" x14ac:dyDescent="0.25">
      <c r="A115" s="146" t="s">
        <v>229</v>
      </c>
      <c r="B115" s="146" t="s">
        <v>280</v>
      </c>
    </row>
    <row r="116" spans="1:2" ht="12.75" customHeight="1" x14ac:dyDescent="0.25">
      <c r="A116" s="146" t="s">
        <v>231</v>
      </c>
      <c r="B116" s="146" t="s">
        <v>281</v>
      </c>
    </row>
    <row r="117" spans="1:2" ht="12.75" customHeight="1" x14ac:dyDescent="0.25">
      <c r="A117" s="146" t="s">
        <v>233</v>
      </c>
      <c r="B117" s="146" t="s">
        <v>282</v>
      </c>
    </row>
    <row r="118" spans="1:2" ht="12.75" customHeight="1" x14ac:dyDescent="0.25">
      <c r="A118" s="146" t="s">
        <v>235</v>
      </c>
      <c r="B118" s="146" t="s">
        <v>283</v>
      </c>
    </row>
    <row r="119" spans="1:2" ht="12.75" customHeight="1" x14ac:dyDescent="0.25">
      <c r="A119" s="146" t="s">
        <v>237</v>
      </c>
      <c r="B119" s="146" t="s">
        <v>284</v>
      </c>
    </row>
    <row r="120" spans="1:2" ht="12.75" customHeight="1" x14ac:dyDescent="0.25">
      <c r="A120" s="146" t="s">
        <v>239</v>
      </c>
      <c r="B120" s="146" t="s">
        <v>285</v>
      </c>
    </row>
    <row r="121" spans="1:2" ht="12.75" customHeight="1" x14ac:dyDescent="0.25">
      <c r="A121" s="146" t="s">
        <v>241</v>
      </c>
      <c r="B121" s="146" t="s">
        <v>286</v>
      </c>
    </row>
    <row r="122" spans="1:2" ht="12.75" customHeight="1" x14ac:dyDescent="0.25">
      <c r="A122" s="146" t="s">
        <v>243</v>
      </c>
      <c r="B122" s="146" t="s">
        <v>287</v>
      </c>
    </row>
    <row r="123" spans="1:2" ht="12.75" customHeight="1" x14ac:dyDescent="0.25">
      <c r="A123" s="146" t="s">
        <v>245</v>
      </c>
      <c r="B123" s="146" t="s">
        <v>288</v>
      </c>
    </row>
    <row r="124" spans="1:2" ht="12.75" customHeight="1" x14ac:dyDescent="0.25">
      <c r="A124" s="146" t="s">
        <v>247</v>
      </c>
      <c r="B124" s="146" t="s">
        <v>289</v>
      </c>
    </row>
    <row r="125" spans="1:2" ht="12.75" customHeight="1" x14ac:dyDescent="0.25">
      <c r="A125" s="146" t="s">
        <v>249</v>
      </c>
      <c r="B125" s="146" t="s">
        <v>290</v>
      </c>
    </row>
    <row r="126" spans="1:2" ht="12.75" customHeight="1" x14ac:dyDescent="0.25">
      <c r="A126" s="146" t="s">
        <v>251</v>
      </c>
      <c r="B126" s="146" t="s">
        <v>291</v>
      </c>
    </row>
    <row r="127" spans="1:2" ht="12.75" customHeight="1" x14ac:dyDescent="0.25">
      <c r="A127" s="146" t="s">
        <v>253</v>
      </c>
      <c r="B127" s="146" t="s">
        <v>292</v>
      </c>
    </row>
    <row r="128" spans="1:2" ht="12.75" customHeight="1" x14ac:dyDescent="0.25">
      <c r="A128" s="146" t="s">
        <v>255</v>
      </c>
      <c r="B128" s="146" t="s">
        <v>293</v>
      </c>
    </row>
    <row r="129" spans="1:2" ht="12.75" customHeight="1" x14ac:dyDescent="0.25">
      <c r="A129" s="146" t="s">
        <v>257</v>
      </c>
      <c r="B129" s="146" t="s">
        <v>294</v>
      </c>
    </row>
    <row r="130" spans="1:2" ht="12.75" customHeight="1" x14ac:dyDescent="0.25">
      <c r="A130" s="146" t="s">
        <v>259</v>
      </c>
      <c r="B130" s="146" t="s">
        <v>295</v>
      </c>
    </row>
    <row r="131" spans="1:2" ht="12.75" customHeight="1" x14ac:dyDescent="0.25">
      <c r="A131" s="146" t="s">
        <v>261</v>
      </c>
      <c r="B131" s="146" t="s">
        <v>296</v>
      </c>
    </row>
    <row r="132" spans="1:2" ht="12.75" customHeight="1" x14ac:dyDescent="0.25">
      <c r="A132" s="146" t="s">
        <v>138</v>
      </c>
      <c r="B132" s="146" t="s">
        <v>297</v>
      </c>
    </row>
    <row r="133" spans="1:2" ht="12.75" customHeight="1" x14ac:dyDescent="0.25">
      <c r="A133" s="146" t="s">
        <v>298</v>
      </c>
      <c r="B133" s="146" t="s">
        <v>299</v>
      </c>
    </row>
    <row r="134" spans="1:2" ht="12.75" customHeight="1" x14ac:dyDescent="0.25">
      <c r="A134" s="146" t="s">
        <v>300</v>
      </c>
      <c r="B134" s="146" t="s">
        <v>301</v>
      </c>
    </row>
    <row r="135" spans="1:2" ht="12.75" customHeight="1" x14ac:dyDescent="0.25">
      <c r="A135" s="146" t="s">
        <v>302</v>
      </c>
      <c r="B135" s="146" t="s">
        <v>303</v>
      </c>
    </row>
    <row r="136" spans="1:2" ht="12.75" customHeight="1" x14ac:dyDescent="0.25">
      <c r="A136" s="146" t="s">
        <v>304</v>
      </c>
      <c r="B136" s="146" t="s">
        <v>305</v>
      </c>
    </row>
    <row r="137" spans="1:2" ht="12.75" customHeight="1" x14ac:dyDescent="0.25">
      <c r="A137" s="146" t="s">
        <v>306</v>
      </c>
      <c r="B137" s="146" t="s">
        <v>307</v>
      </c>
    </row>
    <row r="138" spans="1:2" ht="12.75" customHeight="1" x14ac:dyDescent="0.25">
      <c r="A138" s="146" t="s">
        <v>308</v>
      </c>
      <c r="B138" s="146" t="s">
        <v>309</v>
      </c>
    </row>
    <row r="139" spans="1:2" ht="12.75" customHeight="1" x14ac:dyDescent="0.25">
      <c r="A139" s="146" t="s">
        <v>310</v>
      </c>
      <c r="B139" s="146" t="s">
        <v>311</v>
      </c>
    </row>
    <row r="140" spans="1:2" ht="12.75" customHeight="1" x14ac:dyDescent="0.25">
      <c r="A140" s="146" t="s">
        <v>312</v>
      </c>
      <c r="B140" s="146" t="s">
        <v>313</v>
      </c>
    </row>
    <row r="141" spans="1:2" ht="12.75" customHeight="1" x14ac:dyDescent="0.25">
      <c r="A141" s="146" t="s">
        <v>314</v>
      </c>
      <c r="B141" s="146" t="s">
        <v>315</v>
      </c>
    </row>
    <row r="142" spans="1:2" ht="12.75" customHeight="1" x14ac:dyDescent="0.25">
      <c r="A142" s="146" t="s">
        <v>316</v>
      </c>
      <c r="B142" s="146" t="s">
        <v>317</v>
      </c>
    </row>
    <row r="143" spans="1:2" ht="12.75" customHeight="1" x14ac:dyDescent="0.25">
      <c r="A143" s="146" t="s">
        <v>318</v>
      </c>
      <c r="B143" s="146" t="s">
        <v>319</v>
      </c>
    </row>
    <row r="144" spans="1:2" ht="12.75" customHeight="1" x14ac:dyDescent="0.25">
      <c r="A144" s="146" t="s">
        <v>320</v>
      </c>
      <c r="B144" s="146" t="s">
        <v>321</v>
      </c>
    </row>
    <row r="145" spans="1:2" ht="12.75" customHeight="1" x14ac:dyDescent="0.25">
      <c r="A145" s="146" t="s">
        <v>322</v>
      </c>
      <c r="B145" s="146" t="s">
        <v>323</v>
      </c>
    </row>
    <row r="146" spans="1:2" ht="12.75" customHeight="1" x14ac:dyDescent="0.25">
      <c r="A146" s="146" t="s">
        <v>324</v>
      </c>
      <c r="B146" s="146" t="s">
        <v>325</v>
      </c>
    </row>
    <row r="147" spans="1:2" ht="12.75" customHeight="1" x14ac:dyDescent="0.25">
      <c r="A147" s="146" t="s">
        <v>326</v>
      </c>
      <c r="B147" s="146" t="s">
        <v>327</v>
      </c>
    </row>
    <row r="148" spans="1:2" ht="12.75" customHeight="1" x14ac:dyDescent="0.25">
      <c r="A148" s="146" t="s">
        <v>328</v>
      </c>
      <c r="B148" s="146" t="s">
        <v>329</v>
      </c>
    </row>
    <row r="149" spans="1:2" ht="12.75" customHeight="1" x14ac:dyDescent="0.25">
      <c r="A149" s="146" t="s">
        <v>330</v>
      </c>
      <c r="B149" s="146" t="s">
        <v>331</v>
      </c>
    </row>
    <row r="150" spans="1:2" ht="12.75" customHeight="1" x14ac:dyDescent="0.25">
      <c r="A150" s="146" t="s">
        <v>332</v>
      </c>
      <c r="B150" s="146" t="s">
        <v>333</v>
      </c>
    </row>
    <row r="151" spans="1:2" ht="12.75" customHeight="1" x14ac:dyDescent="0.25">
      <c r="A151" s="146" t="s">
        <v>334</v>
      </c>
      <c r="B151" s="146" t="s">
        <v>335</v>
      </c>
    </row>
    <row r="152" spans="1:2" ht="12.75" customHeight="1" x14ac:dyDescent="0.25">
      <c r="A152" s="146" t="s">
        <v>336</v>
      </c>
      <c r="B152" s="146" t="s">
        <v>337</v>
      </c>
    </row>
    <row r="153" spans="1:2" ht="12.75" customHeight="1" x14ac:dyDescent="0.25">
      <c r="A153" s="146" t="s">
        <v>338</v>
      </c>
      <c r="B153" s="146" t="s">
        <v>339</v>
      </c>
    </row>
    <row r="154" spans="1:2" ht="12.75" customHeight="1" x14ac:dyDescent="0.25">
      <c r="A154" s="146" t="s">
        <v>340</v>
      </c>
      <c r="B154" s="146" t="s">
        <v>341</v>
      </c>
    </row>
    <row r="155" spans="1:2" ht="12.75" customHeight="1" x14ac:dyDescent="0.25">
      <c r="A155" s="146" t="s">
        <v>342</v>
      </c>
      <c r="B155" s="146" t="s">
        <v>343</v>
      </c>
    </row>
    <row r="156" spans="1:2" ht="12.75" customHeight="1" x14ac:dyDescent="0.25">
      <c r="A156" s="146" t="s">
        <v>344</v>
      </c>
      <c r="B156" s="146" t="s">
        <v>345</v>
      </c>
    </row>
    <row r="157" spans="1:2" ht="12.75" customHeight="1" x14ac:dyDescent="0.25">
      <c r="A157" s="146" t="s">
        <v>346</v>
      </c>
      <c r="B157" s="146" t="s">
        <v>347</v>
      </c>
    </row>
    <row r="158" spans="1:2" ht="12.75" customHeight="1" x14ac:dyDescent="0.25">
      <c r="A158" s="146" t="s">
        <v>348</v>
      </c>
      <c r="B158" s="146" t="s">
        <v>349</v>
      </c>
    </row>
    <row r="159" spans="1:2" ht="12.75" customHeight="1" x14ac:dyDescent="0.25">
      <c r="A159" s="146" t="s">
        <v>350</v>
      </c>
      <c r="B159" s="146" t="s">
        <v>351</v>
      </c>
    </row>
    <row r="160" spans="1:2" ht="12.75" customHeight="1" x14ac:dyDescent="0.25">
      <c r="A160" s="146" t="s">
        <v>352</v>
      </c>
      <c r="B160" s="146" t="s">
        <v>353</v>
      </c>
    </row>
    <row r="161" spans="1:2" ht="12.75" customHeight="1" x14ac:dyDescent="0.25">
      <c r="A161" s="146" t="s">
        <v>354</v>
      </c>
      <c r="B161" s="146" t="s">
        <v>355</v>
      </c>
    </row>
    <row r="162" spans="1:2" ht="12.75" customHeight="1" x14ac:dyDescent="0.25">
      <c r="A162" s="146" t="s">
        <v>356</v>
      </c>
      <c r="B162" s="146" t="s">
        <v>357</v>
      </c>
    </row>
    <row r="163" spans="1:2" ht="12.75" customHeight="1" x14ac:dyDescent="0.25">
      <c r="A163" s="146" t="s">
        <v>358</v>
      </c>
      <c r="B163" s="146" t="s">
        <v>359</v>
      </c>
    </row>
    <row r="164" spans="1:2" ht="12.75" customHeight="1" x14ac:dyDescent="0.25">
      <c r="A164" s="146" t="s">
        <v>360</v>
      </c>
      <c r="B164" s="146" t="s">
        <v>359</v>
      </c>
    </row>
    <row r="165" spans="1:2" ht="12.75" customHeight="1" x14ac:dyDescent="0.25">
      <c r="A165" s="146" t="s">
        <v>361</v>
      </c>
      <c r="B165" s="146" t="s">
        <v>359</v>
      </c>
    </row>
    <row r="166" spans="1:2" ht="12.75" customHeight="1" x14ac:dyDescent="0.25">
      <c r="A166" s="146" t="s">
        <v>362</v>
      </c>
      <c r="B166" s="146" t="s">
        <v>359</v>
      </c>
    </row>
    <row r="167" spans="1:2" ht="12.75" customHeight="1" x14ac:dyDescent="0.25">
      <c r="A167" s="146" t="s">
        <v>363</v>
      </c>
      <c r="B167" s="146" t="s">
        <v>359</v>
      </c>
    </row>
    <row r="168" spans="1:2" ht="12.75" customHeight="1" x14ac:dyDescent="0.25">
      <c r="A168" s="146" t="s">
        <v>364</v>
      </c>
      <c r="B168" s="146" t="s">
        <v>359</v>
      </c>
    </row>
    <row r="169" spans="1:2" ht="12.75" customHeight="1" x14ac:dyDescent="0.25">
      <c r="A169" s="146" t="s">
        <v>365</v>
      </c>
      <c r="B169" s="146" t="s">
        <v>359</v>
      </c>
    </row>
    <row r="170" spans="1:2" ht="12.75" customHeight="1" x14ac:dyDescent="0.25">
      <c r="A170" s="146" t="s">
        <v>366</v>
      </c>
      <c r="B170" s="146" t="s">
        <v>359</v>
      </c>
    </row>
    <row r="171" spans="1:2" ht="12.75" customHeight="1" x14ac:dyDescent="0.25">
      <c r="A171" s="146" t="s">
        <v>367</v>
      </c>
      <c r="B171" s="146" t="s">
        <v>359</v>
      </c>
    </row>
    <row r="172" spans="1:2" ht="12.75" customHeight="1" x14ac:dyDescent="0.25">
      <c r="A172" s="146" t="s">
        <v>266</v>
      </c>
      <c r="B172" s="146" t="s">
        <v>124</v>
      </c>
    </row>
  </sheetData>
  <pageMargins left="0.75" right="0.75" top="1" bottom="1" header="0.5" footer="0.5"/>
  <pageSetup paperSize="9" orientation="portrait" horizontalDpi="300" verticalDpi="30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0" tint="-0.249977111117893"/>
  </sheetPr>
  <dimension ref="A1:B172"/>
  <sheetViews>
    <sheetView topLeftCell="A39" zoomScaleNormal="100" workbookViewId="0">
      <selection activeCell="B70" sqref="B70"/>
    </sheetView>
  </sheetViews>
  <sheetFormatPr defaultRowHeight="12.75" customHeight="1" x14ac:dyDescent="0.25"/>
  <cols>
    <col min="1" max="16384" width="9.140625" style="146"/>
  </cols>
  <sheetData>
    <row r="1" spans="1:2" ht="12.75" customHeight="1" x14ac:dyDescent="0.25">
      <c r="A1" s="146" t="s">
        <v>103</v>
      </c>
      <c r="B1" s="146" t="s">
        <v>104</v>
      </c>
    </row>
    <row r="2" spans="1:2" ht="12.75" customHeight="1" x14ac:dyDescent="0.25">
      <c r="A2" s="146" t="s">
        <v>105</v>
      </c>
      <c r="B2" s="146" t="s">
        <v>368</v>
      </c>
    </row>
    <row r="3" spans="1:2" ht="12.75" customHeight="1" x14ac:dyDescent="0.25">
      <c r="A3" s="146" t="s">
        <v>107</v>
      </c>
      <c r="B3" s="146" t="s">
        <v>108</v>
      </c>
    </row>
    <row r="4" spans="1:2" ht="12.75" customHeight="1" x14ac:dyDescent="0.25">
      <c r="A4" s="146" t="s">
        <v>109</v>
      </c>
      <c r="B4" s="146" t="s">
        <v>110</v>
      </c>
    </row>
    <row r="5" spans="1:2" ht="12.75" customHeight="1" x14ac:dyDescent="0.25">
      <c r="A5" s="146" t="s">
        <v>111</v>
      </c>
      <c r="B5" s="146" t="s">
        <v>112</v>
      </c>
    </row>
    <row r="6" spans="1:2" ht="12.75" customHeight="1" x14ac:dyDescent="0.25">
      <c r="A6" s="146" t="s">
        <v>113</v>
      </c>
      <c r="B6" s="146" t="s">
        <v>114</v>
      </c>
    </row>
    <row r="7" spans="1:2" ht="12.75" customHeight="1" x14ac:dyDescent="0.25">
      <c r="A7" s="146" t="s">
        <v>115</v>
      </c>
      <c r="B7" s="146" t="s">
        <v>369</v>
      </c>
    </row>
    <row r="8" spans="1:2" ht="12.75" customHeight="1" x14ac:dyDescent="0.25">
      <c r="A8" s="146" t="s">
        <v>117</v>
      </c>
      <c r="B8" s="146" t="s">
        <v>118</v>
      </c>
    </row>
    <row r="9" spans="1:2" ht="12.75" customHeight="1" x14ac:dyDescent="0.25">
      <c r="A9" s="146" t="s">
        <v>119</v>
      </c>
      <c r="B9" s="146" t="s">
        <v>120</v>
      </c>
    </row>
    <row r="10" spans="1:2" ht="12.75" customHeight="1" x14ac:dyDescent="0.25">
      <c r="A10" s="146" t="s">
        <v>121</v>
      </c>
      <c r="B10" s="146" t="s">
        <v>122</v>
      </c>
    </row>
    <row r="12" spans="1:2" ht="12.75" customHeight="1" x14ac:dyDescent="0.25">
      <c r="A12" s="146" t="s">
        <v>123</v>
      </c>
      <c r="B12" s="146" t="s">
        <v>124</v>
      </c>
    </row>
    <row r="13" spans="1:2" ht="12.75" customHeight="1" x14ac:dyDescent="0.25">
      <c r="A13" s="146" t="s">
        <v>115</v>
      </c>
      <c r="B13" s="146" t="s">
        <v>370</v>
      </c>
    </row>
    <row r="14" spans="1:2" ht="12.75" customHeight="1" x14ac:dyDescent="0.25">
      <c r="A14" s="146" t="s">
        <v>126</v>
      </c>
      <c r="B14" s="146" t="s">
        <v>127</v>
      </c>
    </row>
    <row r="15" spans="1:2" ht="12.75" customHeight="1" x14ac:dyDescent="0.25">
      <c r="A15" s="146" t="s">
        <v>128</v>
      </c>
      <c r="B15" s="146" t="s">
        <v>129</v>
      </c>
    </row>
    <row r="16" spans="1:2" ht="12.75" customHeight="1" x14ac:dyDescent="0.25">
      <c r="A16" s="146" t="s">
        <v>130</v>
      </c>
      <c r="B16" s="146" t="s">
        <v>131</v>
      </c>
    </row>
    <row r="17" spans="1:2" ht="12.75" customHeight="1" x14ac:dyDescent="0.25">
      <c r="A17" s="146" t="s">
        <v>132</v>
      </c>
      <c r="B17" s="146" t="s">
        <v>82</v>
      </c>
    </row>
    <row r="18" spans="1:2" ht="12.75" customHeight="1" x14ac:dyDescent="0.25">
      <c r="A18" s="146" t="s">
        <v>133</v>
      </c>
      <c r="B18" s="146" t="s">
        <v>82</v>
      </c>
    </row>
    <row r="19" spans="1:2" ht="12.75" customHeight="1" x14ac:dyDescent="0.25">
      <c r="A19" s="146" t="s">
        <v>134</v>
      </c>
      <c r="B19" s="146" t="s">
        <v>82</v>
      </c>
    </row>
    <row r="20" spans="1:2" ht="12.75" customHeight="1" x14ac:dyDescent="0.25">
      <c r="A20" s="146" t="s">
        <v>135</v>
      </c>
      <c r="B20" s="146" t="s">
        <v>136</v>
      </c>
    </row>
    <row r="21" spans="1:2" ht="12.75" customHeight="1" x14ac:dyDescent="0.25">
      <c r="A21" s="146" t="s">
        <v>137</v>
      </c>
      <c r="B21" s="146" t="s">
        <v>138</v>
      </c>
    </row>
    <row r="22" spans="1:2" ht="12.75" customHeight="1" x14ac:dyDescent="0.25">
      <c r="A22" s="146" t="s">
        <v>139</v>
      </c>
      <c r="B22" s="146" t="s">
        <v>124</v>
      </c>
    </row>
    <row r="24" spans="1:2" ht="12.75" customHeight="1" x14ac:dyDescent="0.25">
      <c r="A24" s="146" t="s">
        <v>140</v>
      </c>
      <c r="B24" s="146" t="s">
        <v>124</v>
      </c>
    </row>
    <row r="25" spans="1:2" ht="12.75" customHeight="1" x14ac:dyDescent="0.25">
      <c r="A25" s="146" t="s">
        <v>136</v>
      </c>
      <c r="B25" s="146" t="s">
        <v>371</v>
      </c>
    </row>
    <row r="26" spans="1:2" ht="12.75" customHeight="1" x14ac:dyDescent="0.25">
      <c r="A26" s="146" t="s">
        <v>142</v>
      </c>
      <c r="B26" s="146" t="s">
        <v>372</v>
      </c>
    </row>
    <row r="27" spans="1:2" ht="12.75" customHeight="1" x14ac:dyDescent="0.25">
      <c r="A27" s="146" t="s">
        <v>144</v>
      </c>
      <c r="B27" s="146" t="s">
        <v>372</v>
      </c>
    </row>
    <row r="28" spans="1:2" ht="12.75" customHeight="1" x14ac:dyDescent="0.25">
      <c r="A28" s="146" t="s">
        <v>146</v>
      </c>
      <c r="B28" s="146" t="s">
        <v>372</v>
      </c>
    </row>
    <row r="29" spans="1:2" ht="12.75" customHeight="1" x14ac:dyDescent="0.25">
      <c r="A29" s="146" t="s">
        <v>148</v>
      </c>
      <c r="B29" s="146" t="s">
        <v>372</v>
      </c>
    </row>
    <row r="30" spans="1:2" ht="12.75" customHeight="1" x14ac:dyDescent="0.25">
      <c r="A30" s="146" t="s">
        <v>150</v>
      </c>
      <c r="B30" s="146" t="s">
        <v>373</v>
      </c>
    </row>
    <row r="31" spans="1:2" ht="12.75" customHeight="1" x14ac:dyDescent="0.25">
      <c r="A31" s="146" t="s">
        <v>152</v>
      </c>
      <c r="B31" s="146" t="s">
        <v>374</v>
      </c>
    </row>
    <row r="32" spans="1:2" ht="12.75" customHeight="1" x14ac:dyDescent="0.25">
      <c r="A32" s="146" t="s">
        <v>154</v>
      </c>
      <c r="B32" s="146" t="s">
        <v>375</v>
      </c>
    </row>
    <row r="33" spans="1:2" ht="12.75" customHeight="1" x14ac:dyDescent="0.25">
      <c r="A33" s="146" t="s">
        <v>156</v>
      </c>
      <c r="B33" s="146" t="s">
        <v>376</v>
      </c>
    </row>
    <row r="34" spans="1:2" ht="12.75" customHeight="1" x14ac:dyDescent="0.25">
      <c r="A34" s="146" t="s">
        <v>158</v>
      </c>
      <c r="B34" s="146" t="s">
        <v>377</v>
      </c>
    </row>
    <row r="35" spans="1:2" ht="12.75" customHeight="1" x14ac:dyDescent="0.25">
      <c r="A35" s="146" t="s">
        <v>159</v>
      </c>
      <c r="B35" s="146" t="s">
        <v>378</v>
      </c>
    </row>
    <row r="36" spans="1:2" ht="12.75" customHeight="1" x14ac:dyDescent="0.25">
      <c r="A36" s="146" t="s">
        <v>161</v>
      </c>
      <c r="B36" s="146" t="s">
        <v>379</v>
      </c>
    </row>
    <row r="37" spans="1:2" ht="12.75" customHeight="1" x14ac:dyDescent="0.25">
      <c r="A37" s="146" t="s">
        <v>163</v>
      </c>
      <c r="B37" s="146" t="s">
        <v>380</v>
      </c>
    </row>
    <row r="38" spans="1:2" ht="12.75" customHeight="1" x14ac:dyDescent="0.25">
      <c r="A38" s="146" t="s">
        <v>165</v>
      </c>
      <c r="B38" s="146" t="s">
        <v>381</v>
      </c>
    </row>
    <row r="39" spans="1:2" ht="12.75" customHeight="1" x14ac:dyDescent="0.25">
      <c r="A39" s="146" t="s">
        <v>167</v>
      </c>
      <c r="B39" s="146" t="s">
        <v>382</v>
      </c>
    </row>
    <row r="40" spans="1:2" ht="12.75" customHeight="1" x14ac:dyDescent="0.25">
      <c r="A40" s="146" t="s">
        <v>169</v>
      </c>
      <c r="B40" s="146" t="s">
        <v>383</v>
      </c>
    </row>
    <row r="41" spans="1:2" ht="12.75" customHeight="1" x14ac:dyDescent="0.25">
      <c r="A41" s="146" t="s">
        <v>171</v>
      </c>
      <c r="B41" s="146" t="s">
        <v>141</v>
      </c>
    </row>
    <row r="42" spans="1:2" ht="12.75" customHeight="1" x14ac:dyDescent="0.25">
      <c r="A42" s="146" t="s">
        <v>173</v>
      </c>
      <c r="B42" s="146" t="s">
        <v>384</v>
      </c>
    </row>
    <row r="43" spans="1:2" ht="12.75" customHeight="1" x14ac:dyDescent="0.25">
      <c r="A43" s="146" t="s">
        <v>175</v>
      </c>
      <c r="B43" s="146" t="s">
        <v>385</v>
      </c>
    </row>
    <row r="44" spans="1:2" ht="12.75" customHeight="1" x14ac:dyDescent="0.25">
      <c r="A44" s="146" t="s">
        <v>177</v>
      </c>
      <c r="B44" s="146" t="s">
        <v>386</v>
      </c>
    </row>
    <row r="45" spans="1:2" ht="12.75" customHeight="1" x14ac:dyDescent="0.25">
      <c r="A45" s="146" t="s">
        <v>179</v>
      </c>
      <c r="B45" s="146" t="s">
        <v>387</v>
      </c>
    </row>
    <row r="46" spans="1:2" ht="12.75" customHeight="1" x14ac:dyDescent="0.25">
      <c r="A46" s="146" t="s">
        <v>181</v>
      </c>
      <c r="B46" s="146" t="s">
        <v>388</v>
      </c>
    </row>
    <row r="47" spans="1:2" ht="12.75" customHeight="1" x14ac:dyDescent="0.25">
      <c r="A47" s="146" t="s">
        <v>183</v>
      </c>
      <c r="B47" s="146" t="s">
        <v>389</v>
      </c>
    </row>
    <row r="48" spans="1:2" ht="12.75" customHeight="1" x14ac:dyDescent="0.25">
      <c r="A48" s="146" t="s">
        <v>185</v>
      </c>
      <c r="B48" s="146" t="s">
        <v>390</v>
      </c>
    </row>
    <row r="49" spans="1:2" ht="12.75" customHeight="1" x14ac:dyDescent="0.25">
      <c r="A49" s="146" t="s">
        <v>187</v>
      </c>
      <c r="B49" s="146" t="s">
        <v>391</v>
      </c>
    </row>
    <row r="50" spans="1:2" ht="12.75" customHeight="1" x14ac:dyDescent="0.25">
      <c r="A50" s="146" t="s">
        <v>189</v>
      </c>
      <c r="B50" s="146" t="s">
        <v>392</v>
      </c>
    </row>
    <row r="51" spans="1:2" ht="12.75" customHeight="1" x14ac:dyDescent="0.25">
      <c r="A51" s="146" t="s">
        <v>191</v>
      </c>
      <c r="B51" s="146" t="s">
        <v>393</v>
      </c>
    </row>
    <row r="52" spans="1:2" ht="12.75" customHeight="1" x14ac:dyDescent="0.25">
      <c r="A52" s="146" t="s">
        <v>193</v>
      </c>
      <c r="B52" s="146" t="s">
        <v>394</v>
      </c>
    </row>
    <row r="53" spans="1:2" ht="12.75" customHeight="1" x14ac:dyDescent="0.25">
      <c r="A53" s="146" t="s">
        <v>195</v>
      </c>
      <c r="B53" s="146" t="s">
        <v>395</v>
      </c>
    </row>
    <row r="54" spans="1:2" ht="12.75" customHeight="1" x14ac:dyDescent="0.25">
      <c r="A54" s="146" t="s">
        <v>197</v>
      </c>
      <c r="B54" s="146" t="s">
        <v>396</v>
      </c>
    </row>
    <row r="55" spans="1:2" ht="12.75" customHeight="1" x14ac:dyDescent="0.25">
      <c r="A55" s="146" t="s">
        <v>199</v>
      </c>
      <c r="B55" s="146" t="s">
        <v>397</v>
      </c>
    </row>
    <row r="56" spans="1:2" ht="12.75" customHeight="1" x14ac:dyDescent="0.25">
      <c r="A56" s="146" t="s">
        <v>201</v>
      </c>
      <c r="B56" s="146" t="s">
        <v>398</v>
      </c>
    </row>
    <row r="57" spans="1:2" ht="12.75" customHeight="1" x14ac:dyDescent="0.25">
      <c r="A57" s="146" t="s">
        <v>203</v>
      </c>
      <c r="B57" s="146" t="s">
        <v>399</v>
      </c>
    </row>
    <row r="58" spans="1:2" ht="12.75" customHeight="1" x14ac:dyDescent="0.25">
      <c r="A58" s="146" t="s">
        <v>205</v>
      </c>
      <c r="B58" s="146" t="s">
        <v>400</v>
      </c>
    </row>
    <row r="59" spans="1:2" ht="12.75" customHeight="1" x14ac:dyDescent="0.25">
      <c r="A59" s="146" t="s">
        <v>207</v>
      </c>
      <c r="B59" s="146" t="s">
        <v>401</v>
      </c>
    </row>
    <row r="60" spans="1:2" ht="12.75" customHeight="1" x14ac:dyDescent="0.25">
      <c r="A60" s="146" t="s">
        <v>209</v>
      </c>
      <c r="B60" s="146" t="s">
        <v>402</v>
      </c>
    </row>
    <row r="61" spans="1:2" ht="12.75" customHeight="1" x14ac:dyDescent="0.25">
      <c r="A61" s="146" t="s">
        <v>211</v>
      </c>
      <c r="B61" s="146" t="s">
        <v>403</v>
      </c>
    </row>
    <row r="62" spans="1:2" ht="12.75" customHeight="1" x14ac:dyDescent="0.25">
      <c r="A62" s="146" t="s">
        <v>213</v>
      </c>
      <c r="B62" s="146" t="s">
        <v>404</v>
      </c>
    </row>
    <row r="63" spans="1:2" ht="12.75" customHeight="1" x14ac:dyDescent="0.25">
      <c r="A63" s="146" t="s">
        <v>215</v>
      </c>
      <c r="B63" s="146" t="s">
        <v>405</v>
      </c>
    </row>
    <row r="64" spans="1:2" ht="12.75" customHeight="1" x14ac:dyDescent="0.25">
      <c r="A64" s="146" t="s">
        <v>217</v>
      </c>
      <c r="B64" s="146" t="s">
        <v>406</v>
      </c>
    </row>
    <row r="65" spans="1:2" ht="12.75" customHeight="1" x14ac:dyDescent="0.25">
      <c r="A65" s="146" t="s">
        <v>219</v>
      </c>
      <c r="B65" s="146" t="s">
        <v>407</v>
      </c>
    </row>
    <row r="66" spans="1:2" ht="12.75" customHeight="1" x14ac:dyDescent="0.25">
      <c r="A66" s="146" t="s">
        <v>221</v>
      </c>
      <c r="B66" s="146" t="s">
        <v>408</v>
      </c>
    </row>
    <row r="67" spans="1:2" ht="12.75" customHeight="1" x14ac:dyDescent="0.25">
      <c r="A67" s="146" t="s">
        <v>223</v>
      </c>
      <c r="B67" s="146" t="s">
        <v>409</v>
      </c>
    </row>
    <row r="68" spans="1:2" ht="12.75" customHeight="1" x14ac:dyDescent="0.25">
      <c r="A68" s="146" t="s">
        <v>225</v>
      </c>
      <c r="B68" s="146" t="s">
        <v>410</v>
      </c>
    </row>
    <row r="69" spans="1:2" ht="12.75" customHeight="1" x14ac:dyDescent="0.25">
      <c r="A69" s="146" t="s">
        <v>227</v>
      </c>
      <c r="B69" s="146" t="s">
        <v>411</v>
      </c>
    </row>
    <row r="70" spans="1:2" ht="12.75" customHeight="1" x14ac:dyDescent="0.25">
      <c r="A70" s="146" t="s">
        <v>229</v>
      </c>
      <c r="B70" s="146" t="s">
        <v>412</v>
      </c>
    </row>
    <row r="71" spans="1:2" ht="12.75" customHeight="1" x14ac:dyDescent="0.25">
      <c r="A71" s="146" t="s">
        <v>231</v>
      </c>
      <c r="B71" s="146" t="s">
        <v>413</v>
      </c>
    </row>
    <row r="72" spans="1:2" ht="12.75" customHeight="1" x14ac:dyDescent="0.25">
      <c r="A72" s="146" t="s">
        <v>233</v>
      </c>
      <c r="B72" s="146" t="s">
        <v>414</v>
      </c>
    </row>
    <row r="73" spans="1:2" ht="12.75" customHeight="1" x14ac:dyDescent="0.25">
      <c r="A73" s="146" t="s">
        <v>235</v>
      </c>
      <c r="B73" s="146" t="s">
        <v>415</v>
      </c>
    </row>
    <row r="74" spans="1:2" ht="12.75" customHeight="1" x14ac:dyDescent="0.25">
      <c r="A74" s="146" t="s">
        <v>237</v>
      </c>
      <c r="B74" s="146" t="s">
        <v>416</v>
      </c>
    </row>
    <row r="75" spans="1:2" ht="12.75" customHeight="1" x14ac:dyDescent="0.25">
      <c r="A75" s="146" t="s">
        <v>239</v>
      </c>
      <c r="B75" s="146" t="s">
        <v>417</v>
      </c>
    </row>
    <row r="76" spans="1:2" ht="12.75" customHeight="1" x14ac:dyDescent="0.25">
      <c r="A76" s="146" t="s">
        <v>241</v>
      </c>
      <c r="B76" s="146" t="s">
        <v>418</v>
      </c>
    </row>
    <row r="77" spans="1:2" ht="12.75" customHeight="1" x14ac:dyDescent="0.25">
      <c r="A77" s="146" t="s">
        <v>243</v>
      </c>
      <c r="B77" s="146" t="s">
        <v>419</v>
      </c>
    </row>
    <row r="78" spans="1:2" ht="12.75" customHeight="1" x14ac:dyDescent="0.25">
      <c r="A78" s="146" t="s">
        <v>245</v>
      </c>
      <c r="B78" s="146" t="s">
        <v>420</v>
      </c>
    </row>
    <row r="79" spans="1:2" ht="12.75" customHeight="1" x14ac:dyDescent="0.25">
      <c r="A79" s="146" t="s">
        <v>247</v>
      </c>
      <c r="B79" s="146" t="s">
        <v>421</v>
      </c>
    </row>
    <row r="80" spans="1:2" ht="12.75" customHeight="1" x14ac:dyDescent="0.25">
      <c r="A80" s="146" t="s">
        <v>249</v>
      </c>
      <c r="B80" s="146" t="s">
        <v>422</v>
      </c>
    </row>
    <row r="81" spans="1:2" ht="12.75" customHeight="1" x14ac:dyDescent="0.25">
      <c r="A81" s="146" t="s">
        <v>251</v>
      </c>
      <c r="B81" s="146" t="s">
        <v>423</v>
      </c>
    </row>
    <row r="82" spans="1:2" ht="12.75" customHeight="1" x14ac:dyDescent="0.25">
      <c r="A82" s="146" t="s">
        <v>253</v>
      </c>
      <c r="B82" s="146" t="s">
        <v>424</v>
      </c>
    </row>
    <row r="83" spans="1:2" ht="12.75" customHeight="1" x14ac:dyDescent="0.25">
      <c r="A83" s="146" t="s">
        <v>255</v>
      </c>
      <c r="B83" s="146" t="s">
        <v>425</v>
      </c>
    </row>
    <row r="84" spans="1:2" ht="12.75" customHeight="1" x14ac:dyDescent="0.25">
      <c r="A84" s="146" t="s">
        <v>257</v>
      </c>
      <c r="B84" s="146" t="s">
        <v>426</v>
      </c>
    </row>
    <row r="85" spans="1:2" ht="12.75" customHeight="1" x14ac:dyDescent="0.25">
      <c r="A85" s="146" t="s">
        <v>259</v>
      </c>
      <c r="B85" s="146" t="s">
        <v>427</v>
      </c>
    </row>
    <row r="86" spans="1:2" ht="12.75" customHeight="1" x14ac:dyDescent="0.25">
      <c r="A86" s="146" t="s">
        <v>261</v>
      </c>
      <c r="B86" s="146" t="s">
        <v>428</v>
      </c>
    </row>
    <row r="87" spans="1:2" ht="12.75" customHeight="1" x14ac:dyDescent="0.25">
      <c r="A87" s="146" t="s">
        <v>138</v>
      </c>
      <c r="B87" s="146" t="s">
        <v>429</v>
      </c>
    </row>
    <row r="89" spans="1:2" ht="12.75" customHeight="1" x14ac:dyDescent="0.25">
      <c r="A89" s="146" t="s">
        <v>123</v>
      </c>
      <c r="B89" s="146" t="s">
        <v>264</v>
      </c>
    </row>
    <row r="90" spans="1:2" ht="12.75" customHeight="1" x14ac:dyDescent="0.25">
      <c r="A90" s="146" t="s">
        <v>115</v>
      </c>
      <c r="B90" s="146" t="s">
        <v>430</v>
      </c>
    </row>
    <row r="91" spans="1:2" ht="12.75" customHeight="1" x14ac:dyDescent="0.25">
      <c r="A91" s="146" t="s">
        <v>126</v>
      </c>
      <c r="B91" s="146" t="s">
        <v>127</v>
      </c>
    </row>
    <row r="92" spans="1:2" ht="12.75" customHeight="1" x14ac:dyDescent="0.25">
      <c r="A92" s="146" t="s">
        <v>128</v>
      </c>
      <c r="B92" s="146" t="s">
        <v>129</v>
      </c>
    </row>
    <row r="93" spans="1:2" ht="12.75" customHeight="1" x14ac:dyDescent="0.25">
      <c r="A93" s="146" t="s">
        <v>130</v>
      </c>
      <c r="B93" s="146" t="s">
        <v>131</v>
      </c>
    </row>
    <row r="94" spans="1:2" ht="12.75" customHeight="1" x14ac:dyDescent="0.25">
      <c r="A94" s="146" t="s">
        <v>132</v>
      </c>
      <c r="B94" s="146" t="s">
        <v>82</v>
      </c>
    </row>
    <row r="95" spans="1:2" ht="12.75" customHeight="1" x14ac:dyDescent="0.25">
      <c r="A95" s="146" t="s">
        <v>133</v>
      </c>
      <c r="B95" s="146" t="s">
        <v>82</v>
      </c>
    </row>
    <row r="96" spans="1:2" ht="12.75" customHeight="1" x14ac:dyDescent="0.25">
      <c r="A96" s="146" t="s">
        <v>134</v>
      </c>
      <c r="B96" s="146" t="s">
        <v>82</v>
      </c>
    </row>
    <row r="97" spans="1:2" ht="12.75" customHeight="1" x14ac:dyDescent="0.25">
      <c r="A97" s="146" t="s">
        <v>135</v>
      </c>
      <c r="B97" s="146" t="s">
        <v>203</v>
      </c>
    </row>
    <row r="98" spans="1:2" ht="12.75" customHeight="1" x14ac:dyDescent="0.25">
      <c r="A98" s="146" t="s">
        <v>137</v>
      </c>
      <c r="B98" s="146" t="s">
        <v>266</v>
      </c>
    </row>
    <row r="99" spans="1:2" ht="12.75" customHeight="1" x14ac:dyDescent="0.25">
      <c r="A99" s="146" t="s">
        <v>139</v>
      </c>
      <c r="B99" s="146" t="s">
        <v>124</v>
      </c>
    </row>
    <row r="101" spans="1:2" ht="12.75" customHeight="1" x14ac:dyDescent="0.25">
      <c r="A101" s="146" t="s">
        <v>140</v>
      </c>
      <c r="B101" s="146" t="s">
        <v>124</v>
      </c>
    </row>
    <row r="102" spans="1:2" ht="12.75" customHeight="1" x14ac:dyDescent="0.25">
      <c r="A102" s="146" t="s">
        <v>203</v>
      </c>
      <c r="B102" s="146" t="s">
        <v>431</v>
      </c>
    </row>
    <row r="103" spans="1:2" ht="12.75" customHeight="1" x14ac:dyDescent="0.25">
      <c r="A103" s="146" t="s">
        <v>205</v>
      </c>
      <c r="B103" s="146" t="s">
        <v>432</v>
      </c>
    </row>
    <row r="104" spans="1:2" ht="12.75" customHeight="1" x14ac:dyDescent="0.25">
      <c r="A104" s="146" t="s">
        <v>207</v>
      </c>
      <c r="B104" s="146" t="s">
        <v>433</v>
      </c>
    </row>
    <row r="105" spans="1:2" ht="12.75" customHeight="1" x14ac:dyDescent="0.25">
      <c r="A105" s="146" t="s">
        <v>209</v>
      </c>
      <c r="B105" s="146" t="s">
        <v>434</v>
      </c>
    </row>
    <row r="106" spans="1:2" ht="12.75" customHeight="1" x14ac:dyDescent="0.25">
      <c r="A106" s="146" t="s">
        <v>211</v>
      </c>
      <c r="B106" s="146" t="s">
        <v>435</v>
      </c>
    </row>
    <row r="107" spans="1:2" ht="12.75" customHeight="1" x14ac:dyDescent="0.25">
      <c r="A107" s="146" t="s">
        <v>213</v>
      </c>
      <c r="B107" s="146" t="s">
        <v>436</v>
      </c>
    </row>
    <row r="108" spans="1:2" ht="12.75" customHeight="1" x14ac:dyDescent="0.25">
      <c r="A108" s="146" t="s">
        <v>215</v>
      </c>
      <c r="B108" s="146" t="s">
        <v>437</v>
      </c>
    </row>
    <row r="109" spans="1:2" ht="12.75" customHeight="1" x14ac:dyDescent="0.25">
      <c r="A109" s="146" t="s">
        <v>217</v>
      </c>
      <c r="B109" s="146" t="s">
        <v>438</v>
      </c>
    </row>
    <row r="110" spans="1:2" ht="12.75" customHeight="1" x14ac:dyDescent="0.25">
      <c r="A110" s="146" t="s">
        <v>219</v>
      </c>
      <c r="B110" s="146" t="s">
        <v>439</v>
      </c>
    </row>
    <row r="111" spans="1:2" ht="12.75" customHeight="1" x14ac:dyDescent="0.25">
      <c r="A111" s="146" t="s">
        <v>221</v>
      </c>
      <c r="B111" s="146" t="s">
        <v>440</v>
      </c>
    </row>
    <row r="112" spans="1:2" ht="12.75" customHeight="1" x14ac:dyDescent="0.25">
      <c r="A112" s="146" t="s">
        <v>223</v>
      </c>
      <c r="B112" s="146" t="s">
        <v>441</v>
      </c>
    </row>
    <row r="113" spans="1:2" ht="12.75" customHeight="1" x14ac:dyDescent="0.25">
      <c r="A113" s="146" t="s">
        <v>225</v>
      </c>
      <c r="B113" s="146" t="s">
        <v>442</v>
      </c>
    </row>
    <row r="114" spans="1:2" ht="12.75" customHeight="1" x14ac:dyDescent="0.25">
      <c r="A114" s="146" t="s">
        <v>227</v>
      </c>
      <c r="B114" s="146" t="s">
        <v>443</v>
      </c>
    </row>
    <row r="115" spans="1:2" ht="12.75" customHeight="1" x14ac:dyDescent="0.25">
      <c r="A115" s="146" t="s">
        <v>229</v>
      </c>
      <c r="B115" s="146" t="s">
        <v>444</v>
      </c>
    </row>
    <row r="116" spans="1:2" ht="12.75" customHeight="1" x14ac:dyDescent="0.25">
      <c r="A116" s="146" t="s">
        <v>231</v>
      </c>
      <c r="B116" s="146" t="s">
        <v>445</v>
      </c>
    </row>
    <row r="117" spans="1:2" ht="12.75" customHeight="1" x14ac:dyDescent="0.25">
      <c r="A117" s="146" t="s">
        <v>233</v>
      </c>
      <c r="B117" s="146" t="s">
        <v>446</v>
      </c>
    </row>
    <row r="118" spans="1:2" ht="12.75" customHeight="1" x14ac:dyDescent="0.25">
      <c r="A118" s="146" t="s">
        <v>235</v>
      </c>
      <c r="B118" s="146" t="s">
        <v>447</v>
      </c>
    </row>
    <row r="119" spans="1:2" ht="12.75" customHeight="1" x14ac:dyDescent="0.25">
      <c r="A119" s="146" t="s">
        <v>237</v>
      </c>
      <c r="B119" s="146" t="s">
        <v>448</v>
      </c>
    </row>
    <row r="120" spans="1:2" ht="12.75" customHeight="1" x14ac:dyDescent="0.25">
      <c r="A120" s="146" t="s">
        <v>239</v>
      </c>
      <c r="B120" s="146" t="s">
        <v>449</v>
      </c>
    </row>
    <row r="121" spans="1:2" ht="12.75" customHeight="1" x14ac:dyDescent="0.25">
      <c r="A121" s="146" t="s">
        <v>241</v>
      </c>
      <c r="B121" s="146" t="s">
        <v>450</v>
      </c>
    </row>
    <row r="122" spans="1:2" ht="12.75" customHeight="1" x14ac:dyDescent="0.25">
      <c r="A122" s="146" t="s">
        <v>243</v>
      </c>
      <c r="B122" s="146" t="s">
        <v>451</v>
      </c>
    </row>
    <row r="123" spans="1:2" ht="12.75" customHeight="1" x14ac:dyDescent="0.25">
      <c r="A123" s="146" t="s">
        <v>245</v>
      </c>
      <c r="B123" s="146" t="s">
        <v>452</v>
      </c>
    </row>
    <row r="124" spans="1:2" ht="12.75" customHeight="1" x14ac:dyDescent="0.25">
      <c r="A124" s="146" t="s">
        <v>247</v>
      </c>
      <c r="B124" s="146" t="s">
        <v>453</v>
      </c>
    </row>
    <row r="125" spans="1:2" ht="12.75" customHeight="1" x14ac:dyDescent="0.25">
      <c r="A125" s="146" t="s">
        <v>249</v>
      </c>
      <c r="B125" s="146" t="s">
        <v>454</v>
      </c>
    </row>
    <row r="126" spans="1:2" ht="12.75" customHeight="1" x14ac:dyDescent="0.25">
      <c r="A126" s="146" t="s">
        <v>251</v>
      </c>
      <c r="B126" s="146" t="s">
        <v>455</v>
      </c>
    </row>
    <row r="127" spans="1:2" ht="12.75" customHeight="1" x14ac:dyDescent="0.25">
      <c r="A127" s="146" t="s">
        <v>253</v>
      </c>
      <c r="B127" s="146" t="s">
        <v>456</v>
      </c>
    </row>
    <row r="128" spans="1:2" ht="12.75" customHeight="1" x14ac:dyDescent="0.25">
      <c r="A128" s="146" t="s">
        <v>255</v>
      </c>
      <c r="B128" s="146" t="s">
        <v>457</v>
      </c>
    </row>
    <row r="129" spans="1:2" ht="12.75" customHeight="1" x14ac:dyDescent="0.25">
      <c r="A129" s="146" t="s">
        <v>257</v>
      </c>
      <c r="B129" s="146" t="s">
        <v>458</v>
      </c>
    </row>
    <row r="130" spans="1:2" ht="12.75" customHeight="1" x14ac:dyDescent="0.25">
      <c r="A130" s="146" t="s">
        <v>259</v>
      </c>
      <c r="B130" s="146" t="s">
        <v>459</v>
      </c>
    </row>
    <row r="131" spans="1:2" ht="12.75" customHeight="1" x14ac:dyDescent="0.25">
      <c r="A131" s="146" t="s">
        <v>261</v>
      </c>
      <c r="B131" s="146" t="s">
        <v>460</v>
      </c>
    </row>
    <row r="132" spans="1:2" ht="12.75" customHeight="1" x14ac:dyDescent="0.25">
      <c r="A132" s="146" t="s">
        <v>138</v>
      </c>
      <c r="B132" s="146" t="s">
        <v>461</v>
      </c>
    </row>
    <row r="133" spans="1:2" ht="12.75" customHeight="1" x14ac:dyDescent="0.25">
      <c r="A133" s="146" t="s">
        <v>298</v>
      </c>
      <c r="B133" s="146" t="s">
        <v>462</v>
      </c>
    </row>
    <row r="134" spans="1:2" ht="12.75" customHeight="1" x14ac:dyDescent="0.25">
      <c r="A134" s="146" t="s">
        <v>300</v>
      </c>
      <c r="B134" s="146" t="s">
        <v>463</v>
      </c>
    </row>
    <row r="135" spans="1:2" ht="12.75" customHeight="1" x14ac:dyDescent="0.25">
      <c r="A135" s="146" t="s">
        <v>302</v>
      </c>
      <c r="B135" s="146" t="s">
        <v>464</v>
      </c>
    </row>
    <row r="136" spans="1:2" ht="12.75" customHeight="1" x14ac:dyDescent="0.25">
      <c r="A136" s="146" t="s">
        <v>304</v>
      </c>
      <c r="B136" s="146" t="s">
        <v>465</v>
      </c>
    </row>
    <row r="137" spans="1:2" ht="12.75" customHeight="1" x14ac:dyDescent="0.25">
      <c r="A137" s="146" t="s">
        <v>306</v>
      </c>
      <c r="B137" s="146" t="s">
        <v>466</v>
      </c>
    </row>
    <row r="138" spans="1:2" ht="12.75" customHeight="1" x14ac:dyDescent="0.25">
      <c r="A138" s="146" t="s">
        <v>308</v>
      </c>
      <c r="B138" s="146" t="s">
        <v>467</v>
      </c>
    </row>
    <row r="139" spans="1:2" ht="12.75" customHeight="1" x14ac:dyDescent="0.25">
      <c r="A139" s="146" t="s">
        <v>310</v>
      </c>
      <c r="B139" s="146" t="s">
        <v>468</v>
      </c>
    </row>
    <row r="140" spans="1:2" ht="12.75" customHeight="1" x14ac:dyDescent="0.25">
      <c r="A140" s="146" t="s">
        <v>312</v>
      </c>
      <c r="B140" s="146" t="s">
        <v>469</v>
      </c>
    </row>
    <row r="141" spans="1:2" ht="12.75" customHeight="1" x14ac:dyDescent="0.25">
      <c r="A141" s="146" t="s">
        <v>314</v>
      </c>
      <c r="B141" s="146" t="s">
        <v>470</v>
      </c>
    </row>
    <row r="142" spans="1:2" ht="12.75" customHeight="1" x14ac:dyDescent="0.25">
      <c r="A142" s="146" t="s">
        <v>316</v>
      </c>
      <c r="B142" s="146" t="s">
        <v>471</v>
      </c>
    </row>
    <row r="143" spans="1:2" ht="12.75" customHeight="1" x14ac:dyDescent="0.25">
      <c r="A143" s="146" t="s">
        <v>318</v>
      </c>
      <c r="B143" s="146" t="s">
        <v>472</v>
      </c>
    </row>
    <row r="144" spans="1:2" ht="12.75" customHeight="1" x14ac:dyDescent="0.25">
      <c r="A144" s="146" t="s">
        <v>320</v>
      </c>
      <c r="B144" s="146" t="s">
        <v>473</v>
      </c>
    </row>
    <row r="145" spans="1:2" ht="12.75" customHeight="1" x14ac:dyDescent="0.25">
      <c r="A145" s="146" t="s">
        <v>322</v>
      </c>
      <c r="B145" s="146" t="s">
        <v>474</v>
      </c>
    </row>
    <row r="146" spans="1:2" ht="12.75" customHeight="1" x14ac:dyDescent="0.25">
      <c r="A146" s="146" t="s">
        <v>324</v>
      </c>
      <c r="B146" s="146" t="s">
        <v>475</v>
      </c>
    </row>
    <row r="147" spans="1:2" ht="12.75" customHeight="1" x14ac:dyDescent="0.25">
      <c r="A147" s="146" t="s">
        <v>326</v>
      </c>
      <c r="B147" s="146" t="s">
        <v>476</v>
      </c>
    </row>
    <row r="148" spans="1:2" ht="12.75" customHeight="1" x14ac:dyDescent="0.25">
      <c r="A148" s="146" t="s">
        <v>328</v>
      </c>
      <c r="B148" s="146" t="s">
        <v>477</v>
      </c>
    </row>
    <row r="149" spans="1:2" ht="12.75" customHeight="1" x14ac:dyDescent="0.25">
      <c r="A149" s="146" t="s">
        <v>330</v>
      </c>
      <c r="B149" s="146" t="s">
        <v>478</v>
      </c>
    </row>
    <row r="150" spans="1:2" ht="12.75" customHeight="1" x14ac:dyDescent="0.25">
      <c r="A150" s="146" t="s">
        <v>332</v>
      </c>
      <c r="B150" s="146" t="s">
        <v>479</v>
      </c>
    </row>
    <row r="151" spans="1:2" ht="12.75" customHeight="1" x14ac:dyDescent="0.25">
      <c r="A151" s="146" t="s">
        <v>334</v>
      </c>
      <c r="B151" s="146" t="s">
        <v>480</v>
      </c>
    </row>
    <row r="152" spans="1:2" ht="12.75" customHeight="1" x14ac:dyDescent="0.25">
      <c r="A152" s="146" t="s">
        <v>336</v>
      </c>
      <c r="B152" s="146" t="s">
        <v>481</v>
      </c>
    </row>
    <row r="153" spans="1:2" ht="12.75" customHeight="1" x14ac:dyDescent="0.25">
      <c r="A153" s="146" t="s">
        <v>338</v>
      </c>
      <c r="B153" s="146" t="s">
        <v>482</v>
      </c>
    </row>
    <row r="154" spans="1:2" ht="12.75" customHeight="1" x14ac:dyDescent="0.25">
      <c r="A154" s="146" t="s">
        <v>340</v>
      </c>
      <c r="B154" s="146" t="s">
        <v>483</v>
      </c>
    </row>
    <row r="155" spans="1:2" ht="12.75" customHeight="1" x14ac:dyDescent="0.25">
      <c r="A155" s="146" t="s">
        <v>342</v>
      </c>
      <c r="B155" s="146" t="s">
        <v>484</v>
      </c>
    </row>
    <row r="156" spans="1:2" ht="12.75" customHeight="1" x14ac:dyDescent="0.25">
      <c r="A156" s="146" t="s">
        <v>344</v>
      </c>
      <c r="B156" s="146" t="s">
        <v>485</v>
      </c>
    </row>
    <row r="157" spans="1:2" ht="12.75" customHeight="1" x14ac:dyDescent="0.25">
      <c r="A157" s="146" t="s">
        <v>346</v>
      </c>
      <c r="B157" s="146" t="s">
        <v>486</v>
      </c>
    </row>
    <row r="158" spans="1:2" ht="12.75" customHeight="1" x14ac:dyDescent="0.25">
      <c r="A158" s="146" t="s">
        <v>348</v>
      </c>
      <c r="B158" s="146" t="s">
        <v>487</v>
      </c>
    </row>
    <row r="159" spans="1:2" ht="12.75" customHeight="1" x14ac:dyDescent="0.25">
      <c r="A159" s="146" t="s">
        <v>350</v>
      </c>
      <c r="B159" s="146" t="s">
        <v>488</v>
      </c>
    </row>
    <row r="160" spans="1:2" ht="12.75" customHeight="1" x14ac:dyDescent="0.25">
      <c r="A160" s="146" t="s">
        <v>352</v>
      </c>
      <c r="B160" s="146" t="s">
        <v>489</v>
      </c>
    </row>
    <row r="161" spans="1:2" ht="12.75" customHeight="1" x14ac:dyDescent="0.25">
      <c r="A161" s="146" t="s">
        <v>354</v>
      </c>
      <c r="B161" s="146" t="s">
        <v>490</v>
      </c>
    </row>
    <row r="162" spans="1:2" ht="12.75" customHeight="1" x14ac:dyDescent="0.25">
      <c r="A162" s="146" t="s">
        <v>356</v>
      </c>
      <c r="B162" s="146" t="s">
        <v>491</v>
      </c>
    </row>
    <row r="163" spans="1:2" ht="12.75" customHeight="1" x14ac:dyDescent="0.25">
      <c r="A163" s="146" t="s">
        <v>358</v>
      </c>
      <c r="B163" s="146" t="s">
        <v>492</v>
      </c>
    </row>
    <row r="164" spans="1:2" ht="12.75" customHeight="1" x14ac:dyDescent="0.25">
      <c r="A164" s="146" t="s">
        <v>360</v>
      </c>
      <c r="B164" s="146" t="s">
        <v>493</v>
      </c>
    </row>
    <row r="165" spans="1:2" ht="12.75" customHeight="1" x14ac:dyDescent="0.25">
      <c r="A165" s="146" t="s">
        <v>361</v>
      </c>
      <c r="B165" s="146" t="s">
        <v>359</v>
      </c>
    </row>
    <row r="166" spans="1:2" ht="12.75" customHeight="1" x14ac:dyDescent="0.25">
      <c r="A166" s="146" t="s">
        <v>362</v>
      </c>
      <c r="B166" s="146" t="s">
        <v>359</v>
      </c>
    </row>
    <row r="167" spans="1:2" ht="12.75" customHeight="1" x14ac:dyDescent="0.25">
      <c r="A167" s="146" t="s">
        <v>363</v>
      </c>
      <c r="B167" s="146" t="s">
        <v>359</v>
      </c>
    </row>
    <row r="168" spans="1:2" ht="12.75" customHeight="1" x14ac:dyDescent="0.25">
      <c r="A168" s="146" t="s">
        <v>364</v>
      </c>
      <c r="B168" s="146" t="s">
        <v>359</v>
      </c>
    </row>
    <row r="169" spans="1:2" ht="12.75" customHeight="1" x14ac:dyDescent="0.25">
      <c r="A169" s="146" t="s">
        <v>365</v>
      </c>
      <c r="B169" s="146" t="s">
        <v>359</v>
      </c>
    </row>
    <row r="170" spans="1:2" ht="12.75" customHeight="1" x14ac:dyDescent="0.25">
      <c r="A170" s="146" t="s">
        <v>366</v>
      </c>
      <c r="B170" s="146" t="s">
        <v>359</v>
      </c>
    </row>
    <row r="171" spans="1:2" ht="12.75" customHeight="1" x14ac:dyDescent="0.25">
      <c r="A171" s="146" t="s">
        <v>367</v>
      </c>
      <c r="B171" s="146" t="s">
        <v>359</v>
      </c>
    </row>
    <row r="172" spans="1:2" ht="12.75" customHeight="1" x14ac:dyDescent="0.25">
      <c r="A172" s="146" t="s">
        <v>266</v>
      </c>
      <c r="B172" s="146" t="s">
        <v>124</v>
      </c>
    </row>
  </sheetData>
  <pageMargins left="0.75" right="0.75" top="1" bottom="1" header="0.5" footer="0.5"/>
  <pageSetup paperSize="9"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13</vt:i4>
      </vt:variant>
    </vt:vector>
  </HeadingPairs>
  <TitlesOfParts>
    <vt:vector size="24" baseType="lpstr">
      <vt:lpstr>Note</vt:lpstr>
      <vt:lpstr>1.a Assumptions</vt:lpstr>
      <vt:lpstr>1.b Flowchart</vt:lpstr>
      <vt:lpstr>1.c Calculation --&gt;</vt:lpstr>
      <vt:lpstr>1.c Decrements</vt:lpstr>
      <vt:lpstr>1.c PUC_Projection</vt:lpstr>
      <vt:lpstr>1.c EAN_Projection</vt:lpstr>
      <vt:lpstr>Input --&gt;</vt:lpstr>
      <vt:lpstr>opening demographics</vt:lpstr>
      <vt:lpstr>RP-2014-White Collar Male</vt:lpstr>
      <vt:lpstr>RP-2014-White Collar Female</vt:lpstr>
      <vt:lpstr>accrual_rate_A</vt:lpstr>
      <vt:lpstr>accrual_rate_B</vt:lpstr>
      <vt:lpstr>e_A</vt:lpstr>
      <vt:lpstr>e_B</vt:lpstr>
      <vt:lpstr>EA_A</vt:lpstr>
      <vt:lpstr>EA_B</vt:lpstr>
      <vt:lpstr>i</vt:lpstr>
      <vt:lpstr>NRA_A</vt:lpstr>
      <vt:lpstr>NRA_B</vt:lpstr>
      <vt:lpstr>turnover_rate_A</vt:lpstr>
      <vt:lpstr>turnover_rate_B</vt:lpstr>
      <vt:lpstr>withdraw_rate_A</vt:lpstr>
      <vt:lpstr>withdraw_rate_B</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Zhu, Jinfeng</dc:creator>
  <cp:lastModifiedBy>Zhu, Vincent</cp:lastModifiedBy>
  <dcterms:created xsi:type="dcterms:W3CDTF">2006-09-16T00:00:00Z</dcterms:created>
  <dcterms:modified xsi:type="dcterms:W3CDTF">2020-02-22T07:46:37Z</dcterms:modified>
</cp:coreProperties>
</file>