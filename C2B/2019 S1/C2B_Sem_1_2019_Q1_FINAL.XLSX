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DUCATION\2019\Part III\Semester 1\Exams\Exam Questions and Solutions\C2B\FINAL\"/>
    </mc:Choice>
  </mc:AlternateContent>
  <xr:revisionPtr revIDLastSave="0" documentId="13_ncr:8001_{9AD694DA-3665-4473-907C-E957F8749406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Key Information" sheetId="2" r:id="rId1"/>
    <sheet name="Projection (Before Recapture)" sheetId="1" r:id="rId2"/>
    <sheet name="Projection (After Recapture)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7" l="1"/>
  <c r="C53" i="2" l="1"/>
  <c r="F38" i="2" l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E11" i="1"/>
</calcChain>
</file>

<file path=xl/sharedStrings.xml><?xml version="1.0" encoding="utf-8"?>
<sst xmlns="http://schemas.openxmlformats.org/spreadsheetml/2006/main" count="136" uniqueCount="68">
  <si>
    <t>EOY</t>
  </si>
  <si>
    <t>Year</t>
  </si>
  <si>
    <t>BOY</t>
  </si>
  <si>
    <t>Expense Assumptions</t>
  </si>
  <si>
    <t>Inflation Assumptions</t>
  </si>
  <si>
    <t>Expense Inflation (p.a.)</t>
  </si>
  <si>
    <t>Discount Rate Assumption</t>
  </si>
  <si>
    <t>Discount Rate (p.a.)</t>
  </si>
  <si>
    <t>Benefit Indexation (p.a.)</t>
  </si>
  <si>
    <t>Reinsurance Premium</t>
  </si>
  <si>
    <t>Reinsurance Claims</t>
  </si>
  <si>
    <t>- Reinsurance Premium</t>
  </si>
  <si>
    <t>- Reinsurance Claims</t>
  </si>
  <si>
    <t>as % of Gross Premium</t>
  </si>
  <si>
    <t>as % of Gross Claims</t>
  </si>
  <si>
    <t>- Unearned Premium Reserve (UPR)</t>
  </si>
  <si>
    <t>- Deferred Acquisition Costs (DAC)</t>
  </si>
  <si>
    <t>Reinsurance Information</t>
  </si>
  <si>
    <t>Present Value of Reinsurance Premium</t>
  </si>
  <si>
    <t>Present Value of Reinsurance Claims</t>
  </si>
  <si>
    <t>Year Ending 30 June</t>
  </si>
  <si>
    <t>Projection Year</t>
  </si>
  <si>
    <t>Gross  Sum Insured In-Force</t>
  </si>
  <si>
    <t>Gross  Premium</t>
  </si>
  <si>
    <t>Gross  Claims</t>
  </si>
  <si>
    <t>Present Value of Gross  Premium</t>
  </si>
  <si>
    <t>Present Value of Gross  Claims</t>
  </si>
  <si>
    <t>Net  Best Estimate Liability (Net BEL)</t>
  </si>
  <si>
    <t>Net Present Value of Profit Margins (Net PVPM)</t>
  </si>
  <si>
    <t>Net Policy Liability (Net PL)</t>
  </si>
  <si>
    <t>Net Profit Margin %</t>
  </si>
  <si>
    <t>Gross Renewal Expense</t>
  </si>
  <si>
    <t>Gross  Renewal Commission</t>
  </si>
  <si>
    <t>Present Value of Gross  Renewal Expense</t>
  </si>
  <si>
    <t>Present Value of Gross Renewal Commission</t>
  </si>
  <si>
    <t>for year ending 30 June 2020</t>
  </si>
  <si>
    <t>Gross Renewal Commission</t>
  </si>
  <si>
    <t>Commission Assumptions</t>
  </si>
  <si>
    <t>Premium Increase and Decrement Assumptions</t>
  </si>
  <si>
    <t>Reinsurance Ratios Before Recapture</t>
  </si>
  <si>
    <t>Reinsurance Ratios After Recapture</t>
  </si>
  <si>
    <t>Reinsurance Repayment on Recapture</t>
  </si>
  <si>
    <t>payable on 1 July 2019</t>
  </si>
  <si>
    <t>Present Value of Reinsurance Repayment on Recapture</t>
  </si>
  <si>
    <t>Projection</t>
  </si>
  <si>
    <t>Assumption on Timing of Cash Flow</t>
  </si>
  <si>
    <t>- Premiums are received annually in advance (on every 1 July).</t>
  </si>
  <si>
    <t>- Expense and commissions are incurred annually in advance (on every 1 July).</t>
  </si>
  <si>
    <t>- Claims are incurred and paid annually in arrears (on every 30 June).</t>
  </si>
  <si>
    <t>(Gross Renewal Expense is incurred annually in advance on every 1 July, based on the proportion of policies in-force remaining at that time.)</t>
  </si>
  <si>
    <t>Profit Carrier Information</t>
  </si>
  <si>
    <t>Use expected gross premiums as the profit carrier.</t>
  </si>
  <si>
    <t>Policy Liability Components as at 1 July 2019 (Based on Accumulation Basis)</t>
  </si>
  <si>
    <t>New Business Assumption</t>
  </si>
  <si>
    <t>For the purposes of the projection, assume that:</t>
  </si>
  <si>
    <t>Claim Incidence Rate (Annual)</t>
  </si>
  <si>
    <t>Premium Increase (p.a.)</t>
  </si>
  <si>
    <t>Lapse Rate (Annual)</t>
  </si>
  <si>
    <t>For the purposes of the projection, assume there is no new business written on or after 1 July 2019.</t>
  </si>
  <si>
    <t>based on assumed average age and assumed average policy duration for each projection year, before benefit indexation</t>
  </si>
  <si>
    <t>Payment to Reinsurer on Recapture</t>
  </si>
  <si>
    <t>Net Policy Liability, whose components are:</t>
  </si>
  <si>
    <t>Key:</t>
  </si>
  <si>
    <t>Provided data</t>
  </si>
  <si>
    <t>To be completed by candidates</t>
  </si>
  <si>
    <t>After Recapture? (Y/N)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</si>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</sst>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_ ;[Red]\(#,##0\);&quot;-&quot;_ "/>
    <numFmt numFmtId="165" formatCode="0.0000"/>
    <numFmt numFmtId="166" formatCode="0.0%"/>
    <numFmt numFmtId="167" formatCode="#,##0.000_ ;[Red]\(#,##0.000\);&quot;-&quot;_ "/>
    <numFmt numFmtId="168" formatCode="_-&quot;$&quot;* #,##0_-;\-&quot;$&quot;* #,##0_-;_-&quot;$&quot;* &quot;-&quot;??_-;_-@_-"/>
    <numFmt numFmtId="169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u/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0"/>
      <color theme="1"/>
      <name val="Century Gothic"/>
      <family val="2"/>
    </font>
    <font>
      <sz val="10"/>
      <name val="Arial"/>
      <family val="2"/>
    </font>
    <font>
      <b/>
      <u/>
      <sz val="14"/>
      <color theme="1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</cellStyleXfs>
  <cellXfs count="83">
    <xf numFmtId="0" fontId="0" fillId="0" borderId="0" xfId="0"/>
    <xf numFmtId="166" fontId="4" fillId="2" borderId="0" xfId="1" applyNumberFormat="1" applyFont="1" applyFill="1" applyAlignment="1">
      <alignment horizontal="center"/>
    </xf>
    <xf numFmtId="168" fontId="4" fillId="2" borderId="0" xfId="3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166" fontId="4" fillId="2" borderId="19" xfId="1" applyNumberFormat="1" applyFont="1" applyFill="1" applyBorder="1" applyAlignment="1">
      <alignment horizontal="center"/>
    </xf>
    <xf numFmtId="165" fontId="4" fillId="2" borderId="0" xfId="1" applyNumberFormat="1" applyFont="1" applyFill="1" applyAlignment="1">
      <alignment horizontal="center"/>
    </xf>
    <xf numFmtId="166" fontId="4" fillId="2" borderId="17" xfId="1" applyNumberFormat="1" applyFont="1" applyFill="1" applyBorder="1" applyAlignment="1">
      <alignment horizontal="center"/>
    </xf>
    <xf numFmtId="165" fontId="4" fillId="2" borderId="19" xfId="1" applyNumberFormat="1" applyFont="1" applyFill="1" applyBorder="1" applyAlignment="1">
      <alignment horizontal="center"/>
    </xf>
    <xf numFmtId="166" fontId="4" fillId="2" borderId="20" xfId="1" applyNumberFormat="1" applyFont="1" applyFill="1" applyBorder="1" applyAlignment="1">
      <alignment horizontal="center"/>
    </xf>
    <xf numFmtId="168" fontId="5" fillId="2" borderId="0" xfId="3" applyNumberFormat="1" applyFont="1" applyFill="1" applyAlignment="1">
      <alignment horizontal="center"/>
    </xf>
    <xf numFmtId="0" fontId="6" fillId="0" borderId="0" xfId="0" applyFont="1"/>
    <xf numFmtId="0" fontId="6" fillId="0" borderId="8" xfId="0" applyFont="1" applyBorder="1"/>
    <xf numFmtId="0" fontId="6" fillId="0" borderId="18" xfId="0" applyFont="1" applyBorder="1"/>
    <xf numFmtId="0" fontId="9" fillId="0" borderId="13" xfId="0" applyFont="1" applyBorder="1"/>
    <xf numFmtId="0" fontId="4" fillId="0" borderId="16" xfId="0" applyFont="1" applyBorder="1"/>
    <xf numFmtId="0" fontId="9" fillId="0" borderId="16" xfId="0" applyFont="1" applyBorder="1"/>
    <xf numFmtId="0" fontId="4" fillId="0" borderId="16" xfId="0" quotePrefix="1" applyFont="1" applyBorder="1"/>
    <xf numFmtId="0" fontId="4" fillId="0" borderId="17" xfId="0" applyFont="1" applyBorder="1"/>
    <xf numFmtId="0" fontId="4" fillId="0" borderId="0" xfId="0" applyFont="1"/>
    <xf numFmtId="0" fontId="4" fillId="0" borderId="14" xfId="0" applyFont="1" applyBorder="1"/>
    <xf numFmtId="0" fontId="4" fillId="0" borderId="15" xfId="0" applyFont="1" applyBorder="1"/>
    <xf numFmtId="0" fontId="4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9" fontId="4" fillId="0" borderId="0" xfId="0" applyNumberFormat="1" applyFont="1"/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6" fontId="4" fillId="0" borderId="17" xfId="1" applyNumberFormat="1" applyFont="1" applyBorder="1"/>
    <xf numFmtId="10" fontId="4" fillId="0" borderId="17" xfId="1" applyNumberFormat="1" applyFont="1" applyBorder="1"/>
    <xf numFmtId="166" fontId="4" fillId="0" borderId="0" xfId="0" applyNumberFormat="1" applyFont="1"/>
    <xf numFmtId="0" fontId="4" fillId="0" borderId="16" xfId="0" applyFont="1" applyBorder="1" applyAlignment="1">
      <alignment horizontal="center"/>
    </xf>
    <xf numFmtId="164" fontId="4" fillId="0" borderId="0" xfId="0" applyNumberFormat="1" applyFont="1"/>
    <xf numFmtId="0" fontId="4" fillId="0" borderId="21" xfId="0" applyFont="1" applyBorder="1"/>
    <xf numFmtId="0" fontId="4" fillId="0" borderId="8" xfId="0" applyFont="1" applyBorder="1"/>
    <xf numFmtId="166" fontId="4" fillId="0" borderId="22" xfId="1" applyNumberFormat="1" applyFont="1" applyBorder="1"/>
    <xf numFmtId="168" fontId="4" fillId="0" borderId="0" xfId="3" applyNumberFormat="1" applyFont="1"/>
    <xf numFmtId="0" fontId="4" fillId="0" borderId="22" xfId="0" applyFont="1" applyBorder="1"/>
    <xf numFmtId="0" fontId="9" fillId="0" borderId="23" xfId="0" applyFont="1" applyBorder="1"/>
    <xf numFmtId="0" fontId="4" fillId="0" borderId="7" xfId="0" applyFont="1" applyBorder="1"/>
    <xf numFmtId="0" fontId="4" fillId="0" borderId="24" xfId="0" applyFont="1" applyBorder="1"/>
    <xf numFmtId="0" fontId="5" fillId="0" borderId="16" xfId="0" applyFont="1" applyBorder="1"/>
    <xf numFmtId="0" fontId="4" fillId="0" borderId="16" xfId="0" quotePrefix="1" applyFont="1" applyBorder="1" applyAlignment="1">
      <alignment horizontal="left" indent="2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8" xfId="0" applyFont="1" applyBorder="1" applyAlignment="1">
      <alignment horizontal="center"/>
    </xf>
    <xf numFmtId="169" fontId="4" fillId="0" borderId="0" xfId="4" applyNumberFormat="1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6" fillId="0" borderId="9" xfId="0" applyNumberFormat="1" applyFont="1" applyBorder="1"/>
    <xf numFmtId="164" fontId="6" fillId="0" borderId="0" xfId="0" applyNumberFormat="1" applyFont="1"/>
    <xf numFmtId="167" fontId="6" fillId="0" borderId="0" xfId="0" applyNumberFormat="1" applyFont="1"/>
    <xf numFmtId="164" fontId="6" fillId="3" borderId="0" xfId="0" applyNumberFormat="1" applyFont="1" applyFill="1"/>
    <xf numFmtId="164" fontId="6" fillId="3" borderId="9" xfId="0" applyNumberFormat="1" applyFont="1" applyFill="1" applyBorder="1"/>
    <xf numFmtId="9" fontId="6" fillId="0" borderId="0" xfId="1" applyFont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6" fillId="3" borderId="6" xfId="0" applyNumberFormat="1" applyFont="1" applyFill="1" applyBorder="1"/>
    <xf numFmtId="164" fontId="6" fillId="3" borderId="8" xfId="0" applyNumberFormat="1" applyFont="1" applyFill="1" applyBorder="1"/>
    <xf numFmtId="164" fontId="6" fillId="0" borderId="8" xfId="0" applyNumberFormat="1" applyFont="1" applyBorder="1"/>
    <xf numFmtId="164" fontId="6" fillId="2" borderId="9" xfId="0" applyNumberFormat="1" applyFont="1" applyFill="1" applyBorder="1"/>
    <xf numFmtId="164" fontId="6" fillId="2" borderId="0" xfId="0" applyNumberFormat="1" applyFont="1" applyFill="1"/>
    <xf numFmtId="0" fontId="11" fillId="0" borderId="0" xfId="0" applyFont="1"/>
    <xf numFmtId="0" fontId="3" fillId="0" borderId="0" xfId="0" applyFont="1" applyAlignment="1">
      <alignment horizontal="right"/>
    </xf>
    <xf numFmtId="0" fontId="8" fillId="0" borderId="13" xfId="5" applyFont="1" applyBorder="1" applyAlignment="1">
      <alignment horizontal="left" vertical="center"/>
    </xf>
    <xf numFmtId="0" fontId="6" fillId="3" borderId="15" xfId="5" applyFont="1" applyFill="1" applyBorder="1" applyAlignment="1">
      <alignment horizontal="left" vertical="center" wrapText="1"/>
    </xf>
    <xf numFmtId="0" fontId="6" fillId="2" borderId="20" xfId="0" applyFont="1" applyFill="1" applyBorder="1"/>
    <xf numFmtId="0" fontId="12" fillId="0" borderId="11" xfId="0" applyFont="1" applyBorder="1" applyAlignment="1">
      <alignment horizontal="right"/>
    </xf>
    <xf numFmtId="0" fontId="6" fillId="2" borderId="12" xfId="0" applyFont="1" applyFill="1" applyBorder="1"/>
    <xf numFmtId="0" fontId="6" fillId="0" borderId="1" xfId="0" applyFont="1" applyBorder="1"/>
    <xf numFmtId="0" fontId="6" fillId="3" borderId="2" xfId="5" applyFont="1" applyFill="1" applyBorder="1" applyAlignment="1">
      <alignment horizontal="left" vertical="center" wrapText="1"/>
    </xf>
    <xf numFmtId="166" fontId="6" fillId="3" borderId="2" xfId="1" applyNumberFormat="1" applyFont="1" applyFill="1" applyBorder="1"/>
  </cellXfs>
  <cellStyles count="6">
    <cellStyle name="Comma" xfId="4" builtinId="3"/>
    <cellStyle name="Currency" xfId="3" builtinId="4"/>
    <cellStyle name="Normal" xfId="0" builtinId="0"/>
    <cellStyle name="Normal 3" xfId="5" xr:uid="{00000000-0005-0000-0000-000003000000}"/>
    <cellStyle name="Normal 4" xfId="2" xr:uid="{00000000-0005-0000-0000-000004000000}"/>
    <cellStyle name="Percent" xfId="1" builtinId="5"/>
  </cellStyles>
  <dxfs count="0"/>
  <tableStyles count="0" defaultTableStyle="TableStyleMedium9" defaultPivotStyle="PivotStyleLight16"/>
  <colors>
    <mruColors>
      <color rgb="FF99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="70" zoomScaleNormal="70" workbookViewId="0"/>
  </sheetViews>
  <sheetFormatPr defaultRowHeight="13.5" x14ac:dyDescent="0.25"/>
  <cols>
    <col min="1" max="1" width="6.85546875" style="18" bestFit="1" customWidth="1"/>
    <col min="2" max="2" width="50.7109375" style="18" bestFit="1" customWidth="1"/>
    <col min="3" max="3" width="23.5703125" style="18" bestFit="1" customWidth="1"/>
    <col min="4" max="4" width="68" style="18" customWidth="1"/>
    <col min="5" max="5" width="4.7109375" style="18" customWidth="1"/>
    <col min="6" max="6" width="9.140625" style="18"/>
    <col min="7" max="9" width="44" style="18" customWidth="1"/>
    <col min="10" max="16384" width="9.140625" style="18"/>
  </cols>
  <sheetData>
    <row r="1" spans="1:9" ht="17.25" thickBot="1" x14ac:dyDescent="0.35">
      <c r="A1" s="78" t="s">
        <v>62</v>
      </c>
      <c r="B1" s="79" t="s">
        <v>63</v>
      </c>
    </row>
    <row r="2" spans="1:9" ht="14.25" thickBot="1" x14ac:dyDescent="0.3">
      <c r="A2" s="74"/>
    </row>
    <row r="3" spans="1:9" x14ac:dyDescent="0.25">
      <c r="B3" s="13" t="s">
        <v>53</v>
      </c>
      <c r="C3" s="19"/>
      <c r="D3" s="20"/>
      <c r="F3" s="21"/>
      <c r="G3" s="22" t="s">
        <v>38</v>
      </c>
      <c r="H3" s="19"/>
      <c r="I3" s="23"/>
    </row>
    <row r="4" spans="1:9" x14ac:dyDescent="0.25">
      <c r="B4" s="14"/>
      <c r="D4" s="17"/>
      <c r="F4" s="14"/>
      <c r="G4" s="18" t="s">
        <v>59</v>
      </c>
      <c r="I4" s="17"/>
    </row>
    <row r="5" spans="1:9" x14ac:dyDescent="0.25">
      <c r="B5" s="14" t="s">
        <v>58</v>
      </c>
      <c r="C5" s="24"/>
      <c r="D5" s="17"/>
      <c r="F5" s="14"/>
      <c r="I5" s="17"/>
    </row>
    <row r="6" spans="1:9" x14ac:dyDescent="0.25">
      <c r="B6" s="14"/>
      <c r="D6" s="17"/>
      <c r="F6" s="25" t="s">
        <v>1</v>
      </c>
      <c r="G6" s="26" t="s">
        <v>56</v>
      </c>
      <c r="H6" s="26" t="s">
        <v>55</v>
      </c>
      <c r="I6" s="27" t="s">
        <v>57</v>
      </c>
    </row>
    <row r="7" spans="1:9" x14ac:dyDescent="0.25">
      <c r="B7" s="15" t="s">
        <v>45</v>
      </c>
      <c r="D7" s="28"/>
      <c r="F7" s="14"/>
      <c r="I7" s="27"/>
    </row>
    <row r="8" spans="1:9" x14ac:dyDescent="0.25">
      <c r="B8" s="14"/>
      <c r="D8" s="29"/>
      <c r="E8" s="30"/>
      <c r="F8" s="31">
        <v>1</v>
      </c>
      <c r="G8" s="1">
        <v>1.4999999999999999E-2</v>
      </c>
      <c r="H8" s="5">
        <v>1.8E-3</v>
      </c>
      <c r="I8" s="6">
        <v>8.7999999999999995E-2</v>
      </c>
    </row>
    <row r="9" spans="1:9" x14ac:dyDescent="0.25">
      <c r="B9" s="14" t="s">
        <v>54</v>
      </c>
      <c r="D9" s="29"/>
      <c r="E9" s="30"/>
      <c r="F9" s="31">
        <v>2</v>
      </c>
      <c r="G9" s="1">
        <v>1.5599999999999999E-2</v>
      </c>
      <c r="H9" s="5">
        <v>1.8E-3</v>
      </c>
      <c r="I9" s="6">
        <v>0.09</v>
      </c>
    </row>
    <row r="10" spans="1:9" x14ac:dyDescent="0.25">
      <c r="B10" s="16" t="s">
        <v>46</v>
      </c>
      <c r="D10" s="29"/>
      <c r="E10" s="30"/>
      <c r="F10" s="31">
        <v>3</v>
      </c>
      <c r="G10" s="1">
        <v>1.6223999999999999E-2</v>
      </c>
      <c r="H10" s="5">
        <v>1.9E-3</v>
      </c>
      <c r="I10" s="6">
        <v>0.09</v>
      </c>
    </row>
    <row r="11" spans="1:9" x14ac:dyDescent="0.25">
      <c r="B11" s="16" t="s">
        <v>47</v>
      </c>
      <c r="D11" s="29"/>
      <c r="E11" s="30"/>
      <c r="F11" s="31">
        <v>4</v>
      </c>
      <c r="G11" s="1">
        <v>1.6872959999999999E-2</v>
      </c>
      <c r="H11" s="5">
        <v>1.9E-3</v>
      </c>
      <c r="I11" s="6">
        <v>9.0999999999999998E-2</v>
      </c>
    </row>
    <row r="12" spans="1:9" x14ac:dyDescent="0.25">
      <c r="B12" s="16" t="s">
        <v>48</v>
      </c>
      <c r="D12" s="29"/>
      <c r="E12" s="30"/>
      <c r="F12" s="31">
        <v>5</v>
      </c>
      <c r="G12" s="1">
        <v>1.7547878400000001E-2</v>
      </c>
      <c r="H12" s="5">
        <v>1.9E-3</v>
      </c>
      <c r="I12" s="6">
        <v>9.1999999999999998E-2</v>
      </c>
    </row>
    <row r="13" spans="1:9" x14ac:dyDescent="0.25">
      <c r="B13" s="16"/>
      <c r="D13" s="29"/>
      <c r="E13" s="30"/>
      <c r="F13" s="31">
        <v>6</v>
      </c>
      <c r="G13" s="1">
        <v>1.8249793536000002E-2</v>
      </c>
      <c r="H13" s="5">
        <v>2E-3</v>
      </c>
      <c r="I13" s="6">
        <v>9.1999999999999998E-2</v>
      </c>
    </row>
    <row r="14" spans="1:9" x14ac:dyDescent="0.25">
      <c r="B14" s="15" t="s">
        <v>6</v>
      </c>
      <c r="C14" s="30"/>
      <c r="D14" s="29"/>
      <c r="E14" s="30"/>
      <c r="F14" s="31">
        <v>7</v>
      </c>
      <c r="G14" s="1">
        <v>1.8979785277440004E-2</v>
      </c>
      <c r="H14" s="5">
        <v>2E-3</v>
      </c>
      <c r="I14" s="6">
        <v>9.2999999999999999E-2</v>
      </c>
    </row>
    <row r="15" spans="1:9" x14ac:dyDescent="0.25">
      <c r="B15" s="14"/>
      <c r="C15" s="30"/>
      <c r="D15" s="29"/>
      <c r="E15" s="30"/>
      <c r="F15" s="31">
        <v>8</v>
      </c>
      <c r="G15" s="1">
        <v>1.9738976688537604E-2</v>
      </c>
      <c r="H15" s="5">
        <v>2.0999999999999999E-3</v>
      </c>
      <c r="I15" s="6">
        <v>9.4E-2</v>
      </c>
    </row>
    <row r="16" spans="1:9" x14ac:dyDescent="0.25">
      <c r="B16" s="14" t="s">
        <v>7</v>
      </c>
      <c r="C16" s="1">
        <v>0.03</v>
      </c>
      <c r="D16" s="29"/>
      <c r="E16" s="30"/>
      <c r="F16" s="31">
        <v>9</v>
      </c>
      <c r="G16" s="1">
        <v>2.052853575607911E-2</v>
      </c>
      <c r="H16" s="5">
        <v>2.0999999999999999E-3</v>
      </c>
      <c r="I16" s="6">
        <v>9.5000000000000001E-2</v>
      </c>
    </row>
    <row r="17" spans="2:9" x14ac:dyDescent="0.25">
      <c r="B17" s="14"/>
      <c r="C17" s="30"/>
      <c r="D17" s="29"/>
      <c r="E17" s="30"/>
      <c r="F17" s="31">
        <v>10</v>
      </c>
      <c r="G17" s="1">
        <v>2.1349677186322275E-2</v>
      </c>
      <c r="H17" s="5">
        <v>2.0999999999999999E-3</v>
      </c>
      <c r="I17" s="6">
        <v>9.6000000000000002E-2</v>
      </c>
    </row>
    <row r="18" spans="2:9" x14ac:dyDescent="0.25">
      <c r="B18" s="15" t="s">
        <v>4</v>
      </c>
      <c r="D18" s="29"/>
      <c r="E18" s="30"/>
      <c r="F18" s="31">
        <v>11</v>
      </c>
      <c r="G18" s="1">
        <v>2.2203664273775167E-2</v>
      </c>
      <c r="H18" s="5">
        <v>2.2000000000000001E-3</v>
      </c>
      <c r="I18" s="6">
        <v>9.7000000000000003E-2</v>
      </c>
    </row>
    <row r="19" spans="2:9" x14ac:dyDescent="0.25">
      <c r="B19" s="14"/>
      <c r="D19" s="29"/>
      <c r="E19" s="30"/>
      <c r="F19" s="31">
        <v>12</v>
      </c>
      <c r="G19" s="1">
        <v>2.3091810844726175E-2</v>
      </c>
      <c r="H19" s="5">
        <v>2.2000000000000001E-3</v>
      </c>
      <c r="I19" s="6">
        <v>9.8000000000000004E-2</v>
      </c>
    </row>
    <row r="20" spans="2:9" x14ac:dyDescent="0.25">
      <c r="B20" s="14" t="s">
        <v>5</v>
      </c>
      <c r="C20" s="1">
        <v>0.03</v>
      </c>
      <c r="D20" s="29"/>
      <c r="E20" s="30"/>
      <c r="F20" s="31">
        <v>13</v>
      </c>
      <c r="G20" s="1">
        <v>2.4015483278515222E-2</v>
      </c>
      <c r="H20" s="5">
        <v>2.3E-3</v>
      </c>
      <c r="I20" s="6">
        <v>9.9000000000000005E-2</v>
      </c>
    </row>
    <row r="21" spans="2:9" x14ac:dyDescent="0.25">
      <c r="B21" s="14" t="s">
        <v>8</v>
      </c>
      <c r="C21" s="1">
        <v>0.02</v>
      </c>
      <c r="D21" s="29"/>
      <c r="E21" s="30"/>
      <c r="F21" s="31">
        <v>14</v>
      </c>
      <c r="G21" s="1">
        <v>2.4976102609655833E-2</v>
      </c>
      <c r="H21" s="5">
        <v>2.3E-3</v>
      </c>
      <c r="I21" s="6">
        <v>0.1</v>
      </c>
    </row>
    <row r="22" spans="2:9" x14ac:dyDescent="0.25">
      <c r="B22" s="14"/>
      <c r="D22" s="29"/>
      <c r="E22" s="30"/>
      <c r="F22" s="31">
        <v>15</v>
      </c>
      <c r="G22" s="1">
        <v>2.5975146714042066E-2</v>
      </c>
      <c r="H22" s="5">
        <v>2.3999999999999998E-3</v>
      </c>
      <c r="I22" s="6">
        <v>0.10100000000000001</v>
      </c>
    </row>
    <row r="23" spans="2:9" x14ac:dyDescent="0.25">
      <c r="B23" s="15" t="s">
        <v>3</v>
      </c>
      <c r="D23" s="17"/>
      <c r="E23" s="30"/>
      <c r="F23" s="31">
        <v>16</v>
      </c>
      <c r="G23" s="1">
        <v>2.701415258260375E-2</v>
      </c>
      <c r="H23" s="5">
        <v>2.3999999999999998E-3</v>
      </c>
      <c r="I23" s="6">
        <v>0.10199999999999999</v>
      </c>
    </row>
    <row r="24" spans="2:9" x14ac:dyDescent="0.25">
      <c r="B24" s="14"/>
      <c r="D24" s="17"/>
      <c r="E24" s="30"/>
      <c r="F24" s="31">
        <v>17</v>
      </c>
      <c r="G24" s="1">
        <v>2.8094718685907901E-2</v>
      </c>
      <c r="H24" s="5">
        <v>2.5000000000000001E-3</v>
      </c>
      <c r="I24" s="6">
        <v>0.10299999999999999</v>
      </c>
    </row>
    <row r="25" spans="2:9" x14ac:dyDescent="0.25">
      <c r="B25" s="14" t="s">
        <v>31</v>
      </c>
      <c r="C25" s="2">
        <v>18000000</v>
      </c>
      <c r="D25" s="17" t="s">
        <v>35</v>
      </c>
      <c r="E25" s="30"/>
      <c r="F25" s="31">
        <v>18</v>
      </c>
      <c r="G25" s="1">
        <v>2.9218507433344219E-2</v>
      </c>
      <c r="H25" s="5">
        <v>2.5000000000000001E-3</v>
      </c>
      <c r="I25" s="6">
        <v>0.104</v>
      </c>
    </row>
    <row r="26" spans="2:9" x14ac:dyDescent="0.25">
      <c r="B26" s="14" t="s">
        <v>49</v>
      </c>
      <c r="D26" s="17"/>
      <c r="E26" s="30"/>
      <c r="F26" s="31">
        <v>19</v>
      </c>
      <c r="G26" s="1">
        <v>3.038724773067799E-2</v>
      </c>
      <c r="H26" s="5">
        <v>2.5999999999999999E-3</v>
      </c>
      <c r="I26" s="6">
        <v>0.105</v>
      </c>
    </row>
    <row r="27" spans="2:9" x14ac:dyDescent="0.25">
      <c r="B27" s="16"/>
      <c r="D27" s="17"/>
      <c r="E27" s="30"/>
      <c r="F27" s="31">
        <v>20</v>
      </c>
      <c r="G27" s="1">
        <v>3.1602737639905107E-2</v>
      </c>
      <c r="H27" s="5">
        <v>2.5999999999999999E-3</v>
      </c>
      <c r="I27" s="6">
        <v>0.106</v>
      </c>
    </row>
    <row r="28" spans="2:9" x14ac:dyDescent="0.25">
      <c r="B28" s="15" t="s">
        <v>37</v>
      </c>
      <c r="D28" s="17"/>
      <c r="E28" s="30"/>
      <c r="F28" s="31">
        <v>21</v>
      </c>
      <c r="G28" s="1">
        <v>3.286684714550131E-2</v>
      </c>
      <c r="H28" s="5">
        <v>2.7000000000000001E-3</v>
      </c>
      <c r="I28" s="6">
        <v>0.107</v>
      </c>
    </row>
    <row r="29" spans="2:9" x14ac:dyDescent="0.25">
      <c r="B29" s="14"/>
      <c r="D29" s="17"/>
      <c r="E29" s="30"/>
      <c r="F29" s="31">
        <v>22</v>
      </c>
      <c r="G29" s="1">
        <v>3.4181521031321362E-2</v>
      </c>
      <c r="H29" s="5">
        <v>2.7000000000000001E-3</v>
      </c>
      <c r="I29" s="6">
        <v>0.108</v>
      </c>
    </row>
    <row r="30" spans="2:9" x14ac:dyDescent="0.25">
      <c r="B30" s="14" t="s">
        <v>36</v>
      </c>
      <c r="C30" s="1">
        <v>0.05</v>
      </c>
      <c r="D30" s="17" t="s">
        <v>13</v>
      </c>
      <c r="E30" s="30"/>
      <c r="F30" s="31">
        <v>23</v>
      </c>
      <c r="G30" s="1">
        <v>3.5548781872574216E-2</v>
      </c>
      <c r="H30" s="5">
        <v>2.7000000000000001E-3</v>
      </c>
      <c r="I30" s="6">
        <v>0.11</v>
      </c>
    </row>
    <row r="31" spans="2:9" x14ac:dyDescent="0.25">
      <c r="B31" s="16"/>
      <c r="C31" s="32"/>
      <c r="D31" s="17"/>
      <c r="E31" s="30"/>
      <c r="F31" s="31">
        <v>24</v>
      </c>
      <c r="G31" s="1">
        <v>3.6970733147477189E-2</v>
      </c>
      <c r="H31" s="5">
        <v>2.8E-3</v>
      </c>
      <c r="I31" s="6">
        <v>0.111</v>
      </c>
    </row>
    <row r="32" spans="2:9" x14ac:dyDescent="0.25">
      <c r="B32" s="15" t="s">
        <v>50</v>
      </c>
      <c r="D32" s="17"/>
      <c r="E32" s="30"/>
      <c r="F32" s="31">
        <v>25</v>
      </c>
      <c r="G32" s="1">
        <v>3.8449562473376275E-2</v>
      </c>
      <c r="H32" s="5">
        <v>2.8999999999999998E-3</v>
      </c>
      <c r="I32" s="6">
        <v>0.112</v>
      </c>
    </row>
    <row r="33" spans="2:9" x14ac:dyDescent="0.25">
      <c r="B33" s="16" t="s">
        <v>51</v>
      </c>
      <c r="D33" s="28"/>
      <c r="E33" s="30"/>
      <c r="F33" s="31">
        <v>26</v>
      </c>
      <c r="G33" s="1">
        <v>3.9987544972311329E-2</v>
      </c>
      <c r="H33" s="5">
        <v>3.0000000000000001E-3</v>
      </c>
      <c r="I33" s="6">
        <v>0.113</v>
      </c>
    </row>
    <row r="34" spans="2:9" x14ac:dyDescent="0.25">
      <c r="B34" s="14"/>
      <c r="D34" s="28"/>
      <c r="E34" s="30"/>
      <c r="F34" s="31">
        <v>27</v>
      </c>
      <c r="G34" s="1">
        <v>4.1587046771203784E-2</v>
      </c>
      <c r="H34" s="5">
        <v>3.0000000000000001E-3</v>
      </c>
      <c r="I34" s="6">
        <v>0.114</v>
      </c>
    </row>
    <row r="35" spans="2:9" x14ac:dyDescent="0.25">
      <c r="B35" s="16"/>
      <c r="D35" s="28"/>
      <c r="E35" s="30"/>
      <c r="F35" s="31">
        <v>28</v>
      </c>
      <c r="G35" s="1">
        <v>4.3250528642051936E-2</v>
      </c>
      <c r="H35" s="5">
        <v>3.0999999999999999E-3</v>
      </c>
      <c r="I35" s="6">
        <v>0.115</v>
      </c>
    </row>
    <row r="36" spans="2:9" x14ac:dyDescent="0.25">
      <c r="B36" s="33"/>
      <c r="C36" s="34"/>
      <c r="D36" s="35"/>
      <c r="E36" s="30"/>
      <c r="F36" s="31">
        <v>29</v>
      </c>
      <c r="G36" s="1">
        <v>4.4980549787734012E-2</v>
      </c>
      <c r="H36" s="5">
        <v>3.0999999999999999E-3</v>
      </c>
      <c r="I36" s="6">
        <v>0.11600000000000001</v>
      </c>
    </row>
    <row r="37" spans="2:9" x14ac:dyDescent="0.25">
      <c r="B37" s="15" t="s">
        <v>17</v>
      </c>
      <c r="D37" s="17"/>
      <c r="E37" s="30"/>
      <c r="F37" s="31">
        <v>30</v>
      </c>
      <c r="G37" s="1">
        <v>4.6779771779243376E-2</v>
      </c>
      <c r="H37" s="5">
        <v>3.2000000000000002E-3</v>
      </c>
      <c r="I37" s="6">
        <v>0.11700000000000001</v>
      </c>
    </row>
    <row r="38" spans="2:9" x14ac:dyDescent="0.25">
      <c r="B38" s="14"/>
      <c r="D38" s="17"/>
      <c r="E38" s="30"/>
      <c r="F38" s="31">
        <f>F37+1</f>
        <v>31</v>
      </c>
      <c r="G38" s="1">
        <v>4.8650962650413111E-2</v>
      </c>
      <c r="H38" s="5">
        <v>3.3E-3</v>
      </c>
      <c r="I38" s="6">
        <v>0.11899999999999999</v>
      </c>
    </row>
    <row r="39" spans="2:9" x14ac:dyDescent="0.25">
      <c r="B39" s="14" t="s">
        <v>39</v>
      </c>
      <c r="D39" s="17"/>
      <c r="E39" s="30"/>
      <c r="F39" s="31">
        <f t="shared" ref="F39:F58" si="0">F38+1</f>
        <v>32</v>
      </c>
      <c r="G39" s="1">
        <v>5.0597001156429636E-2</v>
      </c>
      <c r="H39" s="5">
        <v>3.3E-3</v>
      </c>
      <c r="I39" s="6">
        <v>0.12</v>
      </c>
    </row>
    <row r="40" spans="2:9" x14ac:dyDescent="0.25">
      <c r="B40" s="16" t="s">
        <v>11</v>
      </c>
      <c r="C40" s="3">
        <v>0.7</v>
      </c>
      <c r="D40" s="17" t="s">
        <v>13</v>
      </c>
      <c r="E40" s="30"/>
      <c r="F40" s="31">
        <f t="shared" si="0"/>
        <v>33</v>
      </c>
      <c r="G40" s="1">
        <v>5.262088120268682E-2</v>
      </c>
      <c r="H40" s="5">
        <v>3.3E-3</v>
      </c>
      <c r="I40" s="6">
        <v>0.121</v>
      </c>
    </row>
    <row r="41" spans="2:9" x14ac:dyDescent="0.25">
      <c r="B41" s="16" t="s">
        <v>12</v>
      </c>
      <c r="C41" s="3">
        <v>0.9</v>
      </c>
      <c r="D41" s="17" t="s">
        <v>14</v>
      </c>
      <c r="E41" s="30"/>
      <c r="F41" s="31">
        <f t="shared" si="0"/>
        <v>34</v>
      </c>
      <c r="G41" s="1">
        <v>5.4725716450794291E-2</v>
      </c>
      <c r="H41" s="5">
        <v>3.5000000000000001E-3</v>
      </c>
      <c r="I41" s="6">
        <v>0.122</v>
      </c>
    </row>
    <row r="42" spans="2:9" x14ac:dyDescent="0.25">
      <c r="B42" s="14"/>
      <c r="D42" s="17"/>
      <c r="E42" s="30"/>
      <c r="F42" s="31">
        <f t="shared" si="0"/>
        <v>35</v>
      </c>
      <c r="G42" s="1">
        <v>5.6914745108826062E-2</v>
      </c>
      <c r="H42" s="5">
        <v>3.5000000000000001E-3</v>
      </c>
      <c r="I42" s="6">
        <v>0.123</v>
      </c>
    </row>
    <row r="43" spans="2:9" x14ac:dyDescent="0.25">
      <c r="B43" s="14" t="s">
        <v>40</v>
      </c>
      <c r="D43" s="17"/>
      <c r="E43" s="30"/>
      <c r="F43" s="31">
        <f t="shared" si="0"/>
        <v>36</v>
      </c>
      <c r="G43" s="1">
        <v>5.9191334913179107E-2</v>
      </c>
      <c r="H43" s="5">
        <v>3.5999999999999999E-3</v>
      </c>
      <c r="I43" s="6">
        <v>0.125</v>
      </c>
    </row>
    <row r="44" spans="2:9" x14ac:dyDescent="0.25">
      <c r="B44" s="16" t="s">
        <v>11</v>
      </c>
      <c r="C44" s="1">
        <v>0.33</v>
      </c>
      <c r="D44" s="17" t="s">
        <v>13</v>
      </c>
      <c r="E44" s="30"/>
      <c r="F44" s="31">
        <f t="shared" si="0"/>
        <v>37</v>
      </c>
      <c r="G44" s="1">
        <v>6.1558988309706276E-2</v>
      </c>
      <c r="H44" s="5">
        <v>3.7000000000000002E-3</v>
      </c>
      <c r="I44" s="6">
        <v>0.126</v>
      </c>
    </row>
    <row r="45" spans="2:9" x14ac:dyDescent="0.25">
      <c r="B45" s="16" t="s">
        <v>12</v>
      </c>
      <c r="C45" s="1">
        <v>0.35</v>
      </c>
      <c r="D45" s="17" t="s">
        <v>14</v>
      </c>
      <c r="E45" s="30"/>
      <c r="F45" s="31">
        <f t="shared" si="0"/>
        <v>38</v>
      </c>
      <c r="G45" s="1">
        <v>6.4021347842094525E-2</v>
      </c>
      <c r="H45" s="5">
        <v>3.7000000000000002E-3</v>
      </c>
      <c r="I45" s="6">
        <v>0.127</v>
      </c>
    </row>
    <row r="46" spans="2:9" x14ac:dyDescent="0.25">
      <c r="B46" s="14"/>
      <c r="D46" s="17"/>
      <c r="E46" s="30"/>
      <c r="F46" s="31">
        <f t="shared" si="0"/>
        <v>39</v>
      </c>
      <c r="G46" s="1">
        <v>6.6582201755778309E-2</v>
      </c>
      <c r="H46" s="5">
        <v>3.8E-3</v>
      </c>
      <c r="I46" s="6">
        <v>0.128</v>
      </c>
    </row>
    <row r="47" spans="2:9" x14ac:dyDescent="0.25">
      <c r="B47" s="14" t="s">
        <v>60</v>
      </c>
      <c r="C47" s="2">
        <v>215000000</v>
      </c>
      <c r="D47" s="17" t="s">
        <v>42</v>
      </c>
      <c r="E47" s="30"/>
      <c r="F47" s="31">
        <f>F46+1</f>
        <v>40</v>
      </c>
      <c r="G47" s="1">
        <v>6.9245489826009449E-2</v>
      </c>
      <c r="H47" s="5">
        <v>3.8999999999999998E-3</v>
      </c>
      <c r="I47" s="6">
        <v>0.13</v>
      </c>
    </row>
    <row r="48" spans="2:9" x14ac:dyDescent="0.25">
      <c r="B48" s="14"/>
      <c r="C48" s="36"/>
      <c r="D48" s="17"/>
      <c r="E48" s="30"/>
      <c r="F48" s="31">
        <f t="shared" si="0"/>
        <v>41</v>
      </c>
      <c r="G48" s="1">
        <v>7.2015309419049822E-2</v>
      </c>
      <c r="H48" s="5">
        <v>3.8999999999999998E-3</v>
      </c>
      <c r="I48" s="6">
        <v>0.13100000000000001</v>
      </c>
    </row>
    <row r="49" spans="2:9" x14ac:dyDescent="0.25">
      <c r="B49" s="14"/>
      <c r="C49" s="36"/>
      <c r="D49" s="17"/>
      <c r="E49" s="30"/>
      <c r="F49" s="31">
        <f t="shared" si="0"/>
        <v>42</v>
      </c>
      <c r="G49" s="1">
        <v>7.4895921795811823E-2</v>
      </c>
      <c r="H49" s="5">
        <v>4.1000000000000003E-3</v>
      </c>
      <c r="I49" s="6">
        <v>0.13200000000000001</v>
      </c>
    </row>
    <row r="50" spans="2:9" x14ac:dyDescent="0.25">
      <c r="B50" s="33"/>
      <c r="C50" s="34"/>
      <c r="D50" s="37"/>
      <c r="E50" s="30"/>
      <c r="F50" s="31">
        <f t="shared" si="0"/>
        <v>43</v>
      </c>
      <c r="G50" s="1">
        <v>7.7891758667644292E-2</v>
      </c>
      <c r="H50" s="5">
        <v>4.1000000000000003E-3</v>
      </c>
      <c r="I50" s="6">
        <v>0.13400000000000001</v>
      </c>
    </row>
    <row r="51" spans="2:9" x14ac:dyDescent="0.25">
      <c r="B51" s="38" t="s">
        <v>52</v>
      </c>
      <c r="C51" s="39"/>
      <c r="D51" s="40"/>
      <c r="E51" s="30"/>
      <c r="F51" s="31">
        <f>F50+1</f>
        <v>44</v>
      </c>
      <c r="G51" s="1">
        <v>8.1007429014350069E-2</v>
      </c>
      <c r="H51" s="5">
        <v>4.1999999999999997E-3</v>
      </c>
      <c r="I51" s="6">
        <v>0.13500000000000001</v>
      </c>
    </row>
    <row r="52" spans="2:9" x14ac:dyDescent="0.25">
      <c r="B52" s="14"/>
      <c r="D52" s="17"/>
      <c r="E52" s="30"/>
      <c r="F52" s="31">
        <f t="shared" si="0"/>
        <v>45</v>
      </c>
      <c r="G52" s="1">
        <v>8.424772617492407E-2</v>
      </c>
      <c r="H52" s="5">
        <v>4.3E-3</v>
      </c>
      <c r="I52" s="6">
        <v>0.13600000000000001</v>
      </c>
    </row>
    <row r="53" spans="2:9" x14ac:dyDescent="0.25">
      <c r="B53" s="41" t="s">
        <v>61</v>
      </c>
      <c r="C53" s="9">
        <f>C54-C55</f>
        <v>-10000000</v>
      </c>
      <c r="D53" s="17"/>
      <c r="E53" s="30"/>
      <c r="F53" s="31">
        <f t="shared" si="0"/>
        <v>46</v>
      </c>
      <c r="G53" s="1">
        <v>8.7617635221921036E-2</v>
      </c>
      <c r="H53" s="5">
        <v>4.4000000000000003E-3</v>
      </c>
      <c r="I53" s="6">
        <v>0.13800000000000001</v>
      </c>
    </row>
    <row r="54" spans="2:9" x14ac:dyDescent="0.25">
      <c r="B54" s="42" t="s">
        <v>15</v>
      </c>
      <c r="C54" s="2">
        <v>0</v>
      </c>
      <c r="D54" s="17"/>
      <c r="F54" s="31">
        <f t="shared" si="0"/>
        <v>47</v>
      </c>
      <c r="G54" s="1">
        <v>9.1122340630797882E-2</v>
      </c>
      <c r="H54" s="5">
        <v>4.4999999999999997E-3</v>
      </c>
      <c r="I54" s="6">
        <v>0.13900000000000001</v>
      </c>
    </row>
    <row r="55" spans="2:9" x14ac:dyDescent="0.25">
      <c r="B55" s="42" t="s">
        <v>16</v>
      </c>
      <c r="C55" s="2">
        <v>10000000</v>
      </c>
      <c r="D55" s="17"/>
      <c r="F55" s="31">
        <f t="shared" si="0"/>
        <v>48</v>
      </c>
      <c r="G55" s="1">
        <v>9.47672342560298E-2</v>
      </c>
      <c r="H55" s="5">
        <v>4.4999999999999997E-3</v>
      </c>
      <c r="I55" s="6">
        <v>0.14000000000000001</v>
      </c>
    </row>
    <row r="56" spans="2:9" x14ac:dyDescent="0.25">
      <c r="B56" s="14"/>
      <c r="D56" s="17"/>
      <c r="F56" s="31">
        <f t="shared" si="0"/>
        <v>49</v>
      </c>
      <c r="G56" s="1">
        <v>9.8557923626270999E-2</v>
      </c>
      <c r="H56" s="5">
        <v>4.7000000000000002E-3</v>
      </c>
      <c r="I56" s="6">
        <v>0.14199999999999999</v>
      </c>
    </row>
    <row r="57" spans="2:9" x14ac:dyDescent="0.25">
      <c r="B57" s="14"/>
      <c r="D57" s="17"/>
      <c r="F57" s="31">
        <f t="shared" si="0"/>
        <v>50</v>
      </c>
      <c r="G57" s="1">
        <v>0.10250024057132184</v>
      </c>
      <c r="H57" s="5">
        <v>4.7000000000000002E-3</v>
      </c>
      <c r="I57" s="6">
        <v>0.14299999999999999</v>
      </c>
    </row>
    <row r="58" spans="2:9" ht="14.25" thickBot="1" x14ac:dyDescent="0.3">
      <c r="B58" s="43"/>
      <c r="C58" s="44"/>
      <c r="D58" s="45"/>
      <c r="F58" s="46">
        <f t="shared" si="0"/>
        <v>51</v>
      </c>
      <c r="G58" s="4">
        <v>0.10660025019417473</v>
      </c>
      <c r="H58" s="7">
        <v>4.7000000000000002E-3</v>
      </c>
      <c r="I58" s="8">
        <v>0.14299999999999999</v>
      </c>
    </row>
    <row r="59" spans="2:9" x14ac:dyDescent="0.25">
      <c r="B59" s="32"/>
      <c r="C59" s="32"/>
      <c r="D59" s="32"/>
    </row>
    <row r="60" spans="2:9" x14ac:dyDescent="0.25">
      <c r="B60" s="32"/>
      <c r="C60" s="32"/>
      <c r="D60" s="32"/>
    </row>
    <row r="61" spans="2:9" x14ac:dyDescent="0.25">
      <c r="B61" s="32"/>
    </row>
    <row r="62" spans="2:9" x14ac:dyDescent="0.25">
      <c r="B62" s="32"/>
      <c r="C62" s="47"/>
    </row>
    <row r="63" spans="2:9" x14ac:dyDescent="0.25">
      <c r="B63" s="32"/>
      <c r="C63" s="47"/>
      <c r="D63" s="32"/>
    </row>
    <row r="64" spans="2:9" x14ac:dyDescent="0.25">
      <c r="B64" s="32"/>
      <c r="D64" s="32"/>
    </row>
    <row r="65" spans="2:4" x14ac:dyDescent="0.25">
      <c r="B65" s="32"/>
      <c r="D65" s="32"/>
    </row>
    <row r="67" spans="2:4" x14ac:dyDescent="0.25">
      <c r="B67" s="32"/>
      <c r="D67" s="32"/>
    </row>
    <row r="68" spans="2:4" x14ac:dyDescent="0.25">
      <c r="B68" s="32"/>
      <c r="D68" s="32"/>
    </row>
    <row r="69" spans="2:4" x14ac:dyDescent="0.25">
      <c r="B69" s="32"/>
      <c r="D69" s="32"/>
    </row>
    <row r="71" spans="2:4" x14ac:dyDescent="0.25">
      <c r="B71" s="32"/>
      <c r="D71" s="32"/>
    </row>
    <row r="72" spans="2:4" x14ac:dyDescent="0.25">
      <c r="B72" s="32"/>
      <c r="D72" s="32"/>
    </row>
    <row r="73" spans="2:4" x14ac:dyDescent="0.25">
      <c r="B73" s="32"/>
      <c r="D73" s="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5"/>
  <sheetViews>
    <sheetView zoomScale="55" zoomScaleNormal="55" workbookViewId="0"/>
  </sheetViews>
  <sheetFormatPr defaultRowHeight="16.5" x14ac:dyDescent="0.3"/>
  <cols>
    <col min="1" max="1" width="9.140625" style="10"/>
    <col min="2" max="2" width="31.85546875" style="10" bestFit="1" customWidth="1"/>
    <col min="3" max="3" width="16.7109375" style="10" customWidth="1"/>
    <col min="4" max="4" width="28.7109375" style="10" bestFit="1" customWidth="1"/>
    <col min="5" max="5" width="16.28515625" style="10" bestFit="1" customWidth="1"/>
    <col min="6" max="16" width="16.7109375" style="10" customWidth="1"/>
    <col min="17" max="17" width="24.28515625" style="10" customWidth="1"/>
    <col min="18" max="18" width="16.7109375" style="10" customWidth="1"/>
    <col min="19" max="19" width="19.85546875" style="10" customWidth="1"/>
    <col min="20" max="20" width="27.42578125" style="10" bestFit="1" customWidth="1"/>
    <col min="21" max="21" width="16.7109375" style="10" customWidth="1"/>
    <col min="22" max="16384" width="9.140625" style="10"/>
  </cols>
  <sheetData>
    <row r="1" spans="1:21" ht="33" x14ac:dyDescent="0.3">
      <c r="A1" s="75" t="s">
        <v>62</v>
      </c>
      <c r="B1" s="76" t="s">
        <v>64</v>
      </c>
    </row>
    <row r="2" spans="1:21" ht="17.25" thickBot="1" x14ac:dyDescent="0.35">
      <c r="A2" s="12"/>
      <c r="B2" s="77" t="s">
        <v>63</v>
      </c>
    </row>
    <row r="4" spans="1:21" ht="18.75" x14ac:dyDescent="0.3">
      <c r="B4" s="73" t="s">
        <v>44</v>
      </c>
      <c r="C4" s="48"/>
    </row>
    <row r="6" spans="1:21" x14ac:dyDescent="0.3">
      <c r="B6" s="80" t="s">
        <v>65</v>
      </c>
      <c r="C6" s="81" t="s">
        <v>66</v>
      </c>
      <c r="T6" s="49" t="s">
        <v>30</v>
      </c>
      <c r="U6" s="82"/>
    </row>
    <row r="8" spans="1:21" ht="57.6" customHeight="1" x14ac:dyDescent="0.3">
      <c r="B8" s="50" t="s">
        <v>20</v>
      </c>
      <c r="C8" s="51" t="s">
        <v>21</v>
      </c>
      <c r="D8" s="52" t="s">
        <v>22</v>
      </c>
      <c r="E8" s="53" t="s">
        <v>23</v>
      </c>
      <c r="F8" s="53" t="s">
        <v>31</v>
      </c>
      <c r="G8" s="53" t="s">
        <v>32</v>
      </c>
      <c r="H8" s="53" t="s">
        <v>24</v>
      </c>
      <c r="I8" s="53" t="s">
        <v>9</v>
      </c>
      <c r="J8" s="53" t="s">
        <v>41</v>
      </c>
      <c r="K8" s="52" t="s">
        <v>10</v>
      </c>
      <c r="L8" s="53" t="s">
        <v>25</v>
      </c>
      <c r="M8" s="53" t="s">
        <v>33</v>
      </c>
      <c r="N8" s="53" t="s">
        <v>34</v>
      </c>
      <c r="O8" s="53" t="s">
        <v>26</v>
      </c>
      <c r="P8" s="53" t="s">
        <v>18</v>
      </c>
      <c r="Q8" s="53" t="s">
        <v>43</v>
      </c>
      <c r="R8" s="52" t="s">
        <v>19</v>
      </c>
      <c r="S8" s="53" t="s">
        <v>27</v>
      </c>
      <c r="T8" s="53" t="s">
        <v>28</v>
      </c>
      <c r="U8" s="52" t="s">
        <v>29</v>
      </c>
    </row>
    <row r="9" spans="1:21" x14ac:dyDescent="0.3">
      <c r="B9" s="54"/>
      <c r="C9" s="55"/>
      <c r="D9" s="56" t="s">
        <v>2</v>
      </c>
      <c r="E9" s="57" t="s">
        <v>2</v>
      </c>
      <c r="F9" s="57" t="s">
        <v>2</v>
      </c>
      <c r="G9" s="57" t="s">
        <v>2</v>
      </c>
      <c r="H9" s="57" t="s">
        <v>0</v>
      </c>
      <c r="I9" s="57" t="s">
        <v>2</v>
      </c>
      <c r="J9" s="57" t="s">
        <v>2</v>
      </c>
      <c r="K9" s="56" t="s">
        <v>0</v>
      </c>
      <c r="L9" s="57" t="s">
        <v>0</v>
      </c>
      <c r="M9" s="57" t="s">
        <v>0</v>
      </c>
      <c r="N9" s="57" t="s">
        <v>0</v>
      </c>
      <c r="O9" s="57" t="s">
        <v>0</v>
      </c>
      <c r="P9" s="57" t="s">
        <v>0</v>
      </c>
      <c r="Q9" s="57" t="s">
        <v>0</v>
      </c>
      <c r="R9" s="56" t="s">
        <v>0</v>
      </c>
      <c r="S9" s="57" t="s">
        <v>0</v>
      </c>
      <c r="T9" s="57" t="s">
        <v>0</v>
      </c>
      <c r="U9" s="56" t="s">
        <v>0</v>
      </c>
    </row>
    <row r="10" spans="1:21" x14ac:dyDescent="0.3">
      <c r="B10" s="58">
        <v>2019</v>
      </c>
      <c r="C10" s="59">
        <v>0</v>
      </c>
      <c r="D10" s="60"/>
      <c r="E10" s="61"/>
      <c r="F10" s="61"/>
      <c r="G10" s="61"/>
      <c r="H10" s="62"/>
      <c r="I10" s="61"/>
      <c r="J10" s="61"/>
      <c r="K10" s="60"/>
      <c r="L10" s="63"/>
      <c r="M10" s="63"/>
      <c r="N10" s="63"/>
      <c r="O10" s="63"/>
      <c r="P10" s="63"/>
      <c r="Q10" s="63"/>
      <c r="R10" s="64"/>
      <c r="S10" s="63"/>
      <c r="T10" s="63"/>
      <c r="U10" s="64"/>
    </row>
    <row r="11" spans="1:21" x14ac:dyDescent="0.3">
      <c r="A11" s="65"/>
      <c r="B11" s="58">
        <v>2020</v>
      </c>
      <c r="C11" s="59">
        <v>1</v>
      </c>
      <c r="D11" s="71">
        <v>55000000000</v>
      </c>
      <c r="E11" s="72">
        <f>200*10^6</f>
        <v>200000000</v>
      </c>
      <c r="F11" s="63"/>
      <c r="G11" s="63"/>
      <c r="H11" s="63"/>
      <c r="I11" s="63"/>
      <c r="J11" s="63"/>
      <c r="K11" s="64"/>
      <c r="L11" s="63"/>
      <c r="M11" s="63"/>
      <c r="N11" s="63"/>
      <c r="O11" s="63"/>
      <c r="P11" s="63"/>
      <c r="Q11" s="61"/>
      <c r="R11" s="64"/>
      <c r="S11" s="63"/>
      <c r="T11" s="63"/>
      <c r="U11" s="64"/>
    </row>
    <row r="12" spans="1:21" x14ac:dyDescent="0.3">
      <c r="A12" s="65"/>
      <c r="B12" s="58">
        <v>2021</v>
      </c>
      <c r="C12" s="59">
        <v>2</v>
      </c>
      <c r="D12" s="64"/>
      <c r="E12" s="63"/>
      <c r="F12" s="63"/>
      <c r="G12" s="63"/>
      <c r="H12" s="63"/>
      <c r="I12" s="63"/>
      <c r="J12" s="61"/>
      <c r="K12" s="64"/>
      <c r="L12" s="63"/>
      <c r="M12" s="63"/>
      <c r="N12" s="63"/>
      <c r="O12" s="63"/>
      <c r="P12" s="63"/>
      <c r="Q12" s="61"/>
      <c r="R12" s="64"/>
      <c r="S12" s="63"/>
      <c r="T12" s="63"/>
      <c r="U12" s="64"/>
    </row>
    <row r="13" spans="1:21" x14ac:dyDescent="0.3">
      <c r="A13" s="65"/>
      <c r="B13" s="58">
        <v>2022</v>
      </c>
      <c r="C13" s="59">
        <v>3</v>
      </c>
      <c r="D13" s="64"/>
      <c r="E13" s="63"/>
      <c r="F13" s="63"/>
      <c r="G13" s="63"/>
      <c r="H13" s="63"/>
      <c r="I13" s="63"/>
      <c r="J13" s="61"/>
      <c r="K13" s="64"/>
      <c r="L13" s="63"/>
      <c r="M13" s="63"/>
      <c r="N13" s="63"/>
      <c r="O13" s="63"/>
      <c r="P13" s="63"/>
      <c r="Q13" s="61"/>
      <c r="R13" s="64"/>
      <c r="S13" s="63"/>
      <c r="T13" s="63"/>
      <c r="U13" s="64"/>
    </row>
    <row r="14" spans="1:21" x14ac:dyDescent="0.3">
      <c r="A14" s="65"/>
      <c r="B14" s="58">
        <v>2023</v>
      </c>
      <c r="C14" s="59">
        <v>4</v>
      </c>
      <c r="D14" s="64"/>
      <c r="E14" s="63"/>
      <c r="F14" s="63"/>
      <c r="G14" s="63"/>
      <c r="H14" s="63"/>
      <c r="I14" s="63"/>
      <c r="J14" s="61"/>
      <c r="K14" s="64"/>
      <c r="L14" s="63"/>
      <c r="M14" s="63"/>
      <c r="N14" s="63"/>
      <c r="O14" s="63"/>
      <c r="P14" s="63"/>
      <c r="Q14" s="61"/>
      <c r="R14" s="64"/>
      <c r="S14" s="63"/>
      <c r="T14" s="63"/>
      <c r="U14" s="64"/>
    </row>
    <row r="15" spans="1:21" x14ac:dyDescent="0.3">
      <c r="A15" s="65"/>
      <c r="B15" s="58">
        <v>2024</v>
      </c>
      <c r="C15" s="59">
        <v>5</v>
      </c>
      <c r="D15" s="64"/>
      <c r="E15" s="63"/>
      <c r="F15" s="63"/>
      <c r="G15" s="63"/>
      <c r="H15" s="63"/>
      <c r="I15" s="63"/>
      <c r="J15" s="61"/>
      <c r="K15" s="64"/>
      <c r="L15" s="63"/>
      <c r="M15" s="63"/>
      <c r="N15" s="63"/>
      <c r="O15" s="63"/>
      <c r="P15" s="63"/>
      <c r="Q15" s="61"/>
      <c r="R15" s="64"/>
      <c r="S15" s="63"/>
      <c r="T15" s="63"/>
      <c r="U15" s="64"/>
    </row>
    <row r="16" spans="1:21" x14ac:dyDescent="0.3">
      <c r="A16" s="65"/>
      <c r="B16" s="58">
        <v>2025</v>
      </c>
      <c r="C16" s="59">
        <v>6</v>
      </c>
      <c r="D16" s="64"/>
      <c r="E16" s="63"/>
      <c r="F16" s="63"/>
      <c r="G16" s="63"/>
      <c r="H16" s="63"/>
      <c r="I16" s="63"/>
      <c r="J16" s="61"/>
      <c r="K16" s="64"/>
      <c r="L16" s="63"/>
      <c r="M16" s="63"/>
      <c r="N16" s="63"/>
      <c r="O16" s="63"/>
      <c r="P16" s="63"/>
      <c r="Q16" s="61"/>
      <c r="R16" s="64"/>
      <c r="S16" s="63"/>
      <c r="T16" s="63"/>
      <c r="U16" s="64"/>
    </row>
    <row r="17" spans="1:21" x14ac:dyDescent="0.3">
      <c r="A17" s="65"/>
      <c r="B17" s="58">
        <v>2026</v>
      </c>
      <c r="C17" s="59">
        <v>7</v>
      </c>
      <c r="D17" s="64"/>
      <c r="E17" s="63"/>
      <c r="F17" s="63"/>
      <c r="G17" s="63"/>
      <c r="H17" s="63"/>
      <c r="I17" s="63"/>
      <c r="J17" s="61"/>
      <c r="K17" s="64"/>
      <c r="L17" s="63"/>
      <c r="M17" s="63"/>
      <c r="N17" s="63"/>
      <c r="O17" s="63"/>
      <c r="P17" s="63"/>
      <c r="Q17" s="61"/>
      <c r="R17" s="64"/>
      <c r="S17" s="63"/>
      <c r="T17" s="63"/>
      <c r="U17" s="64"/>
    </row>
    <row r="18" spans="1:21" x14ac:dyDescent="0.3">
      <c r="A18" s="65"/>
      <c r="B18" s="58">
        <v>2027</v>
      </c>
      <c r="C18" s="59">
        <v>8</v>
      </c>
      <c r="D18" s="64"/>
      <c r="E18" s="63"/>
      <c r="F18" s="63"/>
      <c r="G18" s="63"/>
      <c r="H18" s="63"/>
      <c r="I18" s="63"/>
      <c r="J18" s="61"/>
      <c r="K18" s="64"/>
      <c r="L18" s="63"/>
      <c r="M18" s="63"/>
      <c r="N18" s="63"/>
      <c r="O18" s="63"/>
      <c r="P18" s="63"/>
      <c r="Q18" s="61"/>
      <c r="R18" s="64"/>
      <c r="S18" s="63"/>
      <c r="T18" s="63"/>
      <c r="U18" s="64"/>
    </row>
    <row r="19" spans="1:21" x14ac:dyDescent="0.3">
      <c r="A19" s="65"/>
      <c r="B19" s="58">
        <v>2028</v>
      </c>
      <c r="C19" s="59">
        <v>9</v>
      </c>
      <c r="D19" s="64"/>
      <c r="E19" s="63"/>
      <c r="F19" s="63"/>
      <c r="G19" s="63"/>
      <c r="H19" s="63"/>
      <c r="I19" s="63"/>
      <c r="J19" s="61"/>
      <c r="K19" s="64"/>
      <c r="L19" s="63"/>
      <c r="M19" s="63"/>
      <c r="N19" s="63"/>
      <c r="O19" s="63"/>
      <c r="P19" s="63"/>
      <c r="Q19" s="61"/>
      <c r="R19" s="64"/>
      <c r="S19" s="63"/>
      <c r="T19" s="63"/>
      <c r="U19" s="64"/>
    </row>
    <row r="20" spans="1:21" x14ac:dyDescent="0.3">
      <c r="A20" s="65"/>
      <c r="B20" s="58">
        <v>2029</v>
      </c>
      <c r="C20" s="59">
        <v>10</v>
      </c>
      <c r="D20" s="64"/>
      <c r="E20" s="63"/>
      <c r="F20" s="63"/>
      <c r="G20" s="63"/>
      <c r="H20" s="63"/>
      <c r="I20" s="63"/>
      <c r="J20" s="61"/>
      <c r="K20" s="64"/>
      <c r="L20" s="63"/>
      <c r="M20" s="63"/>
      <c r="N20" s="63"/>
      <c r="O20" s="63"/>
      <c r="P20" s="63"/>
      <c r="Q20" s="61"/>
      <c r="R20" s="64"/>
      <c r="S20" s="63"/>
      <c r="T20" s="63"/>
      <c r="U20" s="64"/>
    </row>
    <row r="21" spans="1:21" x14ac:dyDescent="0.3">
      <c r="A21" s="65"/>
      <c r="B21" s="58">
        <v>2030</v>
      </c>
      <c r="C21" s="59">
        <v>11</v>
      </c>
      <c r="D21" s="64"/>
      <c r="E21" s="63"/>
      <c r="F21" s="63"/>
      <c r="G21" s="63"/>
      <c r="H21" s="63"/>
      <c r="I21" s="63"/>
      <c r="J21" s="61"/>
      <c r="K21" s="64"/>
      <c r="L21" s="63"/>
      <c r="M21" s="63"/>
      <c r="N21" s="63"/>
      <c r="O21" s="63"/>
      <c r="P21" s="63"/>
      <c r="Q21" s="61"/>
      <c r="R21" s="64"/>
      <c r="S21" s="63"/>
      <c r="T21" s="63"/>
      <c r="U21" s="64"/>
    </row>
    <row r="22" spans="1:21" x14ac:dyDescent="0.3">
      <c r="A22" s="65"/>
      <c r="B22" s="58">
        <v>2031</v>
      </c>
      <c r="C22" s="59">
        <v>12</v>
      </c>
      <c r="D22" s="64"/>
      <c r="E22" s="63"/>
      <c r="F22" s="63"/>
      <c r="G22" s="63"/>
      <c r="H22" s="63"/>
      <c r="I22" s="63"/>
      <c r="J22" s="61"/>
      <c r="K22" s="64"/>
      <c r="L22" s="63"/>
      <c r="M22" s="63"/>
      <c r="N22" s="63"/>
      <c r="O22" s="63"/>
      <c r="P22" s="63"/>
      <c r="Q22" s="61"/>
      <c r="R22" s="64"/>
      <c r="S22" s="63"/>
      <c r="T22" s="63"/>
      <c r="U22" s="64"/>
    </row>
    <row r="23" spans="1:21" x14ac:dyDescent="0.3">
      <c r="A23" s="65"/>
      <c r="B23" s="58">
        <v>2032</v>
      </c>
      <c r="C23" s="59">
        <v>13</v>
      </c>
      <c r="D23" s="64"/>
      <c r="E23" s="63"/>
      <c r="F23" s="63"/>
      <c r="G23" s="63"/>
      <c r="H23" s="63"/>
      <c r="I23" s="63"/>
      <c r="J23" s="61"/>
      <c r="K23" s="64"/>
      <c r="L23" s="63"/>
      <c r="M23" s="63"/>
      <c r="N23" s="63"/>
      <c r="O23" s="63"/>
      <c r="P23" s="63"/>
      <c r="Q23" s="61"/>
      <c r="R23" s="64"/>
      <c r="S23" s="63"/>
      <c r="T23" s="63"/>
      <c r="U23" s="64"/>
    </row>
    <row r="24" spans="1:21" x14ac:dyDescent="0.3">
      <c r="A24" s="65"/>
      <c r="B24" s="58">
        <v>2033</v>
      </c>
      <c r="C24" s="59">
        <v>14</v>
      </c>
      <c r="D24" s="64"/>
      <c r="E24" s="63"/>
      <c r="F24" s="63"/>
      <c r="G24" s="63"/>
      <c r="H24" s="63"/>
      <c r="I24" s="63"/>
      <c r="J24" s="61"/>
      <c r="K24" s="64"/>
      <c r="L24" s="63"/>
      <c r="M24" s="63"/>
      <c r="N24" s="63"/>
      <c r="O24" s="63"/>
      <c r="P24" s="63"/>
      <c r="Q24" s="61"/>
      <c r="R24" s="64"/>
      <c r="S24" s="63"/>
      <c r="T24" s="63"/>
      <c r="U24" s="64"/>
    </row>
    <row r="25" spans="1:21" x14ac:dyDescent="0.3">
      <c r="A25" s="65"/>
      <c r="B25" s="58">
        <v>2034</v>
      </c>
      <c r="C25" s="59">
        <v>15</v>
      </c>
      <c r="D25" s="64"/>
      <c r="E25" s="63"/>
      <c r="F25" s="63"/>
      <c r="G25" s="63"/>
      <c r="H25" s="63"/>
      <c r="I25" s="63"/>
      <c r="J25" s="61"/>
      <c r="K25" s="64"/>
      <c r="L25" s="63"/>
      <c r="M25" s="63"/>
      <c r="N25" s="63"/>
      <c r="O25" s="63"/>
      <c r="P25" s="63"/>
      <c r="Q25" s="61"/>
      <c r="R25" s="64"/>
      <c r="S25" s="63"/>
      <c r="T25" s="63"/>
      <c r="U25" s="64"/>
    </row>
    <row r="26" spans="1:21" x14ac:dyDescent="0.3">
      <c r="A26" s="65"/>
      <c r="B26" s="58">
        <v>2035</v>
      </c>
      <c r="C26" s="59">
        <v>16</v>
      </c>
      <c r="D26" s="64"/>
      <c r="E26" s="63"/>
      <c r="F26" s="63"/>
      <c r="G26" s="63"/>
      <c r="H26" s="63"/>
      <c r="I26" s="63"/>
      <c r="J26" s="61"/>
      <c r="K26" s="64"/>
      <c r="L26" s="63"/>
      <c r="M26" s="63"/>
      <c r="N26" s="63"/>
      <c r="O26" s="63"/>
      <c r="P26" s="63"/>
      <c r="Q26" s="61"/>
      <c r="R26" s="64"/>
      <c r="S26" s="63"/>
      <c r="T26" s="63"/>
      <c r="U26" s="64"/>
    </row>
    <row r="27" spans="1:21" x14ac:dyDescent="0.3">
      <c r="A27" s="65"/>
      <c r="B27" s="58">
        <v>2036</v>
      </c>
      <c r="C27" s="59">
        <v>17</v>
      </c>
      <c r="D27" s="64"/>
      <c r="E27" s="63"/>
      <c r="F27" s="63"/>
      <c r="G27" s="63"/>
      <c r="H27" s="63"/>
      <c r="I27" s="63"/>
      <c r="J27" s="61"/>
      <c r="K27" s="64"/>
      <c r="L27" s="63"/>
      <c r="M27" s="63"/>
      <c r="N27" s="63"/>
      <c r="O27" s="63"/>
      <c r="P27" s="63"/>
      <c r="Q27" s="61"/>
      <c r="R27" s="64"/>
      <c r="S27" s="63"/>
      <c r="T27" s="63"/>
      <c r="U27" s="64"/>
    </row>
    <row r="28" spans="1:21" x14ac:dyDescent="0.3">
      <c r="A28" s="65"/>
      <c r="B28" s="58">
        <v>2037</v>
      </c>
      <c r="C28" s="59">
        <v>18</v>
      </c>
      <c r="D28" s="64"/>
      <c r="E28" s="63"/>
      <c r="F28" s="63"/>
      <c r="G28" s="63"/>
      <c r="H28" s="63"/>
      <c r="I28" s="63"/>
      <c r="J28" s="61"/>
      <c r="K28" s="64"/>
      <c r="L28" s="63"/>
      <c r="M28" s="63"/>
      <c r="N28" s="63"/>
      <c r="O28" s="63"/>
      <c r="P28" s="63"/>
      <c r="Q28" s="61"/>
      <c r="R28" s="64"/>
      <c r="S28" s="63"/>
      <c r="T28" s="63"/>
      <c r="U28" s="64"/>
    </row>
    <row r="29" spans="1:21" x14ac:dyDescent="0.3">
      <c r="A29" s="65"/>
      <c r="B29" s="58">
        <v>2038</v>
      </c>
      <c r="C29" s="59">
        <v>19</v>
      </c>
      <c r="D29" s="64"/>
      <c r="E29" s="63"/>
      <c r="F29" s="63"/>
      <c r="G29" s="63"/>
      <c r="H29" s="63"/>
      <c r="I29" s="63"/>
      <c r="J29" s="61"/>
      <c r="K29" s="64"/>
      <c r="L29" s="63"/>
      <c r="M29" s="63"/>
      <c r="N29" s="63"/>
      <c r="O29" s="63"/>
      <c r="P29" s="63"/>
      <c r="Q29" s="61"/>
      <c r="R29" s="64"/>
      <c r="S29" s="63"/>
      <c r="T29" s="63"/>
      <c r="U29" s="64"/>
    </row>
    <row r="30" spans="1:21" x14ac:dyDescent="0.3">
      <c r="A30" s="65"/>
      <c r="B30" s="58">
        <v>2039</v>
      </c>
      <c r="C30" s="59">
        <v>20</v>
      </c>
      <c r="D30" s="64"/>
      <c r="E30" s="63"/>
      <c r="F30" s="63"/>
      <c r="G30" s="63"/>
      <c r="H30" s="63"/>
      <c r="I30" s="63"/>
      <c r="J30" s="61"/>
      <c r="K30" s="64"/>
      <c r="L30" s="63"/>
      <c r="M30" s="63"/>
      <c r="N30" s="63"/>
      <c r="O30" s="63"/>
      <c r="P30" s="63"/>
      <c r="Q30" s="61"/>
      <c r="R30" s="64"/>
      <c r="S30" s="63"/>
      <c r="T30" s="63"/>
      <c r="U30" s="64"/>
    </row>
    <row r="31" spans="1:21" x14ac:dyDescent="0.3">
      <c r="A31" s="65"/>
      <c r="B31" s="58">
        <v>2040</v>
      </c>
      <c r="C31" s="59">
        <v>21</v>
      </c>
      <c r="D31" s="64"/>
      <c r="E31" s="63"/>
      <c r="F31" s="63"/>
      <c r="G31" s="63"/>
      <c r="H31" s="63"/>
      <c r="I31" s="63"/>
      <c r="J31" s="61"/>
      <c r="K31" s="64"/>
      <c r="L31" s="63"/>
      <c r="M31" s="63"/>
      <c r="N31" s="63"/>
      <c r="O31" s="63"/>
      <c r="P31" s="63"/>
      <c r="Q31" s="61"/>
      <c r="R31" s="64"/>
      <c r="S31" s="63"/>
      <c r="T31" s="63"/>
      <c r="U31" s="64"/>
    </row>
    <row r="32" spans="1:21" x14ac:dyDescent="0.3">
      <c r="A32" s="65"/>
      <c r="B32" s="58">
        <v>2041</v>
      </c>
      <c r="C32" s="59">
        <v>22</v>
      </c>
      <c r="D32" s="64"/>
      <c r="E32" s="63"/>
      <c r="F32" s="63"/>
      <c r="G32" s="63"/>
      <c r="H32" s="63"/>
      <c r="I32" s="63"/>
      <c r="J32" s="61"/>
      <c r="K32" s="64"/>
      <c r="L32" s="63"/>
      <c r="M32" s="63"/>
      <c r="N32" s="63"/>
      <c r="O32" s="63"/>
      <c r="P32" s="63"/>
      <c r="Q32" s="61"/>
      <c r="R32" s="64"/>
      <c r="S32" s="63"/>
      <c r="T32" s="63"/>
      <c r="U32" s="64"/>
    </row>
    <row r="33" spans="1:21" x14ac:dyDescent="0.3">
      <c r="A33" s="65"/>
      <c r="B33" s="58">
        <v>2042</v>
      </c>
      <c r="C33" s="59">
        <v>23</v>
      </c>
      <c r="D33" s="64"/>
      <c r="E33" s="63"/>
      <c r="F33" s="63"/>
      <c r="G33" s="63"/>
      <c r="H33" s="63"/>
      <c r="I33" s="63"/>
      <c r="J33" s="61"/>
      <c r="K33" s="64"/>
      <c r="L33" s="63"/>
      <c r="M33" s="63"/>
      <c r="N33" s="63"/>
      <c r="O33" s="63"/>
      <c r="P33" s="63"/>
      <c r="Q33" s="61"/>
      <c r="R33" s="64"/>
      <c r="S33" s="63"/>
      <c r="T33" s="63"/>
      <c r="U33" s="64"/>
    </row>
    <row r="34" spans="1:21" x14ac:dyDescent="0.3">
      <c r="A34" s="65"/>
      <c r="B34" s="58">
        <v>2043</v>
      </c>
      <c r="C34" s="59">
        <v>24</v>
      </c>
      <c r="D34" s="64"/>
      <c r="E34" s="63"/>
      <c r="F34" s="63"/>
      <c r="G34" s="63"/>
      <c r="H34" s="63"/>
      <c r="I34" s="63"/>
      <c r="J34" s="61"/>
      <c r="K34" s="64"/>
      <c r="L34" s="63"/>
      <c r="M34" s="63"/>
      <c r="N34" s="63"/>
      <c r="O34" s="63"/>
      <c r="P34" s="63"/>
      <c r="Q34" s="61"/>
      <c r="R34" s="64"/>
      <c r="S34" s="63"/>
      <c r="T34" s="63"/>
      <c r="U34" s="64"/>
    </row>
    <row r="35" spans="1:21" x14ac:dyDescent="0.3">
      <c r="A35" s="65"/>
      <c r="B35" s="58">
        <v>2044</v>
      </c>
      <c r="C35" s="59">
        <v>25</v>
      </c>
      <c r="D35" s="64"/>
      <c r="E35" s="63"/>
      <c r="F35" s="63"/>
      <c r="G35" s="63"/>
      <c r="H35" s="63"/>
      <c r="I35" s="63"/>
      <c r="J35" s="61"/>
      <c r="K35" s="64"/>
      <c r="L35" s="63"/>
      <c r="M35" s="63"/>
      <c r="N35" s="63"/>
      <c r="O35" s="63"/>
      <c r="P35" s="63"/>
      <c r="Q35" s="61"/>
      <c r="R35" s="64"/>
      <c r="S35" s="63"/>
      <c r="T35" s="63"/>
      <c r="U35" s="64"/>
    </row>
    <row r="36" spans="1:21" x14ac:dyDescent="0.3">
      <c r="A36" s="65"/>
      <c r="B36" s="58">
        <v>2045</v>
      </c>
      <c r="C36" s="59">
        <v>26</v>
      </c>
      <c r="D36" s="64"/>
      <c r="E36" s="63"/>
      <c r="F36" s="63"/>
      <c r="G36" s="63"/>
      <c r="H36" s="63"/>
      <c r="I36" s="63"/>
      <c r="J36" s="61"/>
      <c r="K36" s="64"/>
      <c r="L36" s="63"/>
      <c r="M36" s="63"/>
      <c r="N36" s="63"/>
      <c r="O36" s="63"/>
      <c r="P36" s="63"/>
      <c r="Q36" s="61"/>
      <c r="R36" s="64"/>
      <c r="S36" s="63"/>
      <c r="T36" s="63"/>
      <c r="U36" s="64"/>
    </row>
    <row r="37" spans="1:21" x14ac:dyDescent="0.3">
      <c r="A37" s="65"/>
      <c r="B37" s="58">
        <v>2046</v>
      </c>
      <c r="C37" s="59">
        <v>27</v>
      </c>
      <c r="D37" s="64"/>
      <c r="E37" s="63"/>
      <c r="F37" s="63"/>
      <c r="G37" s="63"/>
      <c r="H37" s="63"/>
      <c r="I37" s="63"/>
      <c r="J37" s="61"/>
      <c r="K37" s="64"/>
      <c r="L37" s="63"/>
      <c r="M37" s="63"/>
      <c r="N37" s="63"/>
      <c r="O37" s="63"/>
      <c r="P37" s="63"/>
      <c r="Q37" s="61"/>
      <c r="R37" s="64"/>
      <c r="S37" s="63"/>
      <c r="T37" s="63"/>
      <c r="U37" s="64"/>
    </row>
    <row r="38" spans="1:21" x14ac:dyDescent="0.3">
      <c r="A38" s="65"/>
      <c r="B38" s="58">
        <v>2047</v>
      </c>
      <c r="C38" s="59">
        <v>28</v>
      </c>
      <c r="D38" s="64"/>
      <c r="E38" s="63"/>
      <c r="F38" s="63"/>
      <c r="G38" s="63"/>
      <c r="H38" s="63"/>
      <c r="I38" s="63"/>
      <c r="J38" s="61"/>
      <c r="K38" s="64"/>
      <c r="L38" s="63"/>
      <c r="M38" s="63"/>
      <c r="N38" s="63"/>
      <c r="O38" s="63"/>
      <c r="P38" s="63"/>
      <c r="Q38" s="61"/>
      <c r="R38" s="64"/>
      <c r="S38" s="63"/>
      <c r="T38" s="63"/>
      <c r="U38" s="64"/>
    </row>
    <row r="39" spans="1:21" x14ac:dyDescent="0.3">
      <c r="A39" s="65"/>
      <c r="B39" s="58">
        <v>2048</v>
      </c>
      <c r="C39" s="59">
        <v>29</v>
      </c>
      <c r="D39" s="64"/>
      <c r="E39" s="63"/>
      <c r="F39" s="63"/>
      <c r="G39" s="63"/>
      <c r="H39" s="63"/>
      <c r="I39" s="63"/>
      <c r="J39" s="61"/>
      <c r="K39" s="64"/>
      <c r="L39" s="63"/>
      <c r="M39" s="63"/>
      <c r="N39" s="63"/>
      <c r="O39" s="63"/>
      <c r="P39" s="63"/>
      <c r="Q39" s="61"/>
      <c r="R39" s="64"/>
      <c r="S39" s="63"/>
      <c r="T39" s="63"/>
      <c r="U39" s="64"/>
    </row>
    <row r="40" spans="1:21" x14ac:dyDescent="0.3">
      <c r="A40" s="65"/>
      <c r="B40" s="58">
        <v>2049</v>
      </c>
      <c r="C40" s="59">
        <v>30</v>
      </c>
      <c r="D40" s="64"/>
      <c r="E40" s="63"/>
      <c r="F40" s="63"/>
      <c r="G40" s="63"/>
      <c r="H40" s="63"/>
      <c r="I40" s="63"/>
      <c r="J40" s="61"/>
      <c r="K40" s="64"/>
      <c r="L40" s="63"/>
      <c r="M40" s="63"/>
      <c r="N40" s="63"/>
      <c r="O40" s="63"/>
      <c r="P40" s="63"/>
      <c r="Q40" s="61"/>
      <c r="R40" s="64"/>
      <c r="S40" s="63"/>
      <c r="T40" s="63"/>
      <c r="U40" s="64"/>
    </row>
    <row r="41" spans="1:21" x14ac:dyDescent="0.3">
      <c r="A41" s="65"/>
      <c r="B41" s="58">
        <v>2050</v>
      </c>
      <c r="C41" s="59">
        <v>31</v>
      </c>
      <c r="D41" s="64"/>
      <c r="E41" s="63"/>
      <c r="F41" s="63"/>
      <c r="G41" s="63"/>
      <c r="H41" s="63"/>
      <c r="I41" s="63"/>
      <c r="J41" s="61"/>
      <c r="K41" s="64"/>
      <c r="L41" s="63"/>
      <c r="M41" s="63"/>
      <c r="N41" s="63"/>
      <c r="O41" s="63"/>
      <c r="P41" s="63"/>
      <c r="Q41" s="61"/>
      <c r="R41" s="64"/>
      <c r="S41" s="63"/>
      <c r="T41" s="63"/>
      <c r="U41" s="64"/>
    </row>
    <row r="42" spans="1:21" x14ac:dyDescent="0.3">
      <c r="A42" s="65"/>
      <c r="B42" s="58">
        <v>2051</v>
      </c>
      <c r="C42" s="59">
        <v>32</v>
      </c>
      <c r="D42" s="64"/>
      <c r="E42" s="63"/>
      <c r="F42" s="63"/>
      <c r="G42" s="63"/>
      <c r="H42" s="63"/>
      <c r="I42" s="63"/>
      <c r="J42" s="61"/>
      <c r="K42" s="64"/>
      <c r="L42" s="63"/>
      <c r="M42" s="63"/>
      <c r="N42" s="63"/>
      <c r="O42" s="63"/>
      <c r="P42" s="63"/>
      <c r="Q42" s="61"/>
      <c r="R42" s="64"/>
      <c r="S42" s="63"/>
      <c r="T42" s="63"/>
      <c r="U42" s="64"/>
    </row>
    <row r="43" spans="1:21" x14ac:dyDescent="0.3">
      <c r="A43" s="65"/>
      <c r="B43" s="58">
        <v>2052</v>
      </c>
      <c r="C43" s="59">
        <v>33</v>
      </c>
      <c r="D43" s="64"/>
      <c r="E43" s="63"/>
      <c r="F43" s="63"/>
      <c r="G43" s="63"/>
      <c r="H43" s="63"/>
      <c r="I43" s="63"/>
      <c r="J43" s="61"/>
      <c r="K43" s="64"/>
      <c r="L43" s="63"/>
      <c r="M43" s="63"/>
      <c r="N43" s="63"/>
      <c r="O43" s="63"/>
      <c r="P43" s="63"/>
      <c r="Q43" s="61"/>
      <c r="R43" s="64"/>
      <c r="S43" s="63"/>
      <c r="T43" s="63"/>
      <c r="U43" s="64"/>
    </row>
    <row r="44" spans="1:21" x14ac:dyDescent="0.3">
      <c r="A44" s="65"/>
      <c r="B44" s="58">
        <v>2053</v>
      </c>
      <c r="C44" s="59">
        <v>34</v>
      </c>
      <c r="D44" s="64"/>
      <c r="E44" s="63"/>
      <c r="F44" s="63"/>
      <c r="G44" s="63"/>
      <c r="H44" s="63"/>
      <c r="I44" s="63"/>
      <c r="J44" s="61"/>
      <c r="K44" s="64"/>
      <c r="L44" s="63"/>
      <c r="M44" s="63"/>
      <c r="N44" s="63"/>
      <c r="O44" s="63"/>
      <c r="P44" s="63"/>
      <c r="Q44" s="61"/>
      <c r="R44" s="64"/>
      <c r="S44" s="63"/>
      <c r="T44" s="63"/>
      <c r="U44" s="64"/>
    </row>
    <row r="45" spans="1:21" x14ac:dyDescent="0.3">
      <c r="A45" s="65"/>
      <c r="B45" s="58">
        <v>2054</v>
      </c>
      <c r="C45" s="59">
        <v>35</v>
      </c>
      <c r="D45" s="64"/>
      <c r="E45" s="63"/>
      <c r="F45" s="63"/>
      <c r="G45" s="63"/>
      <c r="H45" s="63"/>
      <c r="I45" s="63"/>
      <c r="J45" s="61"/>
      <c r="K45" s="64"/>
      <c r="L45" s="63"/>
      <c r="M45" s="63"/>
      <c r="N45" s="63"/>
      <c r="O45" s="63"/>
      <c r="P45" s="63"/>
      <c r="Q45" s="61"/>
      <c r="R45" s="64"/>
      <c r="S45" s="63"/>
      <c r="T45" s="63"/>
      <c r="U45" s="64"/>
    </row>
    <row r="46" spans="1:21" x14ac:dyDescent="0.3">
      <c r="A46" s="65"/>
      <c r="B46" s="58">
        <v>2055</v>
      </c>
      <c r="C46" s="59">
        <v>36</v>
      </c>
      <c r="D46" s="64"/>
      <c r="E46" s="63"/>
      <c r="F46" s="63"/>
      <c r="G46" s="63"/>
      <c r="H46" s="63"/>
      <c r="I46" s="63"/>
      <c r="J46" s="61"/>
      <c r="K46" s="64"/>
      <c r="L46" s="63"/>
      <c r="M46" s="63"/>
      <c r="N46" s="63"/>
      <c r="O46" s="63"/>
      <c r="P46" s="63"/>
      <c r="Q46" s="61"/>
      <c r="R46" s="64"/>
      <c r="S46" s="63"/>
      <c r="T46" s="63"/>
      <c r="U46" s="64"/>
    </row>
    <row r="47" spans="1:21" x14ac:dyDescent="0.3">
      <c r="A47" s="65"/>
      <c r="B47" s="58">
        <v>2056</v>
      </c>
      <c r="C47" s="59">
        <v>37</v>
      </c>
      <c r="D47" s="64"/>
      <c r="E47" s="63"/>
      <c r="F47" s="63"/>
      <c r="G47" s="63"/>
      <c r="H47" s="63"/>
      <c r="I47" s="63"/>
      <c r="J47" s="61"/>
      <c r="K47" s="64"/>
      <c r="L47" s="63"/>
      <c r="M47" s="63"/>
      <c r="N47" s="63"/>
      <c r="O47" s="63"/>
      <c r="P47" s="63"/>
      <c r="Q47" s="61"/>
      <c r="R47" s="64"/>
      <c r="S47" s="63"/>
      <c r="T47" s="63"/>
      <c r="U47" s="64"/>
    </row>
    <row r="48" spans="1:21" x14ac:dyDescent="0.3">
      <c r="A48" s="65"/>
      <c r="B48" s="58">
        <v>2057</v>
      </c>
      <c r="C48" s="59">
        <v>38</v>
      </c>
      <c r="D48" s="64"/>
      <c r="E48" s="63"/>
      <c r="F48" s="63"/>
      <c r="G48" s="63"/>
      <c r="H48" s="63"/>
      <c r="I48" s="63"/>
      <c r="J48" s="61"/>
      <c r="K48" s="64"/>
      <c r="L48" s="63"/>
      <c r="M48" s="63"/>
      <c r="N48" s="63"/>
      <c r="O48" s="63"/>
      <c r="P48" s="63"/>
      <c r="Q48" s="61"/>
      <c r="R48" s="64"/>
      <c r="S48" s="63"/>
      <c r="T48" s="63"/>
      <c r="U48" s="64"/>
    </row>
    <row r="49" spans="1:21" x14ac:dyDescent="0.3">
      <c r="A49" s="65"/>
      <c r="B49" s="58">
        <v>2058</v>
      </c>
      <c r="C49" s="59">
        <v>39</v>
      </c>
      <c r="D49" s="64"/>
      <c r="E49" s="63"/>
      <c r="F49" s="63"/>
      <c r="G49" s="63"/>
      <c r="H49" s="63"/>
      <c r="I49" s="63"/>
      <c r="J49" s="61"/>
      <c r="K49" s="64"/>
      <c r="L49" s="63"/>
      <c r="M49" s="63"/>
      <c r="N49" s="63"/>
      <c r="O49" s="63"/>
      <c r="P49" s="63"/>
      <c r="Q49" s="61"/>
      <c r="R49" s="64"/>
      <c r="S49" s="63"/>
      <c r="T49" s="63"/>
      <c r="U49" s="64"/>
    </row>
    <row r="50" spans="1:21" x14ac:dyDescent="0.3">
      <c r="A50" s="65"/>
      <c r="B50" s="58">
        <v>2059</v>
      </c>
      <c r="C50" s="59">
        <v>40</v>
      </c>
      <c r="D50" s="64"/>
      <c r="E50" s="63"/>
      <c r="F50" s="63"/>
      <c r="G50" s="63"/>
      <c r="H50" s="63"/>
      <c r="I50" s="63"/>
      <c r="J50" s="61"/>
      <c r="K50" s="64"/>
      <c r="L50" s="63"/>
      <c r="M50" s="63"/>
      <c r="N50" s="63"/>
      <c r="O50" s="63"/>
      <c r="P50" s="63"/>
      <c r="Q50" s="61"/>
      <c r="R50" s="64"/>
      <c r="S50" s="63"/>
      <c r="T50" s="63"/>
      <c r="U50" s="64"/>
    </row>
    <row r="51" spans="1:21" x14ac:dyDescent="0.3">
      <c r="A51" s="65"/>
      <c r="B51" s="58">
        <v>2060</v>
      </c>
      <c r="C51" s="59">
        <v>41</v>
      </c>
      <c r="D51" s="64"/>
      <c r="E51" s="63"/>
      <c r="F51" s="63"/>
      <c r="G51" s="63"/>
      <c r="H51" s="63"/>
      <c r="I51" s="63"/>
      <c r="J51" s="61"/>
      <c r="K51" s="64"/>
      <c r="L51" s="63"/>
      <c r="M51" s="63"/>
      <c r="N51" s="63"/>
      <c r="O51" s="63"/>
      <c r="P51" s="63"/>
      <c r="Q51" s="61"/>
      <c r="R51" s="64"/>
      <c r="S51" s="63"/>
      <c r="T51" s="63"/>
      <c r="U51" s="64"/>
    </row>
    <row r="52" spans="1:21" x14ac:dyDescent="0.3">
      <c r="A52" s="65"/>
      <c r="B52" s="58">
        <v>2061</v>
      </c>
      <c r="C52" s="59">
        <v>42</v>
      </c>
      <c r="D52" s="64"/>
      <c r="E52" s="63"/>
      <c r="F52" s="63"/>
      <c r="G52" s="63"/>
      <c r="H52" s="63"/>
      <c r="I52" s="63"/>
      <c r="J52" s="61"/>
      <c r="K52" s="64"/>
      <c r="L52" s="63"/>
      <c r="M52" s="63"/>
      <c r="N52" s="63"/>
      <c r="O52" s="63"/>
      <c r="P52" s="63"/>
      <c r="Q52" s="61"/>
      <c r="R52" s="64"/>
      <c r="S52" s="63"/>
      <c r="T52" s="63"/>
      <c r="U52" s="64"/>
    </row>
    <row r="53" spans="1:21" x14ac:dyDescent="0.3">
      <c r="A53" s="65"/>
      <c r="B53" s="58">
        <v>2062</v>
      </c>
      <c r="C53" s="59">
        <v>43</v>
      </c>
      <c r="D53" s="64"/>
      <c r="E53" s="63"/>
      <c r="F53" s="63"/>
      <c r="G53" s="63"/>
      <c r="H53" s="63"/>
      <c r="I53" s="63"/>
      <c r="J53" s="61"/>
      <c r="K53" s="64"/>
      <c r="L53" s="63"/>
      <c r="M53" s="63"/>
      <c r="N53" s="63"/>
      <c r="O53" s="63"/>
      <c r="P53" s="63"/>
      <c r="Q53" s="61"/>
      <c r="R53" s="64"/>
      <c r="S53" s="63"/>
      <c r="T53" s="63"/>
      <c r="U53" s="64"/>
    </row>
    <row r="54" spans="1:21" x14ac:dyDescent="0.3">
      <c r="A54" s="65"/>
      <c r="B54" s="58">
        <v>2063</v>
      </c>
      <c r="C54" s="59">
        <v>44</v>
      </c>
      <c r="D54" s="64"/>
      <c r="E54" s="63"/>
      <c r="F54" s="63"/>
      <c r="G54" s="63"/>
      <c r="H54" s="63"/>
      <c r="I54" s="63"/>
      <c r="J54" s="61"/>
      <c r="K54" s="64"/>
      <c r="L54" s="63"/>
      <c r="M54" s="63"/>
      <c r="N54" s="63"/>
      <c r="O54" s="63"/>
      <c r="P54" s="63"/>
      <c r="Q54" s="61"/>
      <c r="R54" s="64"/>
      <c r="S54" s="63"/>
      <c r="T54" s="63"/>
      <c r="U54" s="64"/>
    </row>
    <row r="55" spans="1:21" x14ac:dyDescent="0.3">
      <c r="A55" s="65"/>
      <c r="B55" s="58">
        <v>2064</v>
      </c>
      <c r="C55" s="59">
        <v>45</v>
      </c>
      <c r="D55" s="64"/>
      <c r="E55" s="63"/>
      <c r="F55" s="63"/>
      <c r="G55" s="63"/>
      <c r="H55" s="63"/>
      <c r="I55" s="63"/>
      <c r="J55" s="61"/>
      <c r="K55" s="64"/>
      <c r="L55" s="63"/>
      <c r="M55" s="63"/>
      <c r="N55" s="63"/>
      <c r="O55" s="63"/>
      <c r="P55" s="63"/>
      <c r="Q55" s="61"/>
      <c r="R55" s="64"/>
      <c r="S55" s="63"/>
      <c r="T55" s="63"/>
      <c r="U55" s="64"/>
    </row>
    <row r="56" spans="1:21" x14ac:dyDescent="0.3">
      <c r="A56" s="65"/>
      <c r="B56" s="58">
        <v>2065</v>
      </c>
      <c r="C56" s="59">
        <v>46</v>
      </c>
      <c r="D56" s="64"/>
      <c r="E56" s="63"/>
      <c r="F56" s="63"/>
      <c r="G56" s="63"/>
      <c r="H56" s="63"/>
      <c r="I56" s="63"/>
      <c r="J56" s="61"/>
      <c r="K56" s="64"/>
      <c r="L56" s="63"/>
      <c r="M56" s="63"/>
      <c r="N56" s="63"/>
      <c r="O56" s="63"/>
      <c r="P56" s="63"/>
      <c r="Q56" s="61"/>
      <c r="R56" s="64"/>
      <c r="S56" s="63"/>
      <c r="T56" s="63"/>
      <c r="U56" s="64"/>
    </row>
    <row r="57" spans="1:21" x14ac:dyDescent="0.3">
      <c r="A57" s="65"/>
      <c r="B57" s="58">
        <v>2066</v>
      </c>
      <c r="C57" s="59">
        <v>47</v>
      </c>
      <c r="D57" s="64"/>
      <c r="E57" s="63"/>
      <c r="F57" s="63"/>
      <c r="G57" s="63"/>
      <c r="H57" s="63"/>
      <c r="I57" s="63"/>
      <c r="J57" s="61"/>
      <c r="K57" s="64"/>
      <c r="L57" s="63"/>
      <c r="M57" s="63"/>
      <c r="N57" s="63"/>
      <c r="O57" s="63"/>
      <c r="P57" s="63"/>
      <c r="Q57" s="61"/>
      <c r="R57" s="64"/>
      <c r="S57" s="63"/>
      <c r="T57" s="63"/>
      <c r="U57" s="64"/>
    </row>
    <row r="58" spans="1:21" x14ac:dyDescent="0.3">
      <c r="A58" s="65"/>
      <c r="B58" s="58">
        <v>2067</v>
      </c>
      <c r="C58" s="59">
        <v>48</v>
      </c>
      <c r="D58" s="64"/>
      <c r="E58" s="63"/>
      <c r="F58" s="63"/>
      <c r="G58" s="63"/>
      <c r="H58" s="63"/>
      <c r="I58" s="63"/>
      <c r="J58" s="61"/>
      <c r="K58" s="64"/>
      <c r="L58" s="63"/>
      <c r="M58" s="63"/>
      <c r="N58" s="63"/>
      <c r="O58" s="63"/>
      <c r="P58" s="63"/>
      <c r="Q58" s="61"/>
      <c r="R58" s="64"/>
      <c r="S58" s="63"/>
      <c r="T58" s="63"/>
      <c r="U58" s="64"/>
    </row>
    <row r="59" spans="1:21" x14ac:dyDescent="0.3">
      <c r="A59" s="65"/>
      <c r="B59" s="58">
        <v>2068</v>
      </c>
      <c r="C59" s="59">
        <v>49</v>
      </c>
      <c r="D59" s="64"/>
      <c r="E59" s="63"/>
      <c r="F59" s="63"/>
      <c r="G59" s="63"/>
      <c r="H59" s="63"/>
      <c r="I59" s="63"/>
      <c r="J59" s="61"/>
      <c r="K59" s="64"/>
      <c r="L59" s="63"/>
      <c r="M59" s="63"/>
      <c r="N59" s="63"/>
      <c r="O59" s="63"/>
      <c r="P59" s="63"/>
      <c r="Q59" s="61"/>
      <c r="R59" s="64"/>
      <c r="S59" s="63"/>
      <c r="T59" s="63"/>
      <c r="U59" s="64"/>
    </row>
    <row r="60" spans="1:21" x14ac:dyDescent="0.3">
      <c r="A60" s="65"/>
      <c r="B60" s="58">
        <v>2069</v>
      </c>
      <c r="C60" s="59">
        <v>50</v>
      </c>
      <c r="D60" s="64"/>
      <c r="E60" s="63"/>
      <c r="F60" s="63"/>
      <c r="G60" s="63"/>
      <c r="H60" s="63"/>
      <c r="I60" s="63"/>
      <c r="J60" s="61"/>
      <c r="K60" s="64"/>
      <c r="L60" s="63"/>
      <c r="M60" s="63"/>
      <c r="N60" s="63"/>
      <c r="O60" s="63"/>
      <c r="P60" s="63"/>
      <c r="Q60" s="61"/>
      <c r="R60" s="64"/>
      <c r="S60" s="63"/>
      <c r="T60" s="63"/>
      <c r="U60" s="64"/>
    </row>
    <row r="61" spans="1:21" x14ac:dyDescent="0.3">
      <c r="A61" s="65"/>
      <c r="B61" s="66">
        <v>2070</v>
      </c>
      <c r="C61" s="67">
        <v>51</v>
      </c>
      <c r="D61" s="68"/>
      <c r="E61" s="69"/>
      <c r="F61" s="69"/>
      <c r="G61" s="69"/>
      <c r="H61" s="69"/>
      <c r="I61" s="69"/>
      <c r="J61" s="70"/>
      <c r="K61" s="68"/>
      <c r="L61" s="11"/>
      <c r="M61" s="11"/>
      <c r="N61" s="11"/>
      <c r="O61" s="11"/>
      <c r="P61" s="11"/>
      <c r="Q61" s="11"/>
      <c r="R61" s="55"/>
      <c r="S61" s="69"/>
      <c r="T61" s="69"/>
      <c r="U61" s="68"/>
    </row>
    <row r="65" spans="7:7" x14ac:dyDescent="0.3">
      <c r="G65" s="6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5"/>
  <sheetViews>
    <sheetView zoomScale="55" zoomScaleNormal="55" workbookViewId="0"/>
  </sheetViews>
  <sheetFormatPr defaultRowHeight="16.5" x14ac:dyDescent="0.3"/>
  <cols>
    <col min="1" max="1" width="9.140625" style="10"/>
    <col min="2" max="2" width="31.85546875" style="10" bestFit="1" customWidth="1"/>
    <col min="3" max="3" width="16.7109375" style="10" customWidth="1"/>
    <col min="4" max="4" width="28.7109375" style="10" bestFit="1" customWidth="1"/>
    <col min="5" max="5" width="16.28515625" style="10" bestFit="1" customWidth="1"/>
    <col min="6" max="16" width="16.7109375" style="10" customWidth="1"/>
    <col min="17" max="17" width="24.28515625" style="10" customWidth="1"/>
    <col min="18" max="18" width="16.7109375" style="10" customWidth="1"/>
    <col min="19" max="19" width="19.85546875" style="10" customWidth="1"/>
    <col min="20" max="20" width="27.42578125" style="10" bestFit="1" customWidth="1"/>
    <col min="21" max="21" width="16.7109375" style="10" customWidth="1"/>
    <col min="22" max="16384" width="9.140625" style="10"/>
  </cols>
  <sheetData>
    <row r="1" spans="1:21" ht="33" x14ac:dyDescent="0.3">
      <c r="A1" s="75" t="s">
        <v>62</v>
      </c>
      <c r="B1" s="76" t="s">
        <v>64</v>
      </c>
    </row>
    <row r="2" spans="1:21" ht="17.25" thickBot="1" x14ac:dyDescent="0.35">
      <c r="A2" s="12"/>
      <c r="B2" s="77" t="s">
        <v>63</v>
      </c>
    </row>
    <row r="4" spans="1:21" ht="18.75" x14ac:dyDescent="0.3">
      <c r="B4" s="73" t="s">
        <v>44</v>
      </c>
      <c r="C4" s="48"/>
    </row>
    <row r="6" spans="1:21" x14ac:dyDescent="0.3">
      <c r="B6" s="80" t="s">
        <v>65</v>
      </c>
      <c r="C6" s="81" t="s">
        <v>67</v>
      </c>
      <c r="T6" s="49" t="s">
        <v>30</v>
      </c>
      <c r="U6" s="82"/>
    </row>
    <row r="8" spans="1:21" ht="57.6" customHeight="1" x14ac:dyDescent="0.3">
      <c r="B8" s="50" t="s">
        <v>20</v>
      </c>
      <c r="C8" s="51" t="s">
        <v>21</v>
      </c>
      <c r="D8" s="52" t="s">
        <v>22</v>
      </c>
      <c r="E8" s="53" t="s">
        <v>23</v>
      </c>
      <c r="F8" s="53" t="s">
        <v>31</v>
      </c>
      <c r="G8" s="53" t="s">
        <v>32</v>
      </c>
      <c r="H8" s="53" t="s">
        <v>24</v>
      </c>
      <c r="I8" s="53" t="s">
        <v>9</v>
      </c>
      <c r="J8" s="53" t="s">
        <v>41</v>
      </c>
      <c r="K8" s="52" t="s">
        <v>10</v>
      </c>
      <c r="L8" s="53" t="s">
        <v>25</v>
      </c>
      <c r="M8" s="53" t="s">
        <v>33</v>
      </c>
      <c r="N8" s="53" t="s">
        <v>34</v>
      </c>
      <c r="O8" s="53" t="s">
        <v>26</v>
      </c>
      <c r="P8" s="53" t="s">
        <v>18</v>
      </c>
      <c r="Q8" s="53" t="s">
        <v>43</v>
      </c>
      <c r="R8" s="52" t="s">
        <v>19</v>
      </c>
      <c r="S8" s="53" t="s">
        <v>27</v>
      </c>
      <c r="T8" s="53" t="s">
        <v>28</v>
      </c>
      <c r="U8" s="52" t="s">
        <v>29</v>
      </c>
    </row>
    <row r="9" spans="1:21" x14ac:dyDescent="0.3">
      <c r="B9" s="54"/>
      <c r="C9" s="55"/>
      <c r="D9" s="56" t="s">
        <v>2</v>
      </c>
      <c r="E9" s="57" t="s">
        <v>2</v>
      </c>
      <c r="F9" s="57" t="s">
        <v>2</v>
      </c>
      <c r="G9" s="57" t="s">
        <v>2</v>
      </c>
      <c r="H9" s="57" t="s">
        <v>0</v>
      </c>
      <c r="I9" s="57" t="s">
        <v>2</v>
      </c>
      <c r="J9" s="57" t="s">
        <v>2</v>
      </c>
      <c r="K9" s="56" t="s">
        <v>0</v>
      </c>
      <c r="L9" s="57" t="s">
        <v>0</v>
      </c>
      <c r="M9" s="57" t="s">
        <v>0</v>
      </c>
      <c r="N9" s="57" t="s">
        <v>0</v>
      </c>
      <c r="O9" s="57" t="s">
        <v>0</v>
      </c>
      <c r="P9" s="57" t="s">
        <v>0</v>
      </c>
      <c r="Q9" s="57" t="s">
        <v>0</v>
      </c>
      <c r="R9" s="56" t="s">
        <v>0</v>
      </c>
      <c r="S9" s="57" t="s">
        <v>0</v>
      </c>
      <c r="T9" s="57" t="s">
        <v>0</v>
      </c>
      <c r="U9" s="56" t="s">
        <v>0</v>
      </c>
    </row>
    <row r="10" spans="1:21" x14ac:dyDescent="0.3">
      <c r="B10" s="58">
        <v>2019</v>
      </c>
      <c r="C10" s="59">
        <v>0</v>
      </c>
      <c r="D10" s="60"/>
      <c r="E10" s="61"/>
      <c r="F10" s="61"/>
      <c r="G10" s="61"/>
      <c r="H10" s="62"/>
      <c r="I10" s="61"/>
      <c r="J10" s="61"/>
      <c r="K10" s="60"/>
      <c r="L10" s="63"/>
      <c r="M10" s="63"/>
      <c r="N10" s="63"/>
      <c r="O10" s="63"/>
      <c r="P10" s="63"/>
      <c r="Q10" s="63"/>
      <c r="R10" s="64"/>
      <c r="S10" s="63"/>
      <c r="T10" s="63"/>
      <c r="U10" s="64"/>
    </row>
    <row r="11" spans="1:21" x14ac:dyDescent="0.3">
      <c r="A11" s="65"/>
      <c r="B11" s="58">
        <v>2020</v>
      </c>
      <c r="C11" s="59">
        <v>1</v>
      </c>
      <c r="D11" s="71">
        <v>55000000000</v>
      </c>
      <c r="E11" s="72">
        <f>200*10^6</f>
        <v>200000000</v>
      </c>
      <c r="F11" s="63"/>
      <c r="G11" s="63"/>
      <c r="H11" s="63"/>
      <c r="I11" s="63"/>
      <c r="J11" s="63"/>
      <c r="K11" s="64"/>
      <c r="L11" s="63"/>
      <c r="M11" s="63"/>
      <c r="N11" s="63"/>
      <c r="O11" s="63"/>
      <c r="P11" s="63"/>
      <c r="Q11" s="61"/>
      <c r="R11" s="64"/>
      <c r="S11" s="63"/>
      <c r="T11" s="63"/>
      <c r="U11" s="64"/>
    </row>
    <row r="12" spans="1:21" x14ac:dyDescent="0.3">
      <c r="A12" s="65"/>
      <c r="B12" s="58">
        <v>2021</v>
      </c>
      <c r="C12" s="59">
        <v>2</v>
      </c>
      <c r="D12" s="64"/>
      <c r="E12" s="63"/>
      <c r="F12" s="63"/>
      <c r="G12" s="63"/>
      <c r="H12" s="63"/>
      <c r="I12" s="63"/>
      <c r="J12" s="61"/>
      <c r="K12" s="64"/>
      <c r="L12" s="63"/>
      <c r="M12" s="63"/>
      <c r="N12" s="63"/>
      <c r="O12" s="63"/>
      <c r="P12" s="63"/>
      <c r="Q12" s="61"/>
      <c r="R12" s="64"/>
      <c r="S12" s="63"/>
      <c r="T12" s="63"/>
      <c r="U12" s="64"/>
    </row>
    <row r="13" spans="1:21" x14ac:dyDescent="0.3">
      <c r="A13" s="65"/>
      <c r="B13" s="58">
        <v>2022</v>
      </c>
      <c r="C13" s="59">
        <v>3</v>
      </c>
      <c r="D13" s="64"/>
      <c r="E13" s="63"/>
      <c r="F13" s="63"/>
      <c r="G13" s="63"/>
      <c r="H13" s="63"/>
      <c r="I13" s="63"/>
      <c r="J13" s="61"/>
      <c r="K13" s="64"/>
      <c r="L13" s="63"/>
      <c r="M13" s="63"/>
      <c r="N13" s="63"/>
      <c r="O13" s="63"/>
      <c r="P13" s="63"/>
      <c r="Q13" s="61"/>
      <c r="R13" s="64"/>
      <c r="S13" s="63"/>
      <c r="T13" s="63"/>
      <c r="U13" s="64"/>
    </row>
    <row r="14" spans="1:21" x14ac:dyDescent="0.3">
      <c r="A14" s="65"/>
      <c r="B14" s="58">
        <v>2023</v>
      </c>
      <c r="C14" s="59">
        <v>4</v>
      </c>
      <c r="D14" s="64"/>
      <c r="E14" s="63"/>
      <c r="F14" s="63"/>
      <c r="G14" s="63"/>
      <c r="H14" s="63"/>
      <c r="I14" s="63"/>
      <c r="J14" s="61"/>
      <c r="K14" s="64"/>
      <c r="L14" s="63"/>
      <c r="M14" s="63"/>
      <c r="N14" s="63"/>
      <c r="O14" s="63"/>
      <c r="P14" s="63"/>
      <c r="Q14" s="61"/>
      <c r="R14" s="64"/>
      <c r="S14" s="63"/>
      <c r="T14" s="63"/>
      <c r="U14" s="64"/>
    </row>
    <row r="15" spans="1:21" x14ac:dyDescent="0.3">
      <c r="A15" s="65"/>
      <c r="B15" s="58">
        <v>2024</v>
      </c>
      <c r="C15" s="59">
        <v>5</v>
      </c>
      <c r="D15" s="64"/>
      <c r="E15" s="63"/>
      <c r="F15" s="63"/>
      <c r="G15" s="63"/>
      <c r="H15" s="63"/>
      <c r="I15" s="63"/>
      <c r="J15" s="61"/>
      <c r="K15" s="64"/>
      <c r="L15" s="63"/>
      <c r="M15" s="63"/>
      <c r="N15" s="63"/>
      <c r="O15" s="63"/>
      <c r="P15" s="63"/>
      <c r="Q15" s="61"/>
      <c r="R15" s="64"/>
      <c r="S15" s="63"/>
      <c r="T15" s="63"/>
      <c r="U15" s="64"/>
    </row>
    <row r="16" spans="1:21" x14ac:dyDescent="0.3">
      <c r="A16" s="65"/>
      <c r="B16" s="58">
        <v>2025</v>
      </c>
      <c r="C16" s="59">
        <v>6</v>
      </c>
      <c r="D16" s="64"/>
      <c r="E16" s="63"/>
      <c r="F16" s="63"/>
      <c r="G16" s="63"/>
      <c r="H16" s="63"/>
      <c r="I16" s="63"/>
      <c r="J16" s="61"/>
      <c r="K16" s="64"/>
      <c r="L16" s="63"/>
      <c r="M16" s="63"/>
      <c r="N16" s="63"/>
      <c r="O16" s="63"/>
      <c r="P16" s="63"/>
      <c r="Q16" s="61"/>
      <c r="R16" s="64"/>
      <c r="S16" s="63"/>
      <c r="T16" s="63"/>
      <c r="U16" s="64"/>
    </row>
    <row r="17" spans="1:21" x14ac:dyDescent="0.3">
      <c r="A17" s="65"/>
      <c r="B17" s="58">
        <v>2026</v>
      </c>
      <c r="C17" s="59">
        <v>7</v>
      </c>
      <c r="D17" s="64"/>
      <c r="E17" s="63"/>
      <c r="F17" s="63"/>
      <c r="G17" s="63"/>
      <c r="H17" s="63"/>
      <c r="I17" s="63"/>
      <c r="J17" s="61"/>
      <c r="K17" s="64"/>
      <c r="L17" s="63"/>
      <c r="M17" s="63"/>
      <c r="N17" s="63"/>
      <c r="O17" s="63"/>
      <c r="P17" s="63"/>
      <c r="Q17" s="61"/>
      <c r="R17" s="64"/>
      <c r="S17" s="63"/>
      <c r="T17" s="63"/>
      <c r="U17" s="64"/>
    </row>
    <row r="18" spans="1:21" x14ac:dyDescent="0.3">
      <c r="A18" s="65"/>
      <c r="B18" s="58">
        <v>2027</v>
      </c>
      <c r="C18" s="59">
        <v>8</v>
      </c>
      <c r="D18" s="64"/>
      <c r="E18" s="63"/>
      <c r="F18" s="63"/>
      <c r="G18" s="63"/>
      <c r="H18" s="63"/>
      <c r="I18" s="63"/>
      <c r="J18" s="61"/>
      <c r="K18" s="64"/>
      <c r="L18" s="63"/>
      <c r="M18" s="63"/>
      <c r="N18" s="63"/>
      <c r="O18" s="63"/>
      <c r="P18" s="63"/>
      <c r="Q18" s="61"/>
      <c r="R18" s="64"/>
      <c r="S18" s="63"/>
      <c r="T18" s="63"/>
      <c r="U18" s="64"/>
    </row>
    <row r="19" spans="1:21" x14ac:dyDescent="0.3">
      <c r="A19" s="65"/>
      <c r="B19" s="58">
        <v>2028</v>
      </c>
      <c r="C19" s="59">
        <v>9</v>
      </c>
      <c r="D19" s="64"/>
      <c r="E19" s="63"/>
      <c r="F19" s="63"/>
      <c r="G19" s="63"/>
      <c r="H19" s="63"/>
      <c r="I19" s="63"/>
      <c r="J19" s="61"/>
      <c r="K19" s="64"/>
      <c r="L19" s="63"/>
      <c r="M19" s="63"/>
      <c r="N19" s="63"/>
      <c r="O19" s="63"/>
      <c r="P19" s="63"/>
      <c r="Q19" s="61"/>
      <c r="R19" s="64"/>
      <c r="S19" s="63"/>
      <c r="T19" s="63"/>
      <c r="U19" s="64"/>
    </row>
    <row r="20" spans="1:21" x14ac:dyDescent="0.3">
      <c r="A20" s="65"/>
      <c r="B20" s="58">
        <v>2029</v>
      </c>
      <c r="C20" s="59">
        <v>10</v>
      </c>
      <c r="D20" s="64"/>
      <c r="E20" s="63"/>
      <c r="F20" s="63"/>
      <c r="G20" s="63"/>
      <c r="H20" s="63"/>
      <c r="I20" s="63"/>
      <c r="J20" s="61"/>
      <c r="K20" s="64"/>
      <c r="L20" s="63"/>
      <c r="M20" s="63"/>
      <c r="N20" s="63"/>
      <c r="O20" s="63"/>
      <c r="P20" s="63"/>
      <c r="Q20" s="61"/>
      <c r="R20" s="64"/>
      <c r="S20" s="63"/>
      <c r="T20" s="63"/>
      <c r="U20" s="64"/>
    </row>
    <row r="21" spans="1:21" x14ac:dyDescent="0.3">
      <c r="A21" s="65"/>
      <c r="B21" s="58">
        <v>2030</v>
      </c>
      <c r="C21" s="59">
        <v>11</v>
      </c>
      <c r="D21" s="64"/>
      <c r="E21" s="63"/>
      <c r="F21" s="63"/>
      <c r="G21" s="63"/>
      <c r="H21" s="63"/>
      <c r="I21" s="63"/>
      <c r="J21" s="61"/>
      <c r="K21" s="64"/>
      <c r="L21" s="63"/>
      <c r="M21" s="63"/>
      <c r="N21" s="63"/>
      <c r="O21" s="63"/>
      <c r="P21" s="63"/>
      <c r="Q21" s="61"/>
      <c r="R21" s="64"/>
      <c r="S21" s="63"/>
      <c r="T21" s="63"/>
      <c r="U21" s="64"/>
    </row>
    <row r="22" spans="1:21" x14ac:dyDescent="0.3">
      <c r="A22" s="65"/>
      <c r="B22" s="58">
        <v>2031</v>
      </c>
      <c r="C22" s="59">
        <v>12</v>
      </c>
      <c r="D22" s="64"/>
      <c r="E22" s="63"/>
      <c r="F22" s="63"/>
      <c r="G22" s="63"/>
      <c r="H22" s="63"/>
      <c r="I22" s="63"/>
      <c r="J22" s="61"/>
      <c r="K22" s="64"/>
      <c r="L22" s="63"/>
      <c r="M22" s="63"/>
      <c r="N22" s="63"/>
      <c r="O22" s="63"/>
      <c r="P22" s="63"/>
      <c r="Q22" s="61"/>
      <c r="R22" s="64"/>
      <c r="S22" s="63"/>
      <c r="T22" s="63"/>
      <c r="U22" s="64"/>
    </row>
    <row r="23" spans="1:21" x14ac:dyDescent="0.3">
      <c r="A23" s="65"/>
      <c r="B23" s="58">
        <v>2032</v>
      </c>
      <c r="C23" s="59">
        <v>13</v>
      </c>
      <c r="D23" s="64"/>
      <c r="E23" s="63"/>
      <c r="F23" s="63"/>
      <c r="G23" s="63"/>
      <c r="H23" s="63"/>
      <c r="I23" s="63"/>
      <c r="J23" s="61"/>
      <c r="K23" s="64"/>
      <c r="L23" s="63"/>
      <c r="M23" s="63"/>
      <c r="N23" s="63"/>
      <c r="O23" s="63"/>
      <c r="P23" s="63"/>
      <c r="Q23" s="61"/>
      <c r="R23" s="64"/>
      <c r="S23" s="63"/>
      <c r="T23" s="63"/>
      <c r="U23" s="64"/>
    </row>
    <row r="24" spans="1:21" x14ac:dyDescent="0.3">
      <c r="A24" s="65"/>
      <c r="B24" s="58">
        <v>2033</v>
      </c>
      <c r="C24" s="59">
        <v>14</v>
      </c>
      <c r="D24" s="64"/>
      <c r="E24" s="63"/>
      <c r="F24" s="63"/>
      <c r="G24" s="63"/>
      <c r="H24" s="63"/>
      <c r="I24" s="63"/>
      <c r="J24" s="61"/>
      <c r="K24" s="64"/>
      <c r="L24" s="63"/>
      <c r="M24" s="63"/>
      <c r="N24" s="63"/>
      <c r="O24" s="63"/>
      <c r="P24" s="63"/>
      <c r="Q24" s="61"/>
      <c r="R24" s="64"/>
      <c r="S24" s="63"/>
      <c r="T24" s="63"/>
      <c r="U24" s="64"/>
    </row>
    <row r="25" spans="1:21" x14ac:dyDescent="0.3">
      <c r="A25" s="65"/>
      <c r="B25" s="58">
        <v>2034</v>
      </c>
      <c r="C25" s="59">
        <v>15</v>
      </c>
      <c r="D25" s="64"/>
      <c r="E25" s="63"/>
      <c r="F25" s="63"/>
      <c r="G25" s="63"/>
      <c r="H25" s="63"/>
      <c r="I25" s="63"/>
      <c r="J25" s="61"/>
      <c r="K25" s="64"/>
      <c r="L25" s="63"/>
      <c r="M25" s="63"/>
      <c r="N25" s="63"/>
      <c r="O25" s="63"/>
      <c r="P25" s="63"/>
      <c r="Q25" s="61"/>
      <c r="R25" s="64"/>
      <c r="S25" s="63"/>
      <c r="T25" s="63"/>
      <c r="U25" s="64"/>
    </row>
    <row r="26" spans="1:21" x14ac:dyDescent="0.3">
      <c r="A26" s="65"/>
      <c r="B26" s="58">
        <v>2035</v>
      </c>
      <c r="C26" s="59">
        <v>16</v>
      </c>
      <c r="D26" s="64"/>
      <c r="E26" s="63"/>
      <c r="F26" s="63"/>
      <c r="G26" s="63"/>
      <c r="H26" s="63"/>
      <c r="I26" s="63"/>
      <c r="J26" s="61"/>
      <c r="K26" s="64"/>
      <c r="L26" s="63"/>
      <c r="M26" s="63"/>
      <c r="N26" s="63"/>
      <c r="O26" s="63"/>
      <c r="P26" s="63"/>
      <c r="Q26" s="61"/>
      <c r="R26" s="64"/>
      <c r="S26" s="63"/>
      <c r="T26" s="63"/>
      <c r="U26" s="64"/>
    </row>
    <row r="27" spans="1:21" x14ac:dyDescent="0.3">
      <c r="A27" s="65"/>
      <c r="B27" s="58">
        <v>2036</v>
      </c>
      <c r="C27" s="59">
        <v>17</v>
      </c>
      <c r="D27" s="64"/>
      <c r="E27" s="63"/>
      <c r="F27" s="63"/>
      <c r="G27" s="63"/>
      <c r="H27" s="63"/>
      <c r="I27" s="63"/>
      <c r="J27" s="61"/>
      <c r="K27" s="64"/>
      <c r="L27" s="63"/>
      <c r="M27" s="63"/>
      <c r="N27" s="63"/>
      <c r="O27" s="63"/>
      <c r="P27" s="63"/>
      <c r="Q27" s="61"/>
      <c r="R27" s="64"/>
      <c r="S27" s="63"/>
      <c r="T27" s="63"/>
      <c r="U27" s="64"/>
    </row>
    <row r="28" spans="1:21" x14ac:dyDescent="0.3">
      <c r="A28" s="65"/>
      <c r="B28" s="58">
        <v>2037</v>
      </c>
      <c r="C28" s="59">
        <v>18</v>
      </c>
      <c r="D28" s="64"/>
      <c r="E28" s="63"/>
      <c r="F28" s="63"/>
      <c r="G28" s="63"/>
      <c r="H28" s="63"/>
      <c r="I28" s="63"/>
      <c r="J28" s="61"/>
      <c r="K28" s="64"/>
      <c r="L28" s="63"/>
      <c r="M28" s="63"/>
      <c r="N28" s="63"/>
      <c r="O28" s="63"/>
      <c r="P28" s="63"/>
      <c r="Q28" s="61"/>
      <c r="R28" s="64"/>
      <c r="S28" s="63"/>
      <c r="T28" s="63"/>
      <c r="U28" s="64"/>
    </row>
    <row r="29" spans="1:21" x14ac:dyDescent="0.3">
      <c r="A29" s="65"/>
      <c r="B29" s="58">
        <v>2038</v>
      </c>
      <c r="C29" s="59">
        <v>19</v>
      </c>
      <c r="D29" s="64"/>
      <c r="E29" s="63"/>
      <c r="F29" s="63"/>
      <c r="G29" s="63"/>
      <c r="H29" s="63"/>
      <c r="I29" s="63"/>
      <c r="J29" s="61"/>
      <c r="K29" s="64"/>
      <c r="L29" s="63"/>
      <c r="M29" s="63"/>
      <c r="N29" s="63"/>
      <c r="O29" s="63"/>
      <c r="P29" s="63"/>
      <c r="Q29" s="61"/>
      <c r="R29" s="64"/>
      <c r="S29" s="63"/>
      <c r="T29" s="63"/>
      <c r="U29" s="64"/>
    </row>
    <row r="30" spans="1:21" x14ac:dyDescent="0.3">
      <c r="A30" s="65"/>
      <c r="B30" s="58">
        <v>2039</v>
      </c>
      <c r="C30" s="59">
        <v>20</v>
      </c>
      <c r="D30" s="64"/>
      <c r="E30" s="63"/>
      <c r="F30" s="63"/>
      <c r="G30" s="63"/>
      <c r="H30" s="63"/>
      <c r="I30" s="63"/>
      <c r="J30" s="61"/>
      <c r="K30" s="64"/>
      <c r="L30" s="63"/>
      <c r="M30" s="63"/>
      <c r="N30" s="63"/>
      <c r="O30" s="63"/>
      <c r="P30" s="63"/>
      <c r="Q30" s="61"/>
      <c r="R30" s="64"/>
      <c r="S30" s="63"/>
      <c r="T30" s="63"/>
      <c r="U30" s="64"/>
    </row>
    <row r="31" spans="1:21" x14ac:dyDescent="0.3">
      <c r="A31" s="65"/>
      <c r="B31" s="58">
        <v>2040</v>
      </c>
      <c r="C31" s="59">
        <v>21</v>
      </c>
      <c r="D31" s="64"/>
      <c r="E31" s="63"/>
      <c r="F31" s="63"/>
      <c r="G31" s="63"/>
      <c r="H31" s="63"/>
      <c r="I31" s="63"/>
      <c r="J31" s="61"/>
      <c r="K31" s="64"/>
      <c r="L31" s="63"/>
      <c r="M31" s="63"/>
      <c r="N31" s="63"/>
      <c r="O31" s="63"/>
      <c r="P31" s="63"/>
      <c r="Q31" s="61"/>
      <c r="R31" s="64"/>
      <c r="S31" s="63"/>
      <c r="T31" s="63"/>
      <c r="U31" s="64"/>
    </row>
    <row r="32" spans="1:21" x14ac:dyDescent="0.3">
      <c r="A32" s="65"/>
      <c r="B32" s="58">
        <v>2041</v>
      </c>
      <c r="C32" s="59">
        <v>22</v>
      </c>
      <c r="D32" s="64"/>
      <c r="E32" s="63"/>
      <c r="F32" s="63"/>
      <c r="G32" s="63"/>
      <c r="H32" s="63"/>
      <c r="I32" s="63"/>
      <c r="J32" s="61"/>
      <c r="K32" s="64"/>
      <c r="L32" s="63"/>
      <c r="M32" s="63"/>
      <c r="N32" s="63"/>
      <c r="O32" s="63"/>
      <c r="P32" s="63"/>
      <c r="Q32" s="61"/>
      <c r="R32" s="64"/>
      <c r="S32" s="63"/>
      <c r="T32" s="63"/>
      <c r="U32" s="64"/>
    </row>
    <row r="33" spans="1:21" x14ac:dyDescent="0.3">
      <c r="A33" s="65"/>
      <c r="B33" s="58">
        <v>2042</v>
      </c>
      <c r="C33" s="59">
        <v>23</v>
      </c>
      <c r="D33" s="64"/>
      <c r="E33" s="63"/>
      <c r="F33" s="63"/>
      <c r="G33" s="63"/>
      <c r="H33" s="63"/>
      <c r="I33" s="63"/>
      <c r="J33" s="61"/>
      <c r="K33" s="64"/>
      <c r="L33" s="63"/>
      <c r="M33" s="63"/>
      <c r="N33" s="63"/>
      <c r="O33" s="63"/>
      <c r="P33" s="63"/>
      <c r="Q33" s="61"/>
      <c r="R33" s="64"/>
      <c r="S33" s="63"/>
      <c r="T33" s="63"/>
      <c r="U33" s="64"/>
    </row>
    <row r="34" spans="1:21" x14ac:dyDescent="0.3">
      <c r="A34" s="65"/>
      <c r="B34" s="58">
        <v>2043</v>
      </c>
      <c r="C34" s="59">
        <v>24</v>
      </c>
      <c r="D34" s="64"/>
      <c r="E34" s="63"/>
      <c r="F34" s="63"/>
      <c r="G34" s="63"/>
      <c r="H34" s="63"/>
      <c r="I34" s="63"/>
      <c r="J34" s="61"/>
      <c r="K34" s="64"/>
      <c r="L34" s="63"/>
      <c r="M34" s="63"/>
      <c r="N34" s="63"/>
      <c r="O34" s="63"/>
      <c r="P34" s="63"/>
      <c r="Q34" s="61"/>
      <c r="R34" s="64"/>
      <c r="S34" s="63"/>
      <c r="T34" s="63"/>
      <c r="U34" s="64"/>
    </row>
    <row r="35" spans="1:21" x14ac:dyDescent="0.3">
      <c r="A35" s="65"/>
      <c r="B35" s="58">
        <v>2044</v>
      </c>
      <c r="C35" s="59">
        <v>25</v>
      </c>
      <c r="D35" s="64"/>
      <c r="E35" s="63"/>
      <c r="F35" s="63"/>
      <c r="G35" s="63"/>
      <c r="H35" s="63"/>
      <c r="I35" s="63"/>
      <c r="J35" s="61"/>
      <c r="K35" s="64"/>
      <c r="L35" s="63"/>
      <c r="M35" s="63"/>
      <c r="N35" s="63"/>
      <c r="O35" s="63"/>
      <c r="P35" s="63"/>
      <c r="Q35" s="61"/>
      <c r="R35" s="64"/>
      <c r="S35" s="63"/>
      <c r="T35" s="63"/>
      <c r="U35" s="64"/>
    </row>
    <row r="36" spans="1:21" x14ac:dyDescent="0.3">
      <c r="A36" s="65"/>
      <c r="B36" s="58">
        <v>2045</v>
      </c>
      <c r="C36" s="59">
        <v>26</v>
      </c>
      <c r="D36" s="64"/>
      <c r="E36" s="63"/>
      <c r="F36" s="63"/>
      <c r="G36" s="63"/>
      <c r="H36" s="63"/>
      <c r="I36" s="63"/>
      <c r="J36" s="61"/>
      <c r="K36" s="64"/>
      <c r="L36" s="63"/>
      <c r="M36" s="63"/>
      <c r="N36" s="63"/>
      <c r="O36" s="63"/>
      <c r="P36" s="63"/>
      <c r="Q36" s="61"/>
      <c r="R36" s="64"/>
      <c r="S36" s="63"/>
      <c r="T36" s="63"/>
      <c r="U36" s="64"/>
    </row>
    <row r="37" spans="1:21" x14ac:dyDescent="0.3">
      <c r="A37" s="65"/>
      <c r="B37" s="58">
        <v>2046</v>
      </c>
      <c r="C37" s="59">
        <v>27</v>
      </c>
      <c r="D37" s="64"/>
      <c r="E37" s="63"/>
      <c r="F37" s="63"/>
      <c r="G37" s="63"/>
      <c r="H37" s="63"/>
      <c r="I37" s="63"/>
      <c r="J37" s="61"/>
      <c r="K37" s="64"/>
      <c r="L37" s="63"/>
      <c r="M37" s="63"/>
      <c r="N37" s="63"/>
      <c r="O37" s="63"/>
      <c r="P37" s="63"/>
      <c r="Q37" s="61"/>
      <c r="R37" s="64"/>
      <c r="S37" s="63"/>
      <c r="T37" s="63"/>
      <c r="U37" s="64"/>
    </row>
    <row r="38" spans="1:21" x14ac:dyDescent="0.3">
      <c r="A38" s="65"/>
      <c r="B38" s="58">
        <v>2047</v>
      </c>
      <c r="C38" s="59">
        <v>28</v>
      </c>
      <c r="D38" s="64"/>
      <c r="E38" s="63"/>
      <c r="F38" s="63"/>
      <c r="G38" s="63"/>
      <c r="H38" s="63"/>
      <c r="I38" s="63"/>
      <c r="J38" s="61"/>
      <c r="K38" s="64"/>
      <c r="L38" s="63"/>
      <c r="M38" s="63"/>
      <c r="N38" s="63"/>
      <c r="O38" s="63"/>
      <c r="P38" s="63"/>
      <c r="Q38" s="61"/>
      <c r="R38" s="64"/>
      <c r="S38" s="63"/>
      <c r="T38" s="63"/>
      <c r="U38" s="64"/>
    </row>
    <row r="39" spans="1:21" x14ac:dyDescent="0.3">
      <c r="A39" s="65"/>
      <c r="B39" s="58">
        <v>2048</v>
      </c>
      <c r="C39" s="59">
        <v>29</v>
      </c>
      <c r="D39" s="64"/>
      <c r="E39" s="63"/>
      <c r="F39" s="63"/>
      <c r="G39" s="63"/>
      <c r="H39" s="63"/>
      <c r="I39" s="63"/>
      <c r="J39" s="61"/>
      <c r="K39" s="64"/>
      <c r="L39" s="63"/>
      <c r="M39" s="63"/>
      <c r="N39" s="63"/>
      <c r="O39" s="63"/>
      <c r="P39" s="63"/>
      <c r="Q39" s="61"/>
      <c r="R39" s="64"/>
      <c r="S39" s="63"/>
      <c r="T39" s="63"/>
      <c r="U39" s="64"/>
    </row>
    <row r="40" spans="1:21" x14ac:dyDescent="0.3">
      <c r="A40" s="65"/>
      <c r="B40" s="58">
        <v>2049</v>
      </c>
      <c r="C40" s="59">
        <v>30</v>
      </c>
      <c r="D40" s="64"/>
      <c r="E40" s="63"/>
      <c r="F40" s="63"/>
      <c r="G40" s="63"/>
      <c r="H40" s="63"/>
      <c r="I40" s="63"/>
      <c r="J40" s="61"/>
      <c r="K40" s="64"/>
      <c r="L40" s="63"/>
      <c r="M40" s="63"/>
      <c r="N40" s="63"/>
      <c r="O40" s="63"/>
      <c r="P40" s="63"/>
      <c r="Q40" s="61"/>
      <c r="R40" s="64"/>
      <c r="S40" s="63"/>
      <c r="T40" s="63"/>
      <c r="U40" s="64"/>
    </row>
    <row r="41" spans="1:21" x14ac:dyDescent="0.3">
      <c r="A41" s="65"/>
      <c r="B41" s="58">
        <v>2050</v>
      </c>
      <c r="C41" s="59">
        <v>31</v>
      </c>
      <c r="D41" s="64"/>
      <c r="E41" s="63"/>
      <c r="F41" s="63"/>
      <c r="G41" s="63"/>
      <c r="H41" s="63"/>
      <c r="I41" s="63"/>
      <c r="J41" s="61"/>
      <c r="K41" s="64"/>
      <c r="L41" s="63"/>
      <c r="M41" s="63"/>
      <c r="N41" s="63"/>
      <c r="O41" s="63"/>
      <c r="P41" s="63"/>
      <c r="Q41" s="61"/>
      <c r="R41" s="64"/>
      <c r="S41" s="63"/>
      <c r="T41" s="63"/>
      <c r="U41" s="64"/>
    </row>
    <row r="42" spans="1:21" x14ac:dyDescent="0.3">
      <c r="A42" s="65"/>
      <c r="B42" s="58">
        <v>2051</v>
      </c>
      <c r="C42" s="59">
        <v>32</v>
      </c>
      <c r="D42" s="64"/>
      <c r="E42" s="63"/>
      <c r="F42" s="63"/>
      <c r="G42" s="63"/>
      <c r="H42" s="63"/>
      <c r="I42" s="63"/>
      <c r="J42" s="61"/>
      <c r="K42" s="64"/>
      <c r="L42" s="63"/>
      <c r="M42" s="63"/>
      <c r="N42" s="63"/>
      <c r="O42" s="63"/>
      <c r="P42" s="63"/>
      <c r="Q42" s="61"/>
      <c r="R42" s="64"/>
      <c r="S42" s="63"/>
      <c r="T42" s="63"/>
      <c r="U42" s="64"/>
    </row>
    <row r="43" spans="1:21" x14ac:dyDescent="0.3">
      <c r="A43" s="65"/>
      <c r="B43" s="58">
        <v>2052</v>
      </c>
      <c r="C43" s="59">
        <v>33</v>
      </c>
      <c r="D43" s="64"/>
      <c r="E43" s="63"/>
      <c r="F43" s="63"/>
      <c r="G43" s="63"/>
      <c r="H43" s="63"/>
      <c r="I43" s="63"/>
      <c r="J43" s="61"/>
      <c r="K43" s="64"/>
      <c r="L43" s="63"/>
      <c r="M43" s="63"/>
      <c r="N43" s="63"/>
      <c r="O43" s="63"/>
      <c r="P43" s="63"/>
      <c r="Q43" s="61"/>
      <c r="R43" s="64"/>
      <c r="S43" s="63"/>
      <c r="T43" s="63"/>
      <c r="U43" s="64"/>
    </row>
    <row r="44" spans="1:21" x14ac:dyDescent="0.3">
      <c r="A44" s="65"/>
      <c r="B44" s="58">
        <v>2053</v>
      </c>
      <c r="C44" s="59">
        <v>34</v>
      </c>
      <c r="D44" s="64"/>
      <c r="E44" s="63"/>
      <c r="F44" s="63"/>
      <c r="G44" s="63"/>
      <c r="H44" s="63"/>
      <c r="I44" s="63"/>
      <c r="J44" s="61"/>
      <c r="K44" s="64"/>
      <c r="L44" s="63"/>
      <c r="M44" s="63"/>
      <c r="N44" s="63"/>
      <c r="O44" s="63"/>
      <c r="P44" s="63"/>
      <c r="Q44" s="61"/>
      <c r="R44" s="64"/>
      <c r="S44" s="63"/>
      <c r="T44" s="63"/>
      <c r="U44" s="64"/>
    </row>
    <row r="45" spans="1:21" x14ac:dyDescent="0.3">
      <c r="A45" s="65"/>
      <c r="B45" s="58">
        <v>2054</v>
      </c>
      <c r="C45" s="59">
        <v>35</v>
      </c>
      <c r="D45" s="64"/>
      <c r="E45" s="63"/>
      <c r="F45" s="63"/>
      <c r="G45" s="63"/>
      <c r="H45" s="63"/>
      <c r="I45" s="63"/>
      <c r="J45" s="61"/>
      <c r="K45" s="64"/>
      <c r="L45" s="63"/>
      <c r="M45" s="63"/>
      <c r="N45" s="63"/>
      <c r="O45" s="63"/>
      <c r="P45" s="63"/>
      <c r="Q45" s="61"/>
      <c r="R45" s="64"/>
      <c r="S45" s="63"/>
      <c r="T45" s="63"/>
      <c r="U45" s="64"/>
    </row>
    <row r="46" spans="1:21" x14ac:dyDescent="0.3">
      <c r="A46" s="65"/>
      <c r="B46" s="58">
        <v>2055</v>
      </c>
      <c r="C46" s="59">
        <v>36</v>
      </c>
      <c r="D46" s="64"/>
      <c r="E46" s="63"/>
      <c r="F46" s="63"/>
      <c r="G46" s="63"/>
      <c r="H46" s="63"/>
      <c r="I46" s="63"/>
      <c r="J46" s="61"/>
      <c r="K46" s="64"/>
      <c r="L46" s="63"/>
      <c r="M46" s="63"/>
      <c r="N46" s="63"/>
      <c r="O46" s="63"/>
      <c r="P46" s="63"/>
      <c r="Q46" s="61"/>
      <c r="R46" s="64"/>
      <c r="S46" s="63"/>
      <c r="T46" s="63"/>
      <c r="U46" s="64"/>
    </row>
    <row r="47" spans="1:21" x14ac:dyDescent="0.3">
      <c r="A47" s="65"/>
      <c r="B47" s="58">
        <v>2056</v>
      </c>
      <c r="C47" s="59">
        <v>37</v>
      </c>
      <c r="D47" s="64"/>
      <c r="E47" s="63"/>
      <c r="F47" s="63"/>
      <c r="G47" s="63"/>
      <c r="H47" s="63"/>
      <c r="I47" s="63"/>
      <c r="J47" s="61"/>
      <c r="K47" s="64"/>
      <c r="L47" s="63"/>
      <c r="M47" s="63"/>
      <c r="N47" s="63"/>
      <c r="O47" s="63"/>
      <c r="P47" s="63"/>
      <c r="Q47" s="61"/>
      <c r="R47" s="64"/>
      <c r="S47" s="63"/>
      <c r="T47" s="63"/>
      <c r="U47" s="64"/>
    </row>
    <row r="48" spans="1:21" x14ac:dyDescent="0.3">
      <c r="A48" s="65"/>
      <c r="B48" s="58">
        <v>2057</v>
      </c>
      <c r="C48" s="59">
        <v>38</v>
      </c>
      <c r="D48" s="64"/>
      <c r="E48" s="63"/>
      <c r="F48" s="63"/>
      <c r="G48" s="63"/>
      <c r="H48" s="63"/>
      <c r="I48" s="63"/>
      <c r="J48" s="61"/>
      <c r="K48" s="64"/>
      <c r="L48" s="63"/>
      <c r="M48" s="63"/>
      <c r="N48" s="63"/>
      <c r="O48" s="63"/>
      <c r="P48" s="63"/>
      <c r="Q48" s="61"/>
      <c r="R48" s="64"/>
      <c r="S48" s="63"/>
      <c r="T48" s="63"/>
      <c r="U48" s="64"/>
    </row>
    <row r="49" spans="1:21" x14ac:dyDescent="0.3">
      <c r="A49" s="65"/>
      <c r="B49" s="58">
        <v>2058</v>
      </c>
      <c r="C49" s="59">
        <v>39</v>
      </c>
      <c r="D49" s="64"/>
      <c r="E49" s="63"/>
      <c r="F49" s="63"/>
      <c r="G49" s="63"/>
      <c r="H49" s="63"/>
      <c r="I49" s="63"/>
      <c r="J49" s="61"/>
      <c r="K49" s="64"/>
      <c r="L49" s="63"/>
      <c r="M49" s="63"/>
      <c r="N49" s="63"/>
      <c r="O49" s="63"/>
      <c r="P49" s="63"/>
      <c r="Q49" s="61"/>
      <c r="R49" s="64"/>
      <c r="S49" s="63"/>
      <c r="T49" s="63"/>
      <c r="U49" s="64"/>
    </row>
    <row r="50" spans="1:21" x14ac:dyDescent="0.3">
      <c r="A50" s="65"/>
      <c r="B50" s="58">
        <v>2059</v>
      </c>
      <c r="C50" s="59">
        <v>40</v>
      </c>
      <c r="D50" s="64"/>
      <c r="E50" s="63"/>
      <c r="F50" s="63"/>
      <c r="G50" s="63"/>
      <c r="H50" s="63"/>
      <c r="I50" s="63"/>
      <c r="J50" s="61"/>
      <c r="K50" s="64"/>
      <c r="L50" s="63"/>
      <c r="M50" s="63"/>
      <c r="N50" s="63"/>
      <c r="O50" s="63"/>
      <c r="P50" s="63"/>
      <c r="Q50" s="61"/>
      <c r="R50" s="64"/>
      <c r="S50" s="63"/>
      <c r="T50" s="63"/>
      <c r="U50" s="64"/>
    </row>
    <row r="51" spans="1:21" x14ac:dyDescent="0.3">
      <c r="A51" s="65"/>
      <c r="B51" s="58">
        <v>2060</v>
      </c>
      <c r="C51" s="59">
        <v>41</v>
      </c>
      <c r="D51" s="64"/>
      <c r="E51" s="63"/>
      <c r="F51" s="63"/>
      <c r="G51" s="63"/>
      <c r="H51" s="63"/>
      <c r="I51" s="63"/>
      <c r="J51" s="61"/>
      <c r="K51" s="64"/>
      <c r="L51" s="63"/>
      <c r="M51" s="63"/>
      <c r="N51" s="63"/>
      <c r="O51" s="63"/>
      <c r="P51" s="63"/>
      <c r="Q51" s="61"/>
      <c r="R51" s="64"/>
      <c r="S51" s="63"/>
      <c r="T51" s="63"/>
      <c r="U51" s="64"/>
    </row>
    <row r="52" spans="1:21" x14ac:dyDescent="0.3">
      <c r="A52" s="65"/>
      <c r="B52" s="58">
        <v>2061</v>
      </c>
      <c r="C52" s="59">
        <v>42</v>
      </c>
      <c r="D52" s="64"/>
      <c r="E52" s="63"/>
      <c r="F52" s="63"/>
      <c r="G52" s="63"/>
      <c r="H52" s="63"/>
      <c r="I52" s="63"/>
      <c r="J52" s="61"/>
      <c r="K52" s="64"/>
      <c r="L52" s="63"/>
      <c r="M52" s="63"/>
      <c r="N52" s="63"/>
      <c r="O52" s="63"/>
      <c r="P52" s="63"/>
      <c r="Q52" s="61"/>
      <c r="R52" s="64"/>
      <c r="S52" s="63"/>
      <c r="T52" s="63"/>
      <c r="U52" s="64"/>
    </row>
    <row r="53" spans="1:21" x14ac:dyDescent="0.3">
      <c r="A53" s="65"/>
      <c r="B53" s="58">
        <v>2062</v>
      </c>
      <c r="C53" s="59">
        <v>43</v>
      </c>
      <c r="D53" s="64"/>
      <c r="E53" s="63"/>
      <c r="F53" s="63"/>
      <c r="G53" s="63"/>
      <c r="H53" s="63"/>
      <c r="I53" s="63"/>
      <c r="J53" s="61"/>
      <c r="K53" s="64"/>
      <c r="L53" s="63"/>
      <c r="M53" s="63"/>
      <c r="N53" s="63"/>
      <c r="O53" s="63"/>
      <c r="P53" s="63"/>
      <c r="Q53" s="61"/>
      <c r="R53" s="64"/>
      <c r="S53" s="63"/>
      <c r="T53" s="63"/>
      <c r="U53" s="64"/>
    </row>
    <row r="54" spans="1:21" x14ac:dyDescent="0.3">
      <c r="A54" s="65"/>
      <c r="B54" s="58">
        <v>2063</v>
      </c>
      <c r="C54" s="59">
        <v>44</v>
      </c>
      <c r="D54" s="64"/>
      <c r="E54" s="63"/>
      <c r="F54" s="63"/>
      <c r="G54" s="63"/>
      <c r="H54" s="63"/>
      <c r="I54" s="63"/>
      <c r="J54" s="61"/>
      <c r="K54" s="64"/>
      <c r="L54" s="63"/>
      <c r="M54" s="63"/>
      <c r="N54" s="63"/>
      <c r="O54" s="63"/>
      <c r="P54" s="63"/>
      <c r="Q54" s="61"/>
      <c r="R54" s="64"/>
      <c r="S54" s="63"/>
      <c r="T54" s="63"/>
      <c r="U54" s="64"/>
    </row>
    <row r="55" spans="1:21" x14ac:dyDescent="0.3">
      <c r="A55" s="65"/>
      <c r="B55" s="58">
        <v>2064</v>
      </c>
      <c r="C55" s="59">
        <v>45</v>
      </c>
      <c r="D55" s="64"/>
      <c r="E55" s="63"/>
      <c r="F55" s="63"/>
      <c r="G55" s="63"/>
      <c r="H55" s="63"/>
      <c r="I55" s="63"/>
      <c r="J55" s="61"/>
      <c r="K55" s="64"/>
      <c r="L55" s="63"/>
      <c r="M55" s="63"/>
      <c r="N55" s="63"/>
      <c r="O55" s="63"/>
      <c r="P55" s="63"/>
      <c r="Q55" s="61"/>
      <c r="R55" s="64"/>
      <c r="S55" s="63"/>
      <c r="T55" s="63"/>
      <c r="U55" s="64"/>
    </row>
    <row r="56" spans="1:21" x14ac:dyDescent="0.3">
      <c r="A56" s="65"/>
      <c r="B56" s="58">
        <v>2065</v>
      </c>
      <c r="C56" s="59">
        <v>46</v>
      </c>
      <c r="D56" s="64"/>
      <c r="E56" s="63"/>
      <c r="F56" s="63"/>
      <c r="G56" s="63"/>
      <c r="H56" s="63"/>
      <c r="I56" s="63"/>
      <c r="J56" s="61"/>
      <c r="K56" s="64"/>
      <c r="L56" s="63"/>
      <c r="M56" s="63"/>
      <c r="N56" s="63"/>
      <c r="O56" s="63"/>
      <c r="P56" s="63"/>
      <c r="Q56" s="61"/>
      <c r="R56" s="64"/>
      <c r="S56" s="63"/>
      <c r="T56" s="63"/>
      <c r="U56" s="64"/>
    </row>
    <row r="57" spans="1:21" x14ac:dyDescent="0.3">
      <c r="A57" s="65"/>
      <c r="B57" s="58">
        <v>2066</v>
      </c>
      <c r="C57" s="59">
        <v>47</v>
      </c>
      <c r="D57" s="64"/>
      <c r="E57" s="63"/>
      <c r="F57" s="63"/>
      <c r="G57" s="63"/>
      <c r="H57" s="63"/>
      <c r="I57" s="63"/>
      <c r="J57" s="61"/>
      <c r="K57" s="64"/>
      <c r="L57" s="63"/>
      <c r="M57" s="63"/>
      <c r="N57" s="63"/>
      <c r="O57" s="63"/>
      <c r="P57" s="63"/>
      <c r="Q57" s="61"/>
      <c r="R57" s="64"/>
      <c r="S57" s="63"/>
      <c r="T57" s="63"/>
      <c r="U57" s="64"/>
    </row>
    <row r="58" spans="1:21" x14ac:dyDescent="0.3">
      <c r="A58" s="65"/>
      <c r="B58" s="58">
        <v>2067</v>
      </c>
      <c r="C58" s="59">
        <v>48</v>
      </c>
      <c r="D58" s="64"/>
      <c r="E58" s="63"/>
      <c r="F58" s="63"/>
      <c r="G58" s="63"/>
      <c r="H58" s="63"/>
      <c r="I58" s="63"/>
      <c r="J58" s="61"/>
      <c r="K58" s="64"/>
      <c r="L58" s="63"/>
      <c r="M58" s="63"/>
      <c r="N58" s="63"/>
      <c r="O58" s="63"/>
      <c r="P58" s="63"/>
      <c r="Q58" s="61"/>
      <c r="R58" s="64"/>
      <c r="S58" s="63"/>
      <c r="T58" s="63"/>
      <c r="U58" s="64"/>
    </row>
    <row r="59" spans="1:21" x14ac:dyDescent="0.3">
      <c r="A59" s="65"/>
      <c r="B59" s="58">
        <v>2068</v>
      </c>
      <c r="C59" s="59">
        <v>49</v>
      </c>
      <c r="D59" s="64"/>
      <c r="E59" s="63"/>
      <c r="F59" s="63"/>
      <c r="G59" s="63"/>
      <c r="H59" s="63"/>
      <c r="I59" s="63"/>
      <c r="J59" s="61"/>
      <c r="K59" s="64"/>
      <c r="L59" s="63"/>
      <c r="M59" s="63"/>
      <c r="N59" s="63"/>
      <c r="O59" s="63"/>
      <c r="P59" s="63"/>
      <c r="Q59" s="61"/>
      <c r="R59" s="64"/>
      <c r="S59" s="63"/>
      <c r="T59" s="63"/>
      <c r="U59" s="64"/>
    </row>
    <row r="60" spans="1:21" x14ac:dyDescent="0.3">
      <c r="A60" s="65"/>
      <c r="B60" s="58">
        <v>2069</v>
      </c>
      <c r="C60" s="59">
        <v>50</v>
      </c>
      <c r="D60" s="64"/>
      <c r="E60" s="63"/>
      <c r="F60" s="63"/>
      <c r="G60" s="63"/>
      <c r="H60" s="63"/>
      <c r="I60" s="63"/>
      <c r="J60" s="61"/>
      <c r="K60" s="64"/>
      <c r="L60" s="63"/>
      <c r="M60" s="63"/>
      <c r="N60" s="63"/>
      <c r="O60" s="63"/>
      <c r="P60" s="63"/>
      <c r="Q60" s="61"/>
      <c r="R60" s="64"/>
      <c r="S60" s="63"/>
      <c r="T60" s="63"/>
      <c r="U60" s="64"/>
    </row>
    <row r="61" spans="1:21" x14ac:dyDescent="0.3">
      <c r="A61" s="65"/>
      <c r="B61" s="66">
        <v>2070</v>
      </c>
      <c r="C61" s="67">
        <v>51</v>
      </c>
      <c r="D61" s="68"/>
      <c r="E61" s="69"/>
      <c r="F61" s="69"/>
      <c r="G61" s="69"/>
      <c r="H61" s="69"/>
      <c r="I61" s="69"/>
      <c r="J61" s="70"/>
      <c r="K61" s="68"/>
      <c r="L61" s="11"/>
      <c r="M61" s="11"/>
      <c r="N61" s="11"/>
      <c r="O61" s="11"/>
      <c r="P61" s="11"/>
      <c r="Q61" s="11"/>
      <c r="R61" s="55"/>
      <c r="S61" s="69"/>
      <c r="T61" s="69"/>
      <c r="U61" s="68"/>
    </row>
    <row r="65" spans="7:7" x14ac:dyDescent="0.3">
      <c r="G65" s="6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 Information</vt:lpstr>
      <vt:lpstr>Projection (Before Recapture)</vt:lpstr>
      <vt:lpstr>Projection (After Recapture)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</dc:creator>
  <cp:lastModifiedBy>Karenna Chhoeung</cp:lastModifiedBy>
  <cp:lastPrinted>2019-02-06T13:21:15Z</cp:lastPrinted>
  <dcterms:created xsi:type="dcterms:W3CDTF">2019-01-01T11:22:09Z</dcterms:created>
  <dcterms:modified xsi:type="dcterms:W3CDTF">2019-03-28T23:55:59Z</dcterms:modified>
</cp:coreProperties>
</file>