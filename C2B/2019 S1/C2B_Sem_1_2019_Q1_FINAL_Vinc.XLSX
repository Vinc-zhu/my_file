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680" yWindow="-120" windowWidth="29040" windowHeight="15840" activeTab="3"/>
  </bookViews>
  <sheets>
    <sheet name="Key Information" sheetId="2" r:id="rId1"/>
    <sheet name="Projection (Before Recapture)" sheetId="1" r:id="rId2"/>
    <sheet name="Projection (After Recapture)" sheetId="8" r:id="rId3"/>
    <sheet name="1d)" sheetId="9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9" l="1"/>
  <c r="K12" i="8" l="1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11" i="8"/>
  <c r="S61" i="8"/>
  <c r="E12" i="8"/>
  <c r="D12" i="8"/>
  <c r="D13" i="8" s="1"/>
  <c r="J11" i="8"/>
  <c r="Q10" i="8" s="1"/>
  <c r="H11" i="8"/>
  <c r="G11" i="8"/>
  <c r="F11" i="8"/>
  <c r="E11" i="8"/>
  <c r="U10" i="8"/>
  <c r="U6" i="1"/>
  <c r="T10" i="1"/>
  <c r="U10" i="1"/>
  <c r="F13" i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12" i="1"/>
  <c r="E13" i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12" i="1"/>
  <c r="D14" i="8" l="1"/>
  <c r="H13" i="8"/>
  <c r="F12" i="8"/>
  <c r="E13" i="8"/>
  <c r="G12" i="8"/>
  <c r="H12" i="8"/>
  <c r="D13" i="1"/>
  <c r="D14" i="1"/>
  <c r="D15" i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12" i="1"/>
  <c r="D15" i="8" l="1"/>
  <c r="H14" i="8"/>
  <c r="G13" i="8"/>
  <c r="E14" i="8"/>
  <c r="F13" i="8"/>
  <c r="F11" i="1"/>
  <c r="H11" i="1"/>
  <c r="G12" i="1"/>
  <c r="K11" i="1"/>
  <c r="J11" i="1"/>
  <c r="Q10" i="1"/>
  <c r="I11" i="1"/>
  <c r="M60" i="1"/>
  <c r="G11" i="1"/>
  <c r="D16" i="8" l="1"/>
  <c r="H15" i="8"/>
  <c r="F14" i="8"/>
  <c r="G14" i="8"/>
  <c r="E15" i="8"/>
  <c r="H13" i="1"/>
  <c r="K13" i="1" s="1"/>
  <c r="H12" i="1"/>
  <c r="K12" i="1" s="1"/>
  <c r="M10" i="1"/>
  <c r="M58" i="1"/>
  <c r="M50" i="1"/>
  <c r="M46" i="1"/>
  <c r="M42" i="1"/>
  <c r="M38" i="1"/>
  <c r="M34" i="1"/>
  <c r="M30" i="1"/>
  <c r="M26" i="1"/>
  <c r="M22" i="1"/>
  <c r="M14" i="1"/>
  <c r="M57" i="1"/>
  <c r="M53" i="1"/>
  <c r="M49" i="1"/>
  <c r="M45" i="1"/>
  <c r="M41" i="1"/>
  <c r="M37" i="1"/>
  <c r="M33" i="1"/>
  <c r="M29" i="1"/>
  <c r="M25" i="1"/>
  <c r="M21" i="1"/>
  <c r="M17" i="1"/>
  <c r="M13" i="1"/>
  <c r="M56" i="1"/>
  <c r="M52" i="1"/>
  <c r="M48" i="1"/>
  <c r="M44" i="1"/>
  <c r="M40" i="1"/>
  <c r="M36" i="1"/>
  <c r="M32" i="1"/>
  <c r="M28" i="1"/>
  <c r="M24" i="1"/>
  <c r="M20" i="1"/>
  <c r="M16" i="1"/>
  <c r="M12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54" i="1"/>
  <c r="M18" i="1"/>
  <c r="I12" i="1"/>
  <c r="I13" i="1"/>
  <c r="G14" i="1"/>
  <c r="G13" i="1"/>
  <c r="E16" i="8" l="1"/>
  <c r="G15" i="8"/>
  <c r="F15" i="8"/>
  <c r="D17" i="8"/>
  <c r="H16" i="8"/>
  <c r="H14" i="1"/>
  <c r="I14" i="1"/>
  <c r="C53" i="2"/>
  <c r="F16" i="8" l="1"/>
  <c r="D18" i="8"/>
  <c r="H17" i="8"/>
  <c r="G16" i="8"/>
  <c r="E17" i="8"/>
  <c r="H15" i="1"/>
  <c r="K14" i="1"/>
  <c r="I15" i="1"/>
  <c r="G15" i="1"/>
  <c r="G16" i="1"/>
  <c r="F38" i="2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E11" i="1"/>
  <c r="D19" i="8" l="1"/>
  <c r="H18" i="8"/>
  <c r="F17" i="8"/>
  <c r="G17" i="8"/>
  <c r="E18" i="8"/>
  <c r="H16" i="1"/>
  <c r="K15" i="1"/>
  <c r="I16" i="1"/>
  <c r="G17" i="1"/>
  <c r="G18" i="8" l="1"/>
  <c r="E19" i="8"/>
  <c r="D20" i="8"/>
  <c r="H19" i="8"/>
  <c r="F18" i="8"/>
  <c r="K16" i="1"/>
  <c r="H17" i="1"/>
  <c r="K17" i="1" s="1"/>
  <c r="I17" i="1"/>
  <c r="F19" i="8" l="1"/>
  <c r="D21" i="8"/>
  <c r="H20" i="8"/>
  <c r="G19" i="8"/>
  <c r="E20" i="8"/>
  <c r="H18" i="1"/>
  <c r="G18" i="1"/>
  <c r="I18" i="1"/>
  <c r="G19" i="1"/>
  <c r="D22" i="8" l="1"/>
  <c r="H21" i="8"/>
  <c r="F20" i="8"/>
  <c r="G20" i="8"/>
  <c r="E21" i="8"/>
  <c r="K18" i="1"/>
  <c r="H19" i="1"/>
  <c r="I19" i="1"/>
  <c r="G20" i="1"/>
  <c r="D23" i="8" l="1"/>
  <c r="H22" i="8"/>
  <c r="G21" i="8"/>
  <c r="E22" i="8"/>
  <c r="F21" i="8"/>
  <c r="K19" i="1"/>
  <c r="H20" i="1"/>
  <c r="I20" i="1"/>
  <c r="G22" i="8" l="1"/>
  <c r="E23" i="8"/>
  <c r="D24" i="8"/>
  <c r="H23" i="8"/>
  <c r="F22" i="8"/>
  <c r="K20" i="1"/>
  <c r="H21" i="1"/>
  <c r="I21" i="1"/>
  <c r="G21" i="1"/>
  <c r="G22" i="1"/>
  <c r="G23" i="8" l="1"/>
  <c r="E24" i="8"/>
  <c r="F23" i="8"/>
  <c r="D25" i="8"/>
  <c r="H24" i="8"/>
  <c r="K21" i="1"/>
  <c r="H22" i="1"/>
  <c r="I22" i="1"/>
  <c r="G23" i="1"/>
  <c r="E25" i="8" l="1"/>
  <c r="G24" i="8"/>
  <c r="F24" i="8"/>
  <c r="D26" i="8"/>
  <c r="H25" i="8"/>
  <c r="K22" i="1"/>
  <c r="H23" i="1"/>
  <c r="I23" i="1"/>
  <c r="G24" i="1"/>
  <c r="F25" i="8" l="1"/>
  <c r="E26" i="8"/>
  <c r="G25" i="8"/>
  <c r="D27" i="8"/>
  <c r="H26" i="8"/>
  <c r="K23" i="1"/>
  <c r="H24" i="1"/>
  <c r="I24" i="1"/>
  <c r="E27" i="8" l="1"/>
  <c r="G26" i="8"/>
  <c r="F26" i="8"/>
  <c r="D28" i="8"/>
  <c r="H27" i="8"/>
  <c r="H25" i="1"/>
  <c r="K24" i="1"/>
  <c r="I25" i="1"/>
  <c r="G25" i="1"/>
  <c r="G26" i="1"/>
  <c r="D29" i="8" l="1"/>
  <c r="H28" i="8"/>
  <c r="E28" i="8"/>
  <c r="G27" i="8"/>
  <c r="F27" i="8"/>
  <c r="K25" i="1"/>
  <c r="H26" i="1"/>
  <c r="I26" i="1"/>
  <c r="G27" i="1"/>
  <c r="E29" i="8" l="1"/>
  <c r="G28" i="8"/>
  <c r="D30" i="8"/>
  <c r="H29" i="8"/>
  <c r="F28" i="8"/>
  <c r="K26" i="1"/>
  <c r="H27" i="1"/>
  <c r="I27" i="1"/>
  <c r="G28" i="1"/>
  <c r="F29" i="8" l="1"/>
  <c r="E30" i="8"/>
  <c r="G29" i="8"/>
  <c r="D31" i="8"/>
  <c r="H30" i="8"/>
  <c r="K27" i="1"/>
  <c r="H28" i="1"/>
  <c r="I28" i="1"/>
  <c r="G29" i="1"/>
  <c r="D32" i="8" l="1"/>
  <c r="H31" i="8"/>
  <c r="F30" i="8"/>
  <c r="E31" i="8"/>
  <c r="G30" i="8"/>
  <c r="H29" i="1"/>
  <c r="K28" i="1"/>
  <c r="I29" i="1"/>
  <c r="F31" i="8" l="1"/>
  <c r="D33" i="8"/>
  <c r="H32" i="8"/>
  <c r="E32" i="8"/>
  <c r="G31" i="8"/>
  <c r="K29" i="1"/>
  <c r="H30" i="1"/>
  <c r="I30" i="1"/>
  <c r="G30" i="1"/>
  <c r="D34" i="8" l="1"/>
  <c r="H33" i="8"/>
  <c r="E33" i="8"/>
  <c r="G32" i="8"/>
  <c r="F32" i="8"/>
  <c r="H31" i="1"/>
  <c r="K30" i="1"/>
  <c r="I31" i="1"/>
  <c r="G31" i="1"/>
  <c r="D35" i="8" l="1"/>
  <c r="H34" i="8"/>
  <c r="E34" i="8"/>
  <c r="G33" i="8"/>
  <c r="F33" i="8"/>
  <c r="H32" i="1"/>
  <c r="K31" i="1"/>
  <c r="I32" i="1"/>
  <c r="G32" i="1"/>
  <c r="G33" i="1"/>
  <c r="E35" i="8" l="1"/>
  <c r="G34" i="8"/>
  <c r="F34" i="8"/>
  <c r="D36" i="8"/>
  <c r="H35" i="8"/>
  <c r="H33" i="1"/>
  <c r="K32" i="1"/>
  <c r="I33" i="1"/>
  <c r="G34" i="1"/>
  <c r="D37" i="8" l="1"/>
  <c r="H36" i="8"/>
  <c r="F35" i="8"/>
  <c r="E36" i="8"/>
  <c r="G35" i="8"/>
  <c r="K33" i="1"/>
  <c r="H34" i="1"/>
  <c r="I34" i="1"/>
  <c r="D38" i="8" l="1"/>
  <c r="H37" i="8"/>
  <c r="E37" i="8"/>
  <c r="G36" i="8"/>
  <c r="F36" i="8"/>
  <c r="K34" i="1"/>
  <c r="H35" i="1"/>
  <c r="I35" i="1"/>
  <c r="G35" i="1"/>
  <c r="G36" i="1"/>
  <c r="D39" i="8" l="1"/>
  <c r="H38" i="8"/>
  <c r="F37" i="8"/>
  <c r="E38" i="8"/>
  <c r="G37" i="8"/>
  <c r="H36" i="1"/>
  <c r="K35" i="1"/>
  <c r="I36" i="1"/>
  <c r="F38" i="8" l="1"/>
  <c r="E39" i="8"/>
  <c r="G38" i="8"/>
  <c r="D40" i="8"/>
  <c r="H39" i="8"/>
  <c r="K36" i="1"/>
  <c r="H37" i="1"/>
  <c r="I37" i="1"/>
  <c r="G37" i="1"/>
  <c r="F39" i="8" l="1"/>
  <c r="D41" i="8"/>
  <c r="H40" i="8"/>
  <c r="E40" i="8"/>
  <c r="G39" i="8"/>
  <c r="K37" i="1"/>
  <c r="H38" i="1"/>
  <c r="I38" i="1"/>
  <c r="G38" i="1"/>
  <c r="G39" i="1"/>
  <c r="D42" i="8" l="1"/>
  <c r="H41" i="8"/>
  <c r="F40" i="8"/>
  <c r="E41" i="8"/>
  <c r="G40" i="8"/>
  <c r="H39" i="1"/>
  <c r="K38" i="1"/>
  <c r="I39" i="1"/>
  <c r="G40" i="1"/>
  <c r="E42" i="8" l="1"/>
  <c r="G41" i="8"/>
  <c r="F41" i="8"/>
  <c r="D43" i="8"/>
  <c r="H42" i="8"/>
  <c r="K39" i="1"/>
  <c r="H40" i="1"/>
  <c r="I40" i="1"/>
  <c r="G41" i="1"/>
  <c r="D44" i="8" l="1"/>
  <c r="H43" i="8"/>
  <c r="E43" i="8"/>
  <c r="G42" i="8"/>
  <c r="F42" i="8"/>
  <c r="H41" i="1"/>
  <c r="K40" i="1"/>
  <c r="I41" i="1"/>
  <c r="G42" i="1"/>
  <c r="E44" i="8" l="1"/>
  <c r="G43" i="8"/>
  <c r="D45" i="8"/>
  <c r="H44" i="8"/>
  <c r="F43" i="8"/>
  <c r="K41" i="1"/>
  <c r="H42" i="1"/>
  <c r="I42" i="1"/>
  <c r="G43" i="1"/>
  <c r="D46" i="8" l="1"/>
  <c r="H45" i="8"/>
  <c r="F44" i="8"/>
  <c r="E45" i="8"/>
  <c r="G44" i="8"/>
  <c r="H43" i="1"/>
  <c r="K42" i="1"/>
  <c r="I43" i="1"/>
  <c r="E46" i="8" l="1"/>
  <c r="G45" i="8"/>
  <c r="D47" i="8"/>
  <c r="H46" i="8"/>
  <c r="F45" i="8"/>
  <c r="K43" i="1"/>
  <c r="H44" i="1"/>
  <c r="I44" i="1"/>
  <c r="G44" i="1"/>
  <c r="D48" i="8" l="1"/>
  <c r="H47" i="8"/>
  <c r="F46" i="8"/>
  <c r="E47" i="8"/>
  <c r="G46" i="8"/>
  <c r="K44" i="1"/>
  <c r="H45" i="1"/>
  <c r="G45" i="1"/>
  <c r="I45" i="1"/>
  <c r="E48" i="8" l="1"/>
  <c r="G47" i="8"/>
  <c r="F47" i="8"/>
  <c r="D49" i="8"/>
  <c r="H48" i="8"/>
  <c r="H46" i="1"/>
  <c r="K45" i="1"/>
  <c r="I46" i="1"/>
  <c r="G46" i="1"/>
  <c r="E49" i="8" l="1"/>
  <c r="G48" i="8"/>
  <c r="D50" i="8"/>
  <c r="H49" i="8"/>
  <c r="F48" i="8"/>
  <c r="K46" i="1"/>
  <c r="H47" i="1"/>
  <c r="G47" i="1"/>
  <c r="I47" i="1"/>
  <c r="E50" i="8" l="1"/>
  <c r="G49" i="8"/>
  <c r="F49" i="8"/>
  <c r="D51" i="8"/>
  <c r="H50" i="8"/>
  <c r="K47" i="1"/>
  <c r="H48" i="1"/>
  <c r="I48" i="1"/>
  <c r="G48" i="1"/>
  <c r="G49" i="1"/>
  <c r="E51" i="8" l="1"/>
  <c r="G50" i="8"/>
  <c r="D52" i="8"/>
  <c r="H51" i="8"/>
  <c r="F50" i="8"/>
  <c r="K48" i="1"/>
  <c r="H49" i="1"/>
  <c r="K49" i="1" s="1"/>
  <c r="I49" i="1"/>
  <c r="E52" i="8" l="1"/>
  <c r="G51" i="8"/>
  <c r="D53" i="8"/>
  <c r="H52" i="8"/>
  <c r="F51" i="8"/>
  <c r="H50" i="1"/>
  <c r="I50" i="1"/>
  <c r="G50" i="1"/>
  <c r="D54" i="8" l="1"/>
  <c r="H53" i="8"/>
  <c r="E53" i="8"/>
  <c r="G52" i="8"/>
  <c r="F52" i="8"/>
  <c r="K50" i="1"/>
  <c r="H51" i="1"/>
  <c r="I51" i="1"/>
  <c r="G51" i="1"/>
  <c r="G52" i="1"/>
  <c r="F53" i="8" l="1"/>
  <c r="D55" i="8"/>
  <c r="H54" i="8"/>
  <c r="E54" i="8"/>
  <c r="G53" i="8"/>
  <c r="K51" i="1"/>
  <c r="H52" i="1"/>
  <c r="I52" i="1"/>
  <c r="G53" i="1"/>
  <c r="D56" i="8" l="1"/>
  <c r="H55" i="8"/>
  <c r="F54" i="8"/>
  <c r="E55" i="8"/>
  <c r="G54" i="8"/>
  <c r="H53" i="1"/>
  <c r="K52" i="1"/>
  <c r="I53" i="1"/>
  <c r="F55" i="8" l="1"/>
  <c r="D57" i="8"/>
  <c r="H56" i="8"/>
  <c r="E56" i="8"/>
  <c r="G55" i="8"/>
  <c r="K53" i="1"/>
  <c r="H54" i="1"/>
  <c r="I54" i="1"/>
  <c r="G54" i="1"/>
  <c r="G55" i="1"/>
  <c r="D58" i="8" l="1"/>
  <c r="H57" i="8"/>
  <c r="E57" i="8"/>
  <c r="G56" i="8"/>
  <c r="F56" i="8"/>
  <c r="K54" i="1"/>
  <c r="H55" i="1"/>
  <c r="I55" i="1"/>
  <c r="F57" i="8" l="1"/>
  <c r="D59" i="8"/>
  <c r="H58" i="8"/>
  <c r="E58" i="8"/>
  <c r="G57" i="8"/>
  <c r="K55" i="1"/>
  <c r="H56" i="1"/>
  <c r="I56" i="1"/>
  <c r="G56" i="1"/>
  <c r="F58" i="8" l="1"/>
  <c r="D60" i="8"/>
  <c r="H59" i="8"/>
  <c r="E59" i="8"/>
  <c r="G58" i="8"/>
  <c r="H57" i="1"/>
  <c r="K56" i="1"/>
  <c r="I57" i="1"/>
  <c r="G57" i="1"/>
  <c r="G58" i="1"/>
  <c r="E60" i="8" l="1"/>
  <c r="G59" i="8"/>
  <c r="F59" i="8"/>
  <c r="D61" i="8"/>
  <c r="H61" i="8" s="1"/>
  <c r="O55" i="8" s="1"/>
  <c r="H60" i="8"/>
  <c r="K57" i="1"/>
  <c r="H58" i="1"/>
  <c r="I58" i="1"/>
  <c r="R51" i="8" l="1"/>
  <c r="E61" i="8"/>
  <c r="G60" i="8"/>
  <c r="O59" i="8"/>
  <c r="O57" i="8"/>
  <c r="O54" i="8"/>
  <c r="L55" i="8"/>
  <c r="O53" i="8"/>
  <c r="O58" i="8"/>
  <c r="F60" i="8"/>
  <c r="L58" i="8"/>
  <c r="O60" i="8"/>
  <c r="R54" i="8"/>
  <c r="O12" i="8"/>
  <c r="O10" i="8"/>
  <c r="O11" i="8"/>
  <c r="O14" i="8"/>
  <c r="O13" i="8"/>
  <c r="O15" i="8"/>
  <c r="O19" i="8"/>
  <c r="O16" i="8"/>
  <c r="O18" i="8"/>
  <c r="O17" i="8"/>
  <c r="O23" i="8"/>
  <c r="O20" i="8"/>
  <c r="O22" i="8"/>
  <c r="O21" i="8"/>
  <c r="O24" i="8"/>
  <c r="O26" i="8"/>
  <c r="O28" i="8"/>
  <c r="O25" i="8"/>
  <c r="O27" i="8"/>
  <c r="O30" i="8"/>
  <c r="O29" i="8"/>
  <c r="O31" i="8"/>
  <c r="O34" i="8"/>
  <c r="O33" i="8"/>
  <c r="O32" i="8"/>
  <c r="O36" i="8"/>
  <c r="O39" i="8"/>
  <c r="O37" i="8"/>
  <c r="O35" i="8"/>
  <c r="O40" i="8"/>
  <c r="O38" i="8"/>
  <c r="O41" i="8"/>
  <c r="O44" i="8"/>
  <c r="O43" i="8"/>
  <c r="O42" i="8"/>
  <c r="O45" i="8"/>
  <c r="O46" i="8"/>
  <c r="O48" i="8"/>
  <c r="O47" i="8"/>
  <c r="O50" i="8"/>
  <c r="O52" i="8"/>
  <c r="O49" i="8"/>
  <c r="O51" i="8"/>
  <c r="L57" i="8"/>
  <c r="R53" i="8"/>
  <c r="O56" i="8"/>
  <c r="K58" i="1"/>
  <c r="H59" i="1"/>
  <c r="I59" i="1"/>
  <c r="G59" i="1"/>
  <c r="N54" i="8" l="1"/>
  <c r="N55" i="8"/>
  <c r="R59" i="8"/>
  <c r="R57" i="8"/>
  <c r="P59" i="8"/>
  <c r="P55" i="8"/>
  <c r="P53" i="8"/>
  <c r="N58" i="8"/>
  <c r="F61" i="8"/>
  <c r="M52" i="8"/>
  <c r="P57" i="8"/>
  <c r="G61" i="8"/>
  <c r="L60" i="8"/>
  <c r="L10" i="8"/>
  <c r="L11" i="8"/>
  <c r="L12" i="8"/>
  <c r="L17" i="8"/>
  <c r="L13" i="8"/>
  <c r="L15" i="8"/>
  <c r="L14" i="8"/>
  <c r="L16" i="8"/>
  <c r="L18" i="8"/>
  <c r="L20" i="8"/>
  <c r="L19" i="8"/>
  <c r="L22" i="8"/>
  <c r="L25" i="8"/>
  <c r="L21" i="8"/>
  <c r="L23" i="8"/>
  <c r="L24" i="8"/>
  <c r="L27" i="8"/>
  <c r="L26" i="8"/>
  <c r="L29" i="8"/>
  <c r="L28" i="8"/>
  <c r="L31" i="8"/>
  <c r="L32" i="8"/>
  <c r="L30" i="8"/>
  <c r="L33" i="8"/>
  <c r="L36" i="8"/>
  <c r="L37" i="8"/>
  <c r="L34" i="8"/>
  <c r="L35" i="8"/>
  <c r="L38" i="8"/>
  <c r="L40" i="8"/>
  <c r="L39" i="8"/>
  <c r="L41" i="8"/>
  <c r="L42" i="8"/>
  <c r="L43" i="8"/>
  <c r="L44" i="8"/>
  <c r="L45" i="8"/>
  <c r="L47" i="8"/>
  <c r="L46" i="8"/>
  <c r="L51" i="8"/>
  <c r="L49" i="8"/>
  <c r="L48" i="8"/>
  <c r="L50" i="8"/>
  <c r="L53" i="8"/>
  <c r="L52" i="8"/>
  <c r="L54" i="8"/>
  <c r="L56" i="8"/>
  <c r="R56" i="8"/>
  <c r="P58" i="8"/>
  <c r="R60" i="8"/>
  <c r="R10" i="8"/>
  <c r="R12" i="8"/>
  <c r="R11" i="8"/>
  <c r="R14" i="8"/>
  <c r="R16" i="8"/>
  <c r="R13" i="8"/>
  <c r="R18" i="8"/>
  <c r="R17" i="8"/>
  <c r="R15" i="8"/>
  <c r="R19" i="8"/>
  <c r="R20" i="8"/>
  <c r="R21" i="8"/>
  <c r="R23" i="8"/>
  <c r="R22" i="8"/>
  <c r="R24" i="8"/>
  <c r="R25" i="8"/>
  <c r="R26" i="8"/>
  <c r="R27" i="8"/>
  <c r="R29" i="8"/>
  <c r="R30" i="8"/>
  <c r="R28" i="8"/>
  <c r="R32" i="8"/>
  <c r="R31" i="8"/>
  <c r="R34" i="8"/>
  <c r="R33" i="8"/>
  <c r="R35" i="8"/>
  <c r="R36" i="8"/>
  <c r="R38" i="8"/>
  <c r="R37" i="8"/>
  <c r="R40" i="8"/>
  <c r="R39" i="8"/>
  <c r="R41" i="8"/>
  <c r="R42" i="8"/>
  <c r="R44" i="8"/>
  <c r="R43" i="8"/>
  <c r="R45" i="8"/>
  <c r="R48" i="8"/>
  <c r="R46" i="8"/>
  <c r="R47" i="8"/>
  <c r="R49" i="8"/>
  <c r="R50" i="8"/>
  <c r="R52" i="8"/>
  <c r="M58" i="8"/>
  <c r="S58" i="8" s="1"/>
  <c r="L59" i="8"/>
  <c r="R55" i="8"/>
  <c r="R58" i="8"/>
  <c r="H61" i="1"/>
  <c r="H60" i="1"/>
  <c r="K59" i="1"/>
  <c r="G60" i="1"/>
  <c r="L56" i="1"/>
  <c r="I60" i="1"/>
  <c r="L59" i="1"/>
  <c r="M60" i="8" l="1"/>
  <c r="M10" i="8"/>
  <c r="M11" i="8"/>
  <c r="M15" i="8"/>
  <c r="M13" i="8"/>
  <c r="M12" i="8"/>
  <c r="M16" i="8"/>
  <c r="M19" i="8"/>
  <c r="M14" i="8"/>
  <c r="M17" i="8"/>
  <c r="M18" i="8"/>
  <c r="M21" i="8"/>
  <c r="M20" i="8"/>
  <c r="M22" i="8"/>
  <c r="M23" i="8"/>
  <c r="M24" i="8"/>
  <c r="M27" i="8"/>
  <c r="M26" i="8"/>
  <c r="S26" i="8" s="1"/>
  <c r="M29" i="8"/>
  <c r="M28" i="8"/>
  <c r="M25" i="8"/>
  <c r="M30" i="8"/>
  <c r="M31" i="8"/>
  <c r="M33" i="8"/>
  <c r="M32" i="8"/>
  <c r="M37" i="8"/>
  <c r="M34" i="8"/>
  <c r="M35" i="8"/>
  <c r="M36" i="8"/>
  <c r="M39" i="8"/>
  <c r="M38" i="8"/>
  <c r="M40" i="8"/>
  <c r="M42" i="8"/>
  <c r="M43" i="8"/>
  <c r="M41" i="8"/>
  <c r="M45" i="8"/>
  <c r="M46" i="8"/>
  <c r="M44" i="8"/>
  <c r="M47" i="8"/>
  <c r="M49" i="8"/>
  <c r="M48" i="8"/>
  <c r="M50" i="8"/>
  <c r="M51" i="8"/>
  <c r="M55" i="8"/>
  <c r="S55" i="8" s="1"/>
  <c r="M53" i="8"/>
  <c r="S53" i="8" s="1"/>
  <c r="N60" i="8"/>
  <c r="N11" i="8"/>
  <c r="N10" i="8"/>
  <c r="N12" i="8"/>
  <c r="N14" i="8"/>
  <c r="N13" i="8"/>
  <c r="N17" i="8"/>
  <c r="N16" i="8"/>
  <c r="N15" i="8"/>
  <c r="N18" i="8"/>
  <c r="N19" i="8"/>
  <c r="N20" i="8"/>
  <c r="N21" i="8"/>
  <c r="N22" i="8"/>
  <c r="N25" i="8"/>
  <c r="N23" i="8"/>
  <c r="N24" i="8"/>
  <c r="N27" i="8"/>
  <c r="N28" i="8"/>
  <c r="N26" i="8"/>
  <c r="N29" i="8"/>
  <c r="N30" i="8"/>
  <c r="N31" i="8"/>
  <c r="N35" i="8"/>
  <c r="N32" i="8"/>
  <c r="N36" i="8"/>
  <c r="N33" i="8"/>
  <c r="N34" i="8"/>
  <c r="N37" i="8"/>
  <c r="N38" i="8"/>
  <c r="N40" i="8"/>
  <c r="N42" i="8"/>
  <c r="N39" i="8"/>
  <c r="N44" i="8"/>
  <c r="N41" i="8"/>
  <c r="N45" i="8"/>
  <c r="N43" i="8"/>
  <c r="N46" i="8"/>
  <c r="N47" i="8"/>
  <c r="N49" i="8"/>
  <c r="N50" i="8"/>
  <c r="N48" i="8"/>
  <c r="N51" i="8"/>
  <c r="N53" i="8"/>
  <c r="N52" i="8"/>
  <c r="N56" i="8"/>
  <c r="M56" i="8"/>
  <c r="M59" i="8"/>
  <c r="N57" i="8"/>
  <c r="M54" i="8"/>
  <c r="P60" i="8"/>
  <c r="P11" i="8"/>
  <c r="P12" i="8"/>
  <c r="P10" i="8"/>
  <c r="P13" i="8"/>
  <c r="P15" i="8"/>
  <c r="P14" i="8"/>
  <c r="P16" i="8"/>
  <c r="P17" i="8"/>
  <c r="P20" i="8"/>
  <c r="P19" i="8"/>
  <c r="P18" i="8"/>
  <c r="P24" i="8"/>
  <c r="P21" i="8"/>
  <c r="P22" i="8"/>
  <c r="P23" i="8"/>
  <c r="P25" i="8"/>
  <c r="P26" i="8"/>
  <c r="P28" i="8"/>
  <c r="P27" i="8"/>
  <c r="P30" i="8"/>
  <c r="P29" i="8"/>
  <c r="P32" i="8"/>
  <c r="P31" i="8"/>
  <c r="P33" i="8"/>
  <c r="P36" i="8"/>
  <c r="P34" i="8"/>
  <c r="P35" i="8"/>
  <c r="P37" i="8"/>
  <c r="P40" i="8"/>
  <c r="P38" i="8"/>
  <c r="P39" i="8"/>
  <c r="P41" i="8"/>
  <c r="P42" i="8"/>
  <c r="P45" i="8"/>
  <c r="P43" i="8"/>
  <c r="P44" i="8"/>
  <c r="P47" i="8"/>
  <c r="P46" i="8"/>
  <c r="P49" i="8"/>
  <c r="P50" i="8"/>
  <c r="P48" i="8"/>
  <c r="P52" i="8"/>
  <c r="S52" i="8" s="1"/>
  <c r="P51" i="8"/>
  <c r="P56" i="8"/>
  <c r="M57" i="8"/>
  <c r="P54" i="8"/>
  <c r="N59" i="8"/>
  <c r="K60" i="1"/>
  <c r="O59" i="1"/>
  <c r="O55" i="1"/>
  <c r="O56" i="1"/>
  <c r="O57" i="1"/>
  <c r="O54" i="1"/>
  <c r="O48" i="1"/>
  <c r="O53" i="1"/>
  <c r="O58" i="1"/>
  <c r="O60" i="1"/>
  <c r="K61" i="1"/>
  <c r="O12" i="1"/>
  <c r="O10" i="1"/>
  <c r="O13" i="1"/>
  <c r="O11" i="1"/>
  <c r="O14" i="1"/>
  <c r="O15" i="1"/>
  <c r="O18" i="1"/>
  <c r="O16" i="1"/>
  <c r="O20" i="1"/>
  <c r="O17" i="1"/>
  <c r="O19" i="1"/>
  <c r="O22" i="1"/>
  <c r="O21" i="1"/>
  <c r="O23" i="1"/>
  <c r="O24" i="1"/>
  <c r="O25" i="1"/>
  <c r="O26" i="1"/>
  <c r="O27" i="1"/>
  <c r="O28" i="1"/>
  <c r="O29" i="1"/>
  <c r="O31" i="1"/>
  <c r="O33" i="1"/>
  <c r="O32" i="1"/>
  <c r="O30" i="1"/>
  <c r="O34" i="1"/>
  <c r="O35" i="1"/>
  <c r="O37" i="1"/>
  <c r="O36" i="1"/>
  <c r="O40" i="1"/>
  <c r="O38" i="1"/>
  <c r="O39" i="1"/>
  <c r="O41" i="1"/>
  <c r="O43" i="1"/>
  <c r="O42" i="1"/>
  <c r="O45" i="1"/>
  <c r="O44" i="1"/>
  <c r="O46" i="1"/>
  <c r="O47" i="1"/>
  <c r="O49" i="1"/>
  <c r="O51" i="1"/>
  <c r="O50" i="1"/>
  <c r="O52" i="1"/>
  <c r="L60" i="1"/>
  <c r="I61" i="1"/>
  <c r="P54" i="1" s="1"/>
  <c r="L11" i="1"/>
  <c r="L10" i="1"/>
  <c r="L13" i="1"/>
  <c r="L12" i="1"/>
  <c r="L16" i="1"/>
  <c r="L14" i="1"/>
  <c r="L15" i="1"/>
  <c r="L17" i="1"/>
  <c r="L18" i="1"/>
  <c r="L19" i="1"/>
  <c r="L21" i="1"/>
  <c r="L20" i="1"/>
  <c r="L22" i="1"/>
  <c r="L23" i="1"/>
  <c r="L25" i="1"/>
  <c r="L24" i="1"/>
  <c r="L27" i="1"/>
  <c r="L26" i="1"/>
  <c r="L29" i="1"/>
  <c r="L28" i="1"/>
  <c r="L30" i="1"/>
  <c r="L33" i="1"/>
  <c r="L32" i="1"/>
  <c r="L31" i="1"/>
  <c r="L34" i="1"/>
  <c r="L35" i="1"/>
  <c r="L36" i="1"/>
  <c r="L38" i="1"/>
  <c r="L37" i="1"/>
  <c r="L40" i="1"/>
  <c r="L39" i="1"/>
  <c r="L41" i="1"/>
  <c r="L43" i="1"/>
  <c r="L42" i="1"/>
  <c r="L45" i="1"/>
  <c r="L44" i="1"/>
  <c r="L47" i="1"/>
  <c r="L46" i="1"/>
  <c r="L49" i="1"/>
  <c r="L48" i="1"/>
  <c r="L50" i="1"/>
  <c r="L51" i="1"/>
  <c r="L52" i="1"/>
  <c r="G61" i="1"/>
  <c r="N55" i="1" s="1"/>
  <c r="L57" i="1"/>
  <c r="L55" i="1"/>
  <c r="L54" i="1"/>
  <c r="L53" i="1"/>
  <c r="L58" i="1"/>
  <c r="S50" i="8" l="1"/>
  <c r="S37" i="8"/>
  <c r="S17" i="8"/>
  <c r="S12" i="8"/>
  <c r="S42" i="8"/>
  <c r="S25" i="8"/>
  <c r="S20" i="8"/>
  <c r="S43" i="8"/>
  <c r="S39" i="8"/>
  <c r="S22" i="8"/>
  <c r="S46" i="8"/>
  <c r="S36" i="8"/>
  <c r="S32" i="8"/>
  <c r="S13" i="8"/>
  <c r="S57" i="8"/>
  <c r="S59" i="8"/>
  <c r="S49" i="8"/>
  <c r="S45" i="8"/>
  <c r="S40" i="8"/>
  <c r="S35" i="8"/>
  <c r="S33" i="8"/>
  <c r="S28" i="8"/>
  <c r="S24" i="8"/>
  <c r="S21" i="8"/>
  <c r="S19" i="8"/>
  <c r="S15" i="8"/>
  <c r="S44" i="8"/>
  <c r="S30" i="8"/>
  <c r="S10" i="8"/>
  <c r="T10" i="8" s="1"/>
  <c r="U6" i="8" s="1"/>
  <c r="S54" i="8"/>
  <c r="S48" i="8"/>
  <c r="S27" i="8"/>
  <c r="S14" i="8"/>
  <c r="S60" i="8"/>
  <c r="S56" i="8"/>
  <c r="S51" i="8"/>
  <c r="S47" i="8"/>
  <c r="S41" i="8"/>
  <c r="S38" i="8"/>
  <c r="S34" i="8"/>
  <c r="S31" i="8"/>
  <c r="S29" i="8"/>
  <c r="S23" i="8"/>
  <c r="S18" i="8"/>
  <c r="S16" i="8"/>
  <c r="S11" i="8"/>
  <c r="R52" i="1"/>
  <c r="R51" i="1"/>
  <c r="R60" i="1"/>
  <c r="R14" i="1"/>
  <c r="R10" i="1"/>
  <c r="R16" i="1"/>
  <c r="R15" i="1"/>
  <c r="R12" i="1"/>
  <c r="R13" i="1"/>
  <c r="R19" i="1"/>
  <c r="R17" i="1"/>
  <c r="R18" i="1"/>
  <c r="R11" i="1"/>
  <c r="R21" i="1"/>
  <c r="R20" i="1"/>
  <c r="R24" i="1"/>
  <c r="R23" i="1"/>
  <c r="R22" i="1"/>
  <c r="R26" i="1"/>
  <c r="R25" i="1"/>
  <c r="R27" i="1"/>
  <c r="R30" i="1"/>
  <c r="R29" i="1"/>
  <c r="R28" i="1"/>
  <c r="R32" i="1"/>
  <c r="R31" i="1"/>
  <c r="R34" i="1"/>
  <c r="R33" i="1"/>
  <c r="R36" i="1"/>
  <c r="R35" i="1"/>
  <c r="R37" i="1"/>
  <c r="R38" i="1"/>
  <c r="R39" i="1"/>
  <c r="R40" i="1"/>
  <c r="R43" i="1"/>
  <c r="R42" i="1"/>
  <c r="R45" i="1"/>
  <c r="R41" i="1"/>
  <c r="R48" i="1"/>
  <c r="R44" i="1"/>
  <c r="R46" i="1"/>
  <c r="R47" i="1"/>
  <c r="R50" i="1"/>
  <c r="R49" i="1"/>
  <c r="R56" i="1"/>
  <c r="R58" i="1"/>
  <c r="R53" i="1"/>
  <c r="R54" i="1"/>
  <c r="R59" i="1"/>
  <c r="R57" i="1"/>
  <c r="R55" i="1"/>
  <c r="P56" i="1"/>
  <c r="N56" i="1"/>
  <c r="P59" i="1"/>
  <c r="P55" i="1"/>
  <c r="N57" i="1"/>
  <c r="N58" i="1"/>
  <c r="N59" i="1"/>
  <c r="P60" i="1"/>
  <c r="P10" i="1"/>
  <c r="P13" i="1"/>
  <c r="P12" i="1"/>
  <c r="P11" i="1"/>
  <c r="P17" i="1"/>
  <c r="P15" i="1"/>
  <c r="P14" i="1"/>
  <c r="P16" i="1"/>
  <c r="P19" i="1"/>
  <c r="P18" i="1"/>
  <c r="P21" i="1"/>
  <c r="P20" i="1"/>
  <c r="P23" i="1"/>
  <c r="P22" i="1"/>
  <c r="P24" i="1"/>
  <c r="P26" i="1"/>
  <c r="P25" i="1"/>
  <c r="P27" i="1"/>
  <c r="P28" i="1"/>
  <c r="P29" i="1"/>
  <c r="P31" i="1"/>
  <c r="P30" i="1"/>
  <c r="P33" i="1"/>
  <c r="P32" i="1"/>
  <c r="P34" i="1"/>
  <c r="P37" i="1"/>
  <c r="P38" i="1"/>
  <c r="P36" i="1"/>
  <c r="P35" i="1"/>
  <c r="P39" i="1"/>
  <c r="P41" i="1"/>
  <c r="P40" i="1"/>
  <c r="P42" i="1"/>
  <c r="P43" i="1"/>
  <c r="P44" i="1"/>
  <c r="P46" i="1"/>
  <c r="P45" i="1"/>
  <c r="P47" i="1"/>
  <c r="P48" i="1"/>
  <c r="P49" i="1"/>
  <c r="P52" i="1"/>
  <c r="P51" i="1"/>
  <c r="P50" i="1"/>
  <c r="P53" i="1"/>
  <c r="P58" i="1"/>
  <c r="N52" i="1"/>
  <c r="P57" i="1"/>
  <c r="N60" i="1"/>
  <c r="N12" i="1"/>
  <c r="N11" i="1"/>
  <c r="N13" i="1"/>
  <c r="N10" i="1"/>
  <c r="N15" i="1"/>
  <c r="N18" i="1"/>
  <c r="N16" i="1"/>
  <c r="N17" i="1"/>
  <c r="N19" i="1"/>
  <c r="N14" i="1"/>
  <c r="N21" i="1"/>
  <c r="N22" i="1"/>
  <c r="N20" i="1"/>
  <c r="N25" i="1"/>
  <c r="N23" i="1"/>
  <c r="N24" i="1"/>
  <c r="N26" i="1"/>
  <c r="N27" i="1"/>
  <c r="N29" i="1"/>
  <c r="N28" i="1"/>
  <c r="N30" i="1"/>
  <c r="N31" i="1"/>
  <c r="N33" i="1"/>
  <c r="N32" i="1"/>
  <c r="N35" i="1"/>
  <c r="N34" i="1"/>
  <c r="N37" i="1"/>
  <c r="N38" i="1"/>
  <c r="N39" i="1"/>
  <c r="N36" i="1"/>
  <c r="N40" i="1"/>
  <c r="N41" i="1"/>
  <c r="N42" i="1"/>
  <c r="N44" i="1"/>
  <c r="N43" i="1"/>
  <c r="N46" i="1"/>
  <c r="N48" i="1"/>
  <c r="N45" i="1"/>
  <c r="N47" i="1"/>
  <c r="N51" i="1"/>
  <c r="N50" i="1"/>
  <c r="N54" i="1"/>
  <c r="N49" i="1"/>
  <c r="N53" i="1"/>
  <c r="T61" i="8" l="1"/>
  <c r="U61" i="8" s="1"/>
  <c r="T58" i="8"/>
  <c r="U58" i="8" s="1"/>
  <c r="T57" i="8"/>
  <c r="U57" i="8" s="1"/>
  <c r="T55" i="8"/>
  <c r="U55" i="8" s="1"/>
  <c r="T48" i="8"/>
  <c r="U48" i="8" s="1"/>
  <c r="T18" i="8"/>
  <c r="U18" i="8" s="1"/>
  <c r="T24" i="8"/>
  <c r="U24" i="8" s="1"/>
  <c r="T51" i="8"/>
  <c r="U51" i="8" s="1"/>
  <c r="T30" i="8"/>
  <c r="U30" i="8" s="1"/>
  <c r="T14" i="8"/>
  <c r="U14" i="8" s="1"/>
  <c r="T54" i="8"/>
  <c r="U54" i="8" s="1"/>
  <c r="T25" i="8"/>
  <c r="U25" i="8" s="1"/>
  <c r="T45" i="8"/>
  <c r="U45" i="8" s="1"/>
  <c r="T17" i="8"/>
  <c r="U17" i="8" s="1"/>
  <c r="T56" i="8"/>
  <c r="U56" i="8" s="1"/>
  <c r="T40" i="8"/>
  <c r="U40" i="8" s="1"/>
  <c r="T21" i="8"/>
  <c r="U21" i="8" s="1"/>
  <c r="T41" i="8"/>
  <c r="U41" i="8" s="1"/>
  <c r="T39" i="8"/>
  <c r="U39" i="8" s="1"/>
  <c r="T23" i="8"/>
  <c r="U23" i="8" s="1"/>
  <c r="T38" i="8"/>
  <c r="U38" i="8" s="1"/>
  <c r="T28" i="8"/>
  <c r="U28" i="8" s="1"/>
  <c r="T27" i="8"/>
  <c r="U27" i="8" s="1"/>
  <c r="T53" i="8"/>
  <c r="U53" i="8" s="1"/>
  <c r="T34" i="8"/>
  <c r="U34" i="8" s="1"/>
  <c r="T19" i="8"/>
  <c r="T31" i="8"/>
  <c r="U31" i="8" s="1"/>
  <c r="T22" i="8"/>
  <c r="U22" i="8" s="1"/>
  <c r="T43" i="8"/>
  <c r="U43" i="8" s="1"/>
  <c r="T11" i="8"/>
  <c r="U11" i="8" s="1"/>
  <c r="T42" i="8"/>
  <c r="U42" i="8" s="1"/>
  <c r="T49" i="8"/>
  <c r="U49" i="8" s="1"/>
  <c r="T16" i="8"/>
  <c r="T44" i="8"/>
  <c r="U44" i="8" s="1"/>
  <c r="T29" i="8"/>
  <c r="U29" i="8" s="1"/>
  <c r="T12" i="8"/>
  <c r="U12" i="8" s="1"/>
  <c r="T47" i="8"/>
  <c r="U47" i="8" s="1"/>
  <c r="T13" i="8"/>
  <c r="U13" i="8" s="1"/>
  <c r="T35" i="8"/>
  <c r="U35" i="8" s="1"/>
  <c r="T60" i="8"/>
  <c r="U60" i="8" s="1"/>
  <c r="T50" i="8"/>
  <c r="U50" i="8" s="1"/>
  <c r="T37" i="8"/>
  <c r="U37" i="8" s="1"/>
  <c r="T20" i="8"/>
  <c r="U20" i="8" s="1"/>
  <c r="T36" i="8"/>
  <c r="U36" i="8" s="1"/>
  <c r="T46" i="8"/>
  <c r="U46" i="8" s="1"/>
  <c r="T32" i="8"/>
  <c r="U32" i="8" s="1"/>
  <c r="T15" i="8"/>
  <c r="U15" i="8" s="1"/>
  <c r="T33" i="8"/>
  <c r="U33" i="8" s="1"/>
  <c r="T52" i="8"/>
  <c r="U52" i="8" s="1"/>
  <c r="T59" i="8"/>
  <c r="U59" i="8" s="1"/>
  <c r="T26" i="8"/>
  <c r="U26" i="8" s="1"/>
  <c r="U16" i="8"/>
  <c r="U19" i="8"/>
  <c r="S56" i="1"/>
  <c r="T12" i="1"/>
  <c r="T56" i="1"/>
  <c r="T59" i="1"/>
  <c r="T26" i="1"/>
  <c r="T42" i="1"/>
  <c r="T61" i="1"/>
  <c r="T38" i="1"/>
  <c r="T18" i="1"/>
  <c r="T57" i="1"/>
  <c r="T21" i="1"/>
  <c r="T36" i="1"/>
  <c r="T52" i="1"/>
  <c r="T41" i="1"/>
  <c r="T27" i="1"/>
  <c r="T14" i="1"/>
  <c r="T33" i="1"/>
  <c r="T46" i="1"/>
  <c r="T17" i="1"/>
  <c r="T44" i="1"/>
  <c r="T30" i="1"/>
  <c r="T58" i="1"/>
  <c r="T25" i="1"/>
  <c r="T39" i="1"/>
  <c r="T54" i="1"/>
  <c r="T48" i="1"/>
  <c r="T37" i="1"/>
  <c r="T60" i="1"/>
  <c r="T19" i="1"/>
  <c r="T35" i="1"/>
  <c r="T51" i="1"/>
  <c r="T20" i="1"/>
  <c r="T53" i="1"/>
  <c r="T34" i="1"/>
  <c r="T13" i="1"/>
  <c r="T29" i="1"/>
  <c r="T45" i="1"/>
  <c r="T24" i="1"/>
  <c r="T16" i="1"/>
  <c r="T47" i="1"/>
  <c r="T23" i="1"/>
  <c r="T40" i="1"/>
  <c r="T55" i="1"/>
  <c r="T28" i="1"/>
  <c r="T11" i="1"/>
  <c r="T43" i="1"/>
  <c r="T15" i="1"/>
  <c r="T32" i="1"/>
  <c r="T49" i="1"/>
  <c r="T31" i="1"/>
  <c r="T22" i="1"/>
  <c r="T50" i="1"/>
  <c r="S55" i="1"/>
  <c r="S54" i="1"/>
  <c r="S44" i="1"/>
  <c r="S14" i="1"/>
  <c r="S57" i="1"/>
  <c r="S36" i="1"/>
  <c r="S11" i="1"/>
  <c r="S59" i="1"/>
  <c r="S33" i="1"/>
  <c r="S23" i="1"/>
  <c r="S21" i="1"/>
  <c r="U21" i="1" s="1"/>
  <c r="S27" i="1"/>
  <c r="U27" i="1" s="1"/>
  <c r="S18" i="1"/>
  <c r="S50" i="1"/>
  <c r="S48" i="1"/>
  <c r="S12" i="1"/>
  <c r="S51" i="1"/>
  <c r="S22" i="1"/>
  <c r="S58" i="1"/>
  <c r="S60" i="1"/>
  <c r="S53" i="1"/>
  <c r="S46" i="1"/>
  <c r="S41" i="1"/>
  <c r="S38" i="1"/>
  <c r="S32" i="1"/>
  <c r="S28" i="1"/>
  <c r="S24" i="1"/>
  <c r="S61" i="1"/>
  <c r="U61" i="1" s="1"/>
  <c r="S34" i="1"/>
  <c r="S25" i="1"/>
  <c r="U25" i="1" s="1"/>
  <c r="S42" i="1"/>
  <c r="S35" i="1"/>
  <c r="S19" i="1"/>
  <c r="S45" i="1"/>
  <c r="S31" i="1"/>
  <c r="S17" i="1"/>
  <c r="U17" i="1" s="1"/>
  <c r="S10" i="1"/>
  <c r="S52" i="1"/>
  <c r="S39" i="1"/>
  <c r="S30" i="1"/>
  <c r="U30" i="1" s="1"/>
  <c r="S26" i="1"/>
  <c r="S20" i="1"/>
  <c r="S15" i="1"/>
  <c r="U15" i="1" s="1"/>
  <c r="S49" i="1"/>
  <c r="S47" i="1"/>
  <c r="S43" i="1"/>
  <c r="U43" i="1" s="1"/>
  <c r="S40" i="1"/>
  <c r="S37" i="1"/>
  <c r="U37" i="1" s="1"/>
  <c r="S29" i="1"/>
  <c r="S16" i="1"/>
  <c r="U16" i="1" s="1"/>
  <c r="S13" i="1"/>
  <c r="U13" i="1" s="1"/>
  <c r="U40" i="1" l="1"/>
  <c r="U39" i="1"/>
  <c r="U31" i="1"/>
  <c r="U44" i="1"/>
  <c r="U34" i="1"/>
  <c r="U57" i="1"/>
  <c r="U56" i="1"/>
  <c r="U29" i="1"/>
  <c r="U47" i="1"/>
  <c r="U26" i="1"/>
  <c r="U19" i="1"/>
  <c r="U32" i="1"/>
  <c r="U53" i="1"/>
  <c r="U51" i="1"/>
  <c r="U18" i="1"/>
  <c r="U33" i="1"/>
  <c r="U55" i="1"/>
  <c r="U42" i="1"/>
  <c r="U24" i="1"/>
  <c r="U41" i="1"/>
  <c r="U58" i="1"/>
  <c r="U52" i="1"/>
  <c r="U45" i="1"/>
  <c r="U28" i="1"/>
  <c r="U50" i="1"/>
  <c r="U48" i="1"/>
  <c r="U11" i="1"/>
  <c r="U20" i="1"/>
  <c r="U46" i="1"/>
  <c r="U22" i="1"/>
  <c r="U23" i="1"/>
  <c r="U36" i="1"/>
  <c r="U54" i="1"/>
  <c r="U49" i="1"/>
  <c r="U35" i="1"/>
  <c r="U38" i="1"/>
  <c r="U60" i="1"/>
  <c r="U12" i="1"/>
  <c r="U59" i="1"/>
  <c r="U14" i="1"/>
</calcChain>
</file>

<file path=xl/sharedStrings.xml><?xml version="1.0" encoding="utf-8"?>
<sst xmlns="http://schemas.openxmlformats.org/spreadsheetml/2006/main" count="137" uniqueCount="69">
  <si>
    <t>EOY</t>
  </si>
  <si>
    <t>Year</t>
  </si>
  <si>
    <t>BOY</t>
  </si>
  <si>
    <t>Expense Assumptions</t>
  </si>
  <si>
    <t>Inflation Assumptions</t>
  </si>
  <si>
    <t>Expense Inflation (p.a.)</t>
  </si>
  <si>
    <t>Discount Rate Assumption</t>
  </si>
  <si>
    <t>Discount Rate (p.a.)</t>
  </si>
  <si>
    <t>Benefit Indexation (p.a.)</t>
  </si>
  <si>
    <t>Reinsurance Premium</t>
  </si>
  <si>
    <t>Reinsurance Claims</t>
  </si>
  <si>
    <t>- Reinsurance Premium</t>
  </si>
  <si>
    <t>- Reinsurance Claims</t>
  </si>
  <si>
    <t>as % of Gross Premium</t>
  </si>
  <si>
    <t>as % of Gross Claims</t>
  </si>
  <si>
    <t>- Unearned Premium Reserve (UPR)</t>
  </si>
  <si>
    <t>- Deferred Acquisition Costs (DAC)</t>
  </si>
  <si>
    <t>Reinsurance Information</t>
  </si>
  <si>
    <t>Present Value of Reinsurance Premium</t>
  </si>
  <si>
    <t>Present Value of Reinsurance Claims</t>
  </si>
  <si>
    <t>Year Ending 30 June</t>
  </si>
  <si>
    <t>Projection Year</t>
  </si>
  <si>
    <t>Gross  Sum Insured In-Force</t>
  </si>
  <si>
    <t>Gross  Premium</t>
  </si>
  <si>
    <t>Gross  Claims</t>
  </si>
  <si>
    <t>Present Value of Gross  Premium</t>
  </si>
  <si>
    <t>Present Value of Gross  Claims</t>
  </si>
  <si>
    <t>Net  Best Estimate Liability (Net BEL)</t>
  </si>
  <si>
    <t>Net Present Value of Profit Margins (Net PVPM)</t>
  </si>
  <si>
    <t>Net Policy Liability (Net PL)</t>
  </si>
  <si>
    <t>Net Profit Margin %</t>
  </si>
  <si>
    <t>Gross Renewal Expense</t>
  </si>
  <si>
    <t>Gross  Renewal Commission</t>
  </si>
  <si>
    <t>Present Value of Gross  Renewal Expense</t>
  </si>
  <si>
    <t>Present Value of Gross Renewal Commission</t>
  </si>
  <si>
    <t>for year ending 30 June 2020</t>
  </si>
  <si>
    <t>Gross Renewal Commission</t>
  </si>
  <si>
    <t>Commission Assumptions</t>
  </si>
  <si>
    <t>Premium Increase and Decrement Assumptions</t>
  </si>
  <si>
    <t>Reinsurance Ratios Before Recapture</t>
  </si>
  <si>
    <t>Reinsurance Ratios After Recapture</t>
  </si>
  <si>
    <t>Reinsurance Repayment on Recapture</t>
  </si>
  <si>
    <t>payable on 1 July 2019</t>
  </si>
  <si>
    <t>Present Value of Reinsurance Repayment on Recapture</t>
  </si>
  <si>
    <t>Projection</t>
  </si>
  <si>
    <t>Assumption on Timing of Cash Flow</t>
  </si>
  <si>
    <t>- Premiums are received annually in advance (on every 1 July).</t>
  </si>
  <si>
    <t>- Expense and commissions are incurred annually in advance (on every 1 July).</t>
  </si>
  <si>
    <t>- Claims are incurred and paid annually in arrears (on every 30 June).</t>
  </si>
  <si>
    <t>(Gross Renewal Expense is incurred annually in advance on every 1 July, based on the proportion of policies in-force remaining at that time.)</t>
  </si>
  <si>
    <t>Profit Carrier Information</t>
  </si>
  <si>
    <t>Use expected gross premiums as the profit carrier.</t>
  </si>
  <si>
    <t>Policy Liability Components as at 1 July 2019 (Based on Accumulation Basis)</t>
  </si>
  <si>
    <t>New Business Assumption</t>
  </si>
  <si>
    <t>For the purposes of the projection, assume that:</t>
  </si>
  <si>
    <t>Claim Incidence Rate (Annual)</t>
  </si>
  <si>
    <t>Premium Increase (p.a.)</t>
  </si>
  <si>
    <t>Lapse Rate (Annual)</t>
  </si>
  <si>
    <t>For the purposes of the projection, assume there is no new business written on or after 1 July 2019.</t>
  </si>
  <si>
    <t>based on assumed average age and assumed average policy duration for each projection year, before benefit indexation</t>
  </si>
  <si>
    <t>Payment to Reinsurer on Recapture</t>
  </si>
  <si>
    <t>Net Policy Liability, whose components are:</t>
  </si>
  <si>
    <t>Key:</t>
  </si>
  <si>
    <t>Provided data</t>
  </si>
  <si>
    <t>To be completed by candidates</t>
  </si>
  <si>
    <t>After Recapture? (Y/N)</t>
  </si>
  <si>
    <t>N</t>
  </si>
  <si>
    <t>Y</t>
  </si>
  <si>
    <t>Overall Profitability: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</si>
</sst>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,##0_ ;[Red]\(#,##0\);&quot;-&quot;_ "/>
    <numFmt numFmtId="167" formatCode="0.0000"/>
    <numFmt numFmtId="168" formatCode="0.0%"/>
    <numFmt numFmtId="169" formatCode="#,##0.000_ ;[Red]\(#,##0.000\);&quot;-&quot;_ "/>
    <numFmt numFmtId="170" formatCode="_-&quot;$&quot;* #,##0_-;\-&quot;$&quot;* #,##0_-;_-&quot;$&quot;* &quot;-&quot;??_-;_-@_-"/>
    <numFmt numFmtId="171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u/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0"/>
      <color theme="1"/>
      <name val="Century Gothic"/>
      <family val="2"/>
    </font>
    <font>
      <sz val="10"/>
      <name val="Arial"/>
      <family val="2"/>
    </font>
    <font>
      <b/>
      <u/>
      <sz val="14"/>
      <color theme="1"/>
      <name val="Century Gothic"/>
      <family val="2"/>
    </font>
    <font>
      <b/>
      <sz val="11"/>
      <name val="Century Gothic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</cellStyleXfs>
  <cellXfs count="96">
    <xf numFmtId="0" fontId="0" fillId="0" borderId="0" xfId="0"/>
    <xf numFmtId="168" fontId="4" fillId="2" borderId="0" xfId="1" applyNumberFormat="1" applyFont="1" applyFill="1" applyAlignment="1">
      <alignment horizontal="center"/>
    </xf>
    <xf numFmtId="170" fontId="4" fillId="2" borderId="0" xfId="3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168" fontId="4" fillId="2" borderId="19" xfId="1" applyNumberFormat="1" applyFont="1" applyFill="1" applyBorder="1" applyAlignment="1">
      <alignment horizontal="center"/>
    </xf>
    <xf numFmtId="167" fontId="4" fillId="2" borderId="0" xfId="1" applyNumberFormat="1" applyFont="1" applyFill="1" applyAlignment="1">
      <alignment horizontal="center"/>
    </xf>
    <xf numFmtId="168" fontId="4" fillId="2" borderId="17" xfId="1" applyNumberFormat="1" applyFont="1" applyFill="1" applyBorder="1" applyAlignment="1">
      <alignment horizontal="center"/>
    </xf>
    <xf numFmtId="167" fontId="4" fillId="2" borderId="19" xfId="1" applyNumberFormat="1" applyFont="1" applyFill="1" applyBorder="1" applyAlignment="1">
      <alignment horizontal="center"/>
    </xf>
    <xf numFmtId="168" fontId="4" fillId="2" borderId="20" xfId="1" applyNumberFormat="1" applyFont="1" applyFill="1" applyBorder="1" applyAlignment="1">
      <alignment horizontal="center"/>
    </xf>
    <xf numFmtId="170" fontId="5" fillId="2" borderId="0" xfId="3" applyNumberFormat="1" applyFont="1" applyFill="1" applyAlignment="1">
      <alignment horizontal="center"/>
    </xf>
    <xf numFmtId="0" fontId="6" fillId="0" borderId="0" xfId="0" applyFont="1"/>
    <xf numFmtId="0" fontId="6" fillId="0" borderId="8" xfId="0" applyFont="1" applyBorder="1"/>
    <xf numFmtId="0" fontId="6" fillId="0" borderId="18" xfId="0" applyFont="1" applyBorder="1"/>
    <xf numFmtId="0" fontId="9" fillId="0" borderId="13" xfId="0" applyFont="1" applyBorder="1"/>
    <xf numFmtId="0" fontId="4" fillId="0" borderId="16" xfId="0" applyFont="1" applyBorder="1"/>
    <xf numFmtId="0" fontId="9" fillId="0" borderId="16" xfId="0" applyFont="1" applyBorder="1"/>
    <xf numFmtId="0" fontId="4" fillId="0" borderId="16" xfId="0" quotePrefix="1" applyFont="1" applyBorder="1"/>
    <xf numFmtId="0" fontId="4" fillId="0" borderId="17" xfId="0" applyFont="1" applyBorder="1"/>
    <xf numFmtId="0" fontId="4" fillId="0" borderId="0" xfId="0" applyFont="1"/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9" fontId="4" fillId="0" borderId="0" xfId="0" applyNumberFormat="1" applyFont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8" fontId="4" fillId="0" borderId="17" xfId="1" applyNumberFormat="1" applyFont="1" applyBorder="1"/>
    <xf numFmtId="10" fontId="4" fillId="0" borderId="17" xfId="1" applyNumberFormat="1" applyFont="1" applyBorder="1"/>
    <xf numFmtId="168" fontId="4" fillId="0" borderId="0" xfId="0" applyNumberFormat="1" applyFont="1"/>
    <xf numFmtId="0" fontId="4" fillId="0" borderId="16" xfId="0" applyFont="1" applyBorder="1" applyAlignment="1">
      <alignment horizontal="center"/>
    </xf>
    <xf numFmtId="166" fontId="4" fillId="0" borderId="0" xfId="0" applyNumberFormat="1" applyFont="1"/>
    <xf numFmtId="0" fontId="4" fillId="0" borderId="21" xfId="0" applyFont="1" applyBorder="1"/>
    <xf numFmtId="0" fontId="4" fillId="0" borderId="8" xfId="0" applyFont="1" applyBorder="1"/>
    <xf numFmtId="168" fontId="4" fillId="0" borderId="22" xfId="1" applyNumberFormat="1" applyFont="1" applyBorder="1"/>
    <xf numFmtId="170" fontId="4" fillId="0" borderId="0" xfId="3" applyNumberFormat="1" applyFont="1"/>
    <xf numFmtId="0" fontId="4" fillId="0" borderId="22" xfId="0" applyFont="1" applyBorder="1"/>
    <xf numFmtId="0" fontId="9" fillId="0" borderId="23" xfId="0" applyFont="1" applyBorder="1"/>
    <xf numFmtId="0" fontId="4" fillId="0" borderId="7" xfId="0" applyFont="1" applyBorder="1"/>
    <xf numFmtId="0" fontId="4" fillId="0" borderId="24" xfId="0" applyFont="1" applyBorder="1"/>
    <xf numFmtId="0" fontId="5" fillId="0" borderId="16" xfId="0" applyFont="1" applyBorder="1"/>
    <xf numFmtId="0" fontId="4" fillId="0" borderId="16" xfId="0" quotePrefix="1" applyFont="1" applyBorder="1" applyAlignment="1">
      <alignment horizontal="left" indent="2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8" xfId="0" applyFont="1" applyBorder="1" applyAlignment="1">
      <alignment horizontal="center"/>
    </xf>
    <xf numFmtId="171" fontId="4" fillId="0" borderId="0" xfId="4" applyNumberFormat="1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6" fontId="6" fillId="0" borderId="9" xfId="0" applyNumberFormat="1" applyFont="1" applyBorder="1"/>
    <xf numFmtId="166" fontId="6" fillId="0" borderId="0" xfId="0" applyNumberFormat="1" applyFont="1"/>
    <xf numFmtId="169" fontId="6" fillId="0" borderId="0" xfId="0" applyNumberFormat="1" applyFont="1"/>
    <xf numFmtId="166" fontId="6" fillId="3" borderId="0" xfId="0" applyNumberFormat="1" applyFont="1" applyFill="1"/>
    <xf numFmtId="166" fontId="6" fillId="3" borderId="9" xfId="0" applyNumberFormat="1" applyFont="1" applyFill="1" applyBorder="1"/>
    <xf numFmtId="9" fontId="6" fillId="0" borderId="0" xfId="1" applyFo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6" fontId="6" fillId="3" borderId="6" xfId="0" applyNumberFormat="1" applyFont="1" applyFill="1" applyBorder="1"/>
    <xf numFmtId="166" fontId="6" fillId="3" borderId="8" xfId="0" applyNumberFormat="1" applyFont="1" applyFill="1" applyBorder="1"/>
    <xf numFmtId="166" fontId="6" fillId="0" borderId="8" xfId="0" applyNumberFormat="1" applyFont="1" applyBorder="1"/>
    <xf numFmtId="166" fontId="6" fillId="2" borderId="9" xfId="0" applyNumberFormat="1" applyFont="1" applyFill="1" applyBorder="1"/>
    <xf numFmtId="166" fontId="6" fillId="2" borderId="0" xfId="0" applyNumberFormat="1" applyFont="1" applyFill="1"/>
    <xf numFmtId="0" fontId="11" fillId="0" borderId="0" xfId="0" applyFont="1"/>
    <xf numFmtId="0" fontId="3" fillId="0" borderId="0" xfId="0" applyFont="1" applyAlignment="1">
      <alignment horizontal="right"/>
    </xf>
    <xf numFmtId="0" fontId="8" fillId="0" borderId="13" xfId="5" applyFont="1" applyBorder="1" applyAlignment="1">
      <alignment horizontal="left" vertical="center"/>
    </xf>
    <xf numFmtId="0" fontId="6" fillId="3" borderId="15" xfId="5" applyFont="1" applyFill="1" applyBorder="1" applyAlignment="1">
      <alignment horizontal="left" vertical="center" wrapText="1"/>
    </xf>
    <xf numFmtId="0" fontId="6" fillId="2" borderId="20" xfId="0" applyFont="1" applyFill="1" applyBorder="1"/>
    <xf numFmtId="0" fontId="12" fillId="0" borderId="11" xfId="0" applyFont="1" applyBorder="1" applyAlignment="1">
      <alignment horizontal="right"/>
    </xf>
    <xf numFmtId="0" fontId="6" fillId="2" borderId="12" xfId="0" applyFont="1" applyFill="1" applyBorder="1"/>
    <xf numFmtId="0" fontId="6" fillId="0" borderId="1" xfId="0" applyFont="1" applyBorder="1"/>
    <xf numFmtId="0" fontId="6" fillId="3" borderId="2" xfId="5" applyFont="1" applyFill="1" applyBorder="1" applyAlignment="1">
      <alignment horizontal="left" vertical="center" wrapText="1"/>
    </xf>
    <xf numFmtId="0" fontId="13" fillId="6" borderId="0" xfId="6" applyFill="1" applyAlignment="1">
      <alignment horizontal="center" vertical="center"/>
    </xf>
    <xf numFmtId="0" fontId="4" fillId="6" borderId="17" xfId="0" applyFont="1" applyFill="1" applyBorder="1"/>
    <xf numFmtId="10" fontId="4" fillId="6" borderId="17" xfId="1" applyNumberFormat="1" applyFont="1" applyFill="1" applyBorder="1"/>
    <xf numFmtId="0" fontId="4" fillId="6" borderId="0" xfId="0" applyFont="1" applyFill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166" fontId="14" fillId="5" borderId="9" xfId="7" applyNumberFormat="1" applyBorder="1"/>
    <xf numFmtId="166" fontId="14" fillId="5" borderId="0" xfId="7" applyNumberFormat="1"/>
    <xf numFmtId="168" fontId="14" fillId="5" borderId="2" xfId="7" applyNumberFormat="1" applyBorder="1"/>
    <xf numFmtId="166" fontId="6" fillId="3" borderId="26" xfId="0" applyNumberFormat="1" applyFont="1" applyFill="1" applyBorder="1"/>
    <xf numFmtId="166" fontId="6" fillId="3" borderId="0" xfId="0" applyNumberFormat="1" applyFont="1" applyFill="1" applyBorder="1"/>
    <xf numFmtId="166" fontId="6" fillId="0" borderId="0" xfId="0" applyNumberFormat="1" applyFont="1" applyBorder="1"/>
    <xf numFmtId="166" fontId="6" fillId="3" borderId="25" xfId="0" applyNumberFormat="1" applyFont="1" applyFill="1" applyBorder="1"/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1" fontId="0" fillId="0" borderId="0" xfId="4" applyNumberFormat="1" applyFont="1"/>
  </cellXfs>
  <cellStyles count="8">
    <cellStyle name="Bad" xfId="7" builtinId="27"/>
    <cellStyle name="Comma" xfId="4" builtinId="3"/>
    <cellStyle name="Currency" xfId="3" builtinId="4"/>
    <cellStyle name="Good" xfId="6" builtinId="26"/>
    <cellStyle name="Normal" xfId="0" builtinId="0"/>
    <cellStyle name="Normal 3" xfId="5"/>
    <cellStyle name="Normal 4" xfId="2"/>
    <cellStyle name="Percent" xfId="1" builtinId="5"/>
  </cellStyles>
  <dxfs count="0"/>
  <tableStyles count="0" defaultTableStyle="TableStyleMedium9" defaultPivotStyle="PivotStyleLight16"/>
  <colors>
    <mruColors>
      <color rgb="FF99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zoomScaleNormal="100" workbookViewId="0">
      <selection activeCell="D34" sqref="D34"/>
    </sheetView>
  </sheetViews>
  <sheetFormatPr defaultRowHeight="13.5" x14ac:dyDescent="0.25"/>
  <cols>
    <col min="1" max="1" width="6.85546875" style="18" bestFit="1" customWidth="1"/>
    <col min="2" max="2" width="50.7109375" style="18" bestFit="1" customWidth="1"/>
    <col min="3" max="3" width="23.5703125" style="18" bestFit="1" customWidth="1"/>
    <col min="4" max="4" width="68" style="18" customWidth="1"/>
    <col min="5" max="5" width="4.7109375" style="18" customWidth="1"/>
    <col min="6" max="6" width="9.140625" style="18"/>
    <col min="7" max="9" width="44" style="18" customWidth="1"/>
    <col min="10" max="16384" width="9.140625" style="18"/>
  </cols>
  <sheetData>
    <row r="1" spans="1:9" ht="17.25" thickBot="1" x14ac:dyDescent="0.35">
      <c r="A1" s="77" t="s">
        <v>62</v>
      </c>
      <c r="B1" s="78" t="s">
        <v>63</v>
      </c>
    </row>
    <row r="2" spans="1:9" ht="14.25" thickBot="1" x14ac:dyDescent="0.3">
      <c r="A2" s="73"/>
    </row>
    <row r="3" spans="1:9" x14ac:dyDescent="0.25">
      <c r="B3" s="13" t="s">
        <v>53</v>
      </c>
      <c r="C3" s="19"/>
      <c r="D3" s="20"/>
      <c r="F3" s="21"/>
      <c r="G3" s="22" t="s">
        <v>38</v>
      </c>
      <c r="H3" s="19"/>
      <c r="I3" s="23"/>
    </row>
    <row r="4" spans="1:9" x14ac:dyDescent="0.25">
      <c r="B4" s="14"/>
      <c r="D4" s="17"/>
      <c r="F4" s="14"/>
      <c r="G4" s="18" t="s">
        <v>59</v>
      </c>
      <c r="I4" s="17"/>
    </row>
    <row r="5" spans="1:9" x14ac:dyDescent="0.25">
      <c r="B5" s="14" t="s">
        <v>58</v>
      </c>
      <c r="C5" s="24"/>
      <c r="D5" s="17"/>
      <c r="F5" s="14"/>
      <c r="I5" s="17"/>
    </row>
    <row r="6" spans="1:9" ht="15" x14ac:dyDescent="0.25">
      <c r="B6" s="14"/>
      <c r="D6" s="17"/>
      <c r="F6" s="25" t="s">
        <v>1</v>
      </c>
      <c r="G6" s="81" t="s">
        <v>56</v>
      </c>
      <c r="H6" s="84" t="s">
        <v>55</v>
      </c>
      <c r="I6" s="85" t="s">
        <v>57</v>
      </c>
    </row>
    <row r="7" spans="1:9" x14ac:dyDescent="0.25">
      <c r="B7" s="15" t="s">
        <v>45</v>
      </c>
      <c r="D7" s="27"/>
      <c r="F7" s="14"/>
      <c r="I7" s="26"/>
    </row>
    <row r="8" spans="1:9" x14ac:dyDescent="0.25">
      <c r="B8" s="14"/>
      <c r="D8" s="28"/>
      <c r="E8" s="29"/>
      <c r="F8" s="30">
        <v>1</v>
      </c>
      <c r="G8" s="1">
        <v>1.4999999999999999E-2</v>
      </c>
      <c r="H8" s="5">
        <v>1.8E-3</v>
      </c>
      <c r="I8" s="6">
        <v>8.7999999999999995E-2</v>
      </c>
    </row>
    <row r="9" spans="1:9" x14ac:dyDescent="0.25">
      <c r="B9" s="14" t="s">
        <v>54</v>
      </c>
      <c r="D9" s="28"/>
      <c r="E9" s="29"/>
      <c r="F9" s="30">
        <v>2</v>
      </c>
      <c r="G9" s="1">
        <v>1.5599999999999999E-2</v>
      </c>
      <c r="H9" s="5">
        <v>1.8E-3</v>
      </c>
      <c r="I9" s="6">
        <v>0.09</v>
      </c>
    </row>
    <row r="10" spans="1:9" x14ac:dyDescent="0.25">
      <c r="B10" s="16" t="s">
        <v>46</v>
      </c>
      <c r="D10" s="28"/>
      <c r="E10" s="29"/>
      <c r="F10" s="30">
        <v>3</v>
      </c>
      <c r="G10" s="1">
        <v>1.6223999999999999E-2</v>
      </c>
      <c r="H10" s="5">
        <v>1.9E-3</v>
      </c>
      <c r="I10" s="6">
        <v>0.09</v>
      </c>
    </row>
    <row r="11" spans="1:9" x14ac:dyDescent="0.25">
      <c r="B11" s="16" t="s">
        <v>47</v>
      </c>
      <c r="D11" s="28"/>
      <c r="E11" s="29"/>
      <c r="F11" s="30">
        <v>4</v>
      </c>
      <c r="G11" s="1">
        <v>1.6872959999999999E-2</v>
      </c>
      <c r="H11" s="5">
        <v>1.9E-3</v>
      </c>
      <c r="I11" s="6">
        <v>9.0999999999999998E-2</v>
      </c>
    </row>
    <row r="12" spans="1:9" x14ac:dyDescent="0.25">
      <c r="B12" s="16" t="s">
        <v>48</v>
      </c>
      <c r="D12" s="28"/>
      <c r="E12" s="29"/>
      <c r="F12" s="30">
        <v>5</v>
      </c>
      <c r="G12" s="1">
        <v>1.7547878400000001E-2</v>
      </c>
      <c r="H12" s="5">
        <v>1.9E-3</v>
      </c>
      <c r="I12" s="6">
        <v>9.1999999999999998E-2</v>
      </c>
    </row>
    <row r="13" spans="1:9" x14ac:dyDescent="0.25">
      <c r="B13" s="16"/>
      <c r="D13" s="28"/>
      <c r="E13" s="29"/>
      <c r="F13" s="30">
        <v>6</v>
      </c>
      <c r="G13" s="1">
        <v>1.8249793536000002E-2</v>
      </c>
      <c r="H13" s="5">
        <v>2E-3</v>
      </c>
      <c r="I13" s="6">
        <v>9.1999999999999998E-2</v>
      </c>
    </row>
    <row r="14" spans="1:9" x14ac:dyDescent="0.25">
      <c r="B14" s="15" t="s">
        <v>6</v>
      </c>
      <c r="C14" s="29"/>
      <c r="D14" s="28"/>
      <c r="E14" s="29"/>
      <c r="F14" s="30">
        <v>7</v>
      </c>
      <c r="G14" s="1">
        <v>1.8979785277440004E-2</v>
      </c>
      <c r="H14" s="5">
        <v>2E-3</v>
      </c>
      <c r="I14" s="6">
        <v>9.2999999999999999E-2</v>
      </c>
    </row>
    <row r="15" spans="1:9" x14ac:dyDescent="0.25">
      <c r="B15" s="14"/>
      <c r="C15" s="29"/>
      <c r="D15" s="28"/>
      <c r="E15" s="29"/>
      <c r="F15" s="30">
        <v>8</v>
      </c>
      <c r="G15" s="1">
        <v>1.9738976688537604E-2</v>
      </c>
      <c r="H15" s="5">
        <v>2.0999999999999999E-3</v>
      </c>
      <c r="I15" s="6">
        <v>9.4E-2</v>
      </c>
    </row>
    <row r="16" spans="1:9" x14ac:dyDescent="0.25">
      <c r="B16" s="14" t="s">
        <v>7</v>
      </c>
      <c r="C16" s="1">
        <v>0.03</v>
      </c>
      <c r="D16" s="83"/>
      <c r="E16" s="29"/>
      <c r="F16" s="30">
        <v>9</v>
      </c>
      <c r="G16" s="1">
        <v>2.052853575607911E-2</v>
      </c>
      <c r="H16" s="5">
        <v>2.0999999999999999E-3</v>
      </c>
      <c r="I16" s="6">
        <v>9.5000000000000001E-2</v>
      </c>
    </row>
    <row r="17" spans="2:9" x14ac:dyDescent="0.25">
      <c r="B17" s="14"/>
      <c r="C17" s="29"/>
      <c r="D17" s="28"/>
      <c r="E17" s="29"/>
      <c r="F17" s="30">
        <v>10</v>
      </c>
      <c r="G17" s="1">
        <v>2.1349677186322275E-2</v>
      </c>
      <c r="H17" s="5">
        <v>2.0999999999999999E-3</v>
      </c>
      <c r="I17" s="6">
        <v>9.6000000000000002E-2</v>
      </c>
    </row>
    <row r="18" spans="2:9" x14ac:dyDescent="0.25">
      <c r="B18" s="15" t="s">
        <v>4</v>
      </c>
      <c r="D18" s="28"/>
      <c r="E18" s="29"/>
      <c r="F18" s="30">
        <v>11</v>
      </c>
      <c r="G18" s="1">
        <v>2.2203664273775167E-2</v>
      </c>
      <c r="H18" s="5">
        <v>2.2000000000000001E-3</v>
      </c>
      <c r="I18" s="6">
        <v>9.7000000000000003E-2</v>
      </c>
    </row>
    <row r="19" spans="2:9" x14ac:dyDescent="0.25">
      <c r="B19" s="14"/>
      <c r="D19" s="28"/>
      <c r="E19" s="29"/>
      <c r="F19" s="30">
        <v>12</v>
      </c>
      <c r="G19" s="1">
        <v>2.3091810844726175E-2</v>
      </c>
      <c r="H19" s="5">
        <v>2.2000000000000001E-3</v>
      </c>
      <c r="I19" s="6">
        <v>9.8000000000000004E-2</v>
      </c>
    </row>
    <row r="20" spans="2:9" x14ac:dyDescent="0.25">
      <c r="B20" s="14" t="s">
        <v>5</v>
      </c>
      <c r="C20" s="1">
        <v>0.03</v>
      </c>
      <c r="D20" s="83"/>
      <c r="E20" s="29"/>
      <c r="F20" s="30">
        <v>13</v>
      </c>
      <c r="G20" s="1">
        <v>2.4015483278515222E-2</v>
      </c>
      <c r="H20" s="5">
        <v>2.3E-3</v>
      </c>
      <c r="I20" s="6">
        <v>9.9000000000000005E-2</v>
      </c>
    </row>
    <row r="21" spans="2:9" x14ac:dyDescent="0.25">
      <c r="B21" s="14" t="s">
        <v>8</v>
      </c>
      <c r="C21" s="1">
        <v>0.02</v>
      </c>
      <c r="D21" s="83"/>
      <c r="E21" s="29"/>
      <c r="F21" s="30">
        <v>14</v>
      </c>
      <c r="G21" s="1">
        <v>2.4976102609655833E-2</v>
      </c>
      <c r="H21" s="5">
        <v>2.3E-3</v>
      </c>
      <c r="I21" s="6">
        <v>0.1</v>
      </c>
    </row>
    <row r="22" spans="2:9" x14ac:dyDescent="0.25">
      <c r="B22" s="14"/>
      <c r="D22" s="28"/>
      <c r="E22" s="29"/>
      <c r="F22" s="30">
        <v>15</v>
      </c>
      <c r="G22" s="1">
        <v>2.5975146714042066E-2</v>
      </c>
      <c r="H22" s="5">
        <v>2.3999999999999998E-3</v>
      </c>
      <c r="I22" s="6">
        <v>0.10100000000000001</v>
      </c>
    </row>
    <row r="23" spans="2:9" x14ac:dyDescent="0.25">
      <c r="B23" s="15" t="s">
        <v>3</v>
      </c>
      <c r="D23" s="17"/>
      <c r="E23" s="29"/>
      <c r="F23" s="30">
        <v>16</v>
      </c>
      <c r="G23" s="1">
        <v>2.701415258260375E-2</v>
      </c>
      <c r="H23" s="5">
        <v>2.3999999999999998E-3</v>
      </c>
      <c r="I23" s="6">
        <v>0.10199999999999999</v>
      </c>
    </row>
    <row r="24" spans="2:9" x14ac:dyDescent="0.25">
      <c r="B24" s="14"/>
      <c r="D24" s="17"/>
      <c r="E24" s="29"/>
      <c r="F24" s="30">
        <v>17</v>
      </c>
      <c r="G24" s="1">
        <v>2.8094718685907901E-2</v>
      </c>
      <c r="H24" s="5">
        <v>2.5000000000000001E-3</v>
      </c>
      <c r="I24" s="6">
        <v>0.10299999999999999</v>
      </c>
    </row>
    <row r="25" spans="2:9" x14ac:dyDescent="0.25">
      <c r="B25" s="14" t="s">
        <v>31</v>
      </c>
      <c r="C25" s="2">
        <v>18000000</v>
      </c>
      <c r="D25" s="82" t="s">
        <v>35</v>
      </c>
      <c r="E25" s="29"/>
      <c r="F25" s="30">
        <v>18</v>
      </c>
      <c r="G25" s="1">
        <v>2.9218507433344219E-2</v>
      </c>
      <c r="H25" s="5">
        <v>2.5000000000000001E-3</v>
      </c>
      <c r="I25" s="6">
        <v>0.104</v>
      </c>
    </row>
    <row r="26" spans="2:9" x14ac:dyDescent="0.25">
      <c r="B26" s="14" t="s">
        <v>49</v>
      </c>
      <c r="D26" s="17"/>
      <c r="E26" s="29"/>
      <c r="F26" s="30">
        <v>19</v>
      </c>
      <c r="G26" s="1">
        <v>3.038724773067799E-2</v>
      </c>
      <c r="H26" s="5">
        <v>2.5999999999999999E-3</v>
      </c>
      <c r="I26" s="6">
        <v>0.105</v>
      </c>
    </row>
    <row r="27" spans="2:9" x14ac:dyDescent="0.25">
      <c r="B27" s="16"/>
      <c r="D27" s="17"/>
      <c r="E27" s="29"/>
      <c r="F27" s="30">
        <v>20</v>
      </c>
      <c r="G27" s="1">
        <v>3.1602737639905107E-2</v>
      </c>
      <c r="H27" s="5">
        <v>2.5999999999999999E-3</v>
      </c>
      <c r="I27" s="6">
        <v>0.106</v>
      </c>
    </row>
    <row r="28" spans="2:9" x14ac:dyDescent="0.25">
      <c r="B28" s="15" t="s">
        <v>37</v>
      </c>
      <c r="D28" s="17"/>
      <c r="E28" s="29"/>
      <c r="F28" s="30">
        <v>21</v>
      </c>
      <c r="G28" s="1">
        <v>3.286684714550131E-2</v>
      </c>
      <c r="H28" s="5">
        <v>2.7000000000000001E-3</v>
      </c>
      <c r="I28" s="6">
        <v>0.107</v>
      </c>
    </row>
    <row r="29" spans="2:9" x14ac:dyDescent="0.25">
      <c r="B29" s="14"/>
      <c r="D29" s="17"/>
      <c r="E29" s="29"/>
      <c r="F29" s="30">
        <v>22</v>
      </c>
      <c r="G29" s="1">
        <v>3.4181521031321362E-2</v>
      </c>
      <c r="H29" s="5">
        <v>2.7000000000000001E-3</v>
      </c>
      <c r="I29" s="6">
        <v>0.108</v>
      </c>
    </row>
    <row r="30" spans="2:9" x14ac:dyDescent="0.25">
      <c r="B30" s="14" t="s">
        <v>36</v>
      </c>
      <c r="C30" s="1">
        <v>0.05</v>
      </c>
      <c r="D30" s="82" t="s">
        <v>13</v>
      </c>
      <c r="E30" s="29"/>
      <c r="F30" s="30">
        <v>23</v>
      </c>
      <c r="G30" s="1">
        <v>3.5548781872574216E-2</v>
      </c>
      <c r="H30" s="5">
        <v>2.7000000000000001E-3</v>
      </c>
      <c r="I30" s="6">
        <v>0.11</v>
      </c>
    </row>
    <row r="31" spans="2:9" x14ac:dyDescent="0.25">
      <c r="B31" s="16"/>
      <c r="C31" s="31"/>
      <c r="D31" s="17"/>
      <c r="E31" s="29"/>
      <c r="F31" s="30">
        <v>24</v>
      </c>
      <c r="G31" s="1">
        <v>3.6970733147477189E-2</v>
      </c>
      <c r="H31" s="5">
        <v>2.8E-3</v>
      </c>
      <c r="I31" s="6">
        <v>0.111</v>
      </c>
    </row>
    <row r="32" spans="2:9" x14ac:dyDescent="0.25">
      <c r="B32" s="15" t="s">
        <v>50</v>
      </c>
      <c r="D32" s="17"/>
      <c r="E32" s="29"/>
      <c r="F32" s="30">
        <v>25</v>
      </c>
      <c r="G32" s="1">
        <v>3.8449562473376275E-2</v>
      </c>
      <c r="H32" s="5">
        <v>2.8999999999999998E-3</v>
      </c>
      <c r="I32" s="6">
        <v>0.112</v>
      </c>
    </row>
    <row r="33" spans="2:9" x14ac:dyDescent="0.25">
      <c r="B33" s="16" t="s">
        <v>51</v>
      </c>
      <c r="D33" s="27"/>
      <c r="E33" s="29"/>
      <c r="F33" s="30">
        <v>26</v>
      </c>
      <c r="G33" s="1">
        <v>3.9987544972311329E-2</v>
      </c>
      <c r="H33" s="5">
        <v>3.0000000000000001E-3</v>
      </c>
      <c r="I33" s="6">
        <v>0.113</v>
      </c>
    </row>
    <row r="34" spans="2:9" x14ac:dyDescent="0.25">
      <c r="B34" s="14"/>
      <c r="D34" s="27"/>
      <c r="E34" s="29"/>
      <c r="F34" s="30">
        <v>27</v>
      </c>
      <c r="G34" s="1">
        <v>4.1587046771203784E-2</v>
      </c>
      <c r="H34" s="5">
        <v>3.0000000000000001E-3</v>
      </c>
      <c r="I34" s="6">
        <v>0.114</v>
      </c>
    </row>
    <row r="35" spans="2:9" x14ac:dyDescent="0.25">
      <c r="B35" s="16"/>
      <c r="D35" s="27"/>
      <c r="E35" s="29"/>
      <c r="F35" s="30">
        <v>28</v>
      </c>
      <c r="G35" s="1">
        <v>4.3250528642051936E-2</v>
      </c>
      <c r="H35" s="5">
        <v>3.0999999999999999E-3</v>
      </c>
      <c r="I35" s="6">
        <v>0.115</v>
      </c>
    </row>
    <row r="36" spans="2:9" x14ac:dyDescent="0.25">
      <c r="B36" s="32"/>
      <c r="C36" s="33"/>
      <c r="D36" s="34"/>
      <c r="E36" s="29"/>
      <c r="F36" s="30">
        <v>29</v>
      </c>
      <c r="G36" s="1">
        <v>4.4980549787734012E-2</v>
      </c>
      <c r="H36" s="5">
        <v>3.0999999999999999E-3</v>
      </c>
      <c r="I36" s="6">
        <v>0.11600000000000001</v>
      </c>
    </row>
    <row r="37" spans="2:9" x14ac:dyDescent="0.25">
      <c r="B37" s="15" t="s">
        <v>17</v>
      </c>
      <c r="D37" s="17"/>
      <c r="E37" s="29"/>
      <c r="F37" s="30">
        <v>30</v>
      </c>
      <c r="G37" s="1">
        <v>4.6779771779243376E-2</v>
      </c>
      <c r="H37" s="5">
        <v>3.2000000000000002E-3</v>
      </c>
      <c r="I37" s="6">
        <v>0.11700000000000001</v>
      </c>
    </row>
    <row r="38" spans="2:9" x14ac:dyDescent="0.25">
      <c r="B38" s="14"/>
      <c r="D38" s="17"/>
      <c r="E38" s="29"/>
      <c r="F38" s="30">
        <f>F37+1</f>
        <v>31</v>
      </c>
      <c r="G38" s="1">
        <v>4.8650962650413111E-2</v>
      </c>
      <c r="H38" s="5">
        <v>3.3E-3</v>
      </c>
      <c r="I38" s="6">
        <v>0.11899999999999999</v>
      </c>
    </row>
    <row r="39" spans="2:9" x14ac:dyDescent="0.25">
      <c r="B39" s="14" t="s">
        <v>39</v>
      </c>
      <c r="D39" s="17"/>
      <c r="E39" s="29"/>
      <c r="F39" s="30">
        <f t="shared" ref="F39:F58" si="0">F38+1</f>
        <v>32</v>
      </c>
      <c r="G39" s="1">
        <v>5.0597001156429636E-2</v>
      </c>
      <c r="H39" s="5">
        <v>3.3E-3</v>
      </c>
      <c r="I39" s="6">
        <v>0.12</v>
      </c>
    </row>
    <row r="40" spans="2:9" x14ac:dyDescent="0.25">
      <c r="B40" s="16" t="s">
        <v>11</v>
      </c>
      <c r="C40" s="3">
        <v>0.7</v>
      </c>
      <c r="D40" s="82" t="s">
        <v>13</v>
      </c>
      <c r="E40" s="29"/>
      <c r="F40" s="30">
        <f t="shared" si="0"/>
        <v>33</v>
      </c>
      <c r="G40" s="1">
        <v>5.262088120268682E-2</v>
      </c>
      <c r="H40" s="5">
        <v>3.3E-3</v>
      </c>
      <c r="I40" s="6">
        <v>0.121</v>
      </c>
    </row>
    <row r="41" spans="2:9" x14ac:dyDescent="0.25">
      <c r="B41" s="16" t="s">
        <v>12</v>
      </c>
      <c r="C41" s="3">
        <v>0.9</v>
      </c>
      <c r="D41" s="82" t="s">
        <v>14</v>
      </c>
      <c r="E41" s="29"/>
      <c r="F41" s="30">
        <f t="shared" si="0"/>
        <v>34</v>
      </c>
      <c r="G41" s="1">
        <v>5.4725716450794291E-2</v>
      </c>
      <c r="H41" s="5">
        <v>3.5000000000000001E-3</v>
      </c>
      <c r="I41" s="6">
        <v>0.122</v>
      </c>
    </row>
    <row r="42" spans="2:9" x14ac:dyDescent="0.25">
      <c r="B42" s="14"/>
      <c r="D42" s="17"/>
      <c r="E42" s="29"/>
      <c r="F42" s="30">
        <f t="shared" si="0"/>
        <v>35</v>
      </c>
      <c r="G42" s="1">
        <v>5.6914745108826062E-2</v>
      </c>
      <c r="H42" s="5">
        <v>3.5000000000000001E-3</v>
      </c>
      <c r="I42" s="6">
        <v>0.123</v>
      </c>
    </row>
    <row r="43" spans="2:9" x14ac:dyDescent="0.25">
      <c r="B43" s="14" t="s">
        <v>40</v>
      </c>
      <c r="D43" s="17"/>
      <c r="E43" s="29"/>
      <c r="F43" s="30">
        <f t="shared" si="0"/>
        <v>36</v>
      </c>
      <c r="G43" s="1">
        <v>5.9191334913179107E-2</v>
      </c>
      <c r="H43" s="5">
        <v>3.5999999999999999E-3</v>
      </c>
      <c r="I43" s="6">
        <v>0.125</v>
      </c>
    </row>
    <row r="44" spans="2:9" x14ac:dyDescent="0.25">
      <c r="B44" s="16" t="s">
        <v>11</v>
      </c>
      <c r="C44" s="1">
        <v>0.33</v>
      </c>
      <c r="D44" s="82" t="s">
        <v>13</v>
      </c>
      <c r="E44" s="29"/>
      <c r="F44" s="30">
        <f t="shared" si="0"/>
        <v>37</v>
      </c>
      <c r="G44" s="1">
        <v>6.1558988309706276E-2</v>
      </c>
      <c r="H44" s="5">
        <v>3.7000000000000002E-3</v>
      </c>
      <c r="I44" s="6">
        <v>0.126</v>
      </c>
    </row>
    <row r="45" spans="2:9" x14ac:dyDescent="0.25">
      <c r="B45" s="16" t="s">
        <v>12</v>
      </c>
      <c r="C45" s="1">
        <v>0.35</v>
      </c>
      <c r="D45" s="82" t="s">
        <v>14</v>
      </c>
      <c r="E45" s="29"/>
      <c r="F45" s="30">
        <f t="shared" si="0"/>
        <v>38</v>
      </c>
      <c r="G45" s="1">
        <v>6.4021347842094525E-2</v>
      </c>
      <c r="H45" s="5">
        <v>3.7000000000000002E-3</v>
      </c>
      <c r="I45" s="6">
        <v>0.127</v>
      </c>
    </row>
    <row r="46" spans="2:9" x14ac:dyDescent="0.25">
      <c r="B46" s="14"/>
      <c r="D46" s="17"/>
      <c r="E46" s="29"/>
      <c r="F46" s="30">
        <f t="shared" si="0"/>
        <v>39</v>
      </c>
      <c r="G46" s="1">
        <v>6.6582201755778309E-2</v>
      </c>
      <c r="H46" s="5">
        <v>3.8E-3</v>
      </c>
      <c r="I46" s="6">
        <v>0.128</v>
      </c>
    </row>
    <row r="47" spans="2:9" x14ac:dyDescent="0.25">
      <c r="B47" s="14" t="s">
        <v>60</v>
      </c>
      <c r="C47" s="2">
        <v>215000000</v>
      </c>
      <c r="D47" s="82" t="s">
        <v>42</v>
      </c>
      <c r="E47" s="29"/>
      <c r="F47" s="30">
        <f>F46+1</f>
        <v>40</v>
      </c>
      <c r="G47" s="1">
        <v>6.9245489826009449E-2</v>
      </c>
      <c r="H47" s="5">
        <v>3.8999999999999998E-3</v>
      </c>
      <c r="I47" s="6">
        <v>0.13</v>
      </c>
    </row>
    <row r="48" spans="2:9" x14ac:dyDescent="0.25">
      <c r="B48" s="14"/>
      <c r="C48" s="35"/>
      <c r="D48" s="17"/>
      <c r="E48" s="29"/>
      <c r="F48" s="30">
        <f t="shared" si="0"/>
        <v>41</v>
      </c>
      <c r="G48" s="1">
        <v>7.2015309419049822E-2</v>
      </c>
      <c r="H48" s="5">
        <v>3.8999999999999998E-3</v>
      </c>
      <c r="I48" s="6">
        <v>0.13100000000000001</v>
      </c>
    </row>
    <row r="49" spans="2:9" x14ac:dyDescent="0.25">
      <c r="B49" s="14"/>
      <c r="C49" s="35"/>
      <c r="D49" s="17"/>
      <c r="E49" s="29"/>
      <c r="F49" s="30">
        <f t="shared" si="0"/>
        <v>42</v>
      </c>
      <c r="G49" s="1">
        <v>7.4895921795811823E-2</v>
      </c>
      <c r="H49" s="5">
        <v>4.1000000000000003E-3</v>
      </c>
      <c r="I49" s="6">
        <v>0.13200000000000001</v>
      </c>
    </row>
    <row r="50" spans="2:9" x14ac:dyDescent="0.25">
      <c r="B50" s="32"/>
      <c r="C50" s="33"/>
      <c r="D50" s="36"/>
      <c r="E50" s="29"/>
      <c r="F50" s="30">
        <f t="shared" si="0"/>
        <v>43</v>
      </c>
      <c r="G50" s="1">
        <v>7.7891758667644292E-2</v>
      </c>
      <c r="H50" s="5">
        <v>4.1000000000000003E-3</v>
      </c>
      <c r="I50" s="6">
        <v>0.13400000000000001</v>
      </c>
    </row>
    <row r="51" spans="2:9" x14ac:dyDescent="0.25">
      <c r="B51" s="37" t="s">
        <v>52</v>
      </c>
      <c r="C51" s="38"/>
      <c r="D51" s="39"/>
      <c r="E51" s="29"/>
      <c r="F51" s="30">
        <f>F50+1</f>
        <v>44</v>
      </c>
      <c r="G51" s="1">
        <v>8.1007429014350069E-2</v>
      </c>
      <c r="H51" s="5">
        <v>4.1999999999999997E-3</v>
      </c>
      <c r="I51" s="6">
        <v>0.13500000000000001</v>
      </c>
    </row>
    <row r="52" spans="2:9" x14ac:dyDescent="0.25">
      <c r="B52" s="14"/>
      <c r="D52" s="17"/>
      <c r="E52" s="29"/>
      <c r="F52" s="30">
        <f t="shared" si="0"/>
        <v>45</v>
      </c>
      <c r="G52" s="1">
        <v>8.424772617492407E-2</v>
      </c>
      <c r="H52" s="5">
        <v>4.3E-3</v>
      </c>
      <c r="I52" s="6">
        <v>0.13600000000000001</v>
      </c>
    </row>
    <row r="53" spans="2:9" x14ac:dyDescent="0.25">
      <c r="B53" s="40" t="s">
        <v>61</v>
      </c>
      <c r="C53" s="9">
        <f>C54-C55</f>
        <v>-10000000</v>
      </c>
      <c r="D53" s="82"/>
      <c r="E53" s="29"/>
      <c r="F53" s="30">
        <f t="shared" si="0"/>
        <v>46</v>
      </c>
      <c r="G53" s="1">
        <v>8.7617635221921036E-2</v>
      </c>
      <c r="H53" s="5">
        <v>4.4000000000000003E-3</v>
      </c>
      <c r="I53" s="6">
        <v>0.13800000000000001</v>
      </c>
    </row>
    <row r="54" spans="2:9" x14ac:dyDescent="0.25">
      <c r="B54" s="41" t="s">
        <v>15</v>
      </c>
      <c r="C54" s="2">
        <v>0</v>
      </c>
      <c r="D54" s="17"/>
      <c r="F54" s="30">
        <f t="shared" si="0"/>
        <v>47</v>
      </c>
      <c r="G54" s="1">
        <v>9.1122340630797882E-2</v>
      </c>
      <c r="H54" s="5">
        <v>4.4999999999999997E-3</v>
      </c>
      <c r="I54" s="6">
        <v>0.13900000000000001</v>
      </c>
    </row>
    <row r="55" spans="2:9" x14ac:dyDescent="0.25">
      <c r="B55" s="41" t="s">
        <v>16</v>
      </c>
      <c r="C55" s="2">
        <v>10000000</v>
      </c>
      <c r="D55" s="17"/>
      <c r="F55" s="30">
        <f t="shared" si="0"/>
        <v>48</v>
      </c>
      <c r="G55" s="1">
        <v>9.47672342560298E-2</v>
      </c>
      <c r="H55" s="5">
        <v>4.4999999999999997E-3</v>
      </c>
      <c r="I55" s="6">
        <v>0.14000000000000001</v>
      </c>
    </row>
    <row r="56" spans="2:9" x14ac:dyDescent="0.25">
      <c r="B56" s="14"/>
      <c r="D56" s="17"/>
      <c r="F56" s="30">
        <f t="shared" si="0"/>
        <v>49</v>
      </c>
      <c r="G56" s="1">
        <v>9.8557923626270999E-2</v>
      </c>
      <c r="H56" s="5">
        <v>4.7000000000000002E-3</v>
      </c>
      <c r="I56" s="6">
        <v>0.14199999999999999</v>
      </c>
    </row>
    <row r="57" spans="2:9" x14ac:dyDescent="0.25">
      <c r="B57" s="14"/>
      <c r="D57" s="17"/>
      <c r="F57" s="30">
        <f t="shared" si="0"/>
        <v>50</v>
      </c>
      <c r="G57" s="1">
        <v>0.10250024057132184</v>
      </c>
      <c r="H57" s="5">
        <v>4.7000000000000002E-3</v>
      </c>
      <c r="I57" s="6">
        <v>0.14299999999999999</v>
      </c>
    </row>
    <row r="58" spans="2:9" ht="14.25" thickBot="1" x14ac:dyDescent="0.3">
      <c r="B58" s="42"/>
      <c r="C58" s="43"/>
      <c r="D58" s="44"/>
      <c r="F58" s="45">
        <f t="shared" si="0"/>
        <v>51</v>
      </c>
      <c r="G58" s="4">
        <v>0.10660025019417473</v>
      </c>
      <c r="H58" s="7">
        <v>4.7000000000000002E-3</v>
      </c>
      <c r="I58" s="8">
        <v>0.14299999999999999</v>
      </c>
    </row>
    <row r="59" spans="2:9" x14ac:dyDescent="0.25">
      <c r="B59" s="31"/>
      <c r="C59" s="31"/>
      <c r="D59" s="31"/>
    </row>
    <row r="60" spans="2:9" x14ac:dyDescent="0.25">
      <c r="B60" s="31"/>
      <c r="C60" s="31"/>
      <c r="D60" s="31"/>
    </row>
    <row r="61" spans="2:9" x14ac:dyDescent="0.25">
      <c r="B61" s="31"/>
    </row>
    <row r="62" spans="2:9" x14ac:dyDescent="0.25">
      <c r="B62" s="31"/>
      <c r="C62" s="46"/>
    </row>
    <row r="63" spans="2:9" x14ac:dyDescent="0.25">
      <c r="B63" s="31"/>
      <c r="C63" s="46"/>
      <c r="D63" s="31"/>
    </row>
    <row r="64" spans="2:9" x14ac:dyDescent="0.25">
      <c r="B64" s="31"/>
      <c r="D64" s="31"/>
    </row>
    <row r="65" spans="2:4" x14ac:dyDescent="0.25">
      <c r="B65" s="31"/>
      <c r="D65" s="31"/>
    </row>
    <row r="67" spans="2:4" x14ac:dyDescent="0.25">
      <c r="B67" s="31"/>
      <c r="D67" s="31"/>
    </row>
    <row r="68" spans="2:4" x14ac:dyDescent="0.25">
      <c r="B68" s="31"/>
      <c r="D68" s="31"/>
    </row>
    <row r="69" spans="2:4" x14ac:dyDescent="0.25">
      <c r="B69" s="31"/>
      <c r="D69" s="31"/>
    </row>
    <row r="71" spans="2:4" x14ac:dyDescent="0.25">
      <c r="B71" s="31"/>
      <c r="D71" s="31"/>
    </row>
    <row r="72" spans="2:4" x14ac:dyDescent="0.25">
      <c r="B72" s="31"/>
      <c r="D72" s="31"/>
    </row>
    <row r="73" spans="2:4" x14ac:dyDescent="0.25">
      <c r="B73" s="31"/>
      <c r="D73" s="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opLeftCell="C1" zoomScale="70" zoomScaleNormal="70" workbookViewId="0">
      <selection activeCell="U6" sqref="U6"/>
    </sheetView>
  </sheetViews>
  <sheetFormatPr defaultRowHeight="16.5" x14ac:dyDescent="0.3"/>
  <cols>
    <col min="1" max="1" width="9.140625" style="10"/>
    <col min="2" max="2" width="31.85546875" style="10" bestFit="1" customWidth="1"/>
    <col min="3" max="3" width="16.7109375" style="10" customWidth="1"/>
    <col min="4" max="4" width="28.7109375" style="10" bestFit="1" customWidth="1"/>
    <col min="5" max="5" width="16.28515625" style="10" bestFit="1" customWidth="1"/>
    <col min="6" max="16" width="16.7109375" style="10" customWidth="1"/>
    <col min="17" max="17" width="24.28515625" style="10" customWidth="1"/>
    <col min="18" max="18" width="16.7109375" style="10" customWidth="1"/>
    <col min="19" max="19" width="19.85546875" style="10" customWidth="1"/>
    <col min="20" max="20" width="27.42578125" style="10" bestFit="1" customWidth="1"/>
    <col min="21" max="21" width="16.7109375" style="10" customWidth="1"/>
    <col min="22" max="16384" width="9.140625" style="10"/>
  </cols>
  <sheetData>
    <row r="1" spans="1:21" ht="33" x14ac:dyDescent="0.3">
      <c r="A1" s="74" t="s">
        <v>62</v>
      </c>
      <c r="B1" s="75" t="s">
        <v>64</v>
      </c>
    </row>
    <row r="2" spans="1:21" ht="17.25" thickBot="1" x14ac:dyDescent="0.35">
      <c r="A2" s="12"/>
      <c r="B2" s="76" t="s">
        <v>63</v>
      </c>
    </row>
    <row r="4" spans="1:21" ht="18.75" x14ac:dyDescent="0.3">
      <c r="B4" s="72" t="s">
        <v>44</v>
      </c>
      <c r="C4" s="47"/>
    </row>
    <row r="6" spans="1:21" x14ac:dyDescent="0.3">
      <c r="B6" s="79" t="s">
        <v>65</v>
      </c>
      <c r="C6" s="80" t="s">
        <v>66</v>
      </c>
      <c r="T6" s="48" t="s">
        <v>30</v>
      </c>
      <c r="U6" s="88">
        <f>T10/L10</f>
        <v>0.11810687703223988</v>
      </c>
    </row>
    <row r="8" spans="1:21" ht="57.6" customHeight="1" x14ac:dyDescent="0.3">
      <c r="B8" s="49" t="s">
        <v>20</v>
      </c>
      <c r="C8" s="50" t="s">
        <v>21</v>
      </c>
      <c r="D8" s="51" t="s">
        <v>22</v>
      </c>
      <c r="E8" s="52" t="s">
        <v>23</v>
      </c>
      <c r="F8" s="52" t="s">
        <v>31</v>
      </c>
      <c r="G8" s="52" t="s">
        <v>32</v>
      </c>
      <c r="H8" s="52" t="s">
        <v>24</v>
      </c>
      <c r="I8" s="52" t="s">
        <v>9</v>
      </c>
      <c r="J8" s="52" t="s">
        <v>41</v>
      </c>
      <c r="K8" s="51" t="s">
        <v>10</v>
      </c>
      <c r="L8" s="52" t="s">
        <v>25</v>
      </c>
      <c r="M8" s="52" t="s">
        <v>33</v>
      </c>
      <c r="N8" s="52" t="s">
        <v>34</v>
      </c>
      <c r="O8" s="52" t="s">
        <v>26</v>
      </c>
      <c r="P8" s="52" t="s">
        <v>18</v>
      </c>
      <c r="Q8" s="52" t="s">
        <v>43</v>
      </c>
      <c r="R8" s="51" t="s">
        <v>19</v>
      </c>
      <c r="S8" s="52" t="s">
        <v>27</v>
      </c>
      <c r="T8" s="52" t="s">
        <v>28</v>
      </c>
      <c r="U8" s="51" t="s">
        <v>29</v>
      </c>
    </row>
    <row r="9" spans="1:21" x14ac:dyDescent="0.3">
      <c r="B9" s="53"/>
      <c r="C9" s="54"/>
      <c r="D9" s="55" t="s">
        <v>2</v>
      </c>
      <c r="E9" s="56" t="s">
        <v>2</v>
      </c>
      <c r="F9" s="56" t="s">
        <v>2</v>
      </c>
      <c r="G9" s="56" t="s">
        <v>2</v>
      </c>
      <c r="H9" s="56" t="s">
        <v>0</v>
      </c>
      <c r="I9" s="56" t="s">
        <v>2</v>
      </c>
      <c r="J9" s="56" t="s">
        <v>2</v>
      </c>
      <c r="K9" s="55" t="s">
        <v>0</v>
      </c>
      <c r="L9" s="56" t="s">
        <v>0</v>
      </c>
      <c r="M9" s="56" t="s">
        <v>0</v>
      </c>
      <c r="N9" s="56" t="s">
        <v>0</v>
      </c>
      <c r="O9" s="56" t="s">
        <v>0</v>
      </c>
      <c r="P9" s="56" t="s">
        <v>0</v>
      </c>
      <c r="Q9" s="56" t="s">
        <v>0</v>
      </c>
      <c r="R9" s="55" t="s">
        <v>0</v>
      </c>
      <c r="S9" s="56" t="s">
        <v>0</v>
      </c>
      <c r="T9" s="56" t="s">
        <v>0</v>
      </c>
      <c r="U9" s="55" t="s">
        <v>0</v>
      </c>
    </row>
    <row r="10" spans="1:21" x14ac:dyDescent="0.3">
      <c r="B10" s="57">
        <v>2019</v>
      </c>
      <c r="C10" s="58">
        <v>0</v>
      </c>
      <c r="D10" s="59"/>
      <c r="E10" s="60"/>
      <c r="F10" s="60"/>
      <c r="G10" s="60"/>
      <c r="H10" s="61"/>
      <c r="I10" s="60"/>
      <c r="J10" s="60"/>
      <c r="K10" s="59"/>
      <c r="L10" s="62">
        <f>NPV('Key Information'!$C$16,E11:E$61)*(1+'Key Information'!$C$16)</f>
        <v>2269332858.5938993</v>
      </c>
      <c r="M10" s="62">
        <f>NPV('Key Information'!$C$16,F11:F$61)*(1+'Key Information'!$C$16)</f>
        <v>183033737.88677847</v>
      </c>
      <c r="N10" s="62">
        <f>NPV('Key Information'!$C$16,G11:G$61)*(1+'Key Information'!$C$16)</f>
        <v>113466642.92969504</v>
      </c>
      <c r="O10" s="62">
        <f>NPV('Key Information'!$C$16,H11:H$61)</f>
        <v>1062756598.8652525</v>
      </c>
      <c r="P10" s="62">
        <f>NPV('Key Information'!$C$16,I11:I$61)*(1+'Key Information'!$C$16)</f>
        <v>1588533001.0157299</v>
      </c>
      <c r="Q10" s="62">
        <f>NPV('Key Information'!$C$16,J11:J$61)*(1+'Key Information'!$C$16)</f>
        <v>0</v>
      </c>
      <c r="R10" s="63">
        <f>NPV('Key Information'!$C$16,K11:K$61)</f>
        <v>956480938.9787277</v>
      </c>
      <c r="S10" s="62">
        <f>M10+N10+(O10-R10)+Q10-(L10-P10)</f>
        <v>-278023816.87517107</v>
      </c>
      <c r="T10" s="87">
        <f>U10-S10</f>
        <v>268023816.87517107</v>
      </c>
      <c r="U10" s="86">
        <f>'Key Information'!C53</f>
        <v>-10000000</v>
      </c>
    </row>
    <row r="11" spans="1:21" x14ac:dyDescent="0.3">
      <c r="A11" s="64"/>
      <c r="B11" s="57">
        <v>2020</v>
      </c>
      <c r="C11" s="58">
        <v>1</v>
      </c>
      <c r="D11" s="70">
        <v>55000000000</v>
      </c>
      <c r="E11" s="71">
        <f>200*10^6</f>
        <v>200000000</v>
      </c>
      <c r="F11" s="62">
        <f>'Key Information'!C25</f>
        <v>18000000</v>
      </c>
      <c r="G11" s="62">
        <f>'Key Information'!$C$30*E11</f>
        <v>10000000</v>
      </c>
      <c r="H11" s="62">
        <f>D11*VLOOKUP($C11,'Key Information'!$F$8:$I$58,3,FALSE)</f>
        <v>99000000</v>
      </c>
      <c r="I11" s="62">
        <f>E11*'Key Information'!$C$40</f>
        <v>140000000</v>
      </c>
      <c r="J11" s="62">
        <f>IF(C6="N",0,'Key Information'!$C$47)</f>
        <v>0</v>
      </c>
      <c r="K11" s="63">
        <f>H11*'Key Information'!$C$41</f>
        <v>89100000</v>
      </c>
      <c r="L11" s="62">
        <f>NPV('Key Information'!$C$16,E12:E$61)*(1+'Key Information'!$C$16)</f>
        <v>2131412844.3517179</v>
      </c>
      <c r="M11" s="62">
        <f>NPV('Key Information'!$C$16,F12:F$61)*(1+'Key Information'!$C$16)</f>
        <v>169984750.02338192</v>
      </c>
      <c r="N11" s="62">
        <f>NPV('Key Information'!$C$16,G12:G$61)*(1+'Key Information'!$C$16)</f>
        <v>106570642.21758591</v>
      </c>
      <c r="O11" s="62">
        <f>NPV('Key Information'!$C$16,H12:H$61)</f>
        <v>995639296.83121061</v>
      </c>
      <c r="P11" s="62">
        <f>NPV('Key Information'!$C$16,I12:I$61)*(1+'Key Information'!$C$16)</f>
        <v>1491988991.0462024</v>
      </c>
      <c r="Q11" s="60"/>
      <c r="R11" s="63">
        <f>NPV('Key Information'!$C$16,K12:K$61)</f>
        <v>896075367.14808917</v>
      </c>
      <c r="S11" s="62">
        <f t="shared" ref="S11:S61" si="0">(M11-R11)+N11+O11+Q11-(L11-P11)</f>
        <v>-263304531.38142622</v>
      </c>
      <c r="T11" s="62">
        <f t="shared" ref="T11:T61" si="1">L11*$U$6</f>
        <v>251734514.71278498</v>
      </c>
      <c r="U11" s="63">
        <f t="shared" ref="U11:U61" si="2">S11+T11</f>
        <v>-11570016.668641239</v>
      </c>
    </row>
    <row r="12" spans="1:21" x14ac:dyDescent="0.3">
      <c r="A12" s="64"/>
      <c r="B12" s="57">
        <v>2021</v>
      </c>
      <c r="C12" s="58">
        <v>2</v>
      </c>
      <c r="D12" s="63">
        <f>D11*(1-VLOOKUP($C11,'Key Information'!$F$8:$I$58,4,FALSE)-VLOOKUP($C11,'Key Information'!$F$8:$I$58,3,FALSE))*(1+'Key Information'!$C$21)</f>
        <v>51062220000</v>
      </c>
      <c r="E12" s="62">
        <f>(E11*VLOOKUP($C11,'Key Information'!$F$8:$I$58,2,FALSE)+E11)*(1-VLOOKUP($C11,'Key Information'!$F$8:$I$58,4,FALSE)-VLOOKUP($C11,'Key Information'!$F$8:$I$58,3,FALSE))*(1+'Key Information'!$C$21)</f>
        <v>188466012</v>
      </c>
      <c r="F12" s="62">
        <f>(F11*'Key Information'!$C$20+F11)*(1-VLOOKUP($C11,'Key Information'!$F$8:$I$58,4,FALSE)-VLOOKUP($C11,'Key Information'!$F$8:$I$58,3,FALSE))</f>
        <v>16875108</v>
      </c>
      <c r="G12" s="62">
        <f>'Key Information'!$C$30*E12</f>
        <v>9423300.5999999996</v>
      </c>
      <c r="H12" s="62">
        <f>D12*VLOOKUP($C12,'Key Information'!$F$8:$I$58,3,FALSE)</f>
        <v>91911996</v>
      </c>
      <c r="I12" s="62">
        <f>E12*'Key Information'!$C$40</f>
        <v>131926208.39999999</v>
      </c>
      <c r="J12" s="60"/>
      <c r="K12" s="63">
        <f>H12*'Key Information'!$C$41</f>
        <v>82720796.400000006</v>
      </c>
      <c r="L12" s="62">
        <f>NPV('Key Information'!$C$16,E13:E$61)*(1+'Key Information'!$C$16)</f>
        <v>2001235237.3222699</v>
      </c>
      <c r="M12" s="62">
        <f>NPV('Key Information'!$C$16,F13:F$61)*(1+'Key Information'!$C$16)</f>
        <v>157702931.2840834</v>
      </c>
      <c r="N12" s="62">
        <f>NPV('Key Information'!$C$16,G13:G$61)*(1+'Key Information'!$C$16)</f>
        <v>100061761.86611347</v>
      </c>
      <c r="O12" s="62">
        <f>NPV('Key Information'!$C$16,H13:H$61)</f>
        <v>933596479.73614657</v>
      </c>
      <c r="P12" s="62">
        <f>NPV('Key Information'!$C$16,I13:I$61)*(1+'Key Information'!$C$16)</f>
        <v>1400864666.1255884</v>
      </c>
      <c r="Q12" s="60"/>
      <c r="R12" s="63">
        <f>NPV('Key Information'!$C$16,K13:K$61)</f>
        <v>840236831.762532</v>
      </c>
      <c r="S12" s="62">
        <f t="shared" si="0"/>
        <v>-249246230.07287014</v>
      </c>
      <c r="T12" s="62">
        <f t="shared" si="1"/>
        <v>236359644.08700672</v>
      </c>
      <c r="U12" s="63">
        <f t="shared" si="2"/>
        <v>-12886585.985863417</v>
      </c>
    </row>
    <row r="13" spans="1:21" x14ac:dyDescent="0.3">
      <c r="A13" s="64"/>
      <c r="B13" s="57">
        <v>2022</v>
      </c>
      <c r="C13" s="58">
        <v>3</v>
      </c>
      <c r="D13" s="63">
        <f>D12*(1-VLOOKUP($C12,'Key Information'!$F$8:$I$58,4,FALSE)-VLOOKUP($C12,'Key Information'!$F$8:$I$58,3,FALSE))*(1+'Key Information'!$C$21)</f>
        <v>47302202368.080002</v>
      </c>
      <c r="E13" s="62">
        <f>(E12*VLOOKUP($C12,'Key Information'!$F$8:$I$58,2,FALSE)+E12)*(1-VLOOKUP($C12,'Key Information'!$F$8:$I$58,4,FALSE)-VLOOKUP($C12,'Key Information'!$F$8:$I$58,3,FALSE))*(1+'Key Information'!$C$21)</f>
        <v>177311703.54871774</v>
      </c>
      <c r="F13" s="62">
        <f>(F12*'Key Information'!$C$20+F12)*(1-VLOOKUP($C12,'Key Information'!$F$8:$I$58,4,FALSE)-VLOOKUP($C12,'Key Information'!$F$8:$I$58,3,FALSE))</f>
        <v>15785752.278167998</v>
      </c>
      <c r="G13" s="62">
        <f>'Key Information'!$C$30*E13</f>
        <v>8865585.177435888</v>
      </c>
      <c r="H13" s="62">
        <f>D13*VLOOKUP($C13,'Key Information'!$F$8:$I$58,3,FALSE)</f>
        <v>89874184.499352008</v>
      </c>
      <c r="I13" s="62">
        <f>E13*'Key Information'!$C$40</f>
        <v>124118192.48410241</v>
      </c>
      <c r="J13" s="60"/>
      <c r="K13" s="63">
        <f>H13*'Key Information'!$C$41</f>
        <v>80886766.04941681</v>
      </c>
      <c r="L13" s="62">
        <f>NPV('Key Information'!$C$16,E14:E$61)*(1+'Key Information'!$C$16)</f>
        <v>1878641239.7867582</v>
      </c>
      <c r="M13" s="62">
        <f>NPV('Key Information'!$C$16,F14:F$61)*(1+'Key Information'!$C$16)</f>
        <v>146174694.37609273</v>
      </c>
      <c r="N13" s="62">
        <f>NPV('Key Information'!$C$16,G14:G$61)*(1+'Key Information'!$C$16)</f>
        <v>93932061.989337891</v>
      </c>
      <c r="O13" s="62">
        <f>NPV('Key Information'!$C$16,H14:H$61)</f>
        <v>871730189.62887895</v>
      </c>
      <c r="P13" s="62">
        <f>NPV('Key Information'!$C$16,I14:I$61)*(1+'Key Information'!$C$16)</f>
        <v>1315048867.8507299</v>
      </c>
      <c r="Q13" s="60"/>
      <c r="R13" s="63">
        <f>NPV('Key Information'!$C$16,K14:K$61)</f>
        <v>784557170.66599119</v>
      </c>
      <c r="S13" s="62">
        <f t="shared" si="0"/>
        <v>-236312596.60770977</v>
      </c>
      <c r="T13" s="62">
        <f t="shared" si="1"/>
        <v>221880449.89518932</v>
      </c>
      <c r="U13" s="63">
        <f t="shared" si="2"/>
        <v>-14432146.71252045</v>
      </c>
    </row>
    <row r="14" spans="1:21" x14ac:dyDescent="0.3">
      <c r="A14" s="64"/>
      <c r="B14" s="57">
        <v>2023</v>
      </c>
      <c r="C14" s="58">
        <v>4</v>
      </c>
      <c r="D14" s="63">
        <f>D13*(1-VLOOKUP($C13,'Key Information'!$F$8:$I$58,4,FALSE)-VLOOKUP($C13,'Key Information'!$F$8:$I$58,3,FALSE))*(1+'Key Information'!$C$21)</f>
        <v>43814232569.862526</v>
      </c>
      <c r="E14" s="62">
        <f>(E13*VLOOKUP($C13,'Key Information'!$F$8:$I$58,2,FALSE)+E13)*(1-VLOOKUP($C13,'Key Information'!$F$8:$I$58,4,FALSE)-VLOOKUP($C13,'Key Information'!$F$8:$I$58,3,FALSE))*(1+'Key Information'!$C$21)</f>
        <v>166901675.75174761</v>
      </c>
      <c r="F14" s="62">
        <f>(F13*'Key Information'!$C$20+F13)*(1-VLOOKUP($C13,'Key Information'!$F$8:$I$58,4,FALSE)-VLOOKUP($C13,'Key Information'!$F$8:$I$58,3,FALSE))</f>
        <v>14765092.893118491</v>
      </c>
      <c r="G14" s="62">
        <f>'Key Information'!$C$30*E14</f>
        <v>8345083.787587381</v>
      </c>
      <c r="H14" s="62">
        <f>D14*VLOOKUP($C14,'Key Information'!$F$8:$I$58,3,FALSE)</f>
        <v>83247041.882738799</v>
      </c>
      <c r="I14" s="62">
        <f>E14*'Key Information'!$C$40</f>
        <v>116831173.02622332</v>
      </c>
      <c r="J14" s="60"/>
      <c r="K14" s="63">
        <f>H14*'Key Information'!$C$41</f>
        <v>74922337.694464922</v>
      </c>
      <c r="L14" s="62">
        <f>NPV('Key Information'!$C$16,E15:E$61)*(1+'Key Information'!$C$16)</f>
        <v>1763091750.9560609</v>
      </c>
      <c r="M14" s="62">
        <f>NPV('Key Information'!$C$16,F15:F$61)*(1+'Key Information'!$C$16)</f>
        <v>135351889.52746356</v>
      </c>
      <c r="N14" s="62">
        <f>NPV('Key Information'!$C$16,G15:G$61)*(1+'Key Information'!$C$16)</f>
        <v>88154587.547803089</v>
      </c>
      <c r="O14" s="62">
        <f>NPV('Key Information'!$C$16,H15:H$61)</f>
        <v>814635053.43500674</v>
      </c>
      <c r="P14" s="62">
        <f>NPV('Key Information'!$C$16,I15:I$61)*(1+'Key Information'!$C$16)</f>
        <v>1234164225.6692424</v>
      </c>
      <c r="Q14" s="60"/>
      <c r="R14" s="63">
        <f>NPV('Key Information'!$C$16,K15:K$61)</f>
        <v>733171548.09150636</v>
      </c>
      <c r="S14" s="62">
        <f t="shared" si="0"/>
        <v>-223957542.86805147</v>
      </c>
      <c r="T14" s="62">
        <f t="shared" si="1"/>
        <v>208233260.62672397</v>
      </c>
      <c r="U14" s="63">
        <f t="shared" si="2"/>
        <v>-15724282.241327494</v>
      </c>
    </row>
    <row r="15" spans="1:21" x14ac:dyDescent="0.3">
      <c r="A15" s="64"/>
      <c r="B15" s="57">
        <v>2024</v>
      </c>
      <c r="C15" s="58">
        <v>5</v>
      </c>
      <c r="D15" s="63">
        <f>D14*(1-VLOOKUP($C14,'Key Information'!$F$8:$I$58,4,FALSE)-VLOOKUP($C14,'Key Information'!$F$8:$I$58,3,FALSE))*(1+'Key Information'!$C$21)</f>
        <v>40538768171.404747</v>
      </c>
      <c r="E15" s="62">
        <f>(E14*VLOOKUP($C14,'Key Information'!$F$8:$I$58,2,FALSE)+E14)*(1-VLOOKUP($C14,'Key Information'!$F$8:$I$58,4,FALSE)-VLOOKUP($C14,'Key Information'!$F$8:$I$58,3,FALSE))*(1+'Key Information'!$C$21)</f>
        <v>157030037.67969608</v>
      </c>
      <c r="F15" s="62">
        <f>(F14*'Key Information'!$C$20+F14)*(1-VLOOKUP($C14,'Key Information'!$F$8:$I$58,4,FALSE)-VLOOKUP($C14,'Key Information'!$F$8:$I$58,3,FALSE))</f>
        <v>13795218.236248218</v>
      </c>
      <c r="G15" s="62">
        <f>'Key Information'!$C$30*E15</f>
        <v>7851501.8839848042</v>
      </c>
      <c r="H15" s="62">
        <f>D15*VLOOKUP($C15,'Key Information'!$F$8:$I$58,3,FALSE)</f>
        <v>77023659.525669023</v>
      </c>
      <c r="I15" s="62">
        <f>E15*'Key Information'!$C$40</f>
        <v>109921026.37578726</v>
      </c>
      <c r="J15" s="60"/>
      <c r="K15" s="63">
        <f>H15*'Key Information'!$C$41</f>
        <v>69321293.573102117</v>
      </c>
      <c r="L15" s="62">
        <f>NPV('Key Information'!$C$16,E16:E$61)*(1+'Key Information'!$C$16)</f>
        <v>1654243564.6746552</v>
      </c>
      <c r="M15" s="62">
        <f>NPV('Key Information'!$C$16,F16:F$61)*(1+'Key Information'!$C$16)</f>
        <v>125203371.42995182</v>
      </c>
      <c r="N15" s="62">
        <f>NPV('Key Information'!$C$16,G16:G$61)*(1+'Key Information'!$C$16)</f>
        <v>82712178.233732805</v>
      </c>
      <c r="O15" s="62">
        <f>NPV('Key Information'!$C$16,H16:H$61)</f>
        <v>762050445.51238823</v>
      </c>
      <c r="P15" s="62">
        <f>NPV('Key Information'!$C$16,I16:I$61)*(1+'Key Information'!$C$16)</f>
        <v>1157970495.2722588</v>
      </c>
      <c r="Q15" s="60"/>
      <c r="R15" s="63">
        <f>NPV('Key Information'!$C$16,K16:K$61)</f>
        <v>685845400.96114933</v>
      </c>
      <c r="S15" s="62">
        <f t="shared" si="0"/>
        <v>-212152475.18747294</v>
      </c>
      <c r="T15" s="62">
        <f t="shared" si="1"/>
        <v>195377541.27440366</v>
      </c>
      <c r="U15" s="63">
        <f t="shared" si="2"/>
        <v>-16774933.913069278</v>
      </c>
    </row>
    <row r="16" spans="1:21" x14ac:dyDescent="0.3">
      <c r="A16" s="64"/>
      <c r="B16" s="57">
        <v>2025</v>
      </c>
      <c r="C16" s="58">
        <v>6</v>
      </c>
      <c r="D16" s="63">
        <f>D15*(1-VLOOKUP($C15,'Key Information'!$F$8:$I$58,4,FALSE)-VLOOKUP($C15,'Key Information'!$F$8:$I$58,3,FALSE))*(1+'Key Information'!$C$21)</f>
        <v>37466821396.912041</v>
      </c>
      <c r="E16" s="62">
        <f>(E15*VLOOKUP($C15,'Key Information'!$F$8:$I$58,2,FALSE)+E15)*(1-VLOOKUP($C15,'Key Information'!$F$8:$I$58,4,FALSE)-VLOOKUP($C15,'Key Information'!$F$8:$I$58,3,FALSE))*(1+'Key Information'!$C$21)</f>
        <v>147677349.87704158</v>
      </c>
      <c r="F16" s="62">
        <f>(F15*'Key Information'!$C$20+F15)*(1-VLOOKUP($C15,'Key Information'!$F$8:$I$58,4,FALSE)-VLOOKUP($C15,'Key Information'!$F$8:$I$58,3,FALSE))</f>
        <v>12874842.661180444</v>
      </c>
      <c r="G16" s="62">
        <f>'Key Information'!$C$30*E16</f>
        <v>7383867.4938520789</v>
      </c>
      <c r="H16" s="62">
        <f>D16*VLOOKUP($C16,'Key Information'!$F$8:$I$58,3,FALSE)</f>
        <v>74933642.793824077</v>
      </c>
      <c r="I16" s="62">
        <f>E16*'Key Information'!$C$40</f>
        <v>103374144.9139291</v>
      </c>
      <c r="J16" s="60"/>
      <c r="K16" s="63">
        <f>H16*'Key Information'!$C$41</f>
        <v>67440278.514441669</v>
      </c>
      <c r="L16" s="62">
        <f>NPV('Key Information'!$C$16,E17:E$61)*(1+'Key Information'!$C$16)</f>
        <v>1551763201.2415428</v>
      </c>
      <c r="M16" s="62">
        <f>NPV('Key Information'!$C$16,F17:F$61)*(1+'Key Information'!$C$16)</f>
        <v>115698384.63183452</v>
      </c>
      <c r="N16" s="62">
        <f>NPV('Key Information'!$C$16,G17:G$61)*(1+'Key Information'!$C$16)</f>
        <v>77588160.062077135</v>
      </c>
      <c r="O16" s="62">
        <f>NPV('Key Information'!$C$16,H17:H$61)</f>
        <v>709978316.08393562</v>
      </c>
      <c r="P16" s="62">
        <f>NPV('Key Information'!$C$16,I17:I$61)*(1+'Key Information'!$C$16)</f>
        <v>1086234240.8690798</v>
      </c>
      <c r="Q16" s="60"/>
      <c r="R16" s="63">
        <f>NPV('Key Information'!$C$16,K17:K$61)</f>
        <v>638980484.47554231</v>
      </c>
      <c r="S16" s="62">
        <f t="shared" si="0"/>
        <v>-201244584.070158</v>
      </c>
      <c r="T16" s="62">
        <f t="shared" si="1"/>
        <v>183273905.59218979</v>
      </c>
      <c r="U16" s="63">
        <f t="shared" si="2"/>
        <v>-17970678.477968216</v>
      </c>
    </row>
    <row r="17" spans="1:21" x14ac:dyDescent="0.3">
      <c r="A17" s="64"/>
      <c r="B17" s="57">
        <v>2026</v>
      </c>
      <c r="C17" s="58">
        <v>7</v>
      </c>
      <c r="D17" s="63">
        <f>D16*(1-VLOOKUP($C16,'Key Information'!$F$8:$I$58,4,FALSE)-VLOOKUP($C16,'Key Information'!$F$8:$I$58,3,FALSE))*(1+'Key Information'!$C$21)</f>
        <v>34623838989.314354</v>
      </c>
      <c r="E17" s="62">
        <f>(E16*VLOOKUP($C16,'Key Information'!$F$8:$I$58,2,FALSE)+E16)*(1-VLOOKUP($C16,'Key Information'!$F$8:$I$58,4,FALSE)-VLOOKUP($C16,'Key Information'!$F$8:$I$58,3,FALSE))*(1+'Key Information'!$C$21)</f>
        <v>138962170.95627359</v>
      </c>
      <c r="F17" s="62">
        <f>(F16*'Key Information'!$C$20+F16)*(1-VLOOKUP($C16,'Key Information'!$F$8:$I$58,4,FALSE)-VLOOKUP($C16,'Key Information'!$F$8:$I$58,3,FALSE))</f>
        <v>12014545.674560368</v>
      </c>
      <c r="G17" s="62">
        <f>'Key Information'!$C$30*E17</f>
        <v>6948108.54781368</v>
      </c>
      <c r="H17" s="62">
        <f>D17*VLOOKUP($C17,'Key Information'!$F$8:$I$58,3,FALSE)</f>
        <v>69247677.97862871</v>
      </c>
      <c r="I17" s="62">
        <f>E17*'Key Information'!$C$40</f>
        <v>97273519.669391498</v>
      </c>
      <c r="J17" s="60"/>
      <c r="K17" s="63">
        <f>H17*'Key Information'!$C$41</f>
        <v>62322910.180765837</v>
      </c>
      <c r="L17" s="62">
        <f>NPV('Key Information'!$C$16,E18:E$61)*(1+'Key Information'!$C$16)</f>
        <v>1455185061.1938274</v>
      </c>
      <c r="M17" s="62">
        <f>NPV('Key Information'!$C$16,F18:F$61)*(1+'Key Information'!$C$16)</f>
        <v>106794354.1259924</v>
      </c>
      <c r="N17" s="62">
        <f>NPV('Key Information'!$C$16,G18:G$61)*(1+'Key Information'!$C$16)</f>
        <v>72759253.059691355</v>
      </c>
      <c r="O17" s="62">
        <f>NPV('Key Information'!$C$16,H18:H$61)</f>
        <v>662029987.5878247</v>
      </c>
      <c r="P17" s="62">
        <f>NPV('Key Information'!$C$16,I18:I$61)*(1+'Key Information'!$C$16)</f>
        <v>1018629542.8356792</v>
      </c>
      <c r="Q17" s="60"/>
      <c r="R17" s="63">
        <f>NPV('Key Information'!$C$16,K18:K$61)</f>
        <v>595826988.82904232</v>
      </c>
      <c r="S17" s="62">
        <f t="shared" si="0"/>
        <v>-190798912.41368204</v>
      </c>
      <c r="T17" s="62">
        <f t="shared" si="1"/>
        <v>171867363.08157182</v>
      </c>
      <c r="U17" s="63">
        <f t="shared" si="2"/>
        <v>-18931549.332110226</v>
      </c>
    </row>
    <row r="18" spans="1:21" x14ac:dyDescent="0.3">
      <c r="A18" s="64"/>
      <c r="B18" s="57">
        <v>2027</v>
      </c>
      <c r="C18" s="58">
        <v>8</v>
      </c>
      <c r="D18" s="63">
        <f>D17*(1-VLOOKUP($C17,'Key Information'!$F$8:$I$58,4,FALSE)-VLOOKUP($C17,'Key Information'!$F$8:$I$58,3,FALSE))*(1+'Key Information'!$C$21)</f>
        <v>31961265771.036079</v>
      </c>
      <c r="E18" s="62">
        <f>(E17*VLOOKUP($C17,'Key Information'!$F$8:$I$58,2,FALSE)+E17)*(1-VLOOKUP($C17,'Key Information'!$F$8:$I$58,4,FALSE)-VLOOKUP($C17,'Key Information'!$F$8:$I$58,3,FALSE))*(1+'Key Information'!$C$21)</f>
        <v>130710630.56657413</v>
      </c>
      <c r="F18" s="62">
        <f>(F17*'Key Information'!$C$20+F17)*(1-VLOOKUP($C17,'Key Information'!$F$8:$I$58,4,FALSE)-VLOOKUP($C17,'Key Information'!$F$8:$I$58,3,FALSE))</f>
        <v>11199358.750541447</v>
      </c>
      <c r="G18" s="62">
        <f>'Key Information'!$C$30*E18</f>
        <v>6535531.5283287065</v>
      </c>
      <c r="H18" s="62">
        <f>D18*VLOOKUP($C18,'Key Information'!$F$8:$I$58,3,FALSE)</f>
        <v>67118658.119175762</v>
      </c>
      <c r="I18" s="62">
        <f>E18*'Key Information'!$C$40</f>
        <v>91497441.396601886</v>
      </c>
      <c r="J18" s="60"/>
      <c r="K18" s="63">
        <f>H18*'Key Information'!$C$41</f>
        <v>60406792.307258189</v>
      </c>
      <c r="L18" s="62">
        <f>NPV('Key Information'!$C$16,E19:E$61)*(1+'Key Information'!$C$16)</f>
        <v>1364208663.5460703</v>
      </c>
      <c r="M18" s="62">
        <f>NPV('Key Information'!$C$16,F19:F$61)*(1+'Key Information'!$C$16)</f>
        <v>98462845.236714453</v>
      </c>
      <c r="N18" s="62">
        <f>NPV('Key Information'!$C$16,G19:G$61)*(1+'Key Information'!$C$16)</f>
        <v>68210433.177303508</v>
      </c>
      <c r="O18" s="62">
        <f>NPV('Key Information'!$C$16,H19:H$61)</f>
        <v>614772229.09628367</v>
      </c>
      <c r="P18" s="62">
        <f>NPV('Key Information'!$C$16,I19:I$61)*(1+'Key Information'!$C$16)</f>
        <v>954946064.48224926</v>
      </c>
      <c r="Q18" s="60"/>
      <c r="R18" s="63">
        <f>NPV('Key Information'!$C$16,K19:K$61)</f>
        <v>553295006.1866554</v>
      </c>
      <c r="S18" s="62">
        <f t="shared" si="0"/>
        <v>-181112097.74017483</v>
      </c>
      <c r="T18" s="62">
        <f t="shared" si="1"/>
        <v>161122424.87175202</v>
      </c>
      <c r="U18" s="63">
        <f t="shared" si="2"/>
        <v>-19989672.868422806</v>
      </c>
    </row>
    <row r="19" spans="1:21" x14ac:dyDescent="0.3">
      <c r="A19" s="64"/>
      <c r="B19" s="57">
        <v>2028</v>
      </c>
      <c r="C19" s="58">
        <v>9</v>
      </c>
      <c r="D19" s="63">
        <f>D18*(1-VLOOKUP($C18,'Key Information'!$F$8:$I$58,4,FALSE)-VLOOKUP($C18,'Key Information'!$F$8:$I$58,3,FALSE))*(1+'Key Information'!$C$21)</f>
        <v>29467583893.048306</v>
      </c>
      <c r="E19" s="62">
        <f>(E18*VLOOKUP($C18,'Key Information'!$F$8:$I$58,2,FALSE)+E18)*(1-VLOOKUP($C18,'Key Information'!$F$8:$I$58,4,FALSE)-VLOOKUP($C18,'Key Information'!$F$8:$I$58,3,FALSE))*(1+'Key Information'!$C$21)</f>
        <v>122891115.73714015</v>
      </c>
      <c r="F19" s="62">
        <f>(F18*'Key Information'!$C$20+F18)*(1-VLOOKUP($C18,'Key Information'!$F$8:$I$58,4,FALSE)-VLOOKUP($C18,'Key Information'!$F$8:$I$58,3,FALSE))</f>
        <v>10426793.385852847</v>
      </c>
      <c r="G19" s="62">
        <f>'Key Information'!$C$30*E19</f>
        <v>6144555.786857008</v>
      </c>
      <c r="H19" s="62">
        <f>D19*VLOOKUP($C19,'Key Information'!$F$8:$I$58,3,FALSE)</f>
        <v>61881926.175401434</v>
      </c>
      <c r="I19" s="62">
        <f>E19*'Key Information'!$C$40</f>
        <v>86023781.015998095</v>
      </c>
      <c r="J19" s="60"/>
      <c r="K19" s="63">
        <f>H19*'Key Information'!$C$41</f>
        <v>55693733.557861291</v>
      </c>
      <c r="L19" s="62">
        <f>NPV('Key Information'!$C$16,E20:E$61)*(1+'Key Information'!$C$16)</f>
        <v>1278557074.2431991</v>
      </c>
      <c r="M19" s="62">
        <f>NPV('Key Information'!$C$16,F20:F$61)*(1+'Key Information'!$C$16)</f>
        <v>90677133.406387538</v>
      </c>
      <c r="N19" s="62">
        <f>NPV('Key Information'!$C$16,G20:G$61)*(1+'Key Information'!$C$16)</f>
        <v>63927853.712159909</v>
      </c>
      <c r="O19" s="62">
        <f>NPV('Key Information'!$C$16,H20:H$61)</f>
        <v>571333469.79377103</v>
      </c>
      <c r="P19" s="62">
        <f>NPV('Key Information'!$C$16,I20:I$61)*(1+'Key Information'!$C$16)</f>
        <v>894989951.97023904</v>
      </c>
      <c r="Q19" s="60"/>
      <c r="R19" s="63">
        <f>NPV('Key Information'!$C$16,K20:K$61)</f>
        <v>514200122.81439376</v>
      </c>
      <c r="S19" s="62">
        <f t="shared" si="0"/>
        <v>-171828788.1750353</v>
      </c>
      <c r="T19" s="62">
        <f t="shared" si="1"/>
        <v>151006383.14634192</v>
      </c>
      <c r="U19" s="63">
        <f t="shared" si="2"/>
        <v>-20822405.028693378</v>
      </c>
    </row>
    <row r="20" spans="1:21" x14ac:dyDescent="0.3">
      <c r="A20" s="64"/>
      <c r="B20" s="57">
        <v>2029</v>
      </c>
      <c r="C20" s="58">
        <v>10</v>
      </c>
      <c r="D20" s="63">
        <f>D19*(1-VLOOKUP($C19,'Key Information'!$F$8:$I$58,4,FALSE)-VLOOKUP($C19,'Key Information'!$F$8:$I$58,3,FALSE))*(1+'Key Information'!$C$21)</f>
        <v>27138407126.973984</v>
      </c>
      <c r="E20" s="62">
        <f>(E19*VLOOKUP($C19,'Key Information'!$F$8:$I$58,2,FALSE)+E19)*(1-VLOOKUP($C19,'Key Information'!$F$8:$I$58,4,FALSE)-VLOOKUP($C19,'Key Information'!$F$8:$I$58,3,FALSE))*(1+'Key Information'!$C$21)</f>
        <v>115500925.67560595</v>
      </c>
      <c r="F20" s="62">
        <f>(F19*'Key Information'!$C$20+F19)*(1-VLOOKUP($C19,'Key Information'!$F$8:$I$58,4,FALSE)-VLOOKUP($C19,'Key Information'!$F$8:$I$58,3,FALSE))</f>
        <v>9696782.3005291335</v>
      </c>
      <c r="G20" s="62">
        <f>'Key Information'!$C$30*E20</f>
        <v>5775046.2837802982</v>
      </c>
      <c r="H20" s="62">
        <f>D20*VLOOKUP($C20,'Key Information'!$F$8:$I$58,3,FALSE)</f>
        <v>56990654.96664536</v>
      </c>
      <c r="I20" s="62">
        <f>E20*'Key Information'!$C$40</f>
        <v>80850647.972924158</v>
      </c>
      <c r="J20" s="60"/>
      <c r="K20" s="63">
        <f>H20*'Key Information'!$C$41</f>
        <v>51291589.469980828</v>
      </c>
      <c r="L20" s="62">
        <f>NPV('Key Information'!$C$16,E21:E$61)*(1+'Key Information'!$C$16)</f>
        <v>1197947833.0246208</v>
      </c>
      <c r="M20" s="62">
        <f>NPV('Key Information'!$C$16,F21:F$61)*(1+'Key Information'!$C$16)</f>
        <v>83409761.639034152</v>
      </c>
      <c r="N20" s="62">
        <f>NPV('Key Information'!$C$16,G21:G$61)*(1+'Key Information'!$C$16)</f>
        <v>59897391.651231021</v>
      </c>
      <c r="O20" s="62">
        <f>NPV('Key Information'!$C$16,H21:H$61)</f>
        <v>531482818.92093867</v>
      </c>
      <c r="P20" s="62">
        <f>NPV('Key Information'!$C$16,I21:I$61)*(1+'Key Information'!$C$16)</f>
        <v>838563483.11723435</v>
      </c>
      <c r="Q20" s="60"/>
      <c r="R20" s="63">
        <f>NPV('Key Information'!$C$16,K21:K$61)</f>
        <v>478334537.02884483</v>
      </c>
      <c r="S20" s="62">
        <f t="shared" si="0"/>
        <v>-162928914.72502738</v>
      </c>
      <c r="T20" s="62">
        <f t="shared" si="1"/>
        <v>141485877.40607712</v>
      </c>
      <c r="U20" s="63">
        <f t="shared" si="2"/>
        <v>-21443037.318950266</v>
      </c>
    </row>
    <row r="21" spans="1:21" x14ac:dyDescent="0.3">
      <c r="A21" s="64"/>
      <c r="B21" s="57">
        <v>2030</v>
      </c>
      <c r="C21" s="58">
        <v>11</v>
      </c>
      <c r="D21" s="63">
        <f>D20*(1-VLOOKUP($C20,'Key Information'!$F$8:$I$58,4,FALSE)-VLOOKUP($C20,'Key Information'!$F$8:$I$58,3,FALSE))*(1+'Key Information'!$C$21)</f>
        <v>24965651975.574192</v>
      </c>
      <c r="E21" s="62">
        <f>(E20*VLOOKUP($C20,'Key Information'!$F$8:$I$58,2,FALSE)+E20)*(1-VLOOKUP($C20,'Key Information'!$F$8:$I$58,4,FALSE)-VLOOKUP($C20,'Key Information'!$F$8:$I$58,3,FALSE))*(1+'Key Information'!$C$21)</f>
        <v>108522172.55756591</v>
      </c>
      <c r="F21" s="62">
        <f>(F20*'Key Information'!$C$20+F20)*(1-VLOOKUP($C20,'Key Information'!$F$8:$I$58,4,FALSE)-VLOOKUP($C20,'Key Information'!$F$8:$I$58,3,FALSE))</f>
        <v>9007893.795552643</v>
      </c>
      <c r="G21" s="62">
        <f>'Key Information'!$C$30*E21</f>
        <v>5426108.6278782962</v>
      </c>
      <c r="H21" s="62">
        <f>D21*VLOOKUP($C21,'Key Information'!$F$8:$I$58,3,FALSE)</f>
        <v>54924434.346263222</v>
      </c>
      <c r="I21" s="62">
        <f>E21*'Key Information'!$C$40</f>
        <v>75965520.790296137</v>
      </c>
      <c r="J21" s="60"/>
      <c r="K21" s="63">
        <f>H21*'Key Information'!$C$41</f>
        <v>49431990.911636904</v>
      </c>
      <c r="L21" s="62">
        <f>NPV('Key Information'!$C$16,E22:E$61)*(1+'Key Information'!$C$16)</f>
        <v>1122108430.2810657</v>
      </c>
      <c r="M21" s="62">
        <f>NPV('Key Information'!$C$16,F22:F$61)*(1+'Key Information'!$C$16)</f>
        <v>76633923.878785938</v>
      </c>
      <c r="N21" s="62">
        <f>NPV('Key Information'!$C$16,G22:G$61)*(1+'Key Information'!$C$16)</f>
        <v>56105421.514053307</v>
      </c>
      <c r="O21" s="62">
        <f>NPV('Key Information'!$C$16,H22:H$61)</f>
        <v>492502869.14230376</v>
      </c>
      <c r="P21" s="62">
        <f>NPV('Key Information'!$C$16,I22:I$61)*(1+'Key Information'!$C$16)</f>
        <v>785475901.19674611</v>
      </c>
      <c r="Q21" s="60"/>
      <c r="R21" s="63">
        <f>NPV('Key Information'!$C$16,K22:K$61)</f>
        <v>443252582.22807324</v>
      </c>
      <c r="S21" s="62">
        <f t="shared" si="0"/>
        <v>-154642896.77724981</v>
      </c>
      <c r="T21" s="62">
        <f t="shared" si="1"/>
        <v>132528722.39204554</v>
      </c>
      <c r="U21" s="63">
        <f t="shared" si="2"/>
        <v>-22114174.38520427</v>
      </c>
    </row>
    <row r="22" spans="1:21" x14ac:dyDescent="0.3">
      <c r="A22" s="64"/>
      <c r="B22" s="57">
        <v>2031</v>
      </c>
      <c r="C22" s="58">
        <v>12</v>
      </c>
      <c r="D22" s="63">
        <f>D21*(1-VLOOKUP($C21,'Key Information'!$F$8:$I$58,4,FALSE)-VLOOKUP($C21,'Key Information'!$F$8:$I$58,3,FALSE))*(1+'Key Information'!$C$21)</f>
        <v>22938840485.589176</v>
      </c>
      <c r="E22" s="62">
        <f>(E21*VLOOKUP($C21,'Key Information'!$F$8:$I$58,2,FALSE)+E21)*(1-VLOOKUP($C21,'Key Information'!$F$8:$I$58,4,FALSE)-VLOOKUP($C21,'Key Information'!$F$8:$I$58,3,FALSE))*(1+'Key Information'!$C$21)</f>
        <v>101925878.24109836</v>
      </c>
      <c r="F22" s="62">
        <f>(F21*'Key Information'!$C$20+F21)*(1-VLOOKUP($C21,'Key Information'!$F$8:$I$58,4,FALSE)-VLOOKUP($C21,'Key Information'!$F$8:$I$58,3,FALSE))</f>
        <v>8357740.0529648364</v>
      </c>
      <c r="G22" s="62">
        <f>'Key Information'!$C$30*E22</f>
        <v>5096293.9120549187</v>
      </c>
      <c r="H22" s="62">
        <f>D22*VLOOKUP($C22,'Key Information'!$F$8:$I$58,3,FALSE)</f>
        <v>50465449.068296194</v>
      </c>
      <c r="I22" s="62">
        <f>E22*'Key Information'!$C$40</f>
        <v>71348114.768768847</v>
      </c>
      <c r="J22" s="60"/>
      <c r="K22" s="63">
        <f>H22*'Key Information'!$C$41</f>
        <v>45418904.161466576</v>
      </c>
      <c r="L22" s="62">
        <f>NPV('Key Information'!$C$16,E23:E$61)*(1+'Key Information'!$C$16)</f>
        <v>1050788028.6011667</v>
      </c>
      <c r="M22" s="62">
        <f>NPV('Key Information'!$C$16,F23:F$61)*(1+'Key Information'!$C$16)</f>
        <v>70324469.340595752</v>
      </c>
      <c r="N22" s="62">
        <f>NPV('Key Information'!$C$16,G23:G$61)*(1+'Key Information'!$C$16)</f>
        <v>52539401.430058345</v>
      </c>
      <c r="O22" s="62">
        <f>NPV('Key Information'!$C$16,H23:H$61)</f>
        <v>456812506.14827669</v>
      </c>
      <c r="P22" s="62">
        <f>NPV('Key Information'!$C$16,I23:I$61)*(1+'Key Information'!$C$16)</f>
        <v>735551620.02081656</v>
      </c>
      <c r="Q22" s="60"/>
      <c r="R22" s="63">
        <f>NPV('Key Information'!$C$16,K23:K$61)</f>
        <v>411131255.53344899</v>
      </c>
      <c r="S22" s="62">
        <f t="shared" si="0"/>
        <v>-146691287.19486833</v>
      </c>
      <c r="T22" s="62">
        <f t="shared" si="1"/>
        <v>124105292.48094776</v>
      </c>
      <c r="U22" s="63">
        <f t="shared" si="2"/>
        <v>-22585994.713920563</v>
      </c>
    </row>
    <row r="23" spans="1:21" x14ac:dyDescent="0.3">
      <c r="A23" s="64"/>
      <c r="B23" s="57">
        <v>2032</v>
      </c>
      <c r="C23" s="58">
        <v>13</v>
      </c>
      <c r="D23" s="63">
        <f>D22*(1-VLOOKUP($C22,'Key Information'!$F$8:$I$58,4,FALSE)-VLOOKUP($C22,'Key Information'!$F$8:$I$58,3,FALSE))*(1+'Key Information'!$C$21)</f>
        <v>21053176042.311806</v>
      </c>
      <c r="E23" s="62">
        <f>(E22*VLOOKUP($C22,'Key Information'!$F$8:$I$58,2,FALSE)+E22)*(1-VLOOKUP($C22,'Key Information'!$F$8:$I$58,4,FALSE)-VLOOKUP($C22,'Key Information'!$F$8:$I$58,3,FALSE))*(1+'Key Information'!$C$21)</f>
        <v>95707336.747217521</v>
      </c>
      <c r="F23" s="62">
        <f>(F22*'Key Information'!$C$20+F22)*(1-VLOOKUP($C22,'Key Information'!$F$8:$I$58,4,FALSE)-VLOOKUP($C22,'Key Information'!$F$8:$I$58,3,FALSE))</f>
        <v>7745903.3346474934</v>
      </c>
      <c r="G23" s="62">
        <f>'Key Information'!$C$30*E23</f>
        <v>4785366.8373608766</v>
      </c>
      <c r="H23" s="62">
        <f>D23*VLOOKUP($C23,'Key Information'!$F$8:$I$58,3,FALSE)</f>
        <v>48422304.897317149</v>
      </c>
      <c r="I23" s="62">
        <f>E23*'Key Information'!$C$40</f>
        <v>66995135.723052263</v>
      </c>
      <c r="J23" s="60"/>
      <c r="K23" s="63">
        <f>H23*'Key Information'!$C$41</f>
        <v>43580074.407585435</v>
      </c>
      <c r="L23" s="62">
        <f>NPV('Key Information'!$C$16,E24:E$61)*(1+'Key Information'!$C$16)</f>
        <v>983733112.60956788</v>
      </c>
      <c r="M23" s="62">
        <f>NPV('Key Information'!$C$16,F24:F$61)*(1+'Key Information'!$C$16)</f>
        <v>64455922.986126676</v>
      </c>
      <c r="N23" s="62">
        <f>NPV('Key Information'!$C$16,G24:G$61)*(1+'Key Information'!$C$16)</f>
        <v>49186655.630478397</v>
      </c>
      <c r="O23" s="62">
        <f>NPV('Key Information'!$C$16,H24:H$61)</f>
        <v>422094576.43540776</v>
      </c>
      <c r="P23" s="62">
        <f>NPV('Key Information'!$C$16,I24:I$61)*(1+'Key Information'!$C$16)</f>
        <v>688613178.82669747</v>
      </c>
      <c r="Q23" s="60"/>
      <c r="R23" s="63">
        <f>NPV('Key Information'!$C$16,K24:K$61)</f>
        <v>379885118.79186702</v>
      </c>
      <c r="S23" s="62">
        <f t="shared" si="0"/>
        <v>-139267897.52272463</v>
      </c>
      <c r="T23" s="62">
        <f t="shared" si="1"/>
        <v>116185645.76352082</v>
      </c>
      <c r="U23" s="63">
        <f t="shared" si="2"/>
        <v>-23082251.759203807</v>
      </c>
    </row>
    <row r="24" spans="1:21" x14ac:dyDescent="0.3">
      <c r="A24" s="64"/>
      <c r="B24" s="57">
        <v>2033</v>
      </c>
      <c r="C24" s="58">
        <v>14</v>
      </c>
      <c r="D24" s="63">
        <f>D23*(1-VLOOKUP($C23,'Key Information'!$F$8:$I$58,4,FALSE)-VLOOKUP($C23,'Key Information'!$F$8:$I$58,3,FALSE))*(1+'Key Information'!$C$21)</f>
        <v>19298899095.410133</v>
      </c>
      <c r="E24" s="62">
        <f>(E23*VLOOKUP($C23,'Key Information'!$F$8:$I$58,2,FALSE)+E23)*(1-VLOOKUP($C23,'Key Information'!$F$8:$I$58,4,FALSE)-VLOOKUP($C23,'Key Information'!$F$8:$I$58,3,FALSE))*(1+'Key Information'!$C$21)</f>
        <v>89839363.843954161</v>
      </c>
      <c r="F24" s="62">
        <f>(F23*'Key Information'!$C$20+F23)*(1-VLOOKUP($C23,'Key Information'!$F$8:$I$58,4,FALSE)-VLOOKUP($C23,'Key Information'!$F$8:$I$58,3,FALSE))</f>
        <v>7170080.6266531339</v>
      </c>
      <c r="G24" s="62">
        <f>'Key Information'!$C$30*E24</f>
        <v>4491968.1921977084</v>
      </c>
      <c r="H24" s="62">
        <f>D24*VLOOKUP($C24,'Key Information'!$F$8:$I$58,3,FALSE)</f>
        <v>44387467.919443309</v>
      </c>
      <c r="I24" s="62">
        <f>E24*'Key Information'!$C$40</f>
        <v>62887554.690767907</v>
      </c>
      <c r="J24" s="60"/>
      <c r="K24" s="63">
        <f>H24*'Key Information'!$C$41</f>
        <v>39948721.127498977</v>
      </c>
      <c r="L24" s="62">
        <f>NPV('Key Information'!$C$16,E25:E$61)*(1+'Key Information'!$C$16)</f>
        <v>920710561.22858179</v>
      </c>
      <c r="M24" s="62">
        <f>NPV('Key Information'!$C$16,F25:F$61)*(1+'Key Information'!$C$16)</f>
        <v>59004417.630257733</v>
      </c>
      <c r="N24" s="62">
        <f>NPV('Key Information'!$C$16,G25:G$61)*(1+'Key Information'!$C$16)</f>
        <v>46035528.061429106</v>
      </c>
      <c r="O24" s="62">
        <f>NPV('Key Information'!$C$16,H25:H$61)</f>
        <v>390369945.80902684</v>
      </c>
      <c r="P24" s="62">
        <f>NPV('Key Information'!$C$16,I25:I$61)*(1+'Key Information'!$C$16)</f>
        <v>644497392.86000741</v>
      </c>
      <c r="Q24" s="60"/>
      <c r="R24" s="63">
        <f>NPV('Key Information'!$C$16,K25:K$61)</f>
        <v>351332951.22812402</v>
      </c>
      <c r="S24" s="62">
        <f t="shared" si="0"/>
        <v>-132136228.09598473</v>
      </c>
      <c r="T24" s="62">
        <f t="shared" si="1"/>
        <v>108742249.03730868</v>
      </c>
      <c r="U24" s="63">
        <f t="shared" si="2"/>
        <v>-23393979.058676049</v>
      </c>
    </row>
    <row r="25" spans="1:21" x14ac:dyDescent="0.3">
      <c r="A25" s="64"/>
      <c r="B25" s="57">
        <v>2034</v>
      </c>
      <c r="C25" s="58">
        <v>15</v>
      </c>
      <c r="D25" s="63">
        <f>D24*(1-VLOOKUP($C24,'Key Information'!$F$8:$I$58,4,FALSE)-VLOOKUP($C24,'Key Information'!$F$8:$I$58,3,FALSE))*(1+'Key Information'!$C$21)</f>
        <v>17671114152.30867</v>
      </c>
      <c r="E25" s="62">
        <f>(E24*VLOOKUP($C24,'Key Information'!$F$8:$I$58,2,FALSE)+E24)*(1-VLOOKUP($C24,'Key Information'!$F$8:$I$58,4,FALSE)-VLOOKUP($C24,'Key Information'!$F$8:$I$58,3,FALSE))*(1+'Key Information'!$C$21)</f>
        <v>84316351.341004848</v>
      </c>
      <c r="F25" s="62">
        <f>(F24*'Key Information'!$C$20+F24)*(1-VLOOKUP($C24,'Key Information'!$F$8:$I$58,4,FALSE)-VLOOKUP($C24,'Key Information'!$F$8:$I$58,3,FALSE))</f>
        <v>6629678.8199029146</v>
      </c>
      <c r="G25" s="62">
        <f>'Key Information'!$C$30*E25</f>
        <v>4215817.5670502428</v>
      </c>
      <c r="H25" s="62">
        <f>D25*VLOOKUP($C25,'Key Information'!$F$8:$I$58,3,FALSE)</f>
        <v>42410673.965540804</v>
      </c>
      <c r="I25" s="62">
        <f>E25*'Key Information'!$C$40</f>
        <v>59021445.938703388</v>
      </c>
      <c r="J25" s="60"/>
      <c r="K25" s="63">
        <f>H25*'Key Information'!$C$41</f>
        <v>38169606.568986721</v>
      </c>
      <c r="L25" s="62">
        <f>NPV('Key Information'!$C$16,E26:E$61)*(1+'Key Information'!$C$16)</f>
        <v>861486036.18420434</v>
      </c>
      <c r="M25" s="62">
        <f>NPV('Key Information'!$C$16,F26:F$61)*(1+'Key Information'!$C$16)</f>
        <v>53945980.974665485</v>
      </c>
      <c r="N25" s="62">
        <f>NPV('Key Information'!$C$16,G26:G$61)*(1+'Key Information'!$C$16)</f>
        <v>43074301.809210241</v>
      </c>
      <c r="O25" s="62">
        <f>NPV('Key Information'!$C$16,H26:H$61)</f>
        <v>359670370.21775669</v>
      </c>
      <c r="P25" s="62">
        <f>NPV('Key Information'!$C$16,I26:I$61)*(1+'Key Information'!$C$16)</f>
        <v>603040225.32894325</v>
      </c>
      <c r="Q25" s="60"/>
      <c r="R25" s="63">
        <f>NPV('Key Information'!$C$16,K26:K$61)</f>
        <v>323703333.19598091</v>
      </c>
      <c r="S25" s="62">
        <f t="shared" si="0"/>
        <v>-125458491.0496096</v>
      </c>
      <c r="T25" s="62">
        <f t="shared" si="1"/>
        <v>101747425.34059958</v>
      </c>
      <c r="U25" s="63">
        <f t="shared" si="2"/>
        <v>-23711065.70901002</v>
      </c>
    </row>
    <row r="26" spans="1:21" x14ac:dyDescent="0.3">
      <c r="A26" s="64"/>
      <c r="B26" s="57">
        <v>2035</v>
      </c>
      <c r="C26" s="58">
        <v>16</v>
      </c>
      <c r="D26" s="63">
        <f>D25*(1-VLOOKUP($C25,'Key Information'!$F$8:$I$58,4,FALSE)-VLOOKUP($C25,'Key Information'!$F$8:$I$58,3,FALSE))*(1+'Key Information'!$C$21)</f>
        <v>16160799367.939154</v>
      </c>
      <c r="E26" s="62">
        <f>(E25*VLOOKUP($C25,'Key Information'!$F$8:$I$58,2,FALSE)+E25)*(1-VLOOKUP($C25,'Key Information'!$F$8:$I$58,4,FALSE)-VLOOKUP($C25,'Key Information'!$F$8:$I$58,3,FALSE))*(1+'Key Information'!$C$21)</f>
        <v>79112945.024715617</v>
      </c>
      <c r="F26" s="62">
        <f>(F25*'Key Information'!$C$20+F25)*(1-VLOOKUP($C25,'Key Information'!$F$8:$I$58,4,FALSE)-VLOOKUP($C25,'Key Information'!$F$8:$I$58,3,FALSE))</f>
        <v>6122495.1308227023</v>
      </c>
      <c r="G26" s="62">
        <f>'Key Information'!$C$30*E26</f>
        <v>3955647.2512357812</v>
      </c>
      <c r="H26" s="62">
        <f>D26*VLOOKUP($C26,'Key Information'!$F$8:$I$58,3,FALSE)</f>
        <v>38785918.483053967</v>
      </c>
      <c r="I26" s="62">
        <f>E26*'Key Information'!$C$40</f>
        <v>55379061.517300926</v>
      </c>
      <c r="J26" s="60"/>
      <c r="K26" s="63">
        <f>H26*'Key Information'!$C$41</f>
        <v>34907326.634748571</v>
      </c>
      <c r="L26" s="62">
        <f>NPV('Key Information'!$C$16,E27:E$61)*(1+'Key Information'!$C$16)</f>
        <v>805844283.89427352</v>
      </c>
      <c r="M26" s="62">
        <f>NPV('Key Information'!$C$16,F27:F$61)*(1+'Key Information'!$C$16)</f>
        <v>49258190.419158064</v>
      </c>
      <c r="N26" s="62">
        <f>NPV('Key Information'!$C$16,G27:G$61)*(1+'Key Information'!$C$16)</f>
        <v>40292214.194713652</v>
      </c>
      <c r="O26" s="62">
        <f>NPV('Key Information'!$C$16,H27:H$61)</f>
        <v>331674562.84123528</v>
      </c>
      <c r="P26" s="62">
        <f>NPV('Key Information'!$C$16,I27:I$61)*(1+'Key Information'!$C$16)</f>
        <v>564090998.72599137</v>
      </c>
      <c r="Q26" s="60"/>
      <c r="R26" s="63">
        <f>NPV('Key Information'!$C$16,K27:K$61)</f>
        <v>298507106.55711198</v>
      </c>
      <c r="S26" s="62">
        <f t="shared" si="0"/>
        <v>-119035424.27028713</v>
      </c>
      <c r="T26" s="62">
        <f t="shared" si="1"/>
        <v>95175751.745034367</v>
      </c>
      <c r="U26" s="63">
        <f t="shared" si="2"/>
        <v>-23859672.525252759</v>
      </c>
    </row>
    <row r="27" spans="1:21" x14ac:dyDescent="0.3">
      <c r="A27" s="64"/>
      <c r="B27" s="57">
        <v>2036</v>
      </c>
      <c r="C27" s="58">
        <v>17</v>
      </c>
      <c r="D27" s="63">
        <f>D26*(1-VLOOKUP($C26,'Key Information'!$F$8:$I$58,4,FALSE)-VLOOKUP($C26,'Key Information'!$F$8:$I$58,3,FALSE))*(1+'Key Information'!$C$21)</f>
        <v>14763084152.204834</v>
      </c>
      <c r="E27" s="62">
        <f>(E26*VLOOKUP($C26,'Key Information'!$F$8:$I$58,2,FALSE)+E26)*(1-VLOOKUP($C26,'Key Information'!$F$8:$I$58,4,FALSE)-VLOOKUP($C26,'Key Information'!$F$8:$I$58,3,FALSE))*(1+'Key Information'!$C$21)</f>
        <v>74222954.31655927</v>
      </c>
      <c r="F27" s="62">
        <f>(F26*'Key Information'!$C$20+F26)*(1-VLOOKUP($C26,'Key Information'!$F$8:$I$58,4,FALSE)-VLOOKUP($C26,'Key Information'!$F$8:$I$58,3,FALSE))</f>
        <v>5647805.8383397572</v>
      </c>
      <c r="G27" s="62">
        <f>'Key Information'!$C$30*E27</f>
        <v>3711147.7158279638</v>
      </c>
      <c r="H27" s="62">
        <f>D27*VLOOKUP($C27,'Key Information'!$F$8:$I$58,3,FALSE)</f>
        <v>36907710.380512089</v>
      </c>
      <c r="I27" s="62">
        <f>E27*'Key Information'!$C$40</f>
        <v>51956068.021591485</v>
      </c>
      <c r="J27" s="60"/>
      <c r="K27" s="63">
        <f>H27*'Key Information'!$C$41</f>
        <v>33216939.342460882</v>
      </c>
      <c r="L27" s="62">
        <f>NPV('Key Information'!$C$16,E28:E$61)*(1+'Key Information'!$C$16)</f>
        <v>753569969.46504569</v>
      </c>
      <c r="M27" s="62">
        <f>NPV('Key Information'!$C$16,F28:F$61)*(1+'Key Information'!$C$16)</f>
        <v>44918696.118242867</v>
      </c>
      <c r="N27" s="62">
        <f>NPV('Key Information'!$C$16,G28:G$61)*(1+'Key Information'!$C$16)</f>
        <v>37678498.473252282</v>
      </c>
      <c r="O27" s="62">
        <f>NPV('Key Information'!$C$16,H28:H$61)</f>
        <v>304717089.34596038</v>
      </c>
      <c r="P27" s="62">
        <f>NPV('Key Information'!$C$16,I28:I$61)*(1+'Key Information'!$C$16)</f>
        <v>527498978.62553191</v>
      </c>
      <c r="Q27" s="60"/>
      <c r="R27" s="63">
        <f>NPV('Key Information'!$C$16,K28:K$61)</f>
        <v>274245380.41136438</v>
      </c>
      <c r="S27" s="62">
        <f t="shared" si="0"/>
        <v>-113002087.31342262</v>
      </c>
      <c r="T27" s="62">
        <f t="shared" si="1"/>
        <v>89001795.718796909</v>
      </c>
      <c r="U27" s="63">
        <f t="shared" si="2"/>
        <v>-24000291.594625711</v>
      </c>
    </row>
    <row r="28" spans="1:21" x14ac:dyDescent="0.3">
      <c r="A28" s="64"/>
      <c r="B28" s="57">
        <v>2037</v>
      </c>
      <c r="C28" s="58">
        <v>18</v>
      </c>
      <c r="D28" s="63">
        <f>D27*(1-VLOOKUP($C27,'Key Information'!$F$8:$I$58,4,FALSE)-VLOOKUP($C27,'Key Information'!$F$8:$I$58,3,FALSE))*(1+'Key Information'!$C$21)</f>
        <v>13469690349.630169</v>
      </c>
      <c r="E28" s="62">
        <f>(E27*VLOOKUP($C27,'Key Information'!$F$8:$I$58,2,FALSE)+E27)*(1-VLOOKUP($C27,'Key Information'!$F$8:$I$58,4,FALSE)-VLOOKUP($C27,'Key Information'!$F$8:$I$58,3,FALSE))*(1+'Key Information'!$C$21)</f>
        <v>69622863.541027308</v>
      </c>
      <c r="F28" s="62">
        <f>(F27*'Key Information'!$C$20+F27)*(1-VLOOKUP($C27,'Key Information'!$F$8:$I$58,4,FALSE)-VLOOKUP($C27,'Key Information'!$F$8:$I$58,3,FALSE))</f>
        <v>5203521.1920667598</v>
      </c>
      <c r="G28" s="62">
        <f>'Key Information'!$C$30*E28</f>
        <v>3481143.1770513654</v>
      </c>
      <c r="H28" s="62">
        <f>D28*VLOOKUP($C28,'Key Information'!$F$8:$I$58,3,FALSE)</f>
        <v>33674225.87407542</v>
      </c>
      <c r="I28" s="62">
        <f>E28*'Key Information'!$C$40</f>
        <v>48736004.478719115</v>
      </c>
      <c r="J28" s="60"/>
      <c r="K28" s="63">
        <f>H28*'Key Information'!$C$41</f>
        <v>30306803.28666788</v>
      </c>
      <c r="L28" s="62">
        <f>NPV('Key Information'!$C$16,E29:E$61)*(1+'Key Information'!$C$16)</f>
        <v>704465519.10173893</v>
      </c>
      <c r="M28" s="62">
        <f>NPV('Key Information'!$C$16,F29:F$61)*(1+'Key Information'!$C$16)</f>
        <v>40906630.173961371</v>
      </c>
      <c r="N28" s="62">
        <f>NPV('Key Information'!$C$16,G29:G$61)*(1+'Key Information'!$C$16)</f>
        <v>35223275.955086976</v>
      </c>
      <c r="O28" s="62">
        <f>NPV('Key Information'!$C$16,H29:H$61)</f>
        <v>280184376.15226382</v>
      </c>
      <c r="P28" s="62">
        <f>NPV('Key Information'!$C$16,I29:I$61)*(1+'Key Information'!$C$16)</f>
        <v>493125863.37121725</v>
      </c>
      <c r="Q28" s="60"/>
      <c r="R28" s="63">
        <f>NPV('Key Information'!$C$16,K29:K$61)</f>
        <v>252165938.53703749</v>
      </c>
      <c r="S28" s="62">
        <f t="shared" si="0"/>
        <v>-107191311.986247</v>
      </c>
      <c r="T28" s="62">
        <f t="shared" si="1"/>
        <v>83202222.43800211</v>
      </c>
      <c r="U28" s="63">
        <f t="shared" si="2"/>
        <v>-23989089.548244894</v>
      </c>
    </row>
    <row r="29" spans="1:21" x14ac:dyDescent="0.3">
      <c r="A29" s="64"/>
      <c r="B29" s="57">
        <v>2038</v>
      </c>
      <c r="C29" s="58">
        <v>19</v>
      </c>
      <c r="D29" s="63">
        <f>D28*(1-VLOOKUP($C28,'Key Information'!$F$8:$I$58,4,FALSE)-VLOOKUP($C28,'Key Information'!$F$8:$I$58,3,FALSE))*(1+'Key Information'!$C$21)</f>
        <v>12275871693.942448</v>
      </c>
      <c r="E29" s="62">
        <f>(E28*VLOOKUP($C28,'Key Information'!$F$8:$I$58,2,FALSE)+E28)*(1-VLOOKUP($C28,'Key Information'!$F$8:$I$58,4,FALSE)-VLOOKUP($C28,'Key Information'!$F$8:$I$58,3,FALSE))*(1+'Key Information'!$C$21)</f>
        <v>65306167.405592494</v>
      </c>
      <c r="F29" s="62">
        <f>(F28*'Key Information'!$C$20+F28)*(1-VLOOKUP($C28,'Key Information'!$F$8:$I$58,4,FALSE)-VLOOKUP($C28,'Key Information'!$F$8:$I$58,3,FALSE))</f>
        <v>4788826.570665</v>
      </c>
      <c r="G29" s="62">
        <f>'Key Information'!$C$30*E29</f>
        <v>3265308.3702796251</v>
      </c>
      <c r="H29" s="62">
        <f>D29*VLOOKUP($C29,'Key Information'!$F$8:$I$58,3,FALSE)</f>
        <v>31917266.404250361</v>
      </c>
      <c r="I29" s="62">
        <f>E29*'Key Information'!$C$40</f>
        <v>45714317.183914743</v>
      </c>
      <c r="J29" s="60"/>
      <c r="K29" s="63">
        <f>H29*'Key Information'!$C$41</f>
        <v>28725539.763825327</v>
      </c>
      <c r="L29" s="62">
        <f>NPV('Key Information'!$C$16,E30:E$61)*(1+'Key Information'!$C$16)</f>
        <v>658334132.24703109</v>
      </c>
      <c r="M29" s="62">
        <f>NPV('Key Information'!$C$16,F30:F$61)*(1+'Key Information'!$C$16)</f>
        <v>37201337.711395271</v>
      </c>
      <c r="N29" s="62">
        <f>NPV('Key Information'!$C$16,G30:G$61)*(1+'Key Information'!$C$16)</f>
        <v>32916706.612351544</v>
      </c>
      <c r="O29" s="62">
        <f>NPV('Key Information'!$C$16,H30:H$61)</f>
        <v>256672641.03258142</v>
      </c>
      <c r="P29" s="62">
        <f>NPV('Key Information'!$C$16,I30:I$61)*(1+'Key Information'!$C$16)</f>
        <v>460833892.57292163</v>
      </c>
      <c r="Q29" s="60"/>
      <c r="R29" s="63">
        <f>NPV('Key Information'!$C$16,K30:K$61)</f>
        <v>231005376.92932326</v>
      </c>
      <c r="S29" s="62">
        <f t="shared" si="0"/>
        <v>-101714931.2471045</v>
      </c>
      <c r="T29" s="62">
        <f t="shared" si="1"/>
        <v>77753788.403426439</v>
      </c>
      <c r="U29" s="63">
        <f t="shared" si="2"/>
        <v>-23961142.843678057</v>
      </c>
    </row>
    <row r="30" spans="1:21" x14ac:dyDescent="0.3">
      <c r="A30" s="64"/>
      <c r="B30" s="57">
        <v>2039</v>
      </c>
      <c r="C30" s="58">
        <v>20</v>
      </c>
      <c r="D30" s="63">
        <f>D29*(1-VLOOKUP($C29,'Key Information'!$F$8:$I$58,4,FALSE)-VLOOKUP($C29,'Key Information'!$F$8:$I$58,3,FALSE))*(1+'Key Information'!$C$21)</f>
        <v>11174087657.667725</v>
      </c>
      <c r="E30" s="62">
        <f>(E29*VLOOKUP($C29,'Key Information'!$F$8:$I$58,2,FALSE)+E29)*(1-VLOOKUP($C29,'Key Information'!$F$8:$I$58,4,FALSE)-VLOOKUP($C29,'Key Information'!$F$8:$I$58,3,FALSE))*(1+'Key Information'!$C$21)</f>
        <v>61251172.383766524</v>
      </c>
      <c r="F30" s="62">
        <f>(F29*'Key Information'!$C$20+F29)*(1-VLOOKUP($C29,'Key Information'!$F$8:$I$58,4,FALSE)-VLOOKUP($C29,'Key Information'!$F$8:$I$58,3,FALSE))</f>
        <v>4401755.2966112895</v>
      </c>
      <c r="G30" s="62">
        <f>'Key Information'!$C$30*E30</f>
        <v>3062558.6191883264</v>
      </c>
      <c r="H30" s="62">
        <f>D30*VLOOKUP($C30,'Key Information'!$F$8:$I$58,3,FALSE)</f>
        <v>29052627.909936082</v>
      </c>
      <c r="I30" s="62">
        <f>E30*'Key Information'!$C$40</f>
        <v>42875820.668636568</v>
      </c>
      <c r="J30" s="60"/>
      <c r="K30" s="63">
        <f>H30*'Key Information'!$C$41</f>
        <v>26147365.118942473</v>
      </c>
      <c r="L30" s="62">
        <f>NPV('Key Information'!$C$16,E31:E$61)*(1+'Key Information'!$C$16)</f>
        <v>614995448.65916252</v>
      </c>
      <c r="M30" s="62">
        <f>NPV('Key Information'!$C$16,F31:F$61)*(1+'Key Information'!$C$16)</f>
        <v>33783569.887227491</v>
      </c>
      <c r="N30" s="62">
        <f>NPV('Key Information'!$C$16,G31:G$61)*(1+'Key Information'!$C$16)</f>
        <v>30749772.43295813</v>
      </c>
      <c r="O30" s="62">
        <f>NPV('Key Information'!$C$16,H31:H$61)</f>
        <v>235320192.3536227</v>
      </c>
      <c r="P30" s="62">
        <f>NPV('Key Information'!$C$16,I31:I$61)*(1+'Key Information'!$C$16)</f>
        <v>430496814.06141371</v>
      </c>
      <c r="Q30" s="60"/>
      <c r="R30" s="63">
        <f>NPV('Key Information'!$C$16,K31:K$61)</f>
        <v>211788173.11826056</v>
      </c>
      <c r="S30" s="62">
        <f t="shared" si="0"/>
        <v>-96433273.042201072</v>
      </c>
      <c r="T30" s="62">
        <f t="shared" si="1"/>
        <v>72635191.830174893</v>
      </c>
      <c r="U30" s="63">
        <f t="shared" si="2"/>
        <v>-23798081.212026179</v>
      </c>
    </row>
    <row r="31" spans="1:21" x14ac:dyDescent="0.3">
      <c r="A31" s="64"/>
      <c r="B31" s="57">
        <v>2040</v>
      </c>
      <c r="C31" s="58">
        <v>21</v>
      </c>
      <c r="D31" s="63">
        <f>D30*(1-VLOOKUP($C30,'Key Information'!$F$8:$I$58,4,FALSE)-VLOOKUP($C30,'Key Information'!$F$8:$I$58,3,FALSE))*(1+'Key Information'!$C$21)</f>
        <v>10159793372.80591</v>
      </c>
      <c r="E31" s="62">
        <f>(E30*VLOOKUP($C30,'Key Information'!$F$8:$I$58,2,FALSE)+E30)*(1-VLOOKUP($C30,'Key Information'!$F$8:$I$58,4,FALSE)-VLOOKUP($C30,'Key Information'!$F$8:$I$58,3,FALSE))*(1+'Key Information'!$C$21)</f>
        <v>57451277.905287452</v>
      </c>
      <c r="F31" s="62">
        <f>(F30*'Key Information'!$C$20+F30)*(1-VLOOKUP($C30,'Key Information'!$F$8:$I$58,4,FALSE)-VLOOKUP($C30,'Key Information'!$F$8:$I$58,3,FALSE))</f>
        <v>4041436.4115412822</v>
      </c>
      <c r="G31" s="62">
        <f>'Key Information'!$C$30*E31</f>
        <v>2872563.8952643727</v>
      </c>
      <c r="H31" s="62">
        <f>D31*VLOOKUP($C31,'Key Information'!$F$8:$I$58,3,FALSE)</f>
        <v>27431442.106575958</v>
      </c>
      <c r="I31" s="62">
        <f>E31*'Key Information'!$C$40</f>
        <v>40215894.533701211</v>
      </c>
      <c r="J31" s="60"/>
      <c r="K31" s="63">
        <f>H31*'Key Information'!$C$41</f>
        <v>24688297.895918362</v>
      </c>
      <c r="L31" s="62">
        <f>NPV('Key Information'!$C$16,E32:E$61)*(1+'Key Information'!$C$16)</f>
        <v>574270495.87649119</v>
      </c>
      <c r="M31" s="62">
        <f>NPV('Key Information'!$C$16,F32:F$61)*(1+'Key Information'!$C$16)</f>
        <v>30634397.479956802</v>
      </c>
      <c r="N31" s="62">
        <f>NPV('Key Information'!$C$16,G32:G$61)*(1+'Key Information'!$C$16)</f>
        <v>28713524.793824561</v>
      </c>
      <c r="O31" s="62">
        <f>NPV('Key Information'!$C$16,H32:H$61)</f>
        <v>214948356.01765543</v>
      </c>
      <c r="P31" s="62">
        <f>NPV('Key Information'!$C$16,I32:I$61)*(1+'Key Information'!$C$16)</f>
        <v>401989347.11354369</v>
      </c>
      <c r="Q31" s="60"/>
      <c r="R31" s="63">
        <f>NPV('Key Information'!$C$16,K32:K$61)</f>
        <v>193453520.41588998</v>
      </c>
      <c r="S31" s="62">
        <f t="shared" si="0"/>
        <v>-91438390.887400687</v>
      </c>
      <c r="T31" s="62">
        <f t="shared" si="1"/>
        <v>67825294.839728162</v>
      </c>
      <c r="U31" s="63">
        <f t="shared" si="2"/>
        <v>-23613096.047672525</v>
      </c>
    </row>
    <row r="32" spans="1:21" x14ac:dyDescent="0.3">
      <c r="A32" s="64"/>
      <c r="B32" s="57">
        <v>2041</v>
      </c>
      <c r="C32" s="58">
        <v>22</v>
      </c>
      <c r="D32" s="63">
        <f>D31*(1-VLOOKUP($C31,'Key Information'!$F$8:$I$58,4,FALSE)-VLOOKUP($C31,'Key Information'!$F$8:$I$58,3,FALSE))*(1+'Key Information'!$C$21)</f>
        <v>9226169320.6052837</v>
      </c>
      <c r="E32" s="62">
        <f>(E31*VLOOKUP($C31,'Key Information'!$F$8:$I$58,2,FALSE)+E31)*(1-VLOOKUP($C31,'Key Information'!$F$8:$I$58,4,FALSE)-VLOOKUP($C31,'Key Information'!$F$8:$I$58,3,FALSE))*(1+'Key Information'!$C$21)</f>
        <v>53886574.39840804</v>
      </c>
      <c r="F32" s="62">
        <f>(F31*'Key Information'!$C$20+F31)*(1-VLOOKUP($C31,'Key Information'!$F$8:$I$58,4,FALSE)-VLOOKUP($C31,'Key Information'!$F$8:$I$58,3,FALSE))</f>
        <v>3706033.5623110593</v>
      </c>
      <c r="G32" s="62">
        <f>'Key Information'!$C$30*E32</f>
        <v>2694328.7199204024</v>
      </c>
      <c r="H32" s="62">
        <f>D32*VLOOKUP($C32,'Key Information'!$F$8:$I$58,3,FALSE)</f>
        <v>24910657.165634267</v>
      </c>
      <c r="I32" s="62">
        <f>E32*'Key Information'!$C$40</f>
        <v>37720602.078885622</v>
      </c>
      <c r="J32" s="60"/>
      <c r="K32" s="63">
        <f>H32*'Key Information'!$C$41</f>
        <v>22419591.449070841</v>
      </c>
      <c r="L32" s="62">
        <f>NPV('Key Information'!$C$16,E33:E$61)*(1+'Key Information'!$C$16)</f>
        <v>535995439.1224255</v>
      </c>
      <c r="M32" s="62">
        <f>NPV('Key Information'!$C$16,F33:F$61)*(1+'Key Information'!$C$16)</f>
        <v>27736214.835175112</v>
      </c>
      <c r="N32" s="62">
        <f>NPV('Key Information'!$C$16,G33:G$61)*(1+'Key Information'!$C$16)</f>
        <v>26799771.956121281</v>
      </c>
      <c r="O32" s="62">
        <f>NPV('Key Information'!$C$16,H33:H$61)</f>
        <v>196486149.5325509</v>
      </c>
      <c r="P32" s="62">
        <f>NPV('Key Information'!$C$16,I33:I$61)*(1+'Key Information'!$C$16)</f>
        <v>375196807.38569784</v>
      </c>
      <c r="Q32" s="60"/>
      <c r="R32" s="63">
        <f>NPV('Key Information'!$C$16,K33:K$61)</f>
        <v>176837534.57929587</v>
      </c>
      <c r="S32" s="62">
        <f t="shared" si="0"/>
        <v>-86614029.99217625</v>
      </c>
      <c r="T32" s="62">
        <f t="shared" si="1"/>
        <v>63304747.418273725</v>
      </c>
      <c r="U32" s="63">
        <f t="shared" si="2"/>
        <v>-23309282.573902525</v>
      </c>
    </row>
    <row r="33" spans="1:21" x14ac:dyDescent="0.3">
      <c r="A33" s="64"/>
      <c r="B33" s="57">
        <v>2042</v>
      </c>
      <c r="C33" s="58">
        <v>23</v>
      </c>
      <c r="D33" s="63">
        <f>D32*(1-VLOOKUP($C32,'Key Information'!$F$8:$I$58,4,FALSE)-VLOOKUP($C32,'Key Information'!$F$8:$I$58,3,FALSE))*(1+'Key Information'!$C$21)</f>
        <v>8368929024.350564</v>
      </c>
      <c r="E33" s="62">
        <f>(E32*VLOOKUP($C32,'Key Information'!$F$8:$I$58,2,FALSE)+E32)*(1-VLOOKUP($C32,'Key Information'!$F$8:$I$58,4,FALSE)-VLOOKUP($C32,'Key Information'!$F$8:$I$58,3,FALSE))*(1+'Key Information'!$C$21)</f>
        <v>50550541.674338177</v>
      </c>
      <c r="F33" s="62">
        <f>(F32*'Key Information'!$C$20+F32)*(1-VLOOKUP($C32,'Key Information'!$F$8:$I$58,4,FALSE)-VLOOKUP($C32,'Key Information'!$F$8:$I$58,3,FALSE))</f>
        <v>3394648.9163721218</v>
      </c>
      <c r="G33" s="62">
        <f>'Key Information'!$C$30*E33</f>
        <v>2527527.0837169089</v>
      </c>
      <c r="H33" s="62">
        <f>D33*VLOOKUP($C33,'Key Information'!$F$8:$I$58,3,FALSE)</f>
        <v>22596108.365746524</v>
      </c>
      <c r="I33" s="62">
        <f>E33*'Key Information'!$C$40</f>
        <v>35385379.172036722</v>
      </c>
      <c r="J33" s="60"/>
      <c r="K33" s="63">
        <f>H33*'Key Information'!$C$41</f>
        <v>20336497.529171873</v>
      </c>
      <c r="L33" s="62">
        <f>NPV('Key Information'!$C$16,E34:E$61)*(1+'Key Information'!$C$16)</f>
        <v>500008244.37153018</v>
      </c>
      <c r="M33" s="62">
        <f>NPV('Key Information'!$C$16,F34:F$61)*(1+'Key Information'!$C$16)</f>
        <v>25071812.896367088</v>
      </c>
      <c r="N33" s="62">
        <f>NPV('Key Information'!$C$16,G34:G$61)*(1+'Key Information'!$C$16)</f>
        <v>25000412.21857651</v>
      </c>
      <c r="O33" s="62">
        <f>NPV('Key Information'!$C$16,H34:H$61)</f>
        <v>179784625.65278101</v>
      </c>
      <c r="P33" s="62">
        <f>NPV('Key Information'!$C$16,I34:I$61)*(1+'Key Information'!$C$16)</f>
        <v>350005771.06007111</v>
      </c>
      <c r="Q33" s="60"/>
      <c r="R33" s="63">
        <f>NPV('Key Information'!$C$16,K34:K$61)</f>
        <v>161806163.08750281</v>
      </c>
      <c r="S33" s="62">
        <f t="shared" si="0"/>
        <v>-81951785.631237254</v>
      </c>
      <c r="T33" s="62">
        <f t="shared" si="1"/>
        <v>59054412.233094461</v>
      </c>
      <c r="U33" s="63">
        <f t="shared" si="2"/>
        <v>-22897373.398142792</v>
      </c>
    </row>
    <row r="34" spans="1:21" x14ac:dyDescent="0.3">
      <c r="A34" s="64"/>
      <c r="B34" s="57">
        <v>2043</v>
      </c>
      <c r="C34" s="58">
        <v>24</v>
      </c>
      <c r="D34" s="63">
        <f>D33*(1-VLOOKUP($C33,'Key Information'!$F$8:$I$58,4,FALSE)-VLOOKUP($C33,'Key Information'!$F$8:$I$58,3,FALSE))*(1+'Key Information'!$C$21)</f>
        <v>7574265737.7723808</v>
      </c>
      <c r="E34" s="62">
        <f>(E33*VLOOKUP($C33,'Key Information'!$F$8:$I$58,2,FALSE)+E33)*(1-VLOOKUP($C33,'Key Information'!$F$8:$I$58,4,FALSE)-VLOOKUP($C33,'Key Information'!$F$8:$I$58,3,FALSE))*(1+'Key Information'!$C$21)</f>
        <v>47376942.415128306</v>
      </c>
      <c r="F34" s="62">
        <f>(F33*'Key Information'!$C$20+F33)*(1-VLOOKUP($C33,'Key Information'!$F$8:$I$58,4,FALSE)-VLOOKUP($C33,'Key Information'!$F$8:$I$58,3,FALSE))</f>
        <v>3102434.1430018931</v>
      </c>
      <c r="G34" s="62">
        <f>'Key Information'!$C$30*E34</f>
        <v>2368847.1207564152</v>
      </c>
      <c r="H34" s="62">
        <f>D34*VLOOKUP($C34,'Key Information'!$F$8:$I$58,3,FALSE)</f>
        <v>21207944.065762665</v>
      </c>
      <c r="I34" s="62">
        <f>E34*'Key Information'!$C$40</f>
        <v>33163859.690589812</v>
      </c>
      <c r="J34" s="60"/>
      <c r="K34" s="63">
        <f>H34*'Key Information'!$C$41</f>
        <v>19087149.6591864</v>
      </c>
      <c r="L34" s="62">
        <f>NPV('Key Information'!$C$16,E35:E$61)*(1+'Key Information'!$C$16)</f>
        <v>466210241.01509398</v>
      </c>
      <c r="M34" s="62">
        <f>NPV('Key Information'!$C$16,F35:F$61)*(1+'Key Information'!$C$16)</f>
        <v>22628460.115966145</v>
      </c>
      <c r="N34" s="62">
        <f>NPV('Key Information'!$C$16,G35:G$61)*(1+'Key Information'!$C$16)</f>
        <v>23310512.050754696</v>
      </c>
      <c r="O34" s="62">
        <f>NPV('Key Information'!$C$16,H35:H$61)</f>
        <v>163970220.35660172</v>
      </c>
      <c r="P34" s="62">
        <f>NPV('Key Information'!$C$16,I35:I$61)*(1+'Key Information'!$C$16)</f>
        <v>326347168.71056569</v>
      </c>
      <c r="Q34" s="60"/>
      <c r="R34" s="63">
        <f>NPV('Key Information'!$C$16,K35:K$61)</f>
        <v>147573198.32094157</v>
      </c>
      <c r="S34" s="62">
        <f t="shared" si="0"/>
        <v>-77527078.102147311</v>
      </c>
      <c r="T34" s="62">
        <f t="shared" si="1"/>
        <v>55062635.606740624</v>
      </c>
      <c r="U34" s="63">
        <f t="shared" si="2"/>
        <v>-22464442.495406687</v>
      </c>
    </row>
    <row r="35" spans="1:21" x14ac:dyDescent="0.3">
      <c r="A35" s="64"/>
      <c r="B35" s="57">
        <v>2044</v>
      </c>
      <c r="C35" s="58">
        <v>25</v>
      </c>
      <c r="D35" s="63">
        <f>D34*(1-VLOOKUP($C34,'Key Information'!$F$8:$I$58,4,FALSE)-VLOOKUP($C34,'Key Information'!$F$8:$I$58,3,FALSE))*(1+'Key Information'!$C$21)</f>
        <v>6846560582.7501612</v>
      </c>
      <c r="E35" s="62">
        <f>(E34*VLOOKUP($C34,'Key Information'!$F$8:$I$58,2,FALSE)+E34)*(1-VLOOKUP($C34,'Key Information'!$F$8:$I$58,4,FALSE)-VLOOKUP($C34,'Key Information'!$F$8:$I$58,3,FALSE))*(1+'Key Information'!$C$21)</f>
        <v>44408432.684087276</v>
      </c>
      <c r="F35" s="62">
        <f>(F34*'Key Information'!$C$20+F34)*(1-VLOOKUP($C34,'Key Information'!$F$8:$I$58,4,FALSE)-VLOOKUP($C34,'Key Information'!$F$8:$I$58,3,FALSE))</f>
        <v>2831858.4516541259</v>
      </c>
      <c r="G35" s="62">
        <f>'Key Information'!$C$30*E35</f>
        <v>2220421.6342043639</v>
      </c>
      <c r="H35" s="62">
        <f>D35*VLOOKUP($C35,'Key Information'!$F$8:$I$58,3,FALSE)</f>
        <v>19855025.689975467</v>
      </c>
      <c r="I35" s="62">
        <f>E35*'Key Information'!$C$40</f>
        <v>31085902.878861092</v>
      </c>
      <c r="J35" s="60"/>
      <c r="K35" s="63">
        <f>H35*'Key Information'!$C$41</f>
        <v>17869523.12097792</v>
      </c>
      <c r="L35" s="62">
        <f>NPV('Key Information'!$C$16,E36:E$61)*(1+'Key Information'!$C$16)</f>
        <v>434455862.58093691</v>
      </c>
      <c r="M35" s="62">
        <f>NPV('Key Information'!$C$16,F36:F$61)*(1+'Key Information'!$C$16)</f>
        <v>20390499.714241385</v>
      </c>
      <c r="N35" s="62">
        <f>NPV('Key Information'!$C$16,G36:G$61)*(1+'Key Information'!$C$16)</f>
        <v>21722793.129046839</v>
      </c>
      <c r="O35" s="62">
        <f>NPV('Key Information'!$C$16,H36:H$61)</f>
        <v>149034301.2773242</v>
      </c>
      <c r="P35" s="62">
        <f>NPV('Key Information'!$C$16,I36:I$61)*(1+'Key Information'!$C$16)</f>
        <v>304119103.80665582</v>
      </c>
      <c r="Q35" s="60"/>
      <c r="R35" s="63">
        <f>NPV('Key Information'!$C$16,K36:K$61)</f>
        <v>134130871.14959185</v>
      </c>
      <c r="S35" s="62">
        <f t="shared" si="0"/>
        <v>-73320035.803260505</v>
      </c>
      <c r="T35" s="62">
        <f t="shared" si="1"/>
        <v>51312225.137782425</v>
      </c>
      <c r="U35" s="63">
        <f t="shared" si="2"/>
        <v>-22007810.665478081</v>
      </c>
    </row>
    <row r="36" spans="1:21" x14ac:dyDescent="0.3">
      <c r="A36" s="64"/>
      <c r="B36" s="57">
        <v>2045</v>
      </c>
      <c r="C36" s="58">
        <v>26</v>
      </c>
      <c r="D36" s="63">
        <f>D35*(1-VLOOKUP($C35,'Key Information'!$F$8:$I$58,4,FALSE)-VLOOKUP($C35,'Key Information'!$F$8:$I$58,3,FALSE))*(1+'Key Information'!$C$21)</f>
        <v>6181088587.2280111</v>
      </c>
      <c r="E36" s="62">
        <f>(E35*VLOOKUP($C35,'Key Information'!$F$8:$I$58,2,FALSE)+E35)*(1-VLOOKUP($C35,'Key Information'!$F$8:$I$58,4,FALSE)-VLOOKUP($C35,'Key Information'!$F$8:$I$58,3,FALSE))*(1+'Key Information'!$C$21)</f>
        <v>41633542.542636484</v>
      </c>
      <c r="F36" s="62">
        <f>(F35*'Key Information'!$C$20+F35)*(1-VLOOKUP($C35,'Key Information'!$F$8:$I$58,4,FALSE)-VLOOKUP($C35,'Key Information'!$F$8:$I$58,3,FALSE))</f>
        <v>2581672.2530258386</v>
      </c>
      <c r="G36" s="62">
        <f>'Key Information'!$C$30*E36</f>
        <v>2081677.1271318244</v>
      </c>
      <c r="H36" s="62">
        <f>D36*VLOOKUP($C36,'Key Information'!$F$8:$I$58,3,FALSE)</f>
        <v>18543265.761684034</v>
      </c>
      <c r="I36" s="62">
        <f>E36*'Key Information'!$C$40</f>
        <v>29143479.779845536</v>
      </c>
      <c r="J36" s="60"/>
      <c r="K36" s="63">
        <f>H36*'Key Information'!$C$41</f>
        <v>16688939.185515631</v>
      </c>
      <c r="L36" s="62">
        <f>NPV('Key Information'!$C$16,E37:E$61)*(1+'Key Information'!$C$16)</f>
        <v>404606989.63944948</v>
      </c>
      <c r="M36" s="62">
        <f>NPV('Key Information'!$C$16,F37:F$61)*(1+'Key Information'!$C$16)</f>
        <v>18343092.285052013</v>
      </c>
      <c r="N36" s="62">
        <f>NPV('Key Information'!$C$16,G37:G$61)*(1+'Key Information'!$C$16)</f>
        <v>20230349.481972467</v>
      </c>
      <c r="O36" s="62">
        <f>NPV('Key Information'!$C$16,H37:H$61)</f>
        <v>134962064.55395994</v>
      </c>
      <c r="P36" s="62">
        <f>NPV('Key Information'!$C$16,I37:I$61)*(1+'Key Information'!$C$16)</f>
        <v>283224892.74761462</v>
      </c>
      <c r="Q36" s="60"/>
      <c r="R36" s="63">
        <f>NPV('Key Information'!$C$16,K37:K$61)</f>
        <v>121465858.09856397</v>
      </c>
      <c r="S36" s="62">
        <f t="shared" si="0"/>
        <v>-69312448.669414401</v>
      </c>
      <c r="T36" s="62">
        <f t="shared" si="1"/>
        <v>47786867.971731216</v>
      </c>
      <c r="U36" s="63">
        <f t="shared" si="2"/>
        <v>-21525580.697683185</v>
      </c>
    </row>
    <row r="37" spans="1:21" x14ac:dyDescent="0.3">
      <c r="A37" s="64"/>
      <c r="B37" s="57">
        <v>2046</v>
      </c>
      <c r="C37" s="58">
        <v>27</v>
      </c>
      <c r="D37" s="63">
        <f>D36*(1-VLOOKUP($C36,'Key Information'!$F$8:$I$58,4,FALSE)-VLOOKUP($C36,'Key Information'!$F$8:$I$58,3,FALSE))*(1+'Key Information'!$C$21)</f>
        <v>5573363957.3317537</v>
      </c>
      <c r="E37" s="62">
        <f>(E36*VLOOKUP($C36,'Key Information'!$F$8:$I$58,2,FALSE)+E36)*(1-VLOOKUP($C36,'Key Information'!$F$8:$I$58,4,FALSE)-VLOOKUP($C36,'Key Information'!$F$8:$I$58,3,FALSE))*(1+'Key Information'!$C$21)</f>
        <v>39041270.382046781</v>
      </c>
      <c r="F37" s="62">
        <f>(F36*'Key Information'!$C$20+F36)*(1-VLOOKUP($C36,'Key Information'!$F$8:$I$58,4,FALSE)-VLOOKUP($C36,'Key Information'!$F$8:$I$58,3,FALSE))</f>
        <v>2350664.2198250866</v>
      </c>
      <c r="G37" s="62">
        <f>'Key Information'!$C$30*E37</f>
        <v>1952063.5191023392</v>
      </c>
      <c r="H37" s="62">
        <f>D37*VLOOKUP($C37,'Key Information'!$F$8:$I$58,3,FALSE)</f>
        <v>16720091.871995261</v>
      </c>
      <c r="I37" s="62">
        <f>E37*'Key Information'!$C$40</f>
        <v>27328889.267432746</v>
      </c>
      <c r="J37" s="60"/>
      <c r="K37" s="63">
        <f>H37*'Key Information'!$C$41</f>
        <v>15048082.684795735</v>
      </c>
      <c r="L37" s="62">
        <f>NPV('Key Information'!$C$16,E38:E$61)*(1+'Key Information'!$C$16)</f>
        <v>376532690.83512485</v>
      </c>
      <c r="M37" s="62">
        <f>NPV('Key Information'!$C$16,F38:F$61)*(1+'Key Information'!$C$16)</f>
        <v>16472200.90718374</v>
      </c>
      <c r="N37" s="62">
        <f>NPV('Key Information'!$C$16,G38:G$61)*(1+'Key Information'!$C$16)</f>
        <v>18826634.541756239</v>
      </c>
      <c r="O37" s="62">
        <f>NPV('Key Information'!$C$16,H38:H$61)</f>
        <v>122290834.61858349</v>
      </c>
      <c r="P37" s="62">
        <f>NPV('Key Information'!$C$16,I38:I$61)*(1+'Key Information'!$C$16)</f>
        <v>263572883.58458725</v>
      </c>
      <c r="Q37" s="60"/>
      <c r="R37" s="63">
        <f>NPV('Key Information'!$C$16,K38:K$61)</f>
        <v>110061751.15672517</v>
      </c>
      <c r="S37" s="62">
        <f t="shared" si="0"/>
        <v>-65431888.339739308</v>
      </c>
      <c r="T37" s="62">
        <f t="shared" si="1"/>
        <v>44471100.215082489</v>
      </c>
      <c r="U37" s="63">
        <f t="shared" si="2"/>
        <v>-20960788.124656819</v>
      </c>
    </row>
    <row r="38" spans="1:21" x14ac:dyDescent="0.3">
      <c r="A38" s="64"/>
      <c r="B38" s="57">
        <v>2047</v>
      </c>
      <c r="C38" s="58">
        <v>28</v>
      </c>
      <c r="D38" s="63">
        <f>D37*(1-VLOOKUP($C37,'Key Information'!$F$8:$I$58,4,FALSE)-VLOOKUP($C37,'Key Information'!$F$8:$I$58,3,FALSE))*(1+'Key Information'!$C$21)</f>
        <v>5019705981.8104172</v>
      </c>
      <c r="E38" s="62">
        <f>(E37*VLOOKUP($C37,'Key Information'!$F$8:$I$58,2,FALSE)+E37)*(1-VLOOKUP($C37,'Key Information'!$F$8:$I$58,4,FALSE)-VLOOKUP($C37,'Key Information'!$F$8:$I$58,3,FALSE))*(1+'Key Information'!$C$21)</f>
        <v>36625232.189291783</v>
      </c>
      <c r="F38" s="62">
        <f>(F37*'Key Information'!$C$20+F37)*(1-VLOOKUP($C37,'Key Information'!$F$8:$I$58,4,FALSE)-VLOOKUP($C37,'Key Information'!$F$8:$I$58,3,FALSE))</f>
        <v>2137905.6012887182</v>
      </c>
      <c r="G38" s="62">
        <f>'Key Information'!$C$30*E38</f>
        <v>1831261.6094645893</v>
      </c>
      <c r="H38" s="62">
        <f>D38*VLOOKUP($C38,'Key Information'!$F$8:$I$58,3,FALSE)</f>
        <v>15561088.543612292</v>
      </c>
      <c r="I38" s="62">
        <f>E38*'Key Information'!$C$40</f>
        <v>25637662.532504246</v>
      </c>
      <c r="J38" s="60"/>
      <c r="K38" s="63">
        <f>H38*'Key Information'!$C$41</f>
        <v>14004979.689251063</v>
      </c>
      <c r="L38" s="62">
        <f>NPV('Key Information'!$C$16,E39:E$61)*(1+'Key Information'!$C$16)</f>
        <v>350104682.40520781</v>
      </c>
      <c r="M38" s="62">
        <f>NPV('Key Information'!$C$16,F39:F$61)*(1+'Key Information'!$C$16)</f>
        <v>14764324.165071871</v>
      </c>
      <c r="N38" s="62">
        <f>NPV('Key Information'!$C$16,G39:G$61)*(1+'Key Information'!$C$16)</f>
        <v>17505234.120260395</v>
      </c>
      <c r="O38" s="62">
        <f>NPV('Key Information'!$C$16,H39:H$61)</f>
        <v>110398471.11352873</v>
      </c>
      <c r="P38" s="62">
        <f>NPV('Key Information'!$C$16,I39:I$61)*(1+'Key Information'!$C$16)</f>
        <v>245073277.68364558</v>
      </c>
      <c r="Q38" s="60"/>
      <c r="R38" s="63">
        <f>NPV('Key Information'!$C$16,K39:K$61)</f>
        <v>99358624.002175838</v>
      </c>
      <c r="S38" s="62">
        <f t="shared" si="0"/>
        <v>-61721999.324877076</v>
      </c>
      <c r="T38" s="62">
        <f t="shared" si="1"/>
        <v>41349770.673243277</v>
      </c>
      <c r="U38" s="63">
        <f t="shared" si="2"/>
        <v>-20372228.651633799</v>
      </c>
    </row>
    <row r="39" spans="1:21" x14ac:dyDescent="0.3">
      <c r="A39" s="64"/>
      <c r="B39" s="57">
        <v>2048</v>
      </c>
      <c r="C39" s="58">
        <v>29</v>
      </c>
      <c r="D39" s="63">
        <f>D38*(1-VLOOKUP($C38,'Key Information'!$F$8:$I$58,4,FALSE)-VLOOKUP($C38,'Key Information'!$F$8:$I$58,3,FALSE))*(1+'Key Information'!$C$21)</f>
        <v>4515416279.4657793</v>
      </c>
      <c r="E39" s="62">
        <f>(E38*VLOOKUP($C38,'Key Information'!$F$8:$I$58,2,FALSE)+E38)*(1-VLOOKUP($C38,'Key Information'!$F$8:$I$58,4,FALSE)-VLOOKUP($C38,'Key Information'!$F$8:$I$58,3,FALSE))*(1+'Key Information'!$C$21)</f>
        <v>34370710.86551138</v>
      </c>
      <c r="F39" s="62">
        <f>(F38*'Key Information'!$C$20+F38)*(1-VLOOKUP($C38,'Key Information'!$F$8:$I$58,4,FALSE)-VLOOKUP($C38,'Key Information'!$F$8:$I$58,3,FALSE))</f>
        <v>1941981.5182698162</v>
      </c>
      <c r="G39" s="62">
        <f>'Key Information'!$C$30*E39</f>
        <v>1718535.5432755691</v>
      </c>
      <c r="H39" s="62">
        <f>D39*VLOOKUP($C39,'Key Information'!$F$8:$I$58,3,FALSE)</f>
        <v>13997790.466343915</v>
      </c>
      <c r="I39" s="62">
        <f>E39*'Key Information'!$C$40</f>
        <v>24059497.605857965</v>
      </c>
      <c r="J39" s="60"/>
      <c r="K39" s="63">
        <f>H39*'Key Information'!$C$41</f>
        <v>12598011.419709524</v>
      </c>
      <c r="L39" s="62">
        <f>NPV('Key Information'!$C$16,E40:E$61)*(1+'Key Information'!$C$16)</f>
        <v>325205990.68588746</v>
      </c>
      <c r="M39" s="62">
        <f>NPV('Key Information'!$C$16,F40:F$61)*(1+'Key Information'!$C$16)</f>
        <v>13207012.926206119</v>
      </c>
      <c r="N39" s="62">
        <f>NPV('Key Information'!$C$16,G40:G$61)*(1+'Key Information'!$C$16)</f>
        <v>16260299.534294378</v>
      </c>
      <c r="O39" s="62">
        <f>NPV('Key Information'!$C$16,H40:H$61)</f>
        <v>99712634.780590668</v>
      </c>
      <c r="P39" s="62">
        <f>NPV('Key Information'!$C$16,I40:I$61)*(1+'Key Information'!$C$16)</f>
        <v>227644193.4801212</v>
      </c>
      <c r="Q39" s="60"/>
      <c r="R39" s="63">
        <f>NPV('Key Information'!$C$16,K40:K$61)</f>
        <v>89741371.30253163</v>
      </c>
      <c r="S39" s="62">
        <f t="shared" si="0"/>
        <v>-58123221.267206728</v>
      </c>
      <c r="T39" s="62">
        <f t="shared" si="1"/>
        <v>38409063.95208586</v>
      </c>
      <c r="U39" s="63">
        <f t="shared" si="2"/>
        <v>-19714157.315120868</v>
      </c>
    </row>
    <row r="40" spans="1:21" x14ac:dyDescent="0.3">
      <c r="A40" s="64"/>
      <c r="B40" s="57">
        <v>2049</v>
      </c>
      <c r="C40" s="58">
        <v>30</v>
      </c>
      <c r="D40" s="63">
        <f>D39*(1-VLOOKUP($C39,'Key Information'!$F$8:$I$58,4,FALSE)-VLOOKUP($C39,'Key Information'!$F$8:$I$58,3,FALSE))*(1+'Key Information'!$C$21)</f>
        <v>4057182804.5930333</v>
      </c>
      <c r="E40" s="62">
        <f>(E39*VLOOKUP($C39,'Key Information'!$F$8:$I$58,2,FALSE)+E39)*(1-VLOOKUP($C39,'Key Information'!$F$8:$I$58,4,FALSE)-VLOOKUP($C39,'Key Information'!$F$8:$I$58,3,FALSE))*(1+'Key Information'!$C$21)</f>
        <v>32271823.317686398</v>
      </c>
      <c r="F40" s="62">
        <f>(F39*'Key Information'!$C$20+F39)*(1-VLOOKUP($C39,'Key Information'!$F$8:$I$58,4,FALSE)-VLOOKUP($C39,'Key Information'!$F$8:$I$58,3,FALSE))</f>
        <v>1762012.2650271975</v>
      </c>
      <c r="G40" s="62">
        <f>'Key Information'!$C$30*E40</f>
        <v>1613591.1658843199</v>
      </c>
      <c r="H40" s="62">
        <f>D40*VLOOKUP($C40,'Key Information'!$F$8:$I$58,3,FALSE)</f>
        <v>12982984.974697707</v>
      </c>
      <c r="I40" s="62">
        <f>E40*'Key Information'!$C$40</f>
        <v>22590276.322380476</v>
      </c>
      <c r="J40" s="60"/>
      <c r="K40" s="63">
        <f>H40*'Key Information'!$C$41</f>
        <v>11684686.477227937</v>
      </c>
      <c r="L40" s="62">
        <f>NPV('Key Information'!$C$16,E41:E$61)*(1+'Key Information'!$C$16)</f>
        <v>301722192.38924706</v>
      </c>
      <c r="M40" s="62">
        <f>NPV('Key Information'!$C$16,F41:F$61)*(1+'Key Information'!$C$16)</f>
        <v>11788350.681014288</v>
      </c>
      <c r="N40" s="62">
        <f>NPV('Key Information'!$C$16,G41:G$61)*(1+'Key Information'!$C$16)</f>
        <v>15086109.619462354</v>
      </c>
      <c r="O40" s="62">
        <f>NPV('Key Information'!$C$16,H41:H$61)</f>
        <v>89721028.849310696</v>
      </c>
      <c r="P40" s="62">
        <f>NPV('Key Information'!$C$16,I41:I$61)*(1+'Key Information'!$C$16)</f>
        <v>211205534.67247295</v>
      </c>
      <c r="Q40" s="60"/>
      <c r="R40" s="63">
        <f>NPV('Key Information'!$C$16,K41:K$61)</f>
        <v>80748925.964379594</v>
      </c>
      <c r="S40" s="62">
        <f t="shared" si="0"/>
        <v>-54670094.531366363</v>
      </c>
      <c r="T40" s="62">
        <f t="shared" si="1"/>
        <v>35635465.874414623</v>
      </c>
      <c r="U40" s="63">
        <f t="shared" si="2"/>
        <v>-19034628.65695174</v>
      </c>
    </row>
    <row r="41" spans="1:21" x14ac:dyDescent="0.3">
      <c r="A41" s="64"/>
      <c r="B41" s="57">
        <v>2050</v>
      </c>
      <c r="C41" s="58">
        <v>31</v>
      </c>
      <c r="D41" s="63">
        <f>D40*(1-VLOOKUP($C40,'Key Information'!$F$8:$I$58,4,FALSE)-VLOOKUP($C40,'Key Information'!$F$8:$I$58,3,FALSE))*(1+'Key Information'!$C$21)</f>
        <v>3640899620.11057</v>
      </c>
      <c r="E41" s="62">
        <f>(E40*VLOOKUP($C40,'Key Information'!$F$8:$I$58,2,FALSE)+E40)*(1-VLOOKUP($C40,'Key Information'!$F$8:$I$58,4,FALSE)-VLOOKUP($C40,'Key Information'!$F$8:$I$58,3,FALSE))*(1+'Key Information'!$C$21)</f>
        <v>30315375.657878455</v>
      </c>
      <c r="F41" s="62">
        <f>(F40*'Key Information'!$C$20+F40)*(1-VLOOKUP($C40,'Key Information'!$F$8:$I$58,4,FALSE)-VLOOKUP($C40,'Key Information'!$F$8:$I$58,3,FALSE))</f>
        <v>1596724.9424940564</v>
      </c>
      <c r="G41" s="62">
        <f>'Key Information'!$C$30*E41</f>
        <v>1515768.7828939229</v>
      </c>
      <c r="H41" s="62">
        <f>D41*VLOOKUP($C41,'Key Information'!$F$8:$I$58,3,FALSE)</f>
        <v>12014968.74636488</v>
      </c>
      <c r="I41" s="62">
        <f>E41*'Key Information'!$C$40</f>
        <v>21220762.960514918</v>
      </c>
      <c r="J41" s="60"/>
      <c r="K41" s="63">
        <f>H41*'Key Information'!$C$41</f>
        <v>10813471.871728392</v>
      </c>
      <c r="L41" s="62">
        <f>NPV('Key Information'!$C$16,E42:E$61)*(1+'Key Information'!$C$16)</f>
        <v>279549021.23330975</v>
      </c>
      <c r="M41" s="62">
        <f>NPV('Key Information'!$C$16,F42:F$61)*(1+'Key Information'!$C$16)</f>
        <v>10497374.510675836</v>
      </c>
      <c r="N41" s="62">
        <f>NPV('Key Information'!$C$16,G42:G$61)*(1+'Key Information'!$C$16)</f>
        <v>13977451.061665488</v>
      </c>
      <c r="O41" s="62">
        <f>NPV('Key Information'!$C$16,H42:H$61)</f>
        <v>80397690.968425155</v>
      </c>
      <c r="P41" s="62">
        <f>NPV('Key Information'!$C$16,I42:I$61)*(1+'Key Information'!$C$16)</f>
        <v>195684314.8633168</v>
      </c>
      <c r="Q41" s="60"/>
      <c r="R41" s="63">
        <f>NPV('Key Information'!$C$16,K42:K$61)</f>
        <v>72357921.871582612</v>
      </c>
      <c r="S41" s="62">
        <f t="shared" si="0"/>
        <v>-51350111.700809076</v>
      </c>
      <c r="T41" s="62">
        <f t="shared" si="1"/>
        <v>33016661.875285529</v>
      </c>
      <c r="U41" s="63">
        <f t="shared" si="2"/>
        <v>-18333449.825523548</v>
      </c>
    </row>
    <row r="42" spans="1:21" x14ac:dyDescent="0.3">
      <c r="A42" s="64"/>
      <c r="B42" s="57">
        <v>2051</v>
      </c>
      <c r="C42" s="58">
        <v>32</v>
      </c>
      <c r="D42" s="63">
        <f>D41*(1-VLOOKUP($C41,'Key Information'!$F$8:$I$58,4,FALSE)-VLOOKUP($C41,'Key Information'!$F$8:$I$58,3,FALSE))*(1+'Key Information'!$C$21)</f>
        <v>3259529948.5024681</v>
      </c>
      <c r="E42" s="62">
        <f>(E41*VLOOKUP($C41,'Key Information'!$F$8:$I$58,2,FALSE)+E41)*(1-VLOOKUP($C41,'Key Information'!$F$8:$I$58,4,FALSE)-VLOOKUP($C41,'Key Information'!$F$8:$I$58,3,FALSE))*(1+'Key Information'!$C$21)</f>
        <v>28460346.563693266</v>
      </c>
      <c r="F42" s="62">
        <f>(F41*'Key Information'!$C$20+F41)*(1-VLOOKUP($C41,'Key Information'!$F$8:$I$58,4,FALSE)-VLOOKUP($C41,'Key Information'!$F$8:$I$58,3,FALSE))</f>
        <v>1443488.8464878444</v>
      </c>
      <c r="G42" s="62">
        <f>'Key Information'!$C$30*E42</f>
        <v>1423017.3281846633</v>
      </c>
      <c r="H42" s="62">
        <f>D42*VLOOKUP($C42,'Key Information'!$F$8:$I$58,3,FALSE)</f>
        <v>10756448.830058144</v>
      </c>
      <c r="I42" s="62">
        <f>E42*'Key Information'!$C$40</f>
        <v>19922242.594585285</v>
      </c>
      <c r="J42" s="60"/>
      <c r="K42" s="63">
        <f>H42*'Key Information'!$C$41</f>
        <v>9680803.9470523298</v>
      </c>
      <c r="L42" s="62">
        <f>NPV('Key Information'!$C$16,E43:E$61)*(1+'Key Information'!$C$16)</f>
        <v>258621334.90970498</v>
      </c>
      <c r="M42" s="62">
        <f>NPV('Key Information'!$C$16,F43:F$61)*(1+'Key Information'!$C$16)</f>
        <v>9325502.2341136318</v>
      </c>
      <c r="N42" s="62">
        <f>NPV('Key Information'!$C$16,G43:G$61)*(1+'Key Information'!$C$16)</f>
        <v>12931066.745485246</v>
      </c>
      <c r="O42" s="62">
        <f>NPV('Key Information'!$C$16,H43:H$61)</f>
        <v>72053172.867419764</v>
      </c>
      <c r="P42" s="62">
        <f>NPV('Key Information'!$C$16,I43:I$61)*(1+'Key Information'!$C$16)</f>
        <v>181034934.43679345</v>
      </c>
      <c r="Q42" s="60"/>
      <c r="R42" s="63">
        <f>NPV('Key Information'!$C$16,K43:K$61)</f>
        <v>64847855.58067777</v>
      </c>
      <c r="S42" s="62">
        <f t="shared" si="0"/>
        <v>-48124514.206570663</v>
      </c>
      <c r="T42" s="62">
        <f t="shared" si="1"/>
        <v>30544958.200094253</v>
      </c>
      <c r="U42" s="63">
        <f t="shared" si="2"/>
        <v>-17579556.00647641</v>
      </c>
    </row>
    <row r="43" spans="1:21" x14ac:dyDescent="0.3">
      <c r="A43" s="64"/>
      <c r="B43" s="57">
        <v>2052</v>
      </c>
      <c r="C43" s="58">
        <v>33</v>
      </c>
      <c r="D43" s="63">
        <f>D42*(1-VLOOKUP($C42,'Key Information'!$F$8:$I$58,4,FALSE)-VLOOKUP($C42,'Key Information'!$F$8:$I$58,3,FALSE))*(1+'Key Information'!$C$21)</f>
        <v>2914782503.9691563</v>
      </c>
      <c r="E43" s="62">
        <f>(E42*VLOOKUP($C42,'Key Information'!$F$8:$I$58,2,FALSE)+E42)*(1-VLOOKUP($C42,'Key Information'!$F$8:$I$58,4,FALSE)-VLOOKUP($C42,'Key Information'!$F$8:$I$58,3,FALSE))*(1+'Key Information'!$C$21)</f>
        <v>26737913.831021719</v>
      </c>
      <c r="F43" s="62">
        <f>(F42*'Key Information'!$C$20+F42)*(1-VLOOKUP($C42,'Key Information'!$F$8:$I$58,4,FALSE)-VLOOKUP($C42,'Key Information'!$F$8:$I$58,3,FALSE))</f>
        <v>1303471.8718673701</v>
      </c>
      <c r="G43" s="62">
        <f>'Key Information'!$C$30*E43</f>
        <v>1336895.691551086</v>
      </c>
      <c r="H43" s="62">
        <f>D43*VLOOKUP($C43,'Key Information'!$F$8:$I$58,3,FALSE)</f>
        <v>9618782.2630982157</v>
      </c>
      <c r="I43" s="62">
        <f>E43*'Key Information'!$C$40</f>
        <v>18716539.681715202</v>
      </c>
      <c r="J43" s="60"/>
      <c r="K43" s="63">
        <f>H43*'Key Information'!$C$41</f>
        <v>8656904.0367883947</v>
      </c>
      <c r="L43" s="62">
        <f>NPV('Key Information'!$C$16,E44:E$61)*(1+'Key Information'!$C$16)</f>
        <v>238839923.71104372</v>
      </c>
      <c r="M43" s="62">
        <f>NPV('Key Information'!$C$16,F44:F$61)*(1+'Key Information'!$C$16)</f>
        <v>8262691.2731136512</v>
      </c>
      <c r="N43" s="62">
        <f>NPV('Key Information'!$C$16,G44:G$61)*(1+'Key Information'!$C$16)</f>
        <v>11941996.185552185</v>
      </c>
      <c r="O43" s="62">
        <f>NPV('Key Information'!$C$16,H44:H$61)</f>
        <v>64595985.790344127</v>
      </c>
      <c r="P43" s="62">
        <f>NPV('Key Information'!$C$16,I44:I$61)*(1+'Key Information'!$C$16)</f>
        <v>167187946.59773061</v>
      </c>
      <c r="Q43" s="60"/>
      <c r="R43" s="63">
        <f>NPV('Key Information'!$C$16,K44:K$61)</f>
        <v>58136387.211309716</v>
      </c>
      <c r="S43" s="62">
        <f t="shared" si="0"/>
        <v>-44987691.075612858</v>
      </c>
      <c r="T43" s="62">
        <f t="shared" si="1"/>
        <v>28208637.500129793</v>
      </c>
      <c r="U43" s="63">
        <f t="shared" si="2"/>
        <v>-16779053.575483065</v>
      </c>
    </row>
    <row r="44" spans="1:21" x14ac:dyDescent="0.3">
      <c r="A44" s="64"/>
      <c r="B44" s="57">
        <v>2053</v>
      </c>
      <c r="C44" s="58">
        <v>34</v>
      </c>
      <c r="D44" s="63">
        <f>D43*(1-VLOOKUP($C43,'Key Information'!$F$8:$I$58,4,FALSE)-VLOOKUP($C43,'Key Information'!$F$8:$I$58,3,FALSE))*(1+'Key Information'!$C$21)</f>
        <v>2603524539.5003057</v>
      </c>
      <c r="E44" s="62">
        <f>(E43*VLOOKUP($C43,'Key Information'!$F$8:$I$58,2,FALSE)+E43)*(1-VLOOKUP($C43,'Key Information'!$F$8:$I$58,4,FALSE)-VLOOKUP($C43,'Key Information'!$F$8:$I$58,3,FALSE))*(1+'Key Information'!$C$21)</f>
        <v>25139406.577263635</v>
      </c>
      <c r="F44" s="62">
        <f>(F43*'Key Information'!$C$20+F43)*(1-VLOOKUP($C43,'Key Information'!$F$8:$I$58,4,FALSE)-VLOOKUP($C43,'Key Information'!$F$8:$I$58,3,FALSE))</f>
        <v>1175693.8277400837</v>
      </c>
      <c r="G44" s="62">
        <f>'Key Information'!$C$30*E44</f>
        <v>1256970.3288631819</v>
      </c>
      <c r="H44" s="62">
        <f>D44*VLOOKUP($C44,'Key Information'!$F$8:$I$58,3,FALSE)</f>
        <v>9112335.8882510699</v>
      </c>
      <c r="I44" s="62">
        <f>E44*'Key Information'!$C$40</f>
        <v>17597584.604084544</v>
      </c>
      <c r="J44" s="60"/>
      <c r="K44" s="63">
        <f>H44*'Key Information'!$C$41</f>
        <v>8201102.2994259633</v>
      </c>
      <c r="L44" s="62">
        <f>NPV('Key Information'!$C$16,E45:E$61)*(1+'Key Information'!$C$16)</f>
        <v>220111532.64779344</v>
      </c>
      <c r="M44" s="62">
        <f>NPV('Key Information'!$C$16,F45:F$61)*(1+'Key Information'!$C$16)</f>
        <v>7299607.3687347742</v>
      </c>
      <c r="N44" s="62">
        <f>NPV('Key Information'!$C$16,G45:G$61)*(1+'Key Information'!$C$16)</f>
        <v>11005576.632389674</v>
      </c>
      <c r="O44" s="62">
        <f>NPV('Key Information'!$C$16,H45:H$61)</f>
        <v>57421529.475803368</v>
      </c>
      <c r="P44" s="62">
        <f>NPV('Key Information'!$C$16,I45:I$61)*(1+'Key Information'!$C$16)</f>
        <v>154078072.85345542</v>
      </c>
      <c r="Q44" s="60"/>
      <c r="R44" s="63">
        <f>NPV('Key Information'!$C$16,K45:K$61)</f>
        <v>51679376.52822306</v>
      </c>
      <c r="S44" s="62">
        <f t="shared" si="0"/>
        <v>-41986122.845633261</v>
      </c>
      <c r="T44" s="62">
        <f t="shared" si="1"/>
        <v>25996685.719810791</v>
      </c>
      <c r="U44" s="63">
        <f t="shared" si="2"/>
        <v>-15989437.12582247</v>
      </c>
    </row>
    <row r="45" spans="1:21" x14ac:dyDescent="0.3">
      <c r="A45" s="64"/>
      <c r="B45" s="57">
        <v>2054</v>
      </c>
      <c r="C45" s="58">
        <v>35</v>
      </c>
      <c r="D45" s="63">
        <f>D44*(1-VLOOKUP($C44,'Key Information'!$F$8:$I$58,4,FALSE)-VLOOKUP($C44,'Key Information'!$F$8:$I$58,3,FALSE))*(1+'Key Information'!$C$21)</f>
        <v>2322317853.9888778</v>
      </c>
      <c r="E45" s="62">
        <f>(E44*VLOOKUP($C44,'Key Information'!$F$8:$I$58,2,FALSE)+E44)*(1-VLOOKUP($C44,'Key Information'!$F$8:$I$58,4,FALSE)-VLOOKUP($C44,'Key Information'!$F$8:$I$58,3,FALSE))*(1+'Key Information'!$C$21)</f>
        <v>23651274.171324026</v>
      </c>
      <c r="F45" s="62">
        <f>(F44*'Key Information'!$C$20+F44)*(1-VLOOKUP($C44,'Key Information'!$F$8:$I$58,4,FALSE)-VLOOKUP($C44,'Key Information'!$F$8:$I$58,3,FALSE))</f>
        <v>1058988.5799294643</v>
      </c>
      <c r="G45" s="62">
        <f>'Key Information'!$C$30*E45</f>
        <v>1182563.7085662014</v>
      </c>
      <c r="H45" s="62">
        <f>D45*VLOOKUP($C45,'Key Information'!$F$8:$I$58,3,FALSE)</f>
        <v>8128112.4889610726</v>
      </c>
      <c r="I45" s="62">
        <f>E45*'Key Information'!$C$40</f>
        <v>16555891.919926817</v>
      </c>
      <c r="J45" s="60"/>
      <c r="K45" s="63">
        <f>H45*'Key Information'!$C$41</f>
        <v>7315301.2400649656</v>
      </c>
      <c r="L45" s="62">
        <f>NPV('Key Information'!$C$16,E46:E$61)*(1+'Key Information'!$C$16)</f>
        <v>202354066.23076352</v>
      </c>
      <c r="M45" s="62">
        <f>NPV('Key Information'!$C$16,F46:F$61)*(1+'Key Information'!$C$16)</f>
        <v>6427837.3524694685</v>
      </c>
      <c r="N45" s="62">
        <f>NPV('Key Information'!$C$16,G46:G$61)*(1+'Key Information'!$C$16)</f>
        <v>10117703.311538178</v>
      </c>
      <c r="O45" s="62">
        <f>NPV('Key Information'!$C$16,H46:H$61)</f>
        <v>51016062.871116422</v>
      </c>
      <c r="P45" s="62">
        <f>NPV('Key Information'!$C$16,I46:I$61)*(1+'Key Information'!$C$16)</f>
        <v>141647846.36153445</v>
      </c>
      <c r="Q45" s="60"/>
      <c r="R45" s="63">
        <f>NPV('Key Information'!$C$16,K46:K$61)</f>
        <v>45914456.58400476</v>
      </c>
      <c r="S45" s="62">
        <f t="shared" si="0"/>
        <v>-39059072.918109775</v>
      </c>
      <c r="T45" s="62">
        <f t="shared" si="1"/>
        <v>23899406.817290511</v>
      </c>
      <c r="U45" s="63">
        <f t="shared" si="2"/>
        <v>-15159666.100819264</v>
      </c>
    </row>
    <row r="46" spans="1:21" x14ac:dyDescent="0.3">
      <c r="A46" s="64"/>
      <c r="B46" s="57">
        <v>2055</v>
      </c>
      <c r="C46" s="58">
        <v>36</v>
      </c>
      <c r="D46" s="63">
        <f>D45*(1-VLOOKUP($C45,'Key Information'!$F$8:$I$58,4,FALSE)-VLOOKUP($C45,'Key Information'!$F$8:$I$58,3,FALSE))*(1+'Key Information'!$C$21)</f>
        <v>2069115538.3684704</v>
      </c>
      <c r="E46" s="62">
        <f>(E45*VLOOKUP($C45,'Key Information'!$F$8:$I$58,2,FALSE)+E45)*(1-VLOOKUP($C45,'Key Information'!$F$8:$I$58,4,FALSE)-VLOOKUP($C45,'Key Information'!$F$8:$I$58,3,FALSE))*(1+'Key Information'!$C$21)</f>
        <v>22271916.02593258</v>
      </c>
      <c r="F46" s="62">
        <f>(F45*'Key Information'!$C$20+F45)*(1-VLOOKUP($C45,'Key Information'!$F$8:$I$58,4,FALSE)-VLOOKUP($C45,'Key Information'!$F$8:$I$58,3,FALSE))</f>
        <v>952777.32030543871</v>
      </c>
      <c r="G46" s="62">
        <f>'Key Information'!$C$30*E46</f>
        <v>1113595.801296629</v>
      </c>
      <c r="H46" s="62">
        <f>D46*VLOOKUP($C46,'Key Information'!$F$8:$I$58,3,FALSE)</f>
        <v>7448815.9381264932</v>
      </c>
      <c r="I46" s="62">
        <f>E46*'Key Information'!$C$40</f>
        <v>15590341.218152804</v>
      </c>
      <c r="J46" s="60"/>
      <c r="K46" s="63">
        <f>H46*'Key Information'!$C$41</f>
        <v>6703934.3443138441</v>
      </c>
      <c r="L46" s="62">
        <f>NPV('Key Information'!$C$16,E47:E$61)*(1+'Key Information'!$C$16)</f>
        <v>185484614.71097592</v>
      </c>
      <c r="M46" s="62">
        <f>NPV('Key Information'!$C$16,F47:F$61)*(1+'Key Information'!$C$16)</f>
        <v>5639311.8331289515</v>
      </c>
      <c r="N46" s="62">
        <f>NPV('Key Information'!$C$16,G47:G$61)*(1+'Key Information'!$C$16)</f>
        <v>9274230.7355487961</v>
      </c>
      <c r="O46" s="62">
        <f>NPV('Key Information'!$C$16,H47:H$61)</f>
        <v>45097728.819123417</v>
      </c>
      <c r="P46" s="62">
        <f>NPV('Key Information'!$C$16,I47:I$61)*(1+'Key Information'!$C$16)</f>
        <v>129839230.29768309</v>
      </c>
      <c r="Q46" s="60"/>
      <c r="R46" s="63">
        <f>NPV('Key Information'!$C$16,K47:K$61)</f>
        <v>40587955.937211074</v>
      </c>
      <c r="S46" s="62">
        <f t="shared" si="0"/>
        <v>-36222068.962702736</v>
      </c>
      <c r="T46" s="62">
        <f t="shared" si="1"/>
        <v>21907008.581041623</v>
      </c>
      <c r="U46" s="63">
        <f t="shared" si="2"/>
        <v>-14315060.381661113</v>
      </c>
    </row>
    <row r="47" spans="1:21" x14ac:dyDescent="0.3">
      <c r="A47" s="64"/>
      <c r="B47" s="57">
        <v>2056</v>
      </c>
      <c r="C47" s="58">
        <v>37</v>
      </c>
      <c r="D47" s="63">
        <f>D46*(1-VLOOKUP($C46,'Key Information'!$F$8:$I$58,4,FALSE)-VLOOKUP($C46,'Key Information'!$F$8:$I$58,3,FALSE))*(1+'Key Information'!$C$21)</f>
        <v>1839087825.7369707</v>
      </c>
      <c r="E47" s="62">
        <f>(E46*VLOOKUP($C46,'Key Information'!$F$8:$I$58,2,FALSE)+E46)*(1-VLOOKUP($C46,'Key Information'!$F$8:$I$58,4,FALSE)-VLOOKUP($C46,'Key Information'!$F$8:$I$58,3,FALSE))*(1+'Key Information'!$C$21)</f>
        <v>20967648.476870928</v>
      </c>
      <c r="F47" s="62">
        <f>(F46*'Key Information'!$C$20+F46)*(1-VLOOKUP($C46,'Key Information'!$F$8:$I$58,4,FALSE)-VLOOKUP($C46,'Key Information'!$F$8:$I$58,3,FALSE))</f>
        <v>855157.66162158409</v>
      </c>
      <c r="G47" s="62">
        <f>'Key Information'!$C$30*E47</f>
        <v>1048382.4238435464</v>
      </c>
      <c r="H47" s="62">
        <f>D47*VLOOKUP($C47,'Key Information'!$F$8:$I$58,3,FALSE)</f>
        <v>6804624.955226792</v>
      </c>
      <c r="I47" s="62">
        <f>E47*'Key Information'!$C$40</f>
        <v>14677353.933809649</v>
      </c>
      <c r="J47" s="60"/>
      <c r="K47" s="63">
        <f>H47*'Key Information'!$C$41</f>
        <v>6124162.4597041132</v>
      </c>
      <c r="L47" s="62">
        <f>NPV('Key Information'!$C$16,E48:E$61)*(1+'Key Information'!$C$16)</f>
        <v>169452475.22112814</v>
      </c>
      <c r="M47" s="62">
        <f>NPV('Key Information'!$C$16,F48:F$61)*(1+'Key Information'!$C$16)</f>
        <v>4927678.7966525899</v>
      </c>
      <c r="N47" s="62">
        <f>NPV('Key Information'!$C$16,G48:G$61)*(1+'Key Information'!$C$16)</f>
        <v>8472623.7610564064</v>
      </c>
      <c r="O47" s="62">
        <f>NPV('Key Information'!$C$16,H48:H$61)</f>
        <v>39646035.728470318</v>
      </c>
      <c r="P47" s="62">
        <f>NPV('Key Information'!$C$16,I48:I$61)*(1+'Key Information'!$C$16)</f>
        <v>118616732.65478966</v>
      </c>
      <c r="Q47" s="60"/>
      <c r="R47" s="63">
        <f>NPV('Key Information'!$C$16,K48:K$61)</f>
        <v>35681432.155623287</v>
      </c>
      <c r="S47" s="62">
        <f t="shared" si="0"/>
        <v>-33470836.435782455</v>
      </c>
      <c r="T47" s="62">
        <f t="shared" si="1"/>
        <v>20013502.653750457</v>
      </c>
      <c r="U47" s="63">
        <f t="shared" si="2"/>
        <v>-13457333.782031998</v>
      </c>
    </row>
    <row r="48" spans="1:21" x14ac:dyDescent="0.3">
      <c r="A48" s="64"/>
      <c r="B48" s="57">
        <v>2057</v>
      </c>
      <c r="C48" s="58">
        <v>38</v>
      </c>
      <c r="D48" s="63">
        <f>D47*(1-VLOOKUP($C47,'Key Information'!$F$8:$I$58,4,FALSE)-VLOOKUP($C47,'Key Information'!$F$8:$I$58,3,FALSE))*(1+'Key Information'!$C$21)</f>
        <v>1632569297.4336631</v>
      </c>
      <c r="E48" s="62">
        <f>(E47*VLOOKUP($C47,'Key Information'!$F$8:$I$58,2,FALSE)+E47)*(1-VLOOKUP($C47,'Key Information'!$F$8:$I$58,4,FALSE)-VLOOKUP($C47,'Key Information'!$F$8:$I$58,3,FALSE))*(1+'Key Information'!$C$21)</f>
        <v>19758911.417117424</v>
      </c>
      <c r="F48" s="62">
        <f>(F47*'Key Information'!$C$20+F47)*(1-VLOOKUP($C47,'Key Information'!$F$8:$I$58,4,FALSE)-VLOOKUP($C47,'Key Information'!$F$8:$I$58,3,FALSE))</f>
        <v>766571.02429654251</v>
      </c>
      <c r="G48" s="62">
        <f>'Key Information'!$C$30*E48</f>
        <v>987945.57085587131</v>
      </c>
      <c r="H48" s="62">
        <f>D48*VLOOKUP($C48,'Key Information'!$F$8:$I$58,3,FALSE)</f>
        <v>6040506.4005045537</v>
      </c>
      <c r="I48" s="62">
        <f>E48*'Key Information'!$C$40</f>
        <v>13831237.991982196</v>
      </c>
      <c r="J48" s="60"/>
      <c r="K48" s="63">
        <f>H48*'Key Information'!$C$41</f>
        <v>5436455.7604540987</v>
      </c>
      <c r="L48" s="62">
        <f>NPV('Key Information'!$C$16,E49:E$61)*(1+'Key Information'!$C$16)</f>
        <v>154184370.71813107</v>
      </c>
      <c r="M48" s="62">
        <f>NPV('Key Information'!$C$16,F49:F$61)*(1+'Key Information'!$C$16)</f>
        <v>4285941.005526728</v>
      </c>
      <c r="N48" s="62">
        <f>NPV('Key Information'!$C$16,G49:G$61)*(1+'Key Information'!$C$16)</f>
        <v>7709218.5359065495</v>
      </c>
      <c r="O48" s="62">
        <f>NPV('Key Information'!$C$16,H49:H$61)</f>
        <v>34794910.399819881</v>
      </c>
      <c r="P48" s="62">
        <f>NPV('Key Information'!$C$16,I49:I$61)*(1+'Key Information'!$C$16)</f>
        <v>107929059.50269173</v>
      </c>
      <c r="Q48" s="60"/>
      <c r="R48" s="63">
        <f>NPV('Key Information'!$C$16,K49:K$61)</f>
        <v>31315419.35983789</v>
      </c>
      <c r="S48" s="62">
        <f t="shared" si="0"/>
        <v>-30780660.634024065</v>
      </c>
      <c r="T48" s="62">
        <f t="shared" si="1"/>
        <v>18210234.512699593</v>
      </c>
      <c r="U48" s="63">
        <f t="shared" si="2"/>
        <v>-12570426.121324472</v>
      </c>
    </row>
    <row r="49" spans="1:21" x14ac:dyDescent="0.3">
      <c r="A49" s="64"/>
      <c r="B49" s="57">
        <v>2058</v>
      </c>
      <c r="C49" s="58">
        <v>39</v>
      </c>
      <c r="D49" s="63">
        <f>D48*(1-VLOOKUP($C48,'Key Information'!$F$8:$I$58,4,FALSE)-VLOOKUP($C48,'Key Information'!$F$8:$I$58,3,FALSE))*(1+'Key Information'!$C$21)</f>
        <v>1447576340.064265</v>
      </c>
      <c r="E49" s="62">
        <f>(E48*VLOOKUP($C48,'Key Information'!$F$8:$I$58,2,FALSE)+E48)*(1-VLOOKUP($C48,'Key Information'!$F$8:$I$58,4,FALSE)-VLOOKUP($C48,'Key Information'!$F$8:$I$58,3,FALSE))*(1+'Key Information'!$C$21)</f>
        <v>18641600.950170118</v>
      </c>
      <c r="F49" s="62">
        <f>(F48*'Key Information'!$C$20+F48)*(1-VLOOKUP($C48,'Key Information'!$F$8:$I$58,4,FALSE)-VLOOKUP($C48,'Key Information'!$F$8:$I$58,3,FALSE))</f>
        <v>686371.59716361389</v>
      </c>
      <c r="G49" s="62">
        <f>'Key Information'!$C$30*E49</f>
        <v>932080.04750850599</v>
      </c>
      <c r="H49" s="62">
        <f>D49*VLOOKUP($C49,'Key Information'!$F$8:$I$58,3,FALSE)</f>
        <v>5500790.0922442069</v>
      </c>
      <c r="I49" s="62">
        <f>E49*'Key Information'!$C$40</f>
        <v>13049120.665119082</v>
      </c>
      <c r="J49" s="60"/>
      <c r="K49" s="63">
        <f>H49*'Key Information'!$C$41</f>
        <v>4950711.0830197865</v>
      </c>
      <c r="L49" s="62">
        <f>NPV('Key Information'!$C$16,E50:E$61)*(1+'Key Information'!$C$16)</f>
        <v>139609052.8609997</v>
      </c>
      <c r="M49" s="62">
        <f>NPV('Key Information'!$C$16,F50:F$61)*(1+'Key Information'!$C$16)</f>
        <v>3707556.4906140077</v>
      </c>
      <c r="N49" s="62">
        <f>NPV('Key Information'!$C$16,G50:G$61)*(1+'Key Information'!$C$16)</f>
        <v>6980452.6430499861</v>
      </c>
      <c r="O49" s="62">
        <f>NPV('Key Information'!$C$16,H50:H$61)</f>
        <v>30337967.61957027</v>
      </c>
      <c r="P49" s="62">
        <f>NPV('Key Information'!$C$16,I50:I$61)*(1+'Key Information'!$C$16)</f>
        <v>97726337.002699822</v>
      </c>
      <c r="Q49" s="60"/>
      <c r="R49" s="63">
        <f>NPV('Key Information'!$C$16,K50:K$61)</f>
        <v>27304170.857613243</v>
      </c>
      <c r="S49" s="62">
        <f t="shared" si="0"/>
        <v>-28160909.962678861</v>
      </c>
      <c r="T49" s="62">
        <f t="shared" si="1"/>
        <v>16488789.238841569</v>
      </c>
      <c r="U49" s="63">
        <f t="shared" si="2"/>
        <v>-11672120.723837292</v>
      </c>
    </row>
    <row r="50" spans="1:21" x14ac:dyDescent="0.3">
      <c r="A50" s="64"/>
      <c r="B50" s="57">
        <v>2059</v>
      </c>
      <c r="C50" s="58">
        <v>40</v>
      </c>
      <c r="D50" s="63">
        <f>D49*(1-VLOOKUP($C49,'Key Information'!$F$8:$I$58,4,FALSE)-VLOOKUP($C49,'Key Information'!$F$8:$I$58,3,FALSE))*(1+'Key Information'!$C$21)</f>
        <v>1281921494.0126708</v>
      </c>
      <c r="E50" s="62">
        <f>(E49*VLOOKUP($C49,'Key Information'!$F$8:$I$58,2,FALSE)+E49)*(1-VLOOKUP($C49,'Key Information'!$F$8:$I$58,4,FALSE)-VLOOKUP($C49,'Key Information'!$F$8:$I$58,3,FALSE))*(1+'Key Information'!$C$21)</f>
        <v>17607491.709410399</v>
      </c>
      <c r="F50" s="62">
        <f>(F49*'Key Information'!$C$20+F49)*(1-VLOOKUP($C49,'Key Information'!$F$8:$I$58,4,FALSE)-VLOOKUP($C49,'Key Information'!$F$8:$I$58,3,FALSE))</f>
        <v>613785.05527717294</v>
      </c>
      <c r="G50" s="62">
        <f>'Key Information'!$C$30*E50</f>
        <v>880374.58547051996</v>
      </c>
      <c r="H50" s="62">
        <f>D50*VLOOKUP($C50,'Key Information'!$F$8:$I$58,3,FALSE)</f>
        <v>4999493.8266494153</v>
      </c>
      <c r="I50" s="62">
        <f>E50*'Key Information'!$C$40</f>
        <v>12325244.196587279</v>
      </c>
      <c r="J50" s="60"/>
      <c r="K50" s="63">
        <f>H50*'Key Information'!$C$41</f>
        <v>4499544.4439844741</v>
      </c>
      <c r="L50" s="62">
        <f>NPV('Key Information'!$C$16,E51:E$61)*(1+'Key Information'!$C$16)</f>
        <v>125661607.986137</v>
      </c>
      <c r="M50" s="62">
        <f>NPV('Key Information'!$C$16,F51:F$61)*(1+'Key Information'!$C$16)</f>
        <v>3186584.5783969387</v>
      </c>
      <c r="N50" s="62">
        <f>NPV('Key Information'!$C$16,G51:G$61)*(1+'Key Information'!$C$16)</f>
        <v>6283080.3993068505</v>
      </c>
      <c r="O50" s="62">
        <f>NPV('Key Information'!$C$16,H51:H$61)</f>
        <v>26248612.821507968</v>
      </c>
      <c r="P50" s="62">
        <f>NPV('Key Information'!$C$16,I51:I$61)*(1+'Key Information'!$C$16)</f>
        <v>87963125.590295911</v>
      </c>
      <c r="Q50" s="60"/>
      <c r="R50" s="63">
        <f>NPV('Key Information'!$C$16,K51:K$61)</f>
        <v>23623751.53935717</v>
      </c>
      <c r="S50" s="62">
        <f t="shared" si="0"/>
        <v>-25603956.135986507</v>
      </c>
      <c r="T50" s="62">
        <f t="shared" si="1"/>
        <v>14841500.082092216</v>
      </c>
      <c r="U50" s="63">
        <f t="shared" si="2"/>
        <v>-10762456.053894291</v>
      </c>
    </row>
    <row r="51" spans="1:21" x14ac:dyDescent="0.3">
      <c r="A51" s="64"/>
      <c r="B51" s="57">
        <v>2060</v>
      </c>
      <c r="C51" s="58">
        <v>41</v>
      </c>
      <c r="D51" s="63">
        <f>D50*(1-VLOOKUP($C50,'Key Information'!$F$8:$I$58,4,FALSE)-VLOOKUP($C50,'Key Information'!$F$8:$I$58,3,FALSE))*(1+'Key Information'!$C$21)</f>
        <v>1132477650.0836616</v>
      </c>
      <c r="E51" s="62">
        <f>(E50*VLOOKUP($C50,'Key Information'!$F$8:$I$58,2,FALSE)+E50)*(1-VLOOKUP($C50,'Key Information'!$F$8:$I$58,4,FALSE)-VLOOKUP($C50,'Key Information'!$F$8:$I$58,3,FALSE))*(1+'Key Information'!$C$21)</f>
        <v>16631948.439559037</v>
      </c>
      <c r="F51" s="62">
        <f>(F50*'Key Information'!$C$20+F50)*(1-VLOOKUP($C50,'Key Information'!$F$8:$I$58,4,FALSE)-VLOOKUP($C50,'Key Information'!$F$8:$I$58,3,FALSE))</f>
        <v>547547.21346682624</v>
      </c>
      <c r="G51" s="62">
        <f>'Key Information'!$C$30*E51</f>
        <v>831597.42197795189</v>
      </c>
      <c r="H51" s="62">
        <f>D51*VLOOKUP($C51,'Key Information'!$F$8:$I$58,3,FALSE)</f>
        <v>4416662.8353262795</v>
      </c>
      <c r="I51" s="62">
        <f>E51*'Key Information'!$C$40</f>
        <v>11642363.907691326</v>
      </c>
      <c r="J51" s="60"/>
      <c r="K51" s="63">
        <f>H51*'Key Information'!$C$41</f>
        <v>3974996.5517936517</v>
      </c>
      <c r="L51" s="62">
        <f>NPV('Key Information'!$C$16,E52:E$61)*(1+'Key Information'!$C$16)</f>
        <v>112300549.3329753</v>
      </c>
      <c r="M51" s="62">
        <f>NPV('Key Information'!$C$16,F52:F$61)*(1+'Key Information'!$C$16)</f>
        <v>2718208.4858780163</v>
      </c>
      <c r="N51" s="62">
        <f>NPV('Key Information'!$C$16,G52:G$61)*(1+'Key Information'!$C$16)</f>
        <v>5615027.4666487658</v>
      </c>
      <c r="O51" s="62">
        <f>NPV('Key Information'!$C$16,H52:H$61)</f>
        <v>22619408.370826922</v>
      </c>
      <c r="P51" s="62">
        <f>NPV('Key Information'!$C$16,I52:I$61)*(1+'Key Information'!$C$16)</f>
        <v>78610384.533082709</v>
      </c>
      <c r="Q51" s="60"/>
      <c r="R51" s="63">
        <f>NPV('Key Information'!$C$16,K52:K$61)</f>
        <v>20357467.533744227</v>
      </c>
      <c r="S51" s="62">
        <f t="shared" si="0"/>
        <v>-23094988.010283113</v>
      </c>
      <c r="T51" s="62">
        <f t="shared" si="1"/>
        <v>13263467.170722701</v>
      </c>
      <c r="U51" s="63">
        <f t="shared" si="2"/>
        <v>-9831520.8395604119</v>
      </c>
    </row>
    <row r="52" spans="1:21" x14ac:dyDescent="0.3">
      <c r="A52" s="64"/>
      <c r="B52" s="57">
        <v>2061</v>
      </c>
      <c r="C52" s="58">
        <v>42</v>
      </c>
      <c r="D52" s="63">
        <f>D51*(1-VLOOKUP($C51,'Key Information'!$F$8:$I$58,4,FALSE)-VLOOKUP($C51,'Key Information'!$F$8:$I$58,3,FALSE))*(1+'Key Information'!$C$21)</f>
        <v>999300543.3891232</v>
      </c>
      <c r="E52" s="62">
        <f>(E51*VLOOKUP($C51,'Key Information'!$F$8:$I$58,2,FALSE)+E51)*(1-VLOOKUP($C51,'Key Information'!$F$8:$I$58,4,FALSE)-VLOOKUP($C51,'Key Information'!$F$8:$I$58,3,FALSE))*(1+'Key Information'!$C$21)</f>
        <v>15732965.897807622</v>
      </c>
      <c r="F52" s="62">
        <f>(F51*'Key Information'!$C$20+F51)*(1-VLOOKUP($C51,'Key Information'!$F$8:$I$58,4,FALSE)-VLOOKUP($C51,'Key Information'!$F$8:$I$58,3,FALSE))</f>
        <v>487893.5872012559</v>
      </c>
      <c r="G52" s="62">
        <f>'Key Information'!$C$30*E52</f>
        <v>786648.29489038116</v>
      </c>
      <c r="H52" s="62">
        <f>D52*VLOOKUP($C52,'Key Information'!$F$8:$I$58,3,FALSE)</f>
        <v>4097132.2278954056</v>
      </c>
      <c r="I52" s="62">
        <f>E52*'Key Information'!$C$40</f>
        <v>11013076.128465336</v>
      </c>
      <c r="J52" s="60"/>
      <c r="K52" s="63">
        <f>H52*'Key Information'!$C$41</f>
        <v>3687419.0051058652</v>
      </c>
      <c r="L52" s="62">
        <f>NPV('Key Information'!$C$16,E53:E$61)*(1+'Key Information'!$C$16)</f>
        <v>99464610.938222736</v>
      </c>
      <c r="M52" s="62">
        <f>NPV('Key Information'!$C$16,F53:F$61)*(1+'Key Information'!$C$16)</f>
        <v>2297224.3456370635</v>
      </c>
      <c r="N52" s="62">
        <f>NPV('Key Information'!$C$16,G53:G$61)*(1+'Key Information'!$C$16)</f>
        <v>4973230.5469111362</v>
      </c>
      <c r="O52" s="62">
        <f>NPV('Key Information'!$C$16,H53:H$61)</f>
        <v>19200858.394056324</v>
      </c>
      <c r="P52" s="62">
        <f>NPV('Key Information'!$C$16,I53:I$61)*(1+'Key Information'!$C$16)</f>
        <v>69625227.656755894</v>
      </c>
      <c r="Q52" s="60"/>
      <c r="R52" s="63">
        <f>NPV('Key Information'!$C$16,K53:K$61)</f>
        <v>17280772.55465069</v>
      </c>
      <c r="S52" s="62">
        <f t="shared" si="0"/>
        <v>-20648842.549513008</v>
      </c>
      <c r="T52" s="62">
        <f t="shared" si="1"/>
        <v>11747454.573140254</v>
      </c>
      <c r="U52" s="63">
        <f t="shared" si="2"/>
        <v>-8901387.9763727542</v>
      </c>
    </row>
    <row r="53" spans="1:21" x14ac:dyDescent="0.3">
      <c r="A53" s="64"/>
      <c r="B53" s="57">
        <v>2062</v>
      </c>
      <c r="C53" s="58">
        <v>43</v>
      </c>
      <c r="D53" s="63">
        <f>D52*(1-VLOOKUP($C52,'Key Information'!$F$8:$I$58,4,FALSE)-VLOOKUP($C52,'Key Information'!$F$8:$I$58,3,FALSE))*(1+'Key Information'!$C$21)</f>
        <v>880561654.22254086</v>
      </c>
      <c r="E53" s="62">
        <f>(E52*VLOOKUP($C52,'Key Information'!$F$8:$I$58,2,FALSE)+E52)*(1-VLOOKUP($C52,'Key Information'!$F$8:$I$58,4,FALSE)-VLOOKUP($C52,'Key Information'!$F$8:$I$58,3,FALSE))*(1+'Key Information'!$C$21)</f>
        <v>14901866.287987456</v>
      </c>
      <c r="F53" s="62">
        <f>(F52*'Key Information'!$C$20+F52)*(1-VLOOKUP($C52,'Key Information'!$F$8:$I$58,4,FALSE)-VLOOKUP($C52,'Key Information'!$F$8:$I$58,3,FALSE))</f>
        <v>434136.00808265992</v>
      </c>
      <c r="G53" s="62">
        <f>'Key Information'!$C$30*E53</f>
        <v>745093.31439937279</v>
      </c>
      <c r="H53" s="62">
        <f>D53*VLOOKUP($C53,'Key Information'!$F$8:$I$58,3,FALSE)</f>
        <v>3610302.7823124179</v>
      </c>
      <c r="I53" s="62">
        <f>E53*'Key Information'!$C$40</f>
        <v>10431306.401591219</v>
      </c>
      <c r="J53" s="60"/>
      <c r="K53" s="63">
        <f>H53*'Key Information'!$C$41</f>
        <v>3249272.5040811761</v>
      </c>
      <c r="L53" s="62">
        <f>NPV('Key Information'!$C$16,E54:E$61)*(1+'Key Information'!$C$16)</f>
        <v>87099626.989742324</v>
      </c>
      <c r="M53" s="62">
        <f>NPV('Key Information'!$C$16,F54:F$61)*(1+'Key Information'!$C$16)</f>
        <v>1918980.9876810357</v>
      </c>
      <c r="N53" s="62">
        <f>NPV('Key Information'!$C$16,G54:G$61)*(1+'Key Information'!$C$16)</f>
        <v>4354981.3494871166</v>
      </c>
      <c r="O53" s="62">
        <f>NPV('Key Information'!$C$16,H54:H$61)</f>
        <v>16166581.363565598</v>
      </c>
      <c r="P53" s="62">
        <f>NPV('Key Information'!$C$16,I54:I$61)*(1+'Key Information'!$C$16)</f>
        <v>60969738.892819621</v>
      </c>
      <c r="Q53" s="60"/>
      <c r="R53" s="63">
        <f>NPV('Key Information'!$C$16,K54:K$61)</f>
        <v>14549923.227209039</v>
      </c>
      <c r="S53" s="62">
        <f t="shared" si="0"/>
        <v>-18239267.623397991</v>
      </c>
      <c r="T53" s="62">
        <f t="shared" si="1"/>
        <v>10287064.934431458</v>
      </c>
      <c r="U53" s="63">
        <f t="shared" si="2"/>
        <v>-7952202.6889665332</v>
      </c>
    </row>
    <row r="54" spans="1:21" x14ac:dyDescent="0.3">
      <c r="A54" s="64"/>
      <c r="B54" s="57">
        <v>2063</v>
      </c>
      <c r="C54" s="58">
        <v>44</v>
      </c>
      <c r="D54" s="63">
        <f>D53*(1-VLOOKUP($C53,'Key Information'!$F$8:$I$58,4,FALSE)-VLOOKUP($C53,'Key Information'!$F$8:$I$58,3,FALSE))*(1+'Key Information'!$C$21)</f>
        <v>774135211.5698961</v>
      </c>
      <c r="E54" s="62">
        <f>(E53*VLOOKUP($C53,'Key Information'!$F$8:$I$58,2,FALSE)+E53)*(1-VLOOKUP($C53,'Key Information'!$F$8:$I$58,4,FALSE)-VLOOKUP($C53,'Key Information'!$F$8:$I$58,3,FALSE))*(1+'Key Information'!$C$21)</f>
        <v>14121241.037100386</v>
      </c>
      <c r="F54" s="62">
        <f>(F53*'Key Information'!$C$20+F53)*(1-VLOOKUP($C53,'Key Information'!$F$8:$I$58,4,FALSE)-VLOOKUP($C53,'Key Information'!$F$8:$I$58,3,FALSE))</f>
        <v>385407.2801274379</v>
      </c>
      <c r="G54" s="62">
        <f>'Key Information'!$C$30*E54</f>
        <v>706062.05185501929</v>
      </c>
      <c r="H54" s="62">
        <f>D54*VLOOKUP($C54,'Key Information'!$F$8:$I$58,3,FALSE)</f>
        <v>3251367.8885935633</v>
      </c>
      <c r="I54" s="62">
        <f>E54*'Key Information'!$C$40</f>
        <v>9884868.7259702701</v>
      </c>
      <c r="J54" s="60"/>
      <c r="K54" s="63">
        <f>H54*'Key Information'!$C$41</f>
        <v>2926231.0997342071</v>
      </c>
      <c r="L54" s="62">
        <f>NPV('Key Information'!$C$16,E55:E$61)*(1+'Key Information'!$C$16)</f>
        <v>75167737.531221196</v>
      </c>
      <c r="M54" s="62">
        <f>NPV('Key Information'!$C$16,F55:F$61)*(1+'Key Information'!$C$16)</f>
        <v>1579580.918780206</v>
      </c>
      <c r="N54" s="62">
        <f>NPV('Key Information'!$C$16,G55:G$61)*(1+'Key Information'!$C$16)</f>
        <v>3758386.8765610605</v>
      </c>
      <c r="O54" s="62">
        <f>NPV('Key Information'!$C$16,H55:H$61)</f>
        <v>13400210.915879002</v>
      </c>
      <c r="P54" s="62">
        <f>NPV('Key Information'!$C$16,I55:I$61)*(1+'Key Information'!$C$16)</f>
        <v>52617416.27185484</v>
      </c>
      <c r="Q54" s="60"/>
      <c r="R54" s="63">
        <f>NPV('Key Information'!$C$16,K55:K$61)</f>
        <v>12060189.824291101</v>
      </c>
      <c r="S54" s="62">
        <f t="shared" si="0"/>
        <v>-15872332.372437188</v>
      </c>
      <c r="T54" s="62">
        <f t="shared" si="1"/>
        <v>8877826.7333916239</v>
      </c>
      <c r="U54" s="63">
        <f t="shared" si="2"/>
        <v>-6994505.6390455645</v>
      </c>
    </row>
    <row r="55" spans="1:21" x14ac:dyDescent="0.3">
      <c r="A55" s="64"/>
      <c r="B55" s="57">
        <v>2064</v>
      </c>
      <c r="C55" s="58">
        <v>45</v>
      </c>
      <c r="D55" s="63">
        <f>D54*(1-VLOOKUP($C54,'Key Information'!$F$8:$I$58,4,FALSE)-VLOOKUP($C54,'Key Information'!$F$8:$I$58,3,FALSE))*(1+'Key Information'!$C$21)</f>
        <v>679703101.92175388</v>
      </c>
      <c r="E55" s="62">
        <f>(E54*VLOOKUP($C54,'Key Information'!$F$8:$I$58,2,FALSE)+E54)*(1-VLOOKUP($C54,'Key Information'!$F$8:$I$58,4,FALSE)-VLOOKUP($C54,'Key Information'!$F$8:$I$58,3,FALSE))*(1+'Key Information'!$C$21)</f>
        <v>13403060.401574356</v>
      </c>
      <c r="F55" s="62">
        <f>(F54*'Key Information'!$C$20+F54)*(1-VLOOKUP($C54,'Key Information'!$F$8:$I$58,4,FALSE)-VLOOKUP($C54,'Key Information'!$F$8:$I$58,3,FALSE))</f>
        <v>341711.34433570952</v>
      </c>
      <c r="G55" s="62">
        <f>'Key Information'!$C$30*E55</f>
        <v>670153.02007871785</v>
      </c>
      <c r="H55" s="62">
        <f>D55*VLOOKUP($C55,'Key Information'!$F$8:$I$58,3,FALSE)</f>
        <v>2922723.3382635419</v>
      </c>
      <c r="I55" s="62">
        <f>E55*'Key Information'!$C$40</f>
        <v>9382142.2811020482</v>
      </c>
      <c r="J55" s="60"/>
      <c r="K55" s="63">
        <f>H55*'Key Information'!$C$41</f>
        <v>2630451.0044371877</v>
      </c>
      <c r="L55" s="62">
        <f>NPV('Key Information'!$C$16,E56:E$61)*(1+'Key Information'!$C$16)</f>
        <v>63617617.443536244</v>
      </c>
      <c r="M55" s="62">
        <f>NPV('Key Information'!$C$16,F56:F$61)*(1+'Key Information'!$C$16)</f>
        <v>1275005.6616778313</v>
      </c>
      <c r="N55" s="62">
        <f>NPV('Key Information'!$C$16,G56:G$61)*(1+'Key Information'!$C$16)</f>
        <v>3180880.8721768125</v>
      </c>
      <c r="O55" s="62">
        <f>NPV('Key Information'!$C$16,H56:H$61)</f>
        <v>10879493.90509183</v>
      </c>
      <c r="P55" s="62">
        <f>NPV('Key Information'!$C$16,I56:I$61)*(1+'Key Information'!$C$16)</f>
        <v>44532332.21047537</v>
      </c>
      <c r="Q55" s="60"/>
      <c r="R55" s="63">
        <f>NPV('Key Information'!$C$16,K56:K$61)</f>
        <v>9791544.514582647</v>
      </c>
      <c r="S55" s="62">
        <f t="shared" si="0"/>
        <v>-13541449.308697047</v>
      </c>
      <c r="T55" s="62">
        <f t="shared" si="1"/>
        <v>7513678.1204878138</v>
      </c>
      <c r="U55" s="63">
        <f t="shared" si="2"/>
        <v>-6027771.1882092329</v>
      </c>
    </row>
    <row r="56" spans="1:21" x14ac:dyDescent="0.3">
      <c r="A56" s="64"/>
      <c r="B56" s="57">
        <v>2065</v>
      </c>
      <c r="C56" s="58">
        <v>46</v>
      </c>
      <c r="D56" s="63">
        <f>D55*(1-VLOOKUP($C55,'Key Information'!$F$8:$I$58,4,FALSE)-VLOOKUP($C55,'Key Information'!$F$8:$I$58,3,FALSE))*(1+'Key Information'!$C$21)</f>
        <v>596027571.85657454</v>
      </c>
      <c r="E56" s="62">
        <f>(E55*VLOOKUP($C55,'Key Information'!$F$8:$I$58,2,FALSE)+E55)*(1-VLOOKUP($C55,'Key Information'!$F$8:$I$58,4,FALSE)-VLOOKUP($C55,'Key Information'!$F$8:$I$58,3,FALSE))*(1+'Key Information'!$C$21)</f>
        <v>12743232.10199352</v>
      </c>
      <c r="F56" s="62">
        <f>(F55*'Key Information'!$C$20+F55)*(1-VLOOKUP($C55,'Key Information'!$F$8:$I$58,4,FALSE)-VLOOKUP($C55,'Key Information'!$F$8:$I$58,3,FALSE))</f>
        <v>302582.32000717177</v>
      </c>
      <c r="G56" s="62">
        <f>'Key Information'!$C$30*E56</f>
        <v>637161.60509967606</v>
      </c>
      <c r="H56" s="62">
        <f>D56*VLOOKUP($C56,'Key Information'!$F$8:$I$58,3,FALSE)</f>
        <v>2622521.3161689281</v>
      </c>
      <c r="I56" s="62">
        <f>E56*'Key Information'!$C$40</f>
        <v>8920262.4713954628</v>
      </c>
      <c r="J56" s="60"/>
      <c r="K56" s="63">
        <f>H56*'Key Information'!$C$41</f>
        <v>2360269.1845520353</v>
      </c>
      <c r="L56" s="62">
        <f>NPV('Key Information'!$C$16,E57:E$61)*(1+'Key Information'!$C$16)</f>
        <v>52400616.90178901</v>
      </c>
      <c r="M56" s="62">
        <f>NPV('Key Information'!$C$16,F57:F$61)*(1+'Key Information'!$C$16)</f>
        <v>1001596.0419207793</v>
      </c>
      <c r="N56" s="62">
        <f>NPV('Key Information'!$C$16,G57:G$61)*(1+'Key Information'!$C$16)</f>
        <v>2620030.8450894509</v>
      </c>
      <c r="O56" s="62">
        <f>NPV('Key Information'!$C$16,H57:H$61)</f>
        <v>8583357.4060756564</v>
      </c>
      <c r="P56" s="62">
        <f>NPV('Key Information'!$C$16,I57:I$61)*(1+'Key Information'!$C$16)</f>
        <v>36680431.831252307</v>
      </c>
      <c r="Q56" s="60"/>
      <c r="R56" s="63">
        <f>NPV('Key Information'!$C$16,K57:K$61)</f>
        <v>7725021.6654680921</v>
      </c>
      <c r="S56" s="62">
        <f t="shared" si="0"/>
        <v>-11240222.442918908</v>
      </c>
      <c r="T56" s="62">
        <f t="shared" si="1"/>
        <v>6188873.2168331053</v>
      </c>
      <c r="U56" s="63">
        <f t="shared" si="2"/>
        <v>-5051349.2260858025</v>
      </c>
    </row>
    <row r="57" spans="1:21" x14ac:dyDescent="0.3">
      <c r="A57" s="64"/>
      <c r="B57" s="57">
        <v>2066</v>
      </c>
      <c r="C57" s="58">
        <v>47</v>
      </c>
      <c r="D57" s="63">
        <f>D56*(1-VLOOKUP($C56,'Key Information'!$F$8:$I$58,4,FALSE)-VLOOKUP($C56,'Key Information'!$F$8:$I$58,3,FALSE))*(1+'Key Information'!$C$21)</f>
        <v>521376310.53668231</v>
      </c>
      <c r="E57" s="62">
        <f>(E56*VLOOKUP($C56,'Key Information'!$F$8:$I$58,2,FALSE)+E56)*(1-VLOOKUP($C56,'Key Information'!$F$8:$I$58,4,FALSE)-VLOOKUP($C56,'Key Information'!$F$8:$I$58,3,FALSE))*(1+'Key Information'!$C$21)</f>
        <v>12123856.246909445</v>
      </c>
      <c r="F57" s="62">
        <f>(F56*'Key Information'!$C$20+F56)*(1-VLOOKUP($C56,'Key Information'!$F$8:$I$58,4,FALSE)-VLOOKUP($C56,'Key Information'!$F$8:$I$58,3,FALSE))</f>
        <v>267279.435567295</v>
      </c>
      <c r="G57" s="62">
        <f>'Key Information'!$C$30*E57</f>
        <v>606192.81234547228</v>
      </c>
      <c r="H57" s="62">
        <f>D57*VLOOKUP($C57,'Key Information'!$F$8:$I$58,3,FALSE)</f>
        <v>2346193.3974150703</v>
      </c>
      <c r="I57" s="62">
        <f>E57*'Key Information'!$C$40</f>
        <v>8486699.3728366103</v>
      </c>
      <c r="J57" s="60"/>
      <c r="K57" s="63">
        <f>H57*'Key Information'!$C$41</f>
        <v>2111574.0576735632</v>
      </c>
      <c r="L57" s="62">
        <f>NPV('Key Information'!$C$16,E58:E$61)*(1+'Key Information'!$C$16)</f>
        <v>41485063.474525951</v>
      </c>
      <c r="M57" s="62">
        <f>NPV('Key Information'!$C$16,F58:F$61)*(1+'Key Information'!$C$16)</f>
        <v>756346.10454408871</v>
      </c>
      <c r="N57" s="62">
        <f>NPV('Key Information'!$C$16,G58:G$61)*(1+'Key Information'!$C$16)</f>
        <v>2074253.1737262979</v>
      </c>
      <c r="O57" s="62">
        <f>NPV('Key Information'!$C$16,H58:H$61)</f>
        <v>6494664.7308428558</v>
      </c>
      <c r="P57" s="62">
        <f>NPV('Key Information'!$C$16,I58:I$61)*(1+'Key Information'!$C$16)</f>
        <v>29039544.432168167</v>
      </c>
      <c r="Q57" s="60"/>
      <c r="R57" s="63">
        <f>NPV('Key Information'!$C$16,K58:K$61)</f>
        <v>5845198.2577585718</v>
      </c>
      <c r="S57" s="62">
        <f t="shared" si="0"/>
        <v>-8965453.2910031117</v>
      </c>
      <c r="T57" s="62">
        <f t="shared" si="1"/>
        <v>4899671.2904605027</v>
      </c>
      <c r="U57" s="63">
        <f t="shared" si="2"/>
        <v>-4065782.000542609</v>
      </c>
    </row>
    <row r="58" spans="1:21" x14ac:dyDescent="0.3">
      <c r="A58" s="64"/>
      <c r="B58" s="57">
        <v>2067</v>
      </c>
      <c r="C58" s="58">
        <v>48</v>
      </c>
      <c r="D58" s="63">
        <f>D57*(1-VLOOKUP($C57,'Key Information'!$F$8:$I$58,4,FALSE)-VLOOKUP($C57,'Key Information'!$F$8:$I$58,3,FALSE))*(1+'Key Information'!$C$21)</f>
        <v>455489986.17416179</v>
      </c>
      <c r="E58" s="62">
        <f>(E57*VLOOKUP($C57,'Key Information'!$F$8:$I$58,2,FALSE)+E57)*(1-VLOOKUP($C57,'Key Information'!$F$8:$I$58,4,FALSE)-VLOOKUP($C57,'Key Information'!$F$8:$I$58,3,FALSE))*(1+'Key Information'!$C$21)</f>
        <v>11556910.90864359</v>
      </c>
      <c r="F58" s="62">
        <f>(F57*'Key Information'!$C$20+F57)*(1-VLOOKUP($C57,'Key Information'!$F$8:$I$58,4,FALSE)-VLOOKUP($C57,'Key Information'!$F$8:$I$58,3,FALSE))</f>
        <v>235792.58166028984</v>
      </c>
      <c r="G58" s="62">
        <f>'Key Information'!$C$30*E58</f>
        <v>577845.54543217958</v>
      </c>
      <c r="H58" s="62">
        <f>D58*VLOOKUP($C58,'Key Information'!$F$8:$I$58,3,FALSE)</f>
        <v>2049704.9377837279</v>
      </c>
      <c r="I58" s="62">
        <f>E58*'Key Information'!$C$40</f>
        <v>8089837.636050513</v>
      </c>
      <c r="J58" s="60"/>
      <c r="K58" s="63">
        <f>H58*'Key Information'!$C$41</f>
        <v>1844734.4440053552</v>
      </c>
      <c r="L58" s="62">
        <f>NPV('Key Information'!$C$16,E59:E$61)*(1+'Key Information'!$C$16)</f>
        <v>30825997.142858833</v>
      </c>
      <c r="M58" s="62">
        <f>NPV('Key Information'!$C$16,F59:F$61)*(1+'Key Information'!$C$16)</f>
        <v>536170.12857031287</v>
      </c>
      <c r="N58" s="62">
        <f>NPV('Key Information'!$C$16,G59:G$61)*(1+'Key Information'!$C$16)</f>
        <v>1541299.8571429418</v>
      </c>
      <c r="O58" s="62">
        <f>NPV('Key Information'!$C$16,H59:H$61)</f>
        <v>4639799.7349844137</v>
      </c>
      <c r="P58" s="62">
        <f>NPV('Key Information'!$C$16,I59:I$61)*(1+'Key Information'!$C$16)</f>
        <v>21578198.000001185</v>
      </c>
      <c r="Q58" s="60"/>
      <c r="R58" s="63">
        <f>NPV('Key Information'!$C$16,K59:K$61)</f>
        <v>4175819.7614859734</v>
      </c>
      <c r="S58" s="62">
        <f t="shared" si="0"/>
        <v>-6706349.1836459534</v>
      </c>
      <c r="T58" s="62">
        <f t="shared" si="1"/>
        <v>3640762.2539478061</v>
      </c>
      <c r="U58" s="63">
        <f t="shared" si="2"/>
        <v>-3065586.9296981473</v>
      </c>
    </row>
    <row r="59" spans="1:21" x14ac:dyDescent="0.3">
      <c r="A59" s="64"/>
      <c r="B59" s="57">
        <v>2068</v>
      </c>
      <c r="C59" s="58">
        <v>49</v>
      </c>
      <c r="D59" s="63">
        <f>D58*(1-VLOOKUP($C58,'Key Information'!$F$8:$I$58,4,FALSE)-VLOOKUP($C58,'Key Information'!$F$8:$I$58,3,FALSE))*(1+'Key Information'!$C$21)</f>
        <v>397465116.83543533</v>
      </c>
      <c r="E59" s="62">
        <f>(E58*VLOOKUP($C58,'Key Information'!$F$8:$I$58,2,FALSE)+E58)*(1-VLOOKUP($C58,'Key Information'!$F$8:$I$58,4,FALSE)-VLOOKUP($C58,'Key Information'!$F$8:$I$58,3,FALSE))*(1+'Key Information'!$C$21)</f>
        <v>11040372.883532323</v>
      </c>
      <c r="F59" s="62">
        <f>(F58*'Key Information'!$C$20+F58)*(1-VLOOKUP($C58,'Key Information'!$F$8:$I$58,4,FALSE)-VLOOKUP($C58,'Key Information'!$F$8:$I$58,3,FALSE))</f>
        <v>207772.17021868931</v>
      </c>
      <c r="G59" s="62">
        <f>'Key Information'!$C$30*E59</f>
        <v>552018.64417661622</v>
      </c>
      <c r="H59" s="62">
        <f>D59*VLOOKUP($C59,'Key Information'!$F$8:$I$58,3,FALSE)</f>
        <v>1868086.0491265461</v>
      </c>
      <c r="I59" s="62">
        <f>E59*'Key Information'!$C$40</f>
        <v>7728261.0184726259</v>
      </c>
      <c r="J59" s="60"/>
      <c r="K59" s="63">
        <f>H59*'Key Information'!$C$41</f>
        <v>1681277.4442138916</v>
      </c>
      <c r="L59" s="62">
        <f>NPV('Key Information'!$C$16,E60:E$61)*(1+'Key Information'!$C$16)</f>
        <v>20379192.987106308</v>
      </c>
      <c r="M59" s="62">
        <f>NPV('Key Information'!$C$16,F60:F$61)*(1+'Key Information'!$C$16)</f>
        <v>338249.89710217225</v>
      </c>
      <c r="N59" s="62">
        <f>NPV('Key Information'!$C$16,G60:G$61)*(1+'Key Information'!$C$16)</f>
        <v>1018959.6493553154</v>
      </c>
      <c r="O59" s="62">
        <f>NPV('Key Information'!$C$16,H60:H$61)</f>
        <v>2910907.6779074008</v>
      </c>
      <c r="P59" s="62">
        <f>NPV('Key Information'!$C$16,I60:I$61)*(1+'Key Information'!$C$16)</f>
        <v>14265435.090974413</v>
      </c>
      <c r="Q59" s="60"/>
      <c r="R59" s="63">
        <f>NPV('Key Information'!$C$16,K60:K$61)</f>
        <v>2619816.9101166609</v>
      </c>
      <c r="S59" s="62">
        <f t="shared" si="0"/>
        <v>-4465457.581883668</v>
      </c>
      <c r="T59" s="62">
        <f t="shared" si="1"/>
        <v>2406922.8401444498</v>
      </c>
      <c r="U59" s="63">
        <f t="shared" si="2"/>
        <v>-2058534.7417392181</v>
      </c>
    </row>
    <row r="60" spans="1:21" x14ac:dyDescent="0.3">
      <c r="A60" s="64"/>
      <c r="B60" s="57">
        <v>2069</v>
      </c>
      <c r="C60" s="58">
        <v>50</v>
      </c>
      <c r="D60" s="89">
        <f>D59*(1-VLOOKUP($C59,'Key Information'!$F$8:$I$58,4,FALSE)-VLOOKUP($C59,'Key Information'!$F$8:$I$58,3,FALSE))*(1+'Key Information'!$C$21)</f>
        <v>345940123.87959045</v>
      </c>
      <c r="E60" s="90">
        <f>(E59*VLOOKUP($C59,'Key Information'!$F$8:$I$58,2,FALSE)+E59)*(1-VLOOKUP($C59,'Key Information'!$F$8:$I$58,4,FALSE)-VLOOKUP($C59,'Key Information'!$F$8:$I$58,3,FALSE))*(1+'Key Information'!$C$21)</f>
        <v>10556224.553578582</v>
      </c>
      <c r="F60" s="90">
        <f>(F59*'Key Information'!$C$20+F59)*(1-VLOOKUP($C59,'Key Information'!$F$8:$I$58,4,FALSE)-VLOOKUP($C59,'Key Information'!$F$8:$I$58,3,FALSE))</f>
        <v>182610.75263303582</v>
      </c>
      <c r="G60" s="90">
        <f>'Key Information'!$C$30*E60</f>
        <v>527811.22767892911</v>
      </c>
      <c r="H60" s="90">
        <f>D60*VLOOKUP($C60,'Key Information'!$F$8:$I$58,3,FALSE)</f>
        <v>1625918.5822340753</v>
      </c>
      <c r="I60" s="90">
        <f>E60*'Key Information'!$C$40</f>
        <v>7389357.1875050068</v>
      </c>
      <c r="J60" s="91"/>
      <c r="K60" s="63">
        <f>H60*'Key Information'!$C$41</f>
        <v>1463326.7240106678</v>
      </c>
      <c r="L60" s="90">
        <f>NPV('Key Information'!$C$16,E61:E$61)*(1+'Key Information'!$C$16)</f>
        <v>10117657.486533556</v>
      </c>
      <c r="M60" s="90">
        <f>NPV('Key Information'!$C$16,F61:F$61)*(1+'Key Information'!$C$16)</f>
        <v>160308.31880321051</v>
      </c>
      <c r="N60" s="90">
        <f>NPV('Key Information'!$C$16,G61:G$61)*(1+'Key Information'!$C$16)</f>
        <v>505882.87432667782</v>
      </c>
      <c r="O60" s="90">
        <f>NPV('Key Information'!$C$16,H61:H$61)</f>
        <v>1372316.3260105478</v>
      </c>
      <c r="P60" s="90">
        <f>NPV('Key Information'!$C$16,I61:I$61)*(1+'Key Information'!$C$16)</f>
        <v>7082360.2405734891</v>
      </c>
      <c r="Q60" s="91"/>
      <c r="R60" s="63">
        <f>NPV('Key Information'!$C$16,K61:K$61)</f>
        <v>1235084.693409493</v>
      </c>
      <c r="S60" s="90">
        <f t="shared" si="0"/>
        <v>-2231874.4202291239</v>
      </c>
      <c r="T60" s="90">
        <f t="shared" si="1"/>
        <v>1194964.9286163398</v>
      </c>
      <c r="U60" s="63">
        <f t="shared" si="2"/>
        <v>-1036909.4916127841</v>
      </c>
    </row>
    <row r="61" spans="1:21" x14ac:dyDescent="0.3">
      <c r="A61" s="64"/>
      <c r="B61" s="65">
        <v>2070</v>
      </c>
      <c r="C61" s="66">
        <v>51</v>
      </c>
      <c r="D61" s="92">
        <f>D60*(1-VLOOKUP($C60,'Key Information'!$F$8:$I$58,4,FALSE)-VLOOKUP($C60,'Key Information'!$F$8:$I$58,3,FALSE))*(1+'Key Information'!$C$21)</f>
        <v>300741662.93422639</v>
      </c>
      <c r="E61" s="68">
        <f>(E60*VLOOKUP($C60,'Key Information'!$F$8:$I$58,2,FALSE)+E60)*(1-VLOOKUP($C60,'Key Information'!$F$8:$I$58,4,FALSE)-VLOOKUP($C60,'Key Information'!$F$8:$I$58,3,FALSE))*(1+'Key Information'!$C$21)</f>
        <v>10117657.486533556</v>
      </c>
      <c r="F61" s="68">
        <f>(F60*'Key Information'!$C$20+F60)*(1-VLOOKUP($C60,'Key Information'!$F$8:$I$58,4,FALSE)-VLOOKUP($C60,'Key Information'!$F$8:$I$58,3,FALSE))</f>
        <v>160308.31880321051</v>
      </c>
      <c r="G61" s="68">
        <f>'Key Information'!$C$30*E61</f>
        <v>505882.87432667782</v>
      </c>
      <c r="H61" s="68">
        <f>D61*VLOOKUP($C61,'Key Information'!$F$8:$I$58,3,FALSE)</f>
        <v>1413485.8157908642</v>
      </c>
      <c r="I61" s="68">
        <f>E61*'Key Information'!$C$40</f>
        <v>7082360.2405734891</v>
      </c>
      <c r="J61" s="69"/>
      <c r="K61" s="67">
        <f>H61*'Key Information'!$C$41</f>
        <v>1272137.2342117778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11"/>
      <c r="R61" s="67">
        <v>0</v>
      </c>
      <c r="S61" s="68">
        <f t="shared" si="0"/>
        <v>0</v>
      </c>
      <c r="T61" s="68">
        <f t="shared" si="1"/>
        <v>0</v>
      </c>
      <c r="U61" s="67">
        <f t="shared" si="2"/>
        <v>0</v>
      </c>
    </row>
    <row r="65" spans="7:7" x14ac:dyDescent="0.3">
      <c r="G65" s="6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opLeftCell="E1" zoomScale="85" zoomScaleNormal="85" workbookViewId="0">
      <selection activeCell="K11" sqref="K11"/>
    </sheetView>
  </sheetViews>
  <sheetFormatPr defaultRowHeight="16.5" x14ac:dyDescent="0.3"/>
  <cols>
    <col min="1" max="1" width="9.140625" style="10"/>
    <col min="2" max="2" width="31.85546875" style="10" bestFit="1" customWidth="1"/>
    <col min="3" max="3" width="16.7109375" style="10" customWidth="1"/>
    <col min="4" max="4" width="28.7109375" style="10" bestFit="1" customWidth="1"/>
    <col min="5" max="5" width="16.28515625" style="10" bestFit="1" customWidth="1"/>
    <col min="6" max="16" width="16.7109375" style="10" customWidth="1"/>
    <col min="17" max="17" width="24.28515625" style="10" customWidth="1"/>
    <col min="18" max="18" width="16.7109375" style="10" customWidth="1"/>
    <col min="19" max="19" width="19.85546875" style="10" customWidth="1"/>
    <col min="20" max="20" width="27.42578125" style="10" bestFit="1" customWidth="1"/>
    <col min="21" max="21" width="16.7109375" style="10" customWidth="1"/>
    <col min="22" max="16384" width="9.140625" style="10"/>
  </cols>
  <sheetData>
    <row r="1" spans="1:21" ht="33" x14ac:dyDescent="0.3">
      <c r="A1" s="74" t="s">
        <v>62</v>
      </c>
      <c r="B1" s="75" t="s">
        <v>64</v>
      </c>
    </row>
    <row r="2" spans="1:21" ht="17.25" thickBot="1" x14ac:dyDescent="0.35">
      <c r="A2" s="12"/>
      <c r="B2" s="76" t="s">
        <v>63</v>
      </c>
    </row>
    <row r="4" spans="1:21" ht="18.75" x14ac:dyDescent="0.3">
      <c r="B4" s="72" t="s">
        <v>44</v>
      </c>
      <c r="C4" s="47"/>
    </row>
    <row r="6" spans="1:21" x14ac:dyDescent="0.3">
      <c r="B6" s="79" t="s">
        <v>65</v>
      </c>
      <c r="C6" s="80" t="s">
        <v>67</v>
      </c>
      <c r="T6" s="48" t="s">
        <v>30</v>
      </c>
      <c r="U6" s="88">
        <f>T10/L10</f>
        <v>0.13579358533148986</v>
      </c>
    </row>
    <row r="8" spans="1:21" ht="57.6" customHeight="1" x14ac:dyDescent="0.3">
      <c r="B8" s="49" t="s">
        <v>20</v>
      </c>
      <c r="C8" s="50" t="s">
        <v>21</v>
      </c>
      <c r="D8" s="51" t="s">
        <v>22</v>
      </c>
      <c r="E8" s="52" t="s">
        <v>23</v>
      </c>
      <c r="F8" s="52" t="s">
        <v>31</v>
      </c>
      <c r="G8" s="52" t="s">
        <v>32</v>
      </c>
      <c r="H8" s="52" t="s">
        <v>24</v>
      </c>
      <c r="I8" s="93" t="s">
        <v>9</v>
      </c>
      <c r="J8" s="52" t="s">
        <v>41</v>
      </c>
      <c r="K8" s="94" t="s">
        <v>10</v>
      </c>
      <c r="L8" s="52" t="s">
        <v>25</v>
      </c>
      <c r="M8" s="52" t="s">
        <v>33</v>
      </c>
      <c r="N8" s="52" t="s">
        <v>34</v>
      </c>
      <c r="O8" s="52" t="s">
        <v>26</v>
      </c>
      <c r="P8" s="52" t="s">
        <v>18</v>
      </c>
      <c r="Q8" s="52" t="s">
        <v>43</v>
      </c>
      <c r="R8" s="51" t="s">
        <v>19</v>
      </c>
      <c r="S8" s="52" t="s">
        <v>27</v>
      </c>
      <c r="T8" s="52" t="s">
        <v>28</v>
      </c>
      <c r="U8" s="51" t="s">
        <v>29</v>
      </c>
    </row>
    <row r="9" spans="1:21" x14ac:dyDescent="0.3">
      <c r="B9" s="53"/>
      <c r="C9" s="54"/>
      <c r="D9" s="55" t="s">
        <v>2</v>
      </c>
      <c r="E9" s="56" t="s">
        <v>2</v>
      </c>
      <c r="F9" s="56" t="s">
        <v>2</v>
      </c>
      <c r="G9" s="56" t="s">
        <v>2</v>
      </c>
      <c r="H9" s="56" t="s">
        <v>0</v>
      </c>
      <c r="I9" s="56" t="s">
        <v>2</v>
      </c>
      <c r="J9" s="56" t="s">
        <v>2</v>
      </c>
      <c r="K9" s="55" t="s">
        <v>0</v>
      </c>
      <c r="L9" s="56" t="s">
        <v>0</v>
      </c>
      <c r="M9" s="56" t="s">
        <v>0</v>
      </c>
      <c r="N9" s="56" t="s">
        <v>0</v>
      </c>
      <c r="O9" s="56" t="s">
        <v>0</v>
      </c>
      <c r="P9" s="56" t="s">
        <v>0</v>
      </c>
      <c r="Q9" s="56" t="s">
        <v>0</v>
      </c>
      <c r="R9" s="55" t="s">
        <v>0</v>
      </c>
      <c r="S9" s="56" t="s">
        <v>0</v>
      </c>
      <c r="T9" s="56" t="s">
        <v>0</v>
      </c>
      <c r="U9" s="55" t="s">
        <v>0</v>
      </c>
    </row>
    <row r="10" spans="1:21" x14ac:dyDescent="0.3">
      <c r="B10" s="57">
        <v>2019</v>
      </c>
      <c r="C10" s="58">
        <v>0</v>
      </c>
      <c r="D10" s="59"/>
      <c r="E10" s="60"/>
      <c r="F10" s="60"/>
      <c r="G10" s="60"/>
      <c r="H10" s="61"/>
      <c r="I10" s="60"/>
      <c r="J10" s="60"/>
      <c r="K10" s="59"/>
      <c r="L10" s="62">
        <f>NPV('Key Information'!$C$16,E11:E$61)*(1+'Key Information'!$C$16)</f>
        <v>2269332858.5938993</v>
      </c>
      <c r="M10" s="62">
        <f>NPV('Key Information'!$C$16,F11:F$61)*(1+'Key Information'!$C$16)</f>
        <v>183033737.88677847</v>
      </c>
      <c r="N10" s="62">
        <f>NPV('Key Information'!$C$16,G11:G$61)*(1+'Key Information'!$C$16)</f>
        <v>113466642.92969504</v>
      </c>
      <c r="O10" s="62">
        <f>NPV('Key Information'!$C$16,H11:H$61)</f>
        <v>1062756598.8652525</v>
      </c>
      <c r="P10" s="62">
        <f>NPV('Key Information'!$C$16,I11:I$61)*(1+'Key Information'!$C$16)</f>
        <v>748879843.33598721</v>
      </c>
      <c r="Q10" s="62">
        <f>NPV('Key Information'!$C$16,J11:J$61)*(1+'Key Information'!$C$16)</f>
        <v>215000000</v>
      </c>
      <c r="R10" s="63">
        <f>NPV('Key Information'!$C$16,K11:K$61)</f>
        <v>371964809.60283822</v>
      </c>
      <c r="S10" s="62">
        <f>M10+N10+(O10-R10)+Q10-(L10-P10)</f>
        <v>-318160845.17902446</v>
      </c>
      <c r="T10" s="87">
        <f>U10-S10</f>
        <v>308160845.17902446</v>
      </c>
      <c r="U10" s="86">
        <f>'Key Information'!C53</f>
        <v>-10000000</v>
      </c>
    </row>
    <row r="11" spans="1:21" x14ac:dyDescent="0.3">
      <c r="A11" s="64"/>
      <c r="B11" s="57">
        <v>2020</v>
      </c>
      <c r="C11" s="58">
        <v>1</v>
      </c>
      <c r="D11" s="70">
        <v>55000000000</v>
      </c>
      <c r="E11" s="71">
        <f>200*10^6</f>
        <v>200000000</v>
      </c>
      <c r="F11" s="62">
        <f>'Key Information'!C25</f>
        <v>18000000</v>
      </c>
      <c r="G11" s="62">
        <f>'Key Information'!$C$30*E11</f>
        <v>10000000</v>
      </c>
      <c r="H11" s="62">
        <f>D11*VLOOKUP($C11,'Key Information'!$F$8:$I$58,3,FALSE)</f>
        <v>99000000</v>
      </c>
      <c r="I11" s="62">
        <f>E11*'Key Information'!$C$44</f>
        <v>66000000</v>
      </c>
      <c r="J11" s="62">
        <f>IF(C6="N",0,'Key Information'!$C$47)</f>
        <v>215000000</v>
      </c>
      <c r="K11" s="63">
        <f>H11*'Key Information'!$C$45</f>
        <v>34650000</v>
      </c>
      <c r="L11" s="62">
        <f>NPV('Key Information'!$C$16,E12:E$61)*(1+'Key Information'!$C$16)</f>
        <v>2131412844.3517179</v>
      </c>
      <c r="M11" s="62">
        <f>NPV('Key Information'!$C$16,F12:F$61)*(1+'Key Information'!$C$16)</f>
        <v>169984750.02338192</v>
      </c>
      <c r="N11" s="62">
        <f>NPV('Key Information'!$C$16,G12:G$61)*(1+'Key Information'!$C$16)</f>
        <v>106570642.21758591</v>
      </c>
      <c r="O11" s="62">
        <f>NPV('Key Information'!$C$16,H12:H$61)</f>
        <v>995639296.83121061</v>
      </c>
      <c r="P11" s="62">
        <f>NPV('Key Information'!$C$16,I12:I$61)*(1+'Key Information'!$C$16)</f>
        <v>703366238.63606691</v>
      </c>
      <c r="Q11" s="60"/>
      <c r="R11" s="63">
        <f>NPV('Key Information'!$C$16,K12:K$61)</f>
        <v>348473753.89092362</v>
      </c>
      <c r="S11" s="62">
        <f t="shared" ref="S11:S61" si="0">(M11-R11)+N11+O11+Q11-(L11-P11)</f>
        <v>-504325670.53439617</v>
      </c>
      <c r="T11" s="62">
        <f t="shared" ref="T11:T61" si="1">L11*$U$6</f>
        <v>289432191.95610851</v>
      </c>
      <c r="U11" s="63">
        <f t="shared" ref="U11:U61" si="2">S11+T11</f>
        <v>-214893478.57828766</v>
      </c>
    </row>
    <row r="12" spans="1:21" x14ac:dyDescent="0.3">
      <c r="A12" s="64"/>
      <c r="B12" s="57">
        <v>2021</v>
      </c>
      <c r="C12" s="58">
        <v>2</v>
      </c>
      <c r="D12" s="63">
        <f>D11*(1-VLOOKUP($C11,'Key Information'!$F$8:$I$58,4,FALSE)-VLOOKUP($C11,'Key Information'!$F$8:$I$58,3,FALSE))*(1+'Key Information'!$C$21)</f>
        <v>51062220000</v>
      </c>
      <c r="E12" s="62">
        <f>(E11*VLOOKUP($C11,'Key Information'!$F$8:$I$58,2,FALSE)+E11)*(1-VLOOKUP($C11,'Key Information'!$F$8:$I$58,4,FALSE)-VLOOKUP($C11,'Key Information'!$F$8:$I$58,3,FALSE))*(1+'Key Information'!$C$21)</f>
        <v>188466012</v>
      </c>
      <c r="F12" s="62">
        <f>(F11*'Key Information'!$C$20+F11)*(1-VLOOKUP($C11,'Key Information'!$F$8:$I$58,4,FALSE)-VLOOKUP($C11,'Key Information'!$F$8:$I$58,3,FALSE))</f>
        <v>16875108</v>
      </c>
      <c r="G12" s="62">
        <f>'Key Information'!$C$30*E12</f>
        <v>9423300.5999999996</v>
      </c>
      <c r="H12" s="62">
        <f>D12*VLOOKUP($C12,'Key Information'!$F$8:$I$58,3,FALSE)</f>
        <v>91911996</v>
      </c>
      <c r="I12" s="62">
        <f>E12*'Key Information'!$C$44</f>
        <v>62193783.960000001</v>
      </c>
      <c r="J12" s="60"/>
      <c r="K12" s="63">
        <f>H12*'Key Information'!$C$45</f>
        <v>32169198.599999998</v>
      </c>
      <c r="L12" s="62">
        <f>NPV('Key Information'!$C$16,E13:E$61)*(1+'Key Information'!$C$16)</f>
        <v>2001235237.3222699</v>
      </c>
      <c r="M12" s="62">
        <f>NPV('Key Information'!$C$16,F13:F$61)*(1+'Key Information'!$C$16)</f>
        <v>157702931.2840834</v>
      </c>
      <c r="N12" s="62">
        <f>NPV('Key Information'!$C$16,G13:G$61)*(1+'Key Information'!$C$16)</f>
        <v>100061761.86611347</v>
      </c>
      <c r="O12" s="62">
        <f>NPV('Key Information'!$C$16,H13:H$61)</f>
        <v>933596479.73614657</v>
      </c>
      <c r="P12" s="62">
        <f>NPV('Key Information'!$C$16,I13:I$61)*(1+'Key Information'!$C$16)</f>
        <v>660407628.31634867</v>
      </c>
      <c r="Q12" s="60"/>
      <c r="R12" s="63">
        <f>NPV('Key Information'!$C$16,K13:K$61)</f>
        <v>326758767.90765131</v>
      </c>
      <c r="S12" s="62">
        <f t="shared" si="0"/>
        <v>-476225204.02722919</v>
      </c>
      <c r="T12" s="62">
        <f t="shared" si="1"/>
        <v>271754907.96770602</v>
      </c>
      <c r="U12" s="63">
        <f t="shared" si="2"/>
        <v>-204470296.05952317</v>
      </c>
    </row>
    <row r="13" spans="1:21" x14ac:dyDescent="0.3">
      <c r="A13" s="64"/>
      <c r="B13" s="57">
        <v>2022</v>
      </c>
      <c r="C13" s="58">
        <v>3</v>
      </c>
      <c r="D13" s="63">
        <f>D12*(1-VLOOKUP($C12,'Key Information'!$F$8:$I$58,4,FALSE)-VLOOKUP($C12,'Key Information'!$F$8:$I$58,3,FALSE))*(1+'Key Information'!$C$21)</f>
        <v>47302202368.080002</v>
      </c>
      <c r="E13" s="62">
        <f>(E12*VLOOKUP($C12,'Key Information'!$F$8:$I$58,2,FALSE)+E12)*(1-VLOOKUP($C12,'Key Information'!$F$8:$I$58,4,FALSE)-VLOOKUP($C12,'Key Information'!$F$8:$I$58,3,FALSE))*(1+'Key Information'!$C$21)</f>
        <v>177311703.54871774</v>
      </c>
      <c r="F13" s="62">
        <f>(F12*'Key Information'!$C$20+F12)*(1-VLOOKUP($C12,'Key Information'!$F$8:$I$58,4,FALSE)-VLOOKUP($C12,'Key Information'!$F$8:$I$58,3,FALSE))</f>
        <v>15785752.278167998</v>
      </c>
      <c r="G13" s="62">
        <f>'Key Information'!$C$30*E13</f>
        <v>8865585.177435888</v>
      </c>
      <c r="H13" s="62">
        <f>D13*VLOOKUP($C13,'Key Information'!$F$8:$I$58,3,FALSE)</f>
        <v>89874184.499352008</v>
      </c>
      <c r="I13" s="62">
        <f>E13*'Key Information'!$C$44</f>
        <v>58512862.171076857</v>
      </c>
      <c r="J13" s="60"/>
      <c r="K13" s="63">
        <f>H13*'Key Information'!$C$45</f>
        <v>31455964.5747732</v>
      </c>
      <c r="L13" s="62">
        <f>NPV('Key Information'!$C$16,E14:E$61)*(1+'Key Information'!$C$16)</f>
        <v>1878641239.7867582</v>
      </c>
      <c r="M13" s="62">
        <f>NPV('Key Information'!$C$16,F14:F$61)*(1+'Key Information'!$C$16)</f>
        <v>146174694.37609273</v>
      </c>
      <c r="N13" s="62">
        <f>NPV('Key Information'!$C$16,G14:G$61)*(1+'Key Information'!$C$16)</f>
        <v>93932061.989337891</v>
      </c>
      <c r="O13" s="62">
        <f>NPV('Key Information'!$C$16,H14:H$61)</f>
        <v>871730189.62887895</v>
      </c>
      <c r="P13" s="62">
        <f>NPV('Key Information'!$C$16,I14:I$61)*(1+'Key Information'!$C$16)</f>
        <v>619951609.12963045</v>
      </c>
      <c r="Q13" s="60"/>
      <c r="R13" s="63">
        <f>NPV('Key Information'!$C$16,K14:K$61)</f>
        <v>305105566.37010789</v>
      </c>
      <c r="S13" s="62">
        <f t="shared" si="0"/>
        <v>-451958251.0329262</v>
      </c>
      <c r="T13" s="62">
        <f t="shared" si="1"/>
        <v>255107429.50223905</v>
      </c>
      <c r="U13" s="63">
        <f t="shared" si="2"/>
        <v>-196850821.53068715</v>
      </c>
    </row>
    <row r="14" spans="1:21" x14ac:dyDescent="0.3">
      <c r="A14" s="64"/>
      <c r="B14" s="57">
        <v>2023</v>
      </c>
      <c r="C14" s="58">
        <v>4</v>
      </c>
      <c r="D14" s="63">
        <f>D13*(1-VLOOKUP($C13,'Key Information'!$F$8:$I$58,4,FALSE)-VLOOKUP($C13,'Key Information'!$F$8:$I$58,3,FALSE))*(1+'Key Information'!$C$21)</f>
        <v>43814232569.862526</v>
      </c>
      <c r="E14" s="62">
        <f>(E13*VLOOKUP($C13,'Key Information'!$F$8:$I$58,2,FALSE)+E13)*(1-VLOOKUP($C13,'Key Information'!$F$8:$I$58,4,FALSE)-VLOOKUP($C13,'Key Information'!$F$8:$I$58,3,FALSE))*(1+'Key Information'!$C$21)</f>
        <v>166901675.75174761</v>
      </c>
      <c r="F14" s="62">
        <f>(F13*'Key Information'!$C$20+F13)*(1-VLOOKUP($C13,'Key Information'!$F$8:$I$58,4,FALSE)-VLOOKUP($C13,'Key Information'!$F$8:$I$58,3,FALSE))</f>
        <v>14765092.893118491</v>
      </c>
      <c r="G14" s="62">
        <f>'Key Information'!$C$30*E14</f>
        <v>8345083.787587381</v>
      </c>
      <c r="H14" s="62">
        <f>D14*VLOOKUP($C14,'Key Information'!$F$8:$I$58,3,FALSE)</f>
        <v>83247041.882738799</v>
      </c>
      <c r="I14" s="62">
        <f>E14*'Key Information'!$C$44</f>
        <v>55077552.998076715</v>
      </c>
      <c r="J14" s="60"/>
      <c r="K14" s="63">
        <f>H14*'Key Information'!$C$45</f>
        <v>29136464.658958577</v>
      </c>
      <c r="L14" s="62">
        <f>NPV('Key Information'!$C$16,E15:E$61)*(1+'Key Information'!$C$16)</f>
        <v>1763091750.9560609</v>
      </c>
      <c r="M14" s="62">
        <f>NPV('Key Information'!$C$16,F15:F$61)*(1+'Key Information'!$C$16)</f>
        <v>135351889.52746356</v>
      </c>
      <c r="N14" s="62">
        <f>NPV('Key Information'!$C$16,G15:G$61)*(1+'Key Information'!$C$16)</f>
        <v>88154587.547803089</v>
      </c>
      <c r="O14" s="62">
        <f>NPV('Key Information'!$C$16,H15:H$61)</f>
        <v>814635053.43500674</v>
      </c>
      <c r="P14" s="62">
        <f>NPV('Key Information'!$C$16,I15:I$61)*(1+'Key Information'!$C$16)</f>
        <v>581820277.81550014</v>
      </c>
      <c r="Q14" s="60"/>
      <c r="R14" s="63">
        <f>NPV('Key Information'!$C$16,K15:K$61)</f>
        <v>285122268.70225221</v>
      </c>
      <c r="S14" s="62">
        <f t="shared" si="0"/>
        <v>-428252211.33253944</v>
      </c>
      <c r="T14" s="62">
        <f t="shared" si="1"/>
        <v>239416550.13069773</v>
      </c>
      <c r="U14" s="63">
        <f t="shared" si="2"/>
        <v>-188835661.20184171</v>
      </c>
    </row>
    <row r="15" spans="1:21" x14ac:dyDescent="0.3">
      <c r="A15" s="64"/>
      <c r="B15" s="57">
        <v>2024</v>
      </c>
      <c r="C15" s="58">
        <v>5</v>
      </c>
      <c r="D15" s="63">
        <f>D14*(1-VLOOKUP($C14,'Key Information'!$F$8:$I$58,4,FALSE)-VLOOKUP($C14,'Key Information'!$F$8:$I$58,3,FALSE))*(1+'Key Information'!$C$21)</f>
        <v>40538768171.404747</v>
      </c>
      <c r="E15" s="62">
        <f>(E14*VLOOKUP($C14,'Key Information'!$F$8:$I$58,2,FALSE)+E14)*(1-VLOOKUP($C14,'Key Information'!$F$8:$I$58,4,FALSE)-VLOOKUP($C14,'Key Information'!$F$8:$I$58,3,FALSE))*(1+'Key Information'!$C$21)</f>
        <v>157030037.67969608</v>
      </c>
      <c r="F15" s="62">
        <f>(F14*'Key Information'!$C$20+F14)*(1-VLOOKUP($C14,'Key Information'!$F$8:$I$58,4,FALSE)-VLOOKUP($C14,'Key Information'!$F$8:$I$58,3,FALSE))</f>
        <v>13795218.236248218</v>
      </c>
      <c r="G15" s="62">
        <f>'Key Information'!$C$30*E15</f>
        <v>7851501.8839848042</v>
      </c>
      <c r="H15" s="62">
        <f>D15*VLOOKUP($C15,'Key Information'!$F$8:$I$58,3,FALSE)</f>
        <v>77023659.525669023</v>
      </c>
      <c r="I15" s="62">
        <f>E15*'Key Information'!$C$44</f>
        <v>51819912.434299707</v>
      </c>
      <c r="J15" s="60"/>
      <c r="K15" s="63">
        <f>H15*'Key Information'!$C$45</f>
        <v>26958280.833984155</v>
      </c>
      <c r="L15" s="62">
        <f>NPV('Key Information'!$C$16,E16:E$61)*(1+'Key Information'!$C$16)</f>
        <v>1654243564.6746552</v>
      </c>
      <c r="M15" s="62">
        <f>NPV('Key Information'!$C$16,F16:F$61)*(1+'Key Information'!$C$16)</f>
        <v>125203371.42995182</v>
      </c>
      <c r="N15" s="62">
        <f>NPV('Key Information'!$C$16,G16:G$61)*(1+'Key Information'!$C$16)</f>
        <v>82712178.233732805</v>
      </c>
      <c r="O15" s="62">
        <f>NPV('Key Information'!$C$16,H16:H$61)</f>
        <v>762050445.51238823</v>
      </c>
      <c r="P15" s="62">
        <f>NPV('Key Information'!$C$16,I16:I$61)*(1+'Key Information'!$C$16)</f>
        <v>545900376.34263635</v>
      </c>
      <c r="Q15" s="60"/>
      <c r="R15" s="63">
        <f>NPV('Key Information'!$C$16,K16:K$61)</f>
        <v>266717655.9293358</v>
      </c>
      <c r="S15" s="62">
        <f t="shared" si="0"/>
        <v>-405094849.08528185</v>
      </c>
      <c r="T15" s="62">
        <f t="shared" si="1"/>
        <v>224635664.65871575</v>
      </c>
      <c r="U15" s="63">
        <f t="shared" si="2"/>
        <v>-180459184.42656609</v>
      </c>
    </row>
    <row r="16" spans="1:21" x14ac:dyDescent="0.3">
      <c r="A16" s="64"/>
      <c r="B16" s="57">
        <v>2025</v>
      </c>
      <c r="C16" s="58">
        <v>6</v>
      </c>
      <c r="D16" s="63">
        <f>D15*(1-VLOOKUP($C15,'Key Information'!$F$8:$I$58,4,FALSE)-VLOOKUP($C15,'Key Information'!$F$8:$I$58,3,FALSE))*(1+'Key Information'!$C$21)</f>
        <v>37466821396.912041</v>
      </c>
      <c r="E16" s="62">
        <f>(E15*VLOOKUP($C15,'Key Information'!$F$8:$I$58,2,FALSE)+E15)*(1-VLOOKUP($C15,'Key Information'!$F$8:$I$58,4,FALSE)-VLOOKUP($C15,'Key Information'!$F$8:$I$58,3,FALSE))*(1+'Key Information'!$C$21)</f>
        <v>147677349.87704158</v>
      </c>
      <c r="F16" s="62">
        <f>(F15*'Key Information'!$C$20+F15)*(1-VLOOKUP($C15,'Key Information'!$F$8:$I$58,4,FALSE)-VLOOKUP($C15,'Key Information'!$F$8:$I$58,3,FALSE))</f>
        <v>12874842.661180444</v>
      </c>
      <c r="G16" s="62">
        <f>'Key Information'!$C$30*E16</f>
        <v>7383867.4938520789</v>
      </c>
      <c r="H16" s="62">
        <f>D16*VLOOKUP($C16,'Key Information'!$F$8:$I$58,3,FALSE)</f>
        <v>74933642.793824077</v>
      </c>
      <c r="I16" s="62">
        <f>E16*'Key Information'!$C$44</f>
        <v>48733525.459423721</v>
      </c>
      <c r="J16" s="60"/>
      <c r="K16" s="63">
        <f>H16*'Key Information'!$C$45</f>
        <v>26226774.977838427</v>
      </c>
      <c r="L16" s="62">
        <f>NPV('Key Information'!$C$16,E17:E$61)*(1+'Key Information'!$C$16)</f>
        <v>1551763201.2415428</v>
      </c>
      <c r="M16" s="62">
        <f>NPV('Key Information'!$C$16,F17:F$61)*(1+'Key Information'!$C$16)</f>
        <v>115698384.63183452</v>
      </c>
      <c r="N16" s="62">
        <f>NPV('Key Information'!$C$16,G17:G$61)*(1+'Key Information'!$C$16)</f>
        <v>77588160.062077135</v>
      </c>
      <c r="O16" s="62">
        <f>NPV('Key Information'!$C$16,H17:H$61)</f>
        <v>709978316.08393562</v>
      </c>
      <c r="P16" s="62">
        <f>NPV('Key Information'!$C$16,I17:I$61)*(1+'Key Information'!$C$16)</f>
        <v>512081856.40970904</v>
      </c>
      <c r="Q16" s="60"/>
      <c r="R16" s="63">
        <f>NPV('Key Information'!$C$16,K17:K$61)</f>
        <v>248492410.62937734</v>
      </c>
      <c r="S16" s="62">
        <f t="shared" si="0"/>
        <v>-384908894.68336391</v>
      </c>
      <c r="T16" s="62">
        <f t="shared" si="1"/>
        <v>210719488.68205932</v>
      </c>
      <c r="U16" s="63">
        <f t="shared" si="2"/>
        <v>-174189406.0013046</v>
      </c>
    </row>
    <row r="17" spans="1:21" x14ac:dyDescent="0.3">
      <c r="A17" s="64"/>
      <c r="B17" s="57">
        <v>2026</v>
      </c>
      <c r="C17" s="58">
        <v>7</v>
      </c>
      <c r="D17" s="63">
        <f>D16*(1-VLOOKUP($C16,'Key Information'!$F$8:$I$58,4,FALSE)-VLOOKUP($C16,'Key Information'!$F$8:$I$58,3,FALSE))*(1+'Key Information'!$C$21)</f>
        <v>34623838989.314354</v>
      </c>
      <c r="E17" s="62">
        <f>(E16*VLOOKUP($C16,'Key Information'!$F$8:$I$58,2,FALSE)+E16)*(1-VLOOKUP($C16,'Key Information'!$F$8:$I$58,4,FALSE)-VLOOKUP($C16,'Key Information'!$F$8:$I$58,3,FALSE))*(1+'Key Information'!$C$21)</f>
        <v>138962170.95627359</v>
      </c>
      <c r="F17" s="62">
        <f>(F16*'Key Information'!$C$20+F16)*(1-VLOOKUP($C16,'Key Information'!$F$8:$I$58,4,FALSE)-VLOOKUP($C16,'Key Information'!$F$8:$I$58,3,FALSE))</f>
        <v>12014545.674560368</v>
      </c>
      <c r="G17" s="62">
        <f>'Key Information'!$C$30*E17</f>
        <v>6948108.54781368</v>
      </c>
      <c r="H17" s="62">
        <f>D17*VLOOKUP($C17,'Key Information'!$F$8:$I$58,3,FALSE)</f>
        <v>69247677.97862871</v>
      </c>
      <c r="I17" s="62">
        <f>E17*'Key Information'!$C$44</f>
        <v>45857516.415570289</v>
      </c>
      <c r="J17" s="60"/>
      <c r="K17" s="63">
        <f>H17*'Key Information'!$C$45</f>
        <v>24236687.292520046</v>
      </c>
      <c r="L17" s="62">
        <f>NPV('Key Information'!$C$16,E18:E$61)*(1+'Key Information'!$C$16)</f>
        <v>1455185061.1938274</v>
      </c>
      <c r="M17" s="62">
        <f>NPV('Key Information'!$C$16,F18:F$61)*(1+'Key Information'!$C$16)</f>
        <v>106794354.1259924</v>
      </c>
      <c r="N17" s="62">
        <f>NPV('Key Information'!$C$16,G18:G$61)*(1+'Key Information'!$C$16)</f>
        <v>72759253.059691355</v>
      </c>
      <c r="O17" s="62">
        <f>NPV('Key Information'!$C$16,H18:H$61)</f>
        <v>662029987.5878247</v>
      </c>
      <c r="P17" s="62">
        <f>NPV('Key Information'!$C$16,I18:I$61)*(1+'Key Information'!$C$16)</f>
        <v>480211070.19396299</v>
      </c>
      <c r="Q17" s="60"/>
      <c r="R17" s="63">
        <f>NPV('Key Information'!$C$16,K18:K$61)</f>
        <v>231710495.65573859</v>
      </c>
      <c r="S17" s="62">
        <f t="shared" si="0"/>
        <v>-365100891.8820945</v>
      </c>
      <c r="T17" s="62">
        <f t="shared" si="1"/>
        <v>197604796.78033328</v>
      </c>
      <c r="U17" s="63">
        <f t="shared" si="2"/>
        <v>-167496095.10176122</v>
      </c>
    </row>
    <row r="18" spans="1:21" x14ac:dyDescent="0.3">
      <c r="A18" s="64"/>
      <c r="B18" s="57">
        <v>2027</v>
      </c>
      <c r="C18" s="58">
        <v>8</v>
      </c>
      <c r="D18" s="63">
        <f>D17*(1-VLOOKUP($C17,'Key Information'!$F$8:$I$58,4,FALSE)-VLOOKUP($C17,'Key Information'!$F$8:$I$58,3,FALSE))*(1+'Key Information'!$C$21)</f>
        <v>31961265771.036079</v>
      </c>
      <c r="E18" s="62">
        <f>(E17*VLOOKUP($C17,'Key Information'!$F$8:$I$58,2,FALSE)+E17)*(1-VLOOKUP($C17,'Key Information'!$F$8:$I$58,4,FALSE)-VLOOKUP($C17,'Key Information'!$F$8:$I$58,3,FALSE))*(1+'Key Information'!$C$21)</f>
        <v>130710630.56657413</v>
      </c>
      <c r="F18" s="62">
        <f>(F17*'Key Information'!$C$20+F17)*(1-VLOOKUP($C17,'Key Information'!$F$8:$I$58,4,FALSE)-VLOOKUP($C17,'Key Information'!$F$8:$I$58,3,FALSE))</f>
        <v>11199358.750541447</v>
      </c>
      <c r="G18" s="62">
        <f>'Key Information'!$C$30*E18</f>
        <v>6535531.5283287065</v>
      </c>
      <c r="H18" s="62">
        <f>D18*VLOOKUP($C18,'Key Information'!$F$8:$I$58,3,FALSE)</f>
        <v>67118658.119175762</v>
      </c>
      <c r="I18" s="62">
        <f>E18*'Key Information'!$C$44</f>
        <v>43134508.086969465</v>
      </c>
      <c r="J18" s="60"/>
      <c r="K18" s="63">
        <f>H18*'Key Information'!$C$45</f>
        <v>23491530.341711514</v>
      </c>
      <c r="L18" s="62">
        <f>NPV('Key Information'!$C$16,E19:E$61)*(1+'Key Information'!$C$16)</f>
        <v>1364208663.5460703</v>
      </c>
      <c r="M18" s="62">
        <f>NPV('Key Information'!$C$16,F19:F$61)*(1+'Key Information'!$C$16)</f>
        <v>98462845.236714453</v>
      </c>
      <c r="N18" s="62">
        <f>NPV('Key Information'!$C$16,G19:G$61)*(1+'Key Information'!$C$16)</f>
        <v>68210433.177303508</v>
      </c>
      <c r="O18" s="62">
        <f>NPV('Key Information'!$C$16,H19:H$61)</f>
        <v>614772229.09628367</v>
      </c>
      <c r="P18" s="62">
        <f>NPV('Key Information'!$C$16,I19:I$61)*(1+'Key Information'!$C$16)</f>
        <v>450188858.97020334</v>
      </c>
      <c r="Q18" s="60"/>
      <c r="R18" s="63">
        <f>NPV('Key Information'!$C$16,K19:K$61)</f>
        <v>215170280.18369928</v>
      </c>
      <c r="S18" s="62">
        <f t="shared" si="0"/>
        <v>-347744577.2492646</v>
      </c>
      <c r="T18" s="62">
        <f t="shared" si="1"/>
        <v>185250785.56320104</v>
      </c>
      <c r="U18" s="63">
        <f t="shared" si="2"/>
        <v>-162493791.68606356</v>
      </c>
    </row>
    <row r="19" spans="1:21" x14ac:dyDescent="0.3">
      <c r="A19" s="64"/>
      <c r="B19" s="57">
        <v>2028</v>
      </c>
      <c r="C19" s="58">
        <v>9</v>
      </c>
      <c r="D19" s="63">
        <f>D18*(1-VLOOKUP($C18,'Key Information'!$F$8:$I$58,4,FALSE)-VLOOKUP($C18,'Key Information'!$F$8:$I$58,3,FALSE))*(1+'Key Information'!$C$21)</f>
        <v>29467583893.048306</v>
      </c>
      <c r="E19" s="62">
        <f>(E18*VLOOKUP($C18,'Key Information'!$F$8:$I$58,2,FALSE)+E18)*(1-VLOOKUP($C18,'Key Information'!$F$8:$I$58,4,FALSE)-VLOOKUP($C18,'Key Information'!$F$8:$I$58,3,FALSE))*(1+'Key Information'!$C$21)</f>
        <v>122891115.73714015</v>
      </c>
      <c r="F19" s="62">
        <f>(F18*'Key Information'!$C$20+F18)*(1-VLOOKUP($C18,'Key Information'!$F$8:$I$58,4,FALSE)-VLOOKUP($C18,'Key Information'!$F$8:$I$58,3,FALSE))</f>
        <v>10426793.385852847</v>
      </c>
      <c r="G19" s="62">
        <f>'Key Information'!$C$30*E19</f>
        <v>6144555.786857008</v>
      </c>
      <c r="H19" s="62">
        <f>D19*VLOOKUP($C19,'Key Information'!$F$8:$I$58,3,FALSE)</f>
        <v>61881926.175401434</v>
      </c>
      <c r="I19" s="62">
        <f>E19*'Key Information'!$C$44</f>
        <v>40554068.193256252</v>
      </c>
      <c r="J19" s="60"/>
      <c r="K19" s="63">
        <f>H19*'Key Information'!$C$45</f>
        <v>21658674.161390502</v>
      </c>
      <c r="L19" s="62">
        <f>NPV('Key Information'!$C$16,E20:E$61)*(1+'Key Information'!$C$16)</f>
        <v>1278557074.2431991</v>
      </c>
      <c r="M19" s="62">
        <f>NPV('Key Information'!$C$16,F20:F$61)*(1+'Key Information'!$C$16)</f>
        <v>90677133.406387538</v>
      </c>
      <c r="N19" s="62">
        <f>NPV('Key Information'!$C$16,G20:G$61)*(1+'Key Information'!$C$16)</f>
        <v>63927853.712159909</v>
      </c>
      <c r="O19" s="62">
        <f>NPV('Key Information'!$C$16,H20:H$61)</f>
        <v>571333469.79377103</v>
      </c>
      <c r="P19" s="62">
        <f>NPV('Key Information'!$C$16,I20:I$61)*(1+'Key Information'!$C$16)</f>
        <v>421923834.50025547</v>
      </c>
      <c r="Q19" s="60"/>
      <c r="R19" s="63">
        <f>NPV('Key Information'!$C$16,K20:K$61)</f>
        <v>199966714.4278197</v>
      </c>
      <c r="S19" s="62">
        <f t="shared" si="0"/>
        <v>-330661497.25844485</v>
      </c>
      <c r="T19" s="62">
        <f t="shared" si="1"/>
        <v>173619849.16242388</v>
      </c>
      <c r="U19" s="63">
        <f t="shared" si="2"/>
        <v>-157041648.09602097</v>
      </c>
    </row>
    <row r="20" spans="1:21" x14ac:dyDescent="0.3">
      <c r="A20" s="64"/>
      <c r="B20" s="57">
        <v>2029</v>
      </c>
      <c r="C20" s="58">
        <v>10</v>
      </c>
      <c r="D20" s="63">
        <f>D19*(1-VLOOKUP($C19,'Key Information'!$F$8:$I$58,4,FALSE)-VLOOKUP($C19,'Key Information'!$F$8:$I$58,3,FALSE))*(1+'Key Information'!$C$21)</f>
        <v>27138407126.973984</v>
      </c>
      <c r="E20" s="62">
        <f>(E19*VLOOKUP($C19,'Key Information'!$F$8:$I$58,2,FALSE)+E19)*(1-VLOOKUP($C19,'Key Information'!$F$8:$I$58,4,FALSE)-VLOOKUP($C19,'Key Information'!$F$8:$I$58,3,FALSE))*(1+'Key Information'!$C$21)</f>
        <v>115500925.67560595</v>
      </c>
      <c r="F20" s="62">
        <f>(F19*'Key Information'!$C$20+F19)*(1-VLOOKUP($C19,'Key Information'!$F$8:$I$58,4,FALSE)-VLOOKUP($C19,'Key Information'!$F$8:$I$58,3,FALSE))</f>
        <v>9696782.3005291335</v>
      </c>
      <c r="G20" s="62">
        <f>'Key Information'!$C$30*E20</f>
        <v>5775046.2837802982</v>
      </c>
      <c r="H20" s="62">
        <f>D20*VLOOKUP($C20,'Key Information'!$F$8:$I$58,3,FALSE)</f>
        <v>56990654.96664536</v>
      </c>
      <c r="I20" s="62">
        <f>E20*'Key Information'!$C$44</f>
        <v>38115305.472949967</v>
      </c>
      <c r="J20" s="60"/>
      <c r="K20" s="63">
        <f>H20*'Key Information'!$C$45</f>
        <v>19946729.238325875</v>
      </c>
      <c r="L20" s="62">
        <f>NPV('Key Information'!$C$16,E21:E$61)*(1+'Key Information'!$C$16)</f>
        <v>1197947833.0246208</v>
      </c>
      <c r="M20" s="62">
        <f>NPV('Key Information'!$C$16,F21:F$61)*(1+'Key Information'!$C$16)</f>
        <v>83409761.639034152</v>
      </c>
      <c r="N20" s="62">
        <f>NPV('Key Information'!$C$16,G21:G$61)*(1+'Key Information'!$C$16)</f>
        <v>59897391.651231021</v>
      </c>
      <c r="O20" s="62">
        <f>NPV('Key Information'!$C$16,H21:H$61)</f>
        <v>531482818.92093867</v>
      </c>
      <c r="P20" s="62">
        <f>NPV('Key Information'!$C$16,I21:I$61)*(1+'Key Information'!$C$16)</f>
        <v>395322784.89812493</v>
      </c>
      <c r="Q20" s="60"/>
      <c r="R20" s="63">
        <f>NPV('Key Information'!$C$16,K21:K$61)</f>
        <v>186018986.62232861</v>
      </c>
      <c r="S20" s="62">
        <f t="shared" si="0"/>
        <v>-313854062.5376206</v>
      </c>
      <c r="T20" s="62">
        <f t="shared" si="1"/>
        <v>162673631.28650221</v>
      </c>
      <c r="U20" s="63">
        <f t="shared" si="2"/>
        <v>-151180431.25111839</v>
      </c>
    </row>
    <row r="21" spans="1:21" x14ac:dyDescent="0.3">
      <c r="A21" s="64"/>
      <c r="B21" s="57">
        <v>2030</v>
      </c>
      <c r="C21" s="58">
        <v>11</v>
      </c>
      <c r="D21" s="63">
        <f>D20*(1-VLOOKUP($C20,'Key Information'!$F$8:$I$58,4,FALSE)-VLOOKUP($C20,'Key Information'!$F$8:$I$58,3,FALSE))*(1+'Key Information'!$C$21)</f>
        <v>24965651975.574192</v>
      </c>
      <c r="E21" s="62">
        <f>(E20*VLOOKUP($C20,'Key Information'!$F$8:$I$58,2,FALSE)+E20)*(1-VLOOKUP($C20,'Key Information'!$F$8:$I$58,4,FALSE)-VLOOKUP($C20,'Key Information'!$F$8:$I$58,3,FALSE))*(1+'Key Information'!$C$21)</f>
        <v>108522172.55756591</v>
      </c>
      <c r="F21" s="62">
        <f>(F20*'Key Information'!$C$20+F20)*(1-VLOOKUP($C20,'Key Information'!$F$8:$I$58,4,FALSE)-VLOOKUP($C20,'Key Information'!$F$8:$I$58,3,FALSE))</f>
        <v>9007893.795552643</v>
      </c>
      <c r="G21" s="62">
        <f>'Key Information'!$C$30*E21</f>
        <v>5426108.6278782962</v>
      </c>
      <c r="H21" s="62">
        <f>D21*VLOOKUP($C21,'Key Information'!$F$8:$I$58,3,FALSE)</f>
        <v>54924434.346263222</v>
      </c>
      <c r="I21" s="62">
        <f>E21*'Key Information'!$C$44</f>
        <v>35812316.94399675</v>
      </c>
      <c r="J21" s="60"/>
      <c r="K21" s="63">
        <f>H21*'Key Information'!$C$45</f>
        <v>19223552.021192126</v>
      </c>
      <c r="L21" s="62">
        <f>NPV('Key Information'!$C$16,E22:E$61)*(1+'Key Information'!$C$16)</f>
        <v>1122108430.2810657</v>
      </c>
      <c r="M21" s="62">
        <f>NPV('Key Information'!$C$16,F22:F$61)*(1+'Key Information'!$C$16)</f>
        <v>76633923.878785938</v>
      </c>
      <c r="N21" s="62">
        <f>NPV('Key Information'!$C$16,G22:G$61)*(1+'Key Information'!$C$16)</f>
        <v>56105421.514053307</v>
      </c>
      <c r="O21" s="62">
        <f>NPV('Key Information'!$C$16,H22:H$61)</f>
        <v>492502869.14230376</v>
      </c>
      <c r="P21" s="62">
        <f>NPV('Key Information'!$C$16,I22:I$61)*(1+'Key Information'!$C$16)</f>
        <v>370295781.99275172</v>
      </c>
      <c r="Q21" s="60"/>
      <c r="R21" s="63">
        <f>NPV('Key Information'!$C$16,K22:K$61)</f>
        <v>172376004.19980624</v>
      </c>
      <c r="S21" s="62">
        <f t="shared" si="0"/>
        <v>-298946437.95297724</v>
      </c>
      <c r="T21" s="62">
        <f t="shared" si="1"/>
        <v>152375126.87855604</v>
      </c>
      <c r="U21" s="63">
        <f t="shared" si="2"/>
        <v>-146571311.0744212</v>
      </c>
    </row>
    <row r="22" spans="1:21" x14ac:dyDescent="0.3">
      <c r="A22" s="64"/>
      <c r="B22" s="57">
        <v>2031</v>
      </c>
      <c r="C22" s="58">
        <v>12</v>
      </c>
      <c r="D22" s="63">
        <f>D21*(1-VLOOKUP($C21,'Key Information'!$F$8:$I$58,4,FALSE)-VLOOKUP($C21,'Key Information'!$F$8:$I$58,3,FALSE))*(1+'Key Information'!$C$21)</f>
        <v>22938840485.589176</v>
      </c>
      <c r="E22" s="62">
        <f>(E21*VLOOKUP($C21,'Key Information'!$F$8:$I$58,2,FALSE)+E21)*(1-VLOOKUP($C21,'Key Information'!$F$8:$I$58,4,FALSE)-VLOOKUP($C21,'Key Information'!$F$8:$I$58,3,FALSE))*(1+'Key Information'!$C$21)</f>
        <v>101925878.24109836</v>
      </c>
      <c r="F22" s="62">
        <f>(F21*'Key Information'!$C$20+F21)*(1-VLOOKUP($C21,'Key Information'!$F$8:$I$58,4,FALSE)-VLOOKUP($C21,'Key Information'!$F$8:$I$58,3,FALSE))</f>
        <v>8357740.0529648364</v>
      </c>
      <c r="G22" s="62">
        <f>'Key Information'!$C$30*E22</f>
        <v>5096293.9120549187</v>
      </c>
      <c r="H22" s="62">
        <f>D22*VLOOKUP($C22,'Key Information'!$F$8:$I$58,3,FALSE)</f>
        <v>50465449.068296194</v>
      </c>
      <c r="I22" s="62">
        <f>E22*'Key Information'!$C$44</f>
        <v>33635539.819562458</v>
      </c>
      <c r="J22" s="60"/>
      <c r="K22" s="63">
        <f>H22*'Key Information'!$C$45</f>
        <v>17662907.173903666</v>
      </c>
      <c r="L22" s="62">
        <f>NPV('Key Information'!$C$16,E23:E$61)*(1+'Key Information'!$C$16)</f>
        <v>1050788028.6011667</v>
      </c>
      <c r="M22" s="62">
        <f>NPV('Key Information'!$C$16,F23:F$61)*(1+'Key Information'!$C$16)</f>
        <v>70324469.340595752</v>
      </c>
      <c r="N22" s="62">
        <f>NPV('Key Information'!$C$16,G23:G$61)*(1+'Key Information'!$C$16)</f>
        <v>52539401.430058345</v>
      </c>
      <c r="O22" s="62">
        <f>NPV('Key Information'!$C$16,H23:H$61)</f>
        <v>456812506.14827669</v>
      </c>
      <c r="P22" s="62">
        <f>NPV('Key Information'!$C$16,I23:I$61)*(1+'Key Information'!$C$16)</f>
        <v>346760049.43838501</v>
      </c>
      <c r="Q22" s="60"/>
      <c r="R22" s="63">
        <f>NPV('Key Information'!$C$16,K23:K$61)</f>
        <v>159884377.15189689</v>
      </c>
      <c r="S22" s="62">
        <f t="shared" si="0"/>
        <v>-284235979.39574784</v>
      </c>
      <c r="T22" s="62">
        <f t="shared" si="1"/>
        <v>142690273.82716054</v>
      </c>
      <c r="U22" s="63">
        <f t="shared" si="2"/>
        <v>-141545705.5685873</v>
      </c>
    </row>
    <row r="23" spans="1:21" x14ac:dyDescent="0.3">
      <c r="A23" s="64"/>
      <c r="B23" s="57">
        <v>2032</v>
      </c>
      <c r="C23" s="58">
        <v>13</v>
      </c>
      <c r="D23" s="63">
        <f>D22*(1-VLOOKUP($C22,'Key Information'!$F$8:$I$58,4,FALSE)-VLOOKUP($C22,'Key Information'!$F$8:$I$58,3,FALSE))*(1+'Key Information'!$C$21)</f>
        <v>21053176042.311806</v>
      </c>
      <c r="E23" s="62">
        <f>(E22*VLOOKUP($C22,'Key Information'!$F$8:$I$58,2,FALSE)+E22)*(1-VLOOKUP($C22,'Key Information'!$F$8:$I$58,4,FALSE)-VLOOKUP($C22,'Key Information'!$F$8:$I$58,3,FALSE))*(1+'Key Information'!$C$21)</f>
        <v>95707336.747217521</v>
      </c>
      <c r="F23" s="62">
        <f>(F22*'Key Information'!$C$20+F22)*(1-VLOOKUP($C22,'Key Information'!$F$8:$I$58,4,FALSE)-VLOOKUP($C22,'Key Information'!$F$8:$I$58,3,FALSE))</f>
        <v>7745903.3346474934</v>
      </c>
      <c r="G23" s="62">
        <f>'Key Information'!$C$30*E23</f>
        <v>4785366.8373608766</v>
      </c>
      <c r="H23" s="62">
        <f>D23*VLOOKUP($C23,'Key Information'!$F$8:$I$58,3,FALSE)</f>
        <v>48422304.897317149</v>
      </c>
      <c r="I23" s="62">
        <f>E23*'Key Information'!$C$44</f>
        <v>31583421.126581784</v>
      </c>
      <c r="J23" s="60"/>
      <c r="K23" s="63">
        <f>H23*'Key Information'!$C$45</f>
        <v>16947806.714060999</v>
      </c>
      <c r="L23" s="62">
        <f>NPV('Key Information'!$C$16,E24:E$61)*(1+'Key Information'!$C$16)</f>
        <v>983733112.60956788</v>
      </c>
      <c r="M23" s="62">
        <f>NPV('Key Information'!$C$16,F24:F$61)*(1+'Key Information'!$C$16)</f>
        <v>64455922.986126676</v>
      </c>
      <c r="N23" s="62">
        <f>NPV('Key Information'!$C$16,G24:G$61)*(1+'Key Information'!$C$16)</f>
        <v>49186655.630478397</v>
      </c>
      <c r="O23" s="62">
        <f>NPV('Key Information'!$C$16,H24:H$61)</f>
        <v>422094576.43540776</v>
      </c>
      <c r="P23" s="62">
        <f>NPV('Key Information'!$C$16,I24:I$61)*(1+'Key Information'!$C$16)</f>
        <v>324631927.16115731</v>
      </c>
      <c r="Q23" s="60"/>
      <c r="R23" s="63">
        <f>NPV('Key Information'!$C$16,K24:K$61)</f>
        <v>147733101.75239268</v>
      </c>
      <c r="S23" s="62">
        <f t="shared" si="0"/>
        <v>-271097132.14879036</v>
      </c>
      <c r="T23" s="62">
        <f t="shared" si="1"/>
        <v>133584646.37055948</v>
      </c>
      <c r="U23" s="63">
        <f t="shared" si="2"/>
        <v>-137512485.77823088</v>
      </c>
    </row>
    <row r="24" spans="1:21" x14ac:dyDescent="0.3">
      <c r="A24" s="64"/>
      <c r="B24" s="57">
        <v>2033</v>
      </c>
      <c r="C24" s="58">
        <v>14</v>
      </c>
      <c r="D24" s="63">
        <f>D23*(1-VLOOKUP($C23,'Key Information'!$F$8:$I$58,4,FALSE)-VLOOKUP($C23,'Key Information'!$F$8:$I$58,3,FALSE))*(1+'Key Information'!$C$21)</f>
        <v>19298899095.410133</v>
      </c>
      <c r="E24" s="62">
        <f>(E23*VLOOKUP($C23,'Key Information'!$F$8:$I$58,2,FALSE)+E23)*(1-VLOOKUP($C23,'Key Information'!$F$8:$I$58,4,FALSE)-VLOOKUP($C23,'Key Information'!$F$8:$I$58,3,FALSE))*(1+'Key Information'!$C$21)</f>
        <v>89839363.843954161</v>
      </c>
      <c r="F24" s="62">
        <f>(F23*'Key Information'!$C$20+F23)*(1-VLOOKUP($C23,'Key Information'!$F$8:$I$58,4,FALSE)-VLOOKUP($C23,'Key Information'!$F$8:$I$58,3,FALSE))</f>
        <v>7170080.6266531339</v>
      </c>
      <c r="G24" s="62">
        <f>'Key Information'!$C$30*E24</f>
        <v>4491968.1921977084</v>
      </c>
      <c r="H24" s="62">
        <f>D24*VLOOKUP($C24,'Key Information'!$F$8:$I$58,3,FALSE)</f>
        <v>44387467.919443309</v>
      </c>
      <c r="I24" s="62">
        <f>E24*'Key Information'!$C$44</f>
        <v>29646990.068504874</v>
      </c>
      <c r="J24" s="60"/>
      <c r="K24" s="63">
        <f>H24*'Key Information'!$C$45</f>
        <v>15535613.771805158</v>
      </c>
      <c r="L24" s="62">
        <f>NPV('Key Information'!$C$16,E25:E$61)*(1+'Key Information'!$C$16)</f>
        <v>920710561.22858179</v>
      </c>
      <c r="M24" s="62">
        <f>NPV('Key Information'!$C$16,F25:F$61)*(1+'Key Information'!$C$16)</f>
        <v>59004417.630257733</v>
      </c>
      <c r="N24" s="62">
        <f>NPV('Key Information'!$C$16,G25:G$61)*(1+'Key Information'!$C$16)</f>
        <v>46035528.061429106</v>
      </c>
      <c r="O24" s="62">
        <f>NPV('Key Information'!$C$16,H25:H$61)</f>
        <v>390369945.80902684</v>
      </c>
      <c r="P24" s="62">
        <f>NPV('Key Information'!$C$16,I25:I$61)*(1+'Key Information'!$C$16)</f>
        <v>303834485.20543212</v>
      </c>
      <c r="Q24" s="60"/>
      <c r="R24" s="63">
        <f>NPV('Key Information'!$C$16,K25:K$61)</f>
        <v>136629481.03315932</v>
      </c>
      <c r="S24" s="62">
        <f t="shared" si="0"/>
        <v>-258095665.5555954</v>
      </c>
      <c r="T24" s="62">
        <f t="shared" si="1"/>
        <v>125026588.16179734</v>
      </c>
      <c r="U24" s="63">
        <f t="shared" si="2"/>
        <v>-133069077.39379805</v>
      </c>
    </row>
    <row r="25" spans="1:21" x14ac:dyDescent="0.3">
      <c r="A25" s="64"/>
      <c r="B25" s="57">
        <v>2034</v>
      </c>
      <c r="C25" s="58">
        <v>15</v>
      </c>
      <c r="D25" s="63">
        <f>D24*(1-VLOOKUP($C24,'Key Information'!$F$8:$I$58,4,FALSE)-VLOOKUP($C24,'Key Information'!$F$8:$I$58,3,FALSE))*(1+'Key Information'!$C$21)</f>
        <v>17671114152.30867</v>
      </c>
      <c r="E25" s="62">
        <f>(E24*VLOOKUP($C24,'Key Information'!$F$8:$I$58,2,FALSE)+E24)*(1-VLOOKUP($C24,'Key Information'!$F$8:$I$58,4,FALSE)-VLOOKUP($C24,'Key Information'!$F$8:$I$58,3,FALSE))*(1+'Key Information'!$C$21)</f>
        <v>84316351.341004848</v>
      </c>
      <c r="F25" s="62">
        <f>(F24*'Key Information'!$C$20+F24)*(1-VLOOKUP($C24,'Key Information'!$F$8:$I$58,4,FALSE)-VLOOKUP($C24,'Key Information'!$F$8:$I$58,3,FALSE))</f>
        <v>6629678.8199029146</v>
      </c>
      <c r="G25" s="62">
        <f>'Key Information'!$C$30*E25</f>
        <v>4215817.5670502428</v>
      </c>
      <c r="H25" s="62">
        <f>D25*VLOOKUP($C25,'Key Information'!$F$8:$I$58,3,FALSE)</f>
        <v>42410673.965540804</v>
      </c>
      <c r="I25" s="62">
        <f>E25*'Key Information'!$C$44</f>
        <v>27824395.942531601</v>
      </c>
      <c r="J25" s="60"/>
      <c r="K25" s="63">
        <f>H25*'Key Information'!$C$45</f>
        <v>14843735.88793928</v>
      </c>
      <c r="L25" s="62">
        <f>NPV('Key Information'!$C$16,E26:E$61)*(1+'Key Information'!$C$16)</f>
        <v>861486036.18420434</v>
      </c>
      <c r="M25" s="62">
        <f>NPV('Key Information'!$C$16,F26:F$61)*(1+'Key Information'!$C$16)</f>
        <v>53945980.974665485</v>
      </c>
      <c r="N25" s="62">
        <f>NPV('Key Information'!$C$16,G26:G$61)*(1+'Key Information'!$C$16)</f>
        <v>43074301.809210241</v>
      </c>
      <c r="O25" s="62">
        <f>NPV('Key Information'!$C$16,H26:H$61)</f>
        <v>359670370.21775669</v>
      </c>
      <c r="P25" s="62">
        <f>NPV('Key Information'!$C$16,I26:I$61)*(1+'Key Information'!$C$16)</f>
        <v>284290391.94078749</v>
      </c>
      <c r="Q25" s="60"/>
      <c r="R25" s="63">
        <f>NPV('Key Information'!$C$16,K26:K$61)</f>
        <v>125884629.57621486</v>
      </c>
      <c r="S25" s="62">
        <f t="shared" si="0"/>
        <v>-246389620.81799924</v>
      </c>
      <c r="T25" s="62">
        <f t="shared" si="1"/>
        <v>116984277.5664667</v>
      </c>
      <c r="U25" s="63">
        <f t="shared" si="2"/>
        <v>-129405343.25153254</v>
      </c>
    </row>
    <row r="26" spans="1:21" x14ac:dyDescent="0.3">
      <c r="A26" s="64"/>
      <c r="B26" s="57">
        <v>2035</v>
      </c>
      <c r="C26" s="58">
        <v>16</v>
      </c>
      <c r="D26" s="63">
        <f>D25*(1-VLOOKUP($C25,'Key Information'!$F$8:$I$58,4,FALSE)-VLOOKUP($C25,'Key Information'!$F$8:$I$58,3,FALSE))*(1+'Key Information'!$C$21)</f>
        <v>16160799367.939154</v>
      </c>
      <c r="E26" s="62">
        <f>(E25*VLOOKUP($C25,'Key Information'!$F$8:$I$58,2,FALSE)+E25)*(1-VLOOKUP($C25,'Key Information'!$F$8:$I$58,4,FALSE)-VLOOKUP($C25,'Key Information'!$F$8:$I$58,3,FALSE))*(1+'Key Information'!$C$21)</f>
        <v>79112945.024715617</v>
      </c>
      <c r="F26" s="62">
        <f>(F25*'Key Information'!$C$20+F25)*(1-VLOOKUP($C25,'Key Information'!$F$8:$I$58,4,FALSE)-VLOOKUP($C25,'Key Information'!$F$8:$I$58,3,FALSE))</f>
        <v>6122495.1308227023</v>
      </c>
      <c r="G26" s="62">
        <f>'Key Information'!$C$30*E26</f>
        <v>3955647.2512357812</v>
      </c>
      <c r="H26" s="62">
        <f>D26*VLOOKUP($C26,'Key Information'!$F$8:$I$58,3,FALSE)</f>
        <v>38785918.483053967</v>
      </c>
      <c r="I26" s="62">
        <f>E26*'Key Information'!$C$44</f>
        <v>26107271.858156156</v>
      </c>
      <c r="J26" s="60"/>
      <c r="K26" s="63">
        <f>H26*'Key Information'!$C$45</f>
        <v>13575071.469068889</v>
      </c>
      <c r="L26" s="62">
        <f>NPV('Key Information'!$C$16,E27:E$61)*(1+'Key Information'!$C$16)</f>
        <v>805844283.89427352</v>
      </c>
      <c r="M26" s="62">
        <f>NPV('Key Information'!$C$16,F27:F$61)*(1+'Key Information'!$C$16)</f>
        <v>49258190.419158064</v>
      </c>
      <c r="N26" s="62">
        <f>NPV('Key Information'!$C$16,G27:G$61)*(1+'Key Information'!$C$16)</f>
        <v>40292214.194713652</v>
      </c>
      <c r="O26" s="62">
        <f>NPV('Key Information'!$C$16,H27:H$61)</f>
        <v>331674562.84123528</v>
      </c>
      <c r="P26" s="62">
        <f>NPV('Key Information'!$C$16,I27:I$61)*(1+'Key Information'!$C$16)</f>
        <v>265928613.68511033</v>
      </c>
      <c r="Q26" s="60"/>
      <c r="R26" s="63">
        <f>NPV('Key Information'!$C$16,K27:K$61)</f>
        <v>116086096.9944324</v>
      </c>
      <c r="S26" s="62">
        <f t="shared" si="0"/>
        <v>-234776799.74848861</v>
      </c>
      <c r="T26" s="62">
        <f t="shared" si="1"/>
        <v>109428484.52889037</v>
      </c>
      <c r="U26" s="63">
        <f t="shared" si="2"/>
        <v>-125348315.21959823</v>
      </c>
    </row>
    <row r="27" spans="1:21" x14ac:dyDescent="0.3">
      <c r="A27" s="64"/>
      <c r="B27" s="57">
        <v>2036</v>
      </c>
      <c r="C27" s="58">
        <v>17</v>
      </c>
      <c r="D27" s="63">
        <f>D26*(1-VLOOKUP($C26,'Key Information'!$F$8:$I$58,4,FALSE)-VLOOKUP($C26,'Key Information'!$F$8:$I$58,3,FALSE))*(1+'Key Information'!$C$21)</f>
        <v>14763084152.204834</v>
      </c>
      <c r="E27" s="62">
        <f>(E26*VLOOKUP($C26,'Key Information'!$F$8:$I$58,2,FALSE)+E26)*(1-VLOOKUP($C26,'Key Information'!$F$8:$I$58,4,FALSE)-VLOOKUP($C26,'Key Information'!$F$8:$I$58,3,FALSE))*(1+'Key Information'!$C$21)</f>
        <v>74222954.31655927</v>
      </c>
      <c r="F27" s="62">
        <f>(F26*'Key Information'!$C$20+F26)*(1-VLOOKUP($C26,'Key Information'!$F$8:$I$58,4,FALSE)-VLOOKUP($C26,'Key Information'!$F$8:$I$58,3,FALSE))</f>
        <v>5647805.8383397572</v>
      </c>
      <c r="G27" s="62">
        <f>'Key Information'!$C$30*E27</f>
        <v>3711147.7158279638</v>
      </c>
      <c r="H27" s="62">
        <f>D27*VLOOKUP($C27,'Key Information'!$F$8:$I$58,3,FALSE)</f>
        <v>36907710.380512089</v>
      </c>
      <c r="I27" s="62">
        <f>E27*'Key Information'!$C$44</f>
        <v>24493574.924464561</v>
      </c>
      <c r="J27" s="60"/>
      <c r="K27" s="63">
        <f>H27*'Key Information'!$C$45</f>
        <v>12917698.633179231</v>
      </c>
      <c r="L27" s="62">
        <f>NPV('Key Information'!$C$16,E28:E$61)*(1+'Key Information'!$C$16)</f>
        <v>753569969.46504569</v>
      </c>
      <c r="M27" s="62">
        <f>NPV('Key Information'!$C$16,F28:F$61)*(1+'Key Information'!$C$16)</f>
        <v>44918696.118242867</v>
      </c>
      <c r="N27" s="62">
        <f>NPV('Key Information'!$C$16,G28:G$61)*(1+'Key Information'!$C$16)</f>
        <v>37678498.473252282</v>
      </c>
      <c r="O27" s="62">
        <f>NPV('Key Information'!$C$16,H28:H$61)</f>
        <v>304717089.34596038</v>
      </c>
      <c r="P27" s="62">
        <f>NPV('Key Information'!$C$16,I28:I$61)*(1+'Key Information'!$C$16)</f>
        <v>248678089.92346516</v>
      </c>
      <c r="Q27" s="60"/>
      <c r="R27" s="63">
        <f>NPV('Key Information'!$C$16,K28:K$61)</f>
        <v>106650981.27108614</v>
      </c>
      <c r="S27" s="62">
        <f t="shared" si="0"/>
        <v>-224228576.87521118</v>
      </c>
      <c r="T27" s="62">
        <f t="shared" si="1"/>
        <v>102329967.95179988</v>
      </c>
      <c r="U27" s="63">
        <f t="shared" si="2"/>
        <v>-121898608.92341129</v>
      </c>
    </row>
    <row r="28" spans="1:21" x14ac:dyDescent="0.3">
      <c r="A28" s="64"/>
      <c r="B28" s="57">
        <v>2037</v>
      </c>
      <c r="C28" s="58">
        <v>18</v>
      </c>
      <c r="D28" s="63">
        <f>D27*(1-VLOOKUP($C27,'Key Information'!$F$8:$I$58,4,FALSE)-VLOOKUP($C27,'Key Information'!$F$8:$I$58,3,FALSE))*(1+'Key Information'!$C$21)</f>
        <v>13469690349.630169</v>
      </c>
      <c r="E28" s="62">
        <f>(E27*VLOOKUP($C27,'Key Information'!$F$8:$I$58,2,FALSE)+E27)*(1-VLOOKUP($C27,'Key Information'!$F$8:$I$58,4,FALSE)-VLOOKUP($C27,'Key Information'!$F$8:$I$58,3,FALSE))*(1+'Key Information'!$C$21)</f>
        <v>69622863.541027308</v>
      </c>
      <c r="F28" s="62">
        <f>(F27*'Key Information'!$C$20+F27)*(1-VLOOKUP($C27,'Key Information'!$F$8:$I$58,4,FALSE)-VLOOKUP($C27,'Key Information'!$F$8:$I$58,3,FALSE))</f>
        <v>5203521.1920667598</v>
      </c>
      <c r="G28" s="62">
        <f>'Key Information'!$C$30*E28</f>
        <v>3481143.1770513654</v>
      </c>
      <c r="H28" s="62">
        <f>D28*VLOOKUP($C28,'Key Information'!$F$8:$I$58,3,FALSE)</f>
        <v>33674225.87407542</v>
      </c>
      <c r="I28" s="62">
        <f>E28*'Key Information'!$C$44</f>
        <v>22975544.968539011</v>
      </c>
      <c r="J28" s="60"/>
      <c r="K28" s="63">
        <f>H28*'Key Information'!$C$45</f>
        <v>11785979.055926396</v>
      </c>
      <c r="L28" s="62">
        <f>NPV('Key Information'!$C$16,E29:E$61)*(1+'Key Information'!$C$16)</f>
        <v>704465519.10173893</v>
      </c>
      <c r="M28" s="62">
        <f>NPV('Key Information'!$C$16,F29:F$61)*(1+'Key Information'!$C$16)</f>
        <v>40906630.173961371</v>
      </c>
      <c r="N28" s="62">
        <f>NPV('Key Information'!$C$16,G29:G$61)*(1+'Key Information'!$C$16)</f>
        <v>35223275.955086976</v>
      </c>
      <c r="O28" s="62">
        <f>NPV('Key Information'!$C$16,H29:H$61)</f>
        <v>280184376.15226382</v>
      </c>
      <c r="P28" s="62">
        <f>NPV('Key Information'!$C$16,I29:I$61)*(1+'Key Information'!$C$16)</f>
        <v>232473621.30357391</v>
      </c>
      <c r="Q28" s="60"/>
      <c r="R28" s="63">
        <f>NPV('Key Information'!$C$16,K29:K$61)</f>
        <v>98064531.653292328</v>
      </c>
      <c r="S28" s="62">
        <f t="shared" si="0"/>
        <v>-213742147.17014518</v>
      </c>
      <c r="T28" s="62">
        <f t="shared" si="1"/>
        <v>95661898.581234276</v>
      </c>
      <c r="U28" s="63">
        <f t="shared" si="2"/>
        <v>-118080248.58891091</v>
      </c>
    </row>
    <row r="29" spans="1:21" x14ac:dyDescent="0.3">
      <c r="A29" s="64"/>
      <c r="B29" s="57">
        <v>2038</v>
      </c>
      <c r="C29" s="58">
        <v>19</v>
      </c>
      <c r="D29" s="63">
        <f>D28*(1-VLOOKUP($C28,'Key Information'!$F$8:$I$58,4,FALSE)-VLOOKUP($C28,'Key Information'!$F$8:$I$58,3,FALSE))*(1+'Key Information'!$C$21)</f>
        <v>12275871693.942448</v>
      </c>
      <c r="E29" s="62">
        <f>(E28*VLOOKUP($C28,'Key Information'!$F$8:$I$58,2,FALSE)+E28)*(1-VLOOKUP($C28,'Key Information'!$F$8:$I$58,4,FALSE)-VLOOKUP($C28,'Key Information'!$F$8:$I$58,3,FALSE))*(1+'Key Information'!$C$21)</f>
        <v>65306167.405592494</v>
      </c>
      <c r="F29" s="62">
        <f>(F28*'Key Information'!$C$20+F28)*(1-VLOOKUP($C28,'Key Information'!$F$8:$I$58,4,FALSE)-VLOOKUP($C28,'Key Information'!$F$8:$I$58,3,FALSE))</f>
        <v>4788826.570665</v>
      </c>
      <c r="G29" s="62">
        <f>'Key Information'!$C$30*E29</f>
        <v>3265308.3702796251</v>
      </c>
      <c r="H29" s="62">
        <f>D29*VLOOKUP($C29,'Key Information'!$F$8:$I$58,3,FALSE)</f>
        <v>31917266.404250361</v>
      </c>
      <c r="I29" s="62">
        <f>E29*'Key Information'!$C$44</f>
        <v>21551035.243845522</v>
      </c>
      <c r="J29" s="60"/>
      <c r="K29" s="63">
        <f>H29*'Key Information'!$C$45</f>
        <v>11171043.241487626</v>
      </c>
      <c r="L29" s="62">
        <f>NPV('Key Information'!$C$16,E30:E$61)*(1+'Key Information'!$C$16)</f>
        <v>658334132.24703109</v>
      </c>
      <c r="M29" s="62">
        <f>NPV('Key Information'!$C$16,F30:F$61)*(1+'Key Information'!$C$16)</f>
        <v>37201337.711395271</v>
      </c>
      <c r="N29" s="62">
        <f>NPV('Key Information'!$C$16,G30:G$61)*(1+'Key Information'!$C$16)</f>
        <v>32916706.612351544</v>
      </c>
      <c r="O29" s="62">
        <f>NPV('Key Information'!$C$16,H30:H$61)</f>
        <v>256672641.03258142</v>
      </c>
      <c r="P29" s="62">
        <f>NPV('Key Information'!$C$16,I30:I$61)*(1+'Key Information'!$C$16)</f>
        <v>217250263.64152032</v>
      </c>
      <c r="Q29" s="60"/>
      <c r="R29" s="63">
        <f>NPV('Key Information'!$C$16,K30:K$61)</f>
        <v>89835424.361403465</v>
      </c>
      <c r="S29" s="62">
        <f t="shared" si="0"/>
        <v>-204128607.61058599</v>
      </c>
      <c r="T29" s="62">
        <f t="shared" si="1"/>
        <v>89397552.163919538</v>
      </c>
      <c r="U29" s="63">
        <f t="shared" si="2"/>
        <v>-114731055.44666645</v>
      </c>
    </row>
    <row r="30" spans="1:21" x14ac:dyDescent="0.3">
      <c r="A30" s="64"/>
      <c r="B30" s="57">
        <v>2039</v>
      </c>
      <c r="C30" s="58">
        <v>20</v>
      </c>
      <c r="D30" s="63">
        <f>D29*(1-VLOOKUP($C29,'Key Information'!$F$8:$I$58,4,FALSE)-VLOOKUP($C29,'Key Information'!$F$8:$I$58,3,FALSE))*(1+'Key Information'!$C$21)</f>
        <v>11174087657.667725</v>
      </c>
      <c r="E30" s="62">
        <f>(E29*VLOOKUP($C29,'Key Information'!$F$8:$I$58,2,FALSE)+E29)*(1-VLOOKUP($C29,'Key Information'!$F$8:$I$58,4,FALSE)-VLOOKUP($C29,'Key Information'!$F$8:$I$58,3,FALSE))*(1+'Key Information'!$C$21)</f>
        <v>61251172.383766524</v>
      </c>
      <c r="F30" s="62">
        <f>(F29*'Key Information'!$C$20+F29)*(1-VLOOKUP($C29,'Key Information'!$F$8:$I$58,4,FALSE)-VLOOKUP($C29,'Key Information'!$F$8:$I$58,3,FALSE))</f>
        <v>4401755.2966112895</v>
      </c>
      <c r="G30" s="62">
        <f>'Key Information'!$C$30*E30</f>
        <v>3062558.6191883264</v>
      </c>
      <c r="H30" s="62">
        <f>D30*VLOOKUP($C30,'Key Information'!$F$8:$I$58,3,FALSE)</f>
        <v>29052627.909936082</v>
      </c>
      <c r="I30" s="62">
        <f>E30*'Key Information'!$C$44</f>
        <v>20212886.886642955</v>
      </c>
      <c r="J30" s="60"/>
      <c r="K30" s="63">
        <f>H30*'Key Information'!$C$45</f>
        <v>10168419.768477628</v>
      </c>
      <c r="L30" s="62">
        <f>NPV('Key Information'!$C$16,E31:E$61)*(1+'Key Information'!$C$16)</f>
        <v>614995448.65916252</v>
      </c>
      <c r="M30" s="62">
        <f>NPV('Key Information'!$C$16,F31:F$61)*(1+'Key Information'!$C$16)</f>
        <v>33783569.887227491</v>
      </c>
      <c r="N30" s="62">
        <f>NPV('Key Information'!$C$16,G31:G$61)*(1+'Key Information'!$C$16)</f>
        <v>30749772.43295813</v>
      </c>
      <c r="O30" s="62">
        <f>NPV('Key Information'!$C$16,H31:H$61)</f>
        <v>235320192.3536227</v>
      </c>
      <c r="P30" s="62">
        <f>NPV('Key Information'!$C$16,I31:I$61)*(1+'Key Information'!$C$16)</f>
        <v>202948498.05752367</v>
      </c>
      <c r="Q30" s="60"/>
      <c r="R30" s="63">
        <f>NPV('Key Information'!$C$16,K31:K$61)</f>
        <v>82362067.323767975</v>
      </c>
      <c r="S30" s="62">
        <f t="shared" si="0"/>
        <v>-194555483.25159851</v>
      </c>
      <c r="T30" s="62">
        <f t="shared" si="1"/>
        <v>83512436.935975879</v>
      </c>
      <c r="U30" s="63">
        <f t="shared" si="2"/>
        <v>-111043046.31562263</v>
      </c>
    </row>
    <row r="31" spans="1:21" x14ac:dyDescent="0.3">
      <c r="A31" s="64"/>
      <c r="B31" s="57">
        <v>2040</v>
      </c>
      <c r="C31" s="58">
        <v>21</v>
      </c>
      <c r="D31" s="63">
        <f>D30*(1-VLOOKUP($C30,'Key Information'!$F$8:$I$58,4,FALSE)-VLOOKUP($C30,'Key Information'!$F$8:$I$58,3,FALSE))*(1+'Key Information'!$C$21)</f>
        <v>10159793372.80591</v>
      </c>
      <c r="E31" s="62">
        <f>(E30*VLOOKUP($C30,'Key Information'!$F$8:$I$58,2,FALSE)+E30)*(1-VLOOKUP($C30,'Key Information'!$F$8:$I$58,4,FALSE)-VLOOKUP($C30,'Key Information'!$F$8:$I$58,3,FALSE))*(1+'Key Information'!$C$21)</f>
        <v>57451277.905287452</v>
      </c>
      <c r="F31" s="62">
        <f>(F30*'Key Information'!$C$20+F30)*(1-VLOOKUP($C30,'Key Information'!$F$8:$I$58,4,FALSE)-VLOOKUP($C30,'Key Information'!$F$8:$I$58,3,FALSE))</f>
        <v>4041436.4115412822</v>
      </c>
      <c r="G31" s="62">
        <f>'Key Information'!$C$30*E31</f>
        <v>2872563.8952643727</v>
      </c>
      <c r="H31" s="62">
        <f>D31*VLOOKUP($C31,'Key Information'!$F$8:$I$58,3,FALSE)</f>
        <v>27431442.106575958</v>
      </c>
      <c r="I31" s="62">
        <f>E31*'Key Information'!$C$44</f>
        <v>18958921.708744861</v>
      </c>
      <c r="J31" s="60"/>
      <c r="K31" s="63">
        <f>H31*'Key Information'!$C$45</f>
        <v>9601004.7373015843</v>
      </c>
      <c r="L31" s="62">
        <f>NPV('Key Information'!$C$16,E32:E$61)*(1+'Key Information'!$C$16)</f>
        <v>574270495.87649119</v>
      </c>
      <c r="M31" s="62">
        <f>NPV('Key Information'!$C$16,F32:F$61)*(1+'Key Information'!$C$16)</f>
        <v>30634397.479956802</v>
      </c>
      <c r="N31" s="62">
        <f>NPV('Key Information'!$C$16,G32:G$61)*(1+'Key Information'!$C$16)</f>
        <v>28713524.793824561</v>
      </c>
      <c r="O31" s="62">
        <f>NPV('Key Information'!$C$16,H32:H$61)</f>
        <v>214948356.01765543</v>
      </c>
      <c r="P31" s="62">
        <f>NPV('Key Information'!$C$16,I32:I$61)*(1+'Key Information'!$C$16)</f>
        <v>189509263.63924217</v>
      </c>
      <c r="Q31" s="60"/>
      <c r="R31" s="63">
        <f>NPV('Key Information'!$C$16,K32:K$61)</f>
        <v>75231924.606179401</v>
      </c>
      <c r="S31" s="62">
        <f t="shared" si="0"/>
        <v>-185696878.55199161</v>
      </c>
      <c r="T31" s="62">
        <f t="shared" si="1"/>
        <v>77982249.585161299</v>
      </c>
      <c r="U31" s="63">
        <f t="shared" si="2"/>
        <v>-107714628.96683031</v>
      </c>
    </row>
    <row r="32" spans="1:21" x14ac:dyDescent="0.3">
      <c r="A32" s="64"/>
      <c r="B32" s="57">
        <v>2041</v>
      </c>
      <c r="C32" s="58">
        <v>22</v>
      </c>
      <c r="D32" s="63">
        <f>D31*(1-VLOOKUP($C31,'Key Information'!$F$8:$I$58,4,FALSE)-VLOOKUP($C31,'Key Information'!$F$8:$I$58,3,FALSE))*(1+'Key Information'!$C$21)</f>
        <v>9226169320.6052837</v>
      </c>
      <c r="E32" s="62">
        <f>(E31*VLOOKUP($C31,'Key Information'!$F$8:$I$58,2,FALSE)+E31)*(1-VLOOKUP($C31,'Key Information'!$F$8:$I$58,4,FALSE)-VLOOKUP($C31,'Key Information'!$F$8:$I$58,3,FALSE))*(1+'Key Information'!$C$21)</f>
        <v>53886574.39840804</v>
      </c>
      <c r="F32" s="62">
        <f>(F31*'Key Information'!$C$20+F31)*(1-VLOOKUP($C31,'Key Information'!$F$8:$I$58,4,FALSE)-VLOOKUP($C31,'Key Information'!$F$8:$I$58,3,FALSE))</f>
        <v>3706033.5623110593</v>
      </c>
      <c r="G32" s="62">
        <f>'Key Information'!$C$30*E32</f>
        <v>2694328.7199204024</v>
      </c>
      <c r="H32" s="62">
        <f>D32*VLOOKUP($C32,'Key Information'!$F$8:$I$58,3,FALSE)</f>
        <v>24910657.165634267</v>
      </c>
      <c r="I32" s="62">
        <f>E32*'Key Information'!$C$44</f>
        <v>17782569.551474653</v>
      </c>
      <c r="J32" s="60"/>
      <c r="K32" s="63">
        <f>H32*'Key Information'!$C$45</f>
        <v>8718730.0079719927</v>
      </c>
      <c r="L32" s="62">
        <f>NPV('Key Information'!$C$16,E33:E$61)*(1+'Key Information'!$C$16)</f>
        <v>535995439.1224255</v>
      </c>
      <c r="M32" s="62">
        <f>NPV('Key Information'!$C$16,F33:F$61)*(1+'Key Information'!$C$16)</f>
        <v>27736214.835175112</v>
      </c>
      <c r="N32" s="62">
        <f>NPV('Key Information'!$C$16,G33:G$61)*(1+'Key Information'!$C$16)</f>
        <v>26799771.956121281</v>
      </c>
      <c r="O32" s="62">
        <f>NPV('Key Information'!$C$16,H33:H$61)</f>
        <v>196486149.5325509</v>
      </c>
      <c r="P32" s="62">
        <f>NPV('Key Information'!$C$16,I33:I$61)*(1+'Key Information'!$C$16)</f>
        <v>176878494.91040045</v>
      </c>
      <c r="Q32" s="60"/>
      <c r="R32" s="63">
        <f>NPV('Key Information'!$C$16,K33:K$61)</f>
        <v>68770152.336392835</v>
      </c>
      <c r="S32" s="62">
        <f t="shared" si="0"/>
        <v>-176864960.22457057</v>
      </c>
      <c r="T32" s="62">
        <f t="shared" si="1"/>
        <v>72784742.39976047</v>
      </c>
      <c r="U32" s="63">
        <f t="shared" si="2"/>
        <v>-104080217.8248101</v>
      </c>
    </row>
    <row r="33" spans="1:21" x14ac:dyDescent="0.3">
      <c r="A33" s="64"/>
      <c r="B33" s="57">
        <v>2042</v>
      </c>
      <c r="C33" s="58">
        <v>23</v>
      </c>
      <c r="D33" s="63">
        <f>D32*(1-VLOOKUP($C32,'Key Information'!$F$8:$I$58,4,FALSE)-VLOOKUP($C32,'Key Information'!$F$8:$I$58,3,FALSE))*(1+'Key Information'!$C$21)</f>
        <v>8368929024.350564</v>
      </c>
      <c r="E33" s="62">
        <f>(E32*VLOOKUP($C32,'Key Information'!$F$8:$I$58,2,FALSE)+E32)*(1-VLOOKUP($C32,'Key Information'!$F$8:$I$58,4,FALSE)-VLOOKUP($C32,'Key Information'!$F$8:$I$58,3,FALSE))*(1+'Key Information'!$C$21)</f>
        <v>50550541.674338177</v>
      </c>
      <c r="F33" s="62">
        <f>(F32*'Key Information'!$C$20+F32)*(1-VLOOKUP($C32,'Key Information'!$F$8:$I$58,4,FALSE)-VLOOKUP($C32,'Key Information'!$F$8:$I$58,3,FALSE))</f>
        <v>3394648.9163721218</v>
      </c>
      <c r="G33" s="62">
        <f>'Key Information'!$C$30*E33</f>
        <v>2527527.0837169089</v>
      </c>
      <c r="H33" s="62">
        <f>D33*VLOOKUP($C33,'Key Information'!$F$8:$I$58,3,FALSE)</f>
        <v>22596108.365746524</v>
      </c>
      <c r="I33" s="62">
        <f>E33*'Key Information'!$C$44</f>
        <v>16681678.752531599</v>
      </c>
      <c r="J33" s="60"/>
      <c r="K33" s="63">
        <f>H33*'Key Information'!$C$45</f>
        <v>7908637.9280112833</v>
      </c>
      <c r="L33" s="62">
        <f>NPV('Key Information'!$C$16,E34:E$61)*(1+'Key Information'!$C$16)</f>
        <v>500008244.37153018</v>
      </c>
      <c r="M33" s="62">
        <f>NPV('Key Information'!$C$16,F34:F$61)*(1+'Key Information'!$C$16)</f>
        <v>25071812.896367088</v>
      </c>
      <c r="N33" s="62">
        <f>NPV('Key Information'!$C$16,G34:G$61)*(1+'Key Information'!$C$16)</f>
        <v>25000412.21857651</v>
      </c>
      <c r="O33" s="62">
        <f>NPV('Key Information'!$C$16,H34:H$61)</f>
        <v>179784625.65278101</v>
      </c>
      <c r="P33" s="62">
        <f>NPV('Key Information'!$C$16,I34:I$61)*(1+'Key Information'!$C$16)</f>
        <v>165002720.64260495</v>
      </c>
      <c r="Q33" s="60"/>
      <c r="R33" s="63">
        <f>NPV('Key Information'!$C$16,K34:K$61)</f>
        <v>62924618.978473321</v>
      </c>
      <c r="S33" s="62">
        <f t="shared" si="0"/>
        <v>-168073291.93967393</v>
      </c>
      <c r="T33" s="62">
        <f t="shared" si="1"/>
        <v>67897912.198513821</v>
      </c>
      <c r="U33" s="63">
        <f t="shared" si="2"/>
        <v>-100175379.74116011</v>
      </c>
    </row>
    <row r="34" spans="1:21" x14ac:dyDescent="0.3">
      <c r="A34" s="64"/>
      <c r="B34" s="57">
        <v>2043</v>
      </c>
      <c r="C34" s="58">
        <v>24</v>
      </c>
      <c r="D34" s="63">
        <f>D33*(1-VLOOKUP($C33,'Key Information'!$F$8:$I$58,4,FALSE)-VLOOKUP($C33,'Key Information'!$F$8:$I$58,3,FALSE))*(1+'Key Information'!$C$21)</f>
        <v>7574265737.7723808</v>
      </c>
      <c r="E34" s="62">
        <f>(E33*VLOOKUP($C33,'Key Information'!$F$8:$I$58,2,FALSE)+E33)*(1-VLOOKUP($C33,'Key Information'!$F$8:$I$58,4,FALSE)-VLOOKUP($C33,'Key Information'!$F$8:$I$58,3,FALSE))*(1+'Key Information'!$C$21)</f>
        <v>47376942.415128306</v>
      </c>
      <c r="F34" s="62">
        <f>(F33*'Key Information'!$C$20+F33)*(1-VLOOKUP($C33,'Key Information'!$F$8:$I$58,4,FALSE)-VLOOKUP($C33,'Key Information'!$F$8:$I$58,3,FALSE))</f>
        <v>3102434.1430018931</v>
      </c>
      <c r="G34" s="62">
        <f>'Key Information'!$C$30*E34</f>
        <v>2368847.1207564152</v>
      </c>
      <c r="H34" s="62">
        <f>D34*VLOOKUP($C34,'Key Information'!$F$8:$I$58,3,FALSE)</f>
        <v>21207944.065762665</v>
      </c>
      <c r="I34" s="62">
        <f>E34*'Key Information'!$C$44</f>
        <v>15634390.996992342</v>
      </c>
      <c r="J34" s="60"/>
      <c r="K34" s="63">
        <f>H34*'Key Information'!$C$45</f>
        <v>7422780.4230169319</v>
      </c>
      <c r="L34" s="62">
        <f>NPV('Key Information'!$C$16,E35:E$61)*(1+'Key Information'!$C$16)</f>
        <v>466210241.01509398</v>
      </c>
      <c r="M34" s="62">
        <f>NPV('Key Information'!$C$16,F35:F$61)*(1+'Key Information'!$C$16)</f>
        <v>22628460.115966145</v>
      </c>
      <c r="N34" s="62">
        <f>NPV('Key Information'!$C$16,G35:G$61)*(1+'Key Information'!$C$16)</f>
        <v>23310512.050754696</v>
      </c>
      <c r="O34" s="62">
        <f>NPV('Key Information'!$C$16,H35:H$61)</f>
        <v>163970220.35660172</v>
      </c>
      <c r="P34" s="62">
        <f>NPV('Key Information'!$C$16,I35:I$61)*(1+'Key Information'!$C$16)</f>
        <v>153849379.53498104</v>
      </c>
      <c r="Q34" s="60"/>
      <c r="R34" s="63">
        <f>NPV('Key Information'!$C$16,K35:K$61)</f>
        <v>57389577.124810576</v>
      </c>
      <c r="S34" s="62">
        <f t="shared" si="0"/>
        <v>-159841246.08160093</v>
      </c>
      <c r="T34" s="62">
        <f t="shared" si="1"/>
        <v>63308360.145697616</v>
      </c>
      <c r="U34" s="63">
        <f t="shared" si="2"/>
        <v>-96532885.935903311</v>
      </c>
    </row>
    <row r="35" spans="1:21" x14ac:dyDescent="0.3">
      <c r="A35" s="64"/>
      <c r="B35" s="57">
        <v>2044</v>
      </c>
      <c r="C35" s="58">
        <v>25</v>
      </c>
      <c r="D35" s="63">
        <f>D34*(1-VLOOKUP($C34,'Key Information'!$F$8:$I$58,4,FALSE)-VLOOKUP($C34,'Key Information'!$F$8:$I$58,3,FALSE))*(1+'Key Information'!$C$21)</f>
        <v>6846560582.7501612</v>
      </c>
      <c r="E35" s="62">
        <f>(E34*VLOOKUP($C34,'Key Information'!$F$8:$I$58,2,FALSE)+E34)*(1-VLOOKUP($C34,'Key Information'!$F$8:$I$58,4,FALSE)-VLOOKUP($C34,'Key Information'!$F$8:$I$58,3,FALSE))*(1+'Key Information'!$C$21)</f>
        <v>44408432.684087276</v>
      </c>
      <c r="F35" s="62">
        <f>(F34*'Key Information'!$C$20+F34)*(1-VLOOKUP($C34,'Key Information'!$F$8:$I$58,4,FALSE)-VLOOKUP($C34,'Key Information'!$F$8:$I$58,3,FALSE))</f>
        <v>2831858.4516541259</v>
      </c>
      <c r="G35" s="62">
        <f>'Key Information'!$C$30*E35</f>
        <v>2220421.6342043639</v>
      </c>
      <c r="H35" s="62">
        <f>D35*VLOOKUP($C35,'Key Information'!$F$8:$I$58,3,FALSE)</f>
        <v>19855025.689975467</v>
      </c>
      <c r="I35" s="62">
        <f>E35*'Key Information'!$C$44</f>
        <v>14654782.785748802</v>
      </c>
      <c r="J35" s="60"/>
      <c r="K35" s="63">
        <f>H35*'Key Information'!$C$45</f>
        <v>6949258.9914914127</v>
      </c>
      <c r="L35" s="62">
        <f>NPV('Key Information'!$C$16,E36:E$61)*(1+'Key Information'!$C$16)</f>
        <v>434455862.58093691</v>
      </c>
      <c r="M35" s="62">
        <f>NPV('Key Information'!$C$16,F36:F$61)*(1+'Key Information'!$C$16)</f>
        <v>20390499.714241385</v>
      </c>
      <c r="N35" s="62">
        <f>NPV('Key Information'!$C$16,G36:G$61)*(1+'Key Information'!$C$16)</f>
        <v>21722793.129046839</v>
      </c>
      <c r="O35" s="62">
        <f>NPV('Key Information'!$C$16,H36:H$61)</f>
        <v>149034301.2773242</v>
      </c>
      <c r="P35" s="62">
        <f>NPV('Key Information'!$C$16,I36:I$61)*(1+'Key Information'!$C$16)</f>
        <v>143370434.6517092</v>
      </c>
      <c r="Q35" s="60"/>
      <c r="R35" s="63">
        <f>NPV('Key Information'!$C$16,K36:K$61)</f>
        <v>52162005.447063491</v>
      </c>
      <c r="S35" s="62">
        <f t="shared" si="0"/>
        <v>-152099839.25567877</v>
      </c>
      <c r="T35" s="62">
        <f t="shared" si="1"/>
        <v>58996319.24815049</v>
      </c>
      <c r="U35" s="63">
        <f t="shared" si="2"/>
        <v>-93103520.007528275</v>
      </c>
    </row>
    <row r="36" spans="1:21" x14ac:dyDescent="0.3">
      <c r="A36" s="64"/>
      <c r="B36" s="57">
        <v>2045</v>
      </c>
      <c r="C36" s="58">
        <v>26</v>
      </c>
      <c r="D36" s="63">
        <f>D35*(1-VLOOKUP($C35,'Key Information'!$F$8:$I$58,4,FALSE)-VLOOKUP($C35,'Key Information'!$F$8:$I$58,3,FALSE))*(1+'Key Information'!$C$21)</f>
        <v>6181088587.2280111</v>
      </c>
      <c r="E36" s="62">
        <f>(E35*VLOOKUP($C35,'Key Information'!$F$8:$I$58,2,FALSE)+E35)*(1-VLOOKUP($C35,'Key Information'!$F$8:$I$58,4,FALSE)-VLOOKUP($C35,'Key Information'!$F$8:$I$58,3,FALSE))*(1+'Key Information'!$C$21)</f>
        <v>41633542.542636484</v>
      </c>
      <c r="F36" s="62">
        <f>(F35*'Key Information'!$C$20+F35)*(1-VLOOKUP($C35,'Key Information'!$F$8:$I$58,4,FALSE)-VLOOKUP($C35,'Key Information'!$F$8:$I$58,3,FALSE))</f>
        <v>2581672.2530258386</v>
      </c>
      <c r="G36" s="62">
        <f>'Key Information'!$C$30*E36</f>
        <v>2081677.1271318244</v>
      </c>
      <c r="H36" s="62">
        <f>D36*VLOOKUP($C36,'Key Information'!$F$8:$I$58,3,FALSE)</f>
        <v>18543265.761684034</v>
      </c>
      <c r="I36" s="62">
        <f>E36*'Key Information'!$C$44</f>
        <v>13739069.03907004</v>
      </c>
      <c r="J36" s="60"/>
      <c r="K36" s="63">
        <f>H36*'Key Information'!$C$45</f>
        <v>6490143.0165894115</v>
      </c>
      <c r="L36" s="62">
        <f>NPV('Key Information'!$C$16,E37:E$61)*(1+'Key Information'!$C$16)</f>
        <v>404606989.63944948</v>
      </c>
      <c r="M36" s="62">
        <f>NPV('Key Information'!$C$16,F37:F$61)*(1+'Key Information'!$C$16)</f>
        <v>18343092.285052013</v>
      </c>
      <c r="N36" s="62">
        <f>NPV('Key Information'!$C$16,G37:G$61)*(1+'Key Information'!$C$16)</f>
        <v>20230349.481972467</v>
      </c>
      <c r="O36" s="62">
        <f>NPV('Key Information'!$C$16,H37:H$61)</f>
        <v>134962064.55395994</v>
      </c>
      <c r="P36" s="62">
        <f>NPV('Key Information'!$C$16,I37:I$61)*(1+'Key Information'!$C$16)</f>
        <v>133520306.58101833</v>
      </c>
      <c r="Q36" s="60"/>
      <c r="R36" s="63">
        <f>NPV('Key Information'!$C$16,K37:K$61)</f>
        <v>47236722.593885973</v>
      </c>
      <c r="S36" s="62">
        <f t="shared" si="0"/>
        <v>-144787899.33133271</v>
      </c>
      <c r="T36" s="62">
        <f t="shared" si="1"/>
        <v>54943033.773321815</v>
      </c>
      <c r="U36" s="63">
        <f t="shared" si="2"/>
        <v>-89844865.558010906</v>
      </c>
    </row>
    <row r="37" spans="1:21" x14ac:dyDescent="0.3">
      <c r="A37" s="64"/>
      <c r="B37" s="57">
        <v>2046</v>
      </c>
      <c r="C37" s="58">
        <v>27</v>
      </c>
      <c r="D37" s="63">
        <f>D36*(1-VLOOKUP($C36,'Key Information'!$F$8:$I$58,4,FALSE)-VLOOKUP($C36,'Key Information'!$F$8:$I$58,3,FALSE))*(1+'Key Information'!$C$21)</f>
        <v>5573363957.3317537</v>
      </c>
      <c r="E37" s="62">
        <f>(E36*VLOOKUP($C36,'Key Information'!$F$8:$I$58,2,FALSE)+E36)*(1-VLOOKUP($C36,'Key Information'!$F$8:$I$58,4,FALSE)-VLOOKUP($C36,'Key Information'!$F$8:$I$58,3,FALSE))*(1+'Key Information'!$C$21)</f>
        <v>39041270.382046781</v>
      </c>
      <c r="F37" s="62">
        <f>(F36*'Key Information'!$C$20+F36)*(1-VLOOKUP($C36,'Key Information'!$F$8:$I$58,4,FALSE)-VLOOKUP($C36,'Key Information'!$F$8:$I$58,3,FALSE))</f>
        <v>2350664.2198250866</v>
      </c>
      <c r="G37" s="62">
        <f>'Key Information'!$C$30*E37</f>
        <v>1952063.5191023392</v>
      </c>
      <c r="H37" s="62">
        <f>D37*VLOOKUP($C37,'Key Information'!$F$8:$I$58,3,FALSE)</f>
        <v>16720091.871995261</v>
      </c>
      <c r="I37" s="62">
        <f>E37*'Key Information'!$C$44</f>
        <v>12883619.226075439</v>
      </c>
      <c r="J37" s="60"/>
      <c r="K37" s="63">
        <f>H37*'Key Information'!$C$45</f>
        <v>5852032.1551983412</v>
      </c>
      <c r="L37" s="62">
        <f>NPV('Key Information'!$C$16,E38:E$61)*(1+'Key Information'!$C$16)</f>
        <v>376532690.83512485</v>
      </c>
      <c r="M37" s="62">
        <f>NPV('Key Information'!$C$16,F38:F$61)*(1+'Key Information'!$C$16)</f>
        <v>16472200.90718374</v>
      </c>
      <c r="N37" s="62">
        <f>NPV('Key Information'!$C$16,G38:G$61)*(1+'Key Information'!$C$16)</f>
        <v>18826634.541756239</v>
      </c>
      <c r="O37" s="62">
        <f>NPV('Key Information'!$C$16,H38:H$61)</f>
        <v>122290834.61858349</v>
      </c>
      <c r="P37" s="62">
        <f>NPV('Key Information'!$C$16,I38:I$61)*(1+'Key Information'!$C$16)</f>
        <v>124255787.97559114</v>
      </c>
      <c r="Q37" s="60"/>
      <c r="R37" s="63">
        <f>NPV('Key Information'!$C$16,K38:K$61)</f>
        <v>42801792.116504245</v>
      </c>
      <c r="S37" s="62">
        <f t="shared" si="0"/>
        <v>-137489024.9085145</v>
      </c>
      <c r="T37" s="62">
        <f t="shared" si="1"/>
        <v>51130724.083015017</v>
      </c>
      <c r="U37" s="63">
        <f t="shared" si="2"/>
        <v>-86358300.825499475</v>
      </c>
    </row>
    <row r="38" spans="1:21" x14ac:dyDescent="0.3">
      <c r="A38" s="64"/>
      <c r="B38" s="57">
        <v>2047</v>
      </c>
      <c r="C38" s="58">
        <v>28</v>
      </c>
      <c r="D38" s="63">
        <f>D37*(1-VLOOKUP($C37,'Key Information'!$F$8:$I$58,4,FALSE)-VLOOKUP($C37,'Key Information'!$F$8:$I$58,3,FALSE))*(1+'Key Information'!$C$21)</f>
        <v>5019705981.8104172</v>
      </c>
      <c r="E38" s="62">
        <f>(E37*VLOOKUP($C37,'Key Information'!$F$8:$I$58,2,FALSE)+E37)*(1-VLOOKUP($C37,'Key Information'!$F$8:$I$58,4,FALSE)-VLOOKUP($C37,'Key Information'!$F$8:$I$58,3,FALSE))*(1+'Key Information'!$C$21)</f>
        <v>36625232.189291783</v>
      </c>
      <c r="F38" s="62">
        <f>(F37*'Key Information'!$C$20+F37)*(1-VLOOKUP($C37,'Key Information'!$F$8:$I$58,4,FALSE)-VLOOKUP($C37,'Key Information'!$F$8:$I$58,3,FALSE))</f>
        <v>2137905.6012887182</v>
      </c>
      <c r="G38" s="62">
        <f>'Key Information'!$C$30*E38</f>
        <v>1831261.6094645893</v>
      </c>
      <c r="H38" s="62">
        <f>D38*VLOOKUP($C38,'Key Information'!$F$8:$I$58,3,FALSE)</f>
        <v>15561088.543612292</v>
      </c>
      <c r="I38" s="62">
        <f>E38*'Key Information'!$C$44</f>
        <v>12086326.622466289</v>
      </c>
      <c r="J38" s="60"/>
      <c r="K38" s="63">
        <f>H38*'Key Information'!$C$45</f>
        <v>5446380.9902643021</v>
      </c>
      <c r="L38" s="62">
        <f>NPV('Key Information'!$C$16,E39:E$61)*(1+'Key Information'!$C$16)</f>
        <v>350104682.40520781</v>
      </c>
      <c r="M38" s="62">
        <f>NPV('Key Information'!$C$16,F39:F$61)*(1+'Key Information'!$C$16)</f>
        <v>14764324.165071871</v>
      </c>
      <c r="N38" s="62">
        <f>NPV('Key Information'!$C$16,G39:G$61)*(1+'Key Information'!$C$16)</f>
        <v>17505234.120260395</v>
      </c>
      <c r="O38" s="62">
        <f>NPV('Key Information'!$C$16,H39:H$61)</f>
        <v>110398471.11352873</v>
      </c>
      <c r="P38" s="62">
        <f>NPV('Key Information'!$C$16,I39:I$61)*(1+'Key Information'!$C$16)</f>
        <v>115534545.19371858</v>
      </c>
      <c r="Q38" s="60"/>
      <c r="R38" s="63">
        <f>NPV('Key Information'!$C$16,K39:K$61)</f>
        <v>38639464.889735036</v>
      </c>
      <c r="S38" s="62">
        <f t="shared" si="0"/>
        <v>-130541572.70236327</v>
      </c>
      <c r="T38" s="62">
        <f t="shared" si="1"/>
        <v>47541970.065145746</v>
      </c>
      <c r="U38" s="63">
        <f t="shared" si="2"/>
        <v>-82999602.637217522</v>
      </c>
    </row>
    <row r="39" spans="1:21" x14ac:dyDescent="0.3">
      <c r="A39" s="64"/>
      <c r="B39" s="57">
        <v>2048</v>
      </c>
      <c r="C39" s="58">
        <v>29</v>
      </c>
      <c r="D39" s="63">
        <f>D38*(1-VLOOKUP($C38,'Key Information'!$F$8:$I$58,4,FALSE)-VLOOKUP($C38,'Key Information'!$F$8:$I$58,3,FALSE))*(1+'Key Information'!$C$21)</f>
        <v>4515416279.4657793</v>
      </c>
      <c r="E39" s="62">
        <f>(E38*VLOOKUP($C38,'Key Information'!$F$8:$I$58,2,FALSE)+E38)*(1-VLOOKUP($C38,'Key Information'!$F$8:$I$58,4,FALSE)-VLOOKUP($C38,'Key Information'!$F$8:$I$58,3,FALSE))*(1+'Key Information'!$C$21)</f>
        <v>34370710.86551138</v>
      </c>
      <c r="F39" s="62">
        <f>(F38*'Key Information'!$C$20+F38)*(1-VLOOKUP($C38,'Key Information'!$F$8:$I$58,4,FALSE)-VLOOKUP($C38,'Key Information'!$F$8:$I$58,3,FALSE))</f>
        <v>1941981.5182698162</v>
      </c>
      <c r="G39" s="62">
        <f>'Key Information'!$C$30*E39</f>
        <v>1718535.5432755691</v>
      </c>
      <c r="H39" s="62">
        <f>D39*VLOOKUP($C39,'Key Information'!$F$8:$I$58,3,FALSE)</f>
        <v>13997790.466343915</v>
      </c>
      <c r="I39" s="62">
        <f>E39*'Key Information'!$C$44</f>
        <v>11342334.585618757</v>
      </c>
      <c r="J39" s="60"/>
      <c r="K39" s="63">
        <f>H39*'Key Information'!$C$45</f>
        <v>4899226.6632203702</v>
      </c>
      <c r="L39" s="62">
        <f>NPV('Key Information'!$C$16,E40:E$61)*(1+'Key Information'!$C$16)</f>
        <v>325205990.68588746</v>
      </c>
      <c r="M39" s="62">
        <f>NPV('Key Information'!$C$16,F40:F$61)*(1+'Key Information'!$C$16)</f>
        <v>13207012.926206119</v>
      </c>
      <c r="N39" s="62">
        <f>NPV('Key Information'!$C$16,G40:G$61)*(1+'Key Information'!$C$16)</f>
        <v>16260299.534294378</v>
      </c>
      <c r="O39" s="62">
        <f>NPV('Key Information'!$C$16,H40:H$61)</f>
        <v>99712634.780590668</v>
      </c>
      <c r="P39" s="62">
        <f>NPV('Key Information'!$C$16,I40:I$61)*(1+'Key Information'!$C$16)</f>
        <v>107317976.92634284</v>
      </c>
      <c r="Q39" s="60"/>
      <c r="R39" s="63">
        <f>NPV('Key Information'!$C$16,K40:K$61)</f>
        <v>34899422.173206732</v>
      </c>
      <c r="S39" s="62">
        <f t="shared" si="0"/>
        <v>-123607488.69166018</v>
      </c>
      <c r="T39" s="62">
        <f t="shared" si="1"/>
        <v>44160887.446515754</v>
      </c>
      <c r="U39" s="63">
        <f t="shared" si="2"/>
        <v>-79446601.245144427</v>
      </c>
    </row>
    <row r="40" spans="1:21" x14ac:dyDescent="0.3">
      <c r="A40" s="64"/>
      <c r="B40" s="57">
        <v>2049</v>
      </c>
      <c r="C40" s="58">
        <v>30</v>
      </c>
      <c r="D40" s="63">
        <f>D39*(1-VLOOKUP($C39,'Key Information'!$F$8:$I$58,4,FALSE)-VLOOKUP($C39,'Key Information'!$F$8:$I$58,3,FALSE))*(1+'Key Information'!$C$21)</f>
        <v>4057182804.5930333</v>
      </c>
      <c r="E40" s="62">
        <f>(E39*VLOOKUP($C39,'Key Information'!$F$8:$I$58,2,FALSE)+E39)*(1-VLOOKUP($C39,'Key Information'!$F$8:$I$58,4,FALSE)-VLOOKUP($C39,'Key Information'!$F$8:$I$58,3,FALSE))*(1+'Key Information'!$C$21)</f>
        <v>32271823.317686398</v>
      </c>
      <c r="F40" s="62">
        <f>(F39*'Key Information'!$C$20+F39)*(1-VLOOKUP($C39,'Key Information'!$F$8:$I$58,4,FALSE)-VLOOKUP($C39,'Key Information'!$F$8:$I$58,3,FALSE))</f>
        <v>1762012.2650271975</v>
      </c>
      <c r="G40" s="62">
        <f>'Key Information'!$C$30*E40</f>
        <v>1613591.1658843199</v>
      </c>
      <c r="H40" s="62">
        <f>D40*VLOOKUP($C40,'Key Information'!$F$8:$I$58,3,FALSE)</f>
        <v>12982984.974697707</v>
      </c>
      <c r="I40" s="62">
        <f>E40*'Key Information'!$C$44</f>
        <v>10649701.694836512</v>
      </c>
      <c r="J40" s="60"/>
      <c r="K40" s="63">
        <f>H40*'Key Information'!$C$45</f>
        <v>4544044.7411441971</v>
      </c>
      <c r="L40" s="62">
        <f>NPV('Key Information'!$C$16,E41:E$61)*(1+'Key Information'!$C$16)</f>
        <v>301722192.38924706</v>
      </c>
      <c r="M40" s="62">
        <f>NPV('Key Information'!$C$16,F41:F$61)*(1+'Key Information'!$C$16)</f>
        <v>11788350.681014288</v>
      </c>
      <c r="N40" s="62">
        <f>NPV('Key Information'!$C$16,G41:G$61)*(1+'Key Information'!$C$16)</f>
        <v>15086109.619462354</v>
      </c>
      <c r="O40" s="62">
        <f>NPV('Key Information'!$C$16,H41:H$61)</f>
        <v>89721028.849310696</v>
      </c>
      <c r="P40" s="62">
        <f>NPV('Key Information'!$C$16,I41:I$61)*(1+'Key Information'!$C$16)</f>
        <v>99568323.488451526</v>
      </c>
      <c r="Q40" s="60"/>
      <c r="R40" s="63">
        <f>NPV('Key Information'!$C$16,K41:K$61)</f>
        <v>31402360.097258743</v>
      </c>
      <c r="S40" s="62">
        <f t="shared" si="0"/>
        <v>-116960739.84826693</v>
      </c>
      <c r="T40" s="62">
        <f t="shared" si="1"/>
        <v>40971938.278613418</v>
      </c>
      <c r="U40" s="63">
        <f t="shared" si="2"/>
        <v>-75988801.569653511</v>
      </c>
    </row>
    <row r="41" spans="1:21" x14ac:dyDescent="0.3">
      <c r="A41" s="64"/>
      <c r="B41" s="57">
        <v>2050</v>
      </c>
      <c r="C41" s="58">
        <v>31</v>
      </c>
      <c r="D41" s="63">
        <f>D40*(1-VLOOKUP($C40,'Key Information'!$F$8:$I$58,4,FALSE)-VLOOKUP($C40,'Key Information'!$F$8:$I$58,3,FALSE))*(1+'Key Information'!$C$21)</f>
        <v>3640899620.11057</v>
      </c>
      <c r="E41" s="62">
        <f>(E40*VLOOKUP($C40,'Key Information'!$F$8:$I$58,2,FALSE)+E40)*(1-VLOOKUP($C40,'Key Information'!$F$8:$I$58,4,FALSE)-VLOOKUP($C40,'Key Information'!$F$8:$I$58,3,FALSE))*(1+'Key Information'!$C$21)</f>
        <v>30315375.657878455</v>
      </c>
      <c r="F41" s="62">
        <f>(F40*'Key Information'!$C$20+F40)*(1-VLOOKUP($C40,'Key Information'!$F$8:$I$58,4,FALSE)-VLOOKUP($C40,'Key Information'!$F$8:$I$58,3,FALSE))</f>
        <v>1596724.9424940564</v>
      </c>
      <c r="G41" s="62">
        <f>'Key Information'!$C$30*E41</f>
        <v>1515768.7828939229</v>
      </c>
      <c r="H41" s="62">
        <f>D41*VLOOKUP($C41,'Key Information'!$F$8:$I$58,3,FALSE)</f>
        <v>12014968.74636488</v>
      </c>
      <c r="I41" s="62">
        <f>E41*'Key Information'!$C$44</f>
        <v>10004073.96709989</v>
      </c>
      <c r="J41" s="60"/>
      <c r="K41" s="63">
        <f>H41*'Key Information'!$C$45</f>
        <v>4205239.0612277081</v>
      </c>
      <c r="L41" s="62">
        <f>NPV('Key Information'!$C$16,E42:E$61)*(1+'Key Information'!$C$16)</f>
        <v>279549021.23330975</v>
      </c>
      <c r="M41" s="62">
        <f>NPV('Key Information'!$C$16,F42:F$61)*(1+'Key Information'!$C$16)</f>
        <v>10497374.510675836</v>
      </c>
      <c r="N41" s="62">
        <f>NPV('Key Information'!$C$16,G42:G$61)*(1+'Key Information'!$C$16)</f>
        <v>13977451.061665488</v>
      </c>
      <c r="O41" s="62">
        <f>NPV('Key Information'!$C$16,H42:H$61)</f>
        <v>80397690.968425155</v>
      </c>
      <c r="P41" s="62">
        <f>NPV('Key Information'!$C$16,I42:I$61)*(1+'Key Information'!$C$16)</f>
        <v>92251177.006992191</v>
      </c>
      <c r="Q41" s="60"/>
      <c r="R41" s="63">
        <f>NPV('Key Information'!$C$16,K42:K$61)</f>
        <v>28139191.838948794</v>
      </c>
      <c r="S41" s="62">
        <f t="shared" si="0"/>
        <v>-110564519.52449986</v>
      </c>
      <c r="T41" s="62">
        <f t="shared" si="1"/>
        <v>37960963.869179919</v>
      </c>
      <c r="U41" s="63">
        <f t="shared" si="2"/>
        <v>-72603555.655319944</v>
      </c>
    </row>
    <row r="42" spans="1:21" x14ac:dyDescent="0.3">
      <c r="A42" s="64"/>
      <c r="B42" s="57">
        <v>2051</v>
      </c>
      <c r="C42" s="58">
        <v>32</v>
      </c>
      <c r="D42" s="63">
        <f>D41*(1-VLOOKUP($C41,'Key Information'!$F$8:$I$58,4,FALSE)-VLOOKUP($C41,'Key Information'!$F$8:$I$58,3,FALSE))*(1+'Key Information'!$C$21)</f>
        <v>3259529948.5024681</v>
      </c>
      <c r="E42" s="62">
        <f>(E41*VLOOKUP($C41,'Key Information'!$F$8:$I$58,2,FALSE)+E41)*(1-VLOOKUP($C41,'Key Information'!$F$8:$I$58,4,FALSE)-VLOOKUP($C41,'Key Information'!$F$8:$I$58,3,FALSE))*(1+'Key Information'!$C$21)</f>
        <v>28460346.563693266</v>
      </c>
      <c r="F42" s="62">
        <f>(F41*'Key Information'!$C$20+F41)*(1-VLOOKUP($C41,'Key Information'!$F$8:$I$58,4,FALSE)-VLOOKUP($C41,'Key Information'!$F$8:$I$58,3,FALSE))</f>
        <v>1443488.8464878444</v>
      </c>
      <c r="G42" s="62">
        <f>'Key Information'!$C$30*E42</f>
        <v>1423017.3281846633</v>
      </c>
      <c r="H42" s="62">
        <f>D42*VLOOKUP($C42,'Key Information'!$F$8:$I$58,3,FALSE)</f>
        <v>10756448.830058144</v>
      </c>
      <c r="I42" s="62">
        <f>E42*'Key Information'!$C$44</f>
        <v>9391914.3660187777</v>
      </c>
      <c r="J42" s="60"/>
      <c r="K42" s="63">
        <f>H42*'Key Information'!$C$45</f>
        <v>3764757.0905203503</v>
      </c>
      <c r="L42" s="62">
        <f>NPV('Key Information'!$C$16,E43:E$61)*(1+'Key Information'!$C$16)</f>
        <v>258621334.90970498</v>
      </c>
      <c r="M42" s="62">
        <f>NPV('Key Information'!$C$16,F43:F$61)*(1+'Key Information'!$C$16)</f>
        <v>9325502.2341136318</v>
      </c>
      <c r="N42" s="62">
        <f>NPV('Key Information'!$C$16,G43:G$61)*(1+'Key Information'!$C$16)</f>
        <v>12931066.745485246</v>
      </c>
      <c r="O42" s="62">
        <f>NPV('Key Information'!$C$16,H43:H$61)</f>
        <v>72053172.867419764</v>
      </c>
      <c r="P42" s="62">
        <f>NPV('Key Information'!$C$16,I43:I$61)*(1+'Key Information'!$C$16)</f>
        <v>85345040.520202607</v>
      </c>
      <c r="Q42" s="60"/>
      <c r="R42" s="63">
        <f>NPV('Key Information'!$C$16,K43:K$61)</f>
        <v>25218610.503596909</v>
      </c>
      <c r="S42" s="62">
        <f t="shared" si="0"/>
        <v>-104185163.04608065</v>
      </c>
      <c r="T42" s="62">
        <f t="shared" si="1"/>
        <v>35119118.310604841</v>
      </c>
      <c r="U42" s="63">
        <f t="shared" si="2"/>
        <v>-69066044.735475808</v>
      </c>
    </row>
    <row r="43" spans="1:21" x14ac:dyDescent="0.3">
      <c r="A43" s="64"/>
      <c r="B43" s="57">
        <v>2052</v>
      </c>
      <c r="C43" s="58">
        <v>33</v>
      </c>
      <c r="D43" s="63">
        <f>D42*(1-VLOOKUP($C42,'Key Information'!$F$8:$I$58,4,FALSE)-VLOOKUP($C42,'Key Information'!$F$8:$I$58,3,FALSE))*(1+'Key Information'!$C$21)</f>
        <v>2914782503.9691563</v>
      </c>
      <c r="E43" s="62">
        <f>(E42*VLOOKUP($C42,'Key Information'!$F$8:$I$58,2,FALSE)+E42)*(1-VLOOKUP($C42,'Key Information'!$F$8:$I$58,4,FALSE)-VLOOKUP($C42,'Key Information'!$F$8:$I$58,3,FALSE))*(1+'Key Information'!$C$21)</f>
        <v>26737913.831021719</v>
      </c>
      <c r="F43" s="62">
        <f>(F42*'Key Information'!$C$20+F42)*(1-VLOOKUP($C42,'Key Information'!$F$8:$I$58,4,FALSE)-VLOOKUP($C42,'Key Information'!$F$8:$I$58,3,FALSE))</f>
        <v>1303471.8718673701</v>
      </c>
      <c r="G43" s="62">
        <f>'Key Information'!$C$30*E43</f>
        <v>1336895.691551086</v>
      </c>
      <c r="H43" s="62">
        <f>D43*VLOOKUP($C43,'Key Information'!$F$8:$I$58,3,FALSE)</f>
        <v>9618782.2630982157</v>
      </c>
      <c r="I43" s="62">
        <f>E43*'Key Information'!$C$44</f>
        <v>8823511.5642371681</v>
      </c>
      <c r="J43" s="60"/>
      <c r="K43" s="63">
        <f>H43*'Key Information'!$C$45</f>
        <v>3366573.7920843754</v>
      </c>
      <c r="L43" s="62">
        <f>NPV('Key Information'!$C$16,E44:E$61)*(1+'Key Information'!$C$16)</f>
        <v>238839923.71104372</v>
      </c>
      <c r="M43" s="62">
        <f>NPV('Key Information'!$C$16,F44:F$61)*(1+'Key Information'!$C$16)</f>
        <v>8262691.2731136512</v>
      </c>
      <c r="N43" s="62">
        <f>NPV('Key Information'!$C$16,G44:G$61)*(1+'Key Information'!$C$16)</f>
        <v>11941996.185552185</v>
      </c>
      <c r="O43" s="62">
        <f>NPV('Key Information'!$C$16,H44:H$61)</f>
        <v>64595985.790344127</v>
      </c>
      <c r="P43" s="62">
        <f>NPV('Key Information'!$C$16,I44:I$61)*(1+'Key Information'!$C$16)</f>
        <v>78817174.824644402</v>
      </c>
      <c r="Q43" s="60"/>
      <c r="R43" s="63">
        <f>NPV('Key Information'!$C$16,K44:K$61)</f>
        <v>22608595.02662044</v>
      </c>
      <c r="S43" s="62">
        <f t="shared" si="0"/>
        <v>-97830670.664009809</v>
      </c>
      <c r="T43" s="62">
        <f t="shared" si="1"/>
        <v>32432929.561022144</v>
      </c>
      <c r="U43" s="63">
        <f t="shared" si="2"/>
        <v>-65397741.102987662</v>
      </c>
    </row>
    <row r="44" spans="1:21" x14ac:dyDescent="0.3">
      <c r="A44" s="64"/>
      <c r="B44" s="57">
        <v>2053</v>
      </c>
      <c r="C44" s="58">
        <v>34</v>
      </c>
      <c r="D44" s="63">
        <f>D43*(1-VLOOKUP($C43,'Key Information'!$F$8:$I$58,4,FALSE)-VLOOKUP($C43,'Key Information'!$F$8:$I$58,3,FALSE))*(1+'Key Information'!$C$21)</f>
        <v>2603524539.5003057</v>
      </c>
      <c r="E44" s="62">
        <f>(E43*VLOOKUP($C43,'Key Information'!$F$8:$I$58,2,FALSE)+E43)*(1-VLOOKUP($C43,'Key Information'!$F$8:$I$58,4,FALSE)-VLOOKUP($C43,'Key Information'!$F$8:$I$58,3,FALSE))*(1+'Key Information'!$C$21)</f>
        <v>25139406.577263635</v>
      </c>
      <c r="F44" s="62">
        <f>(F43*'Key Information'!$C$20+F43)*(1-VLOOKUP($C43,'Key Information'!$F$8:$I$58,4,FALSE)-VLOOKUP($C43,'Key Information'!$F$8:$I$58,3,FALSE))</f>
        <v>1175693.8277400837</v>
      </c>
      <c r="G44" s="62">
        <f>'Key Information'!$C$30*E44</f>
        <v>1256970.3288631819</v>
      </c>
      <c r="H44" s="62">
        <f>D44*VLOOKUP($C44,'Key Information'!$F$8:$I$58,3,FALSE)</f>
        <v>9112335.8882510699</v>
      </c>
      <c r="I44" s="62">
        <f>E44*'Key Information'!$C$44</f>
        <v>8296004.1704970002</v>
      </c>
      <c r="J44" s="60"/>
      <c r="K44" s="63">
        <f>H44*'Key Information'!$C$45</f>
        <v>3189317.5608878741</v>
      </c>
      <c r="L44" s="62">
        <f>NPV('Key Information'!$C$16,E45:E$61)*(1+'Key Information'!$C$16)</f>
        <v>220111532.64779344</v>
      </c>
      <c r="M44" s="62">
        <f>NPV('Key Information'!$C$16,F45:F$61)*(1+'Key Information'!$C$16)</f>
        <v>7299607.3687347742</v>
      </c>
      <c r="N44" s="62">
        <f>NPV('Key Information'!$C$16,G45:G$61)*(1+'Key Information'!$C$16)</f>
        <v>11005576.632389674</v>
      </c>
      <c r="O44" s="62">
        <f>NPV('Key Information'!$C$16,H45:H$61)</f>
        <v>57421529.475803368</v>
      </c>
      <c r="P44" s="62">
        <f>NPV('Key Information'!$C$16,I45:I$61)*(1+'Key Information'!$C$16)</f>
        <v>72636805.773771852</v>
      </c>
      <c r="Q44" s="60"/>
      <c r="R44" s="63">
        <f>NPV('Key Information'!$C$16,K45:K$61)</f>
        <v>20097535.316531178</v>
      </c>
      <c r="S44" s="62">
        <f t="shared" si="0"/>
        <v>-91845548.713624954</v>
      </c>
      <c r="T44" s="62">
        <f t="shared" si="1"/>
        <v>29889734.191053156</v>
      </c>
      <c r="U44" s="63">
        <f t="shared" si="2"/>
        <v>-61955814.522571802</v>
      </c>
    </row>
    <row r="45" spans="1:21" x14ac:dyDescent="0.3">
      <c r="A45" s="64"/>
      <c r="B45" s="57">
        <v>2054</v>
      </c>
      <c r="C45" s="58">
        <v>35</v>
      </c>
      <c r="D45" s="63">
        <f>D44*(1-VLOOKUP($C44,'Key Information'!$F$8:$I$58,4,FALSE)-VLOOKUP($C44,'Key Information'!$F$8:$I$58,3,FALSE))*(1+'Key Information'!$C$21)</f>
        <v>2322317853.9888778</v>
      </c>
      <c r="E45" s="62">
        <f>(E44*VLOOKUP($C44,'Key Information'!$F$8:$I$58,2,FALSE)+E44)*(1-VLOOKUP($C44,'Key Information'!$F$8:$I$58,4,FALSE)-VLOOKUP($C44,'Key Information'!$F$8:$I$58,3,FALSE))*(1+'Key Information'!$C$21)</f>
        <v>23651274.171324026</v>
      </c>
      <c r="F45" s="62">
        <f>(F44*'Key Information'!$C$20+F44)*(1-VLOOKUP($C44,'Key Information'!$F$8:$I$58,4,FALSE)-VLOOKUP($C44,'Key Information'!$F$8:$I$58,3,FALSE))</f>
        <v>1058988.5799294643</v>
      </c>
      <c r="G45" s="62">
        <f>'Key Information'!$C$30*E45</f>
        <v>1182563.7085662014</v>
      </c>
      <c r="H45" s="62">
        <f>D45*VLOOKUP($C45,'Key Information'!$F$8:$I$58,3,FALSE)</f>
        <v>8128112.4889610726</v>
      </c>
      <c r="I45" s="62">
        <f>E45*'Key Information'!$C$44</f>
        <v>7804920.4765369287</v>
      </c>
      <c r="J45" s="60"/>
      <c r="K45" s="63">
        <f>H45*'Key Information'!$C$45</f>
        <v>2844839.3711363752</v>
      </c>
      <c r="L45" s="62">
        <f>NPV('Key Information'!$C$16,E46:E$61)*(1+'Key Information'!$C$16)</f>
        <v>202354066.23076352</v>
      </c>
      <c r="M45" s="62">
        <f>NPV('Key Information'!$C$16,F46:F$61)*(1+'Key Information'!$C$16)</f>
        <v>6427837.3524694685</v>
      </c>
      <c r="N45" s="62">
        <f>NPV('Key Information'!$C$16,G46:G$61)*(1+'Key Information'!$C$16)</f>
        <v>10117703.311538178</v>
      </c>
      <c r="O45" s="62">
        <f>NPV('Key Information'!$C$16,H46:H$61)</f>
        <v>51016062.871116422</v>
      </c>
      <c r="P45" s="62">
        <f>NPV('Key Information'!$C$16,I46:I$61)*(1+'Key Information'!$C$16)</f>
        <v>66776841.856151961</v>
      </c>
      <c r="Q45" s="60"/>
      <c r="R45" s="63">
        <f>NPV('Key Information'!$C$16,K46:K$61)</f>
        <v>17855622.004890744</v>
      </c>
      <c r="S45" s="62">
        <f t="shared" si="0"/>
        <v>-85871242.844378233</v>
      </c>
      <c r="T45" s="62">
        <f t="shared" si="1"/>
        <v>27478384.159881137</v>
      </c>
      <c r="U45" s="63">
        <f t="shared" si="2"/>
        <v>-58392858.684497096</v>
      </c>
    </row>
    <row r="46" spans="1:21" x14ac:dyDescent="0.3">
      <c r="A46" s="64"/>
      <c r="B46" s="57">
        <v>2055</v>
      </c>
      <c r="C46" s="58">
        <v>36</v>
      </c>
      <c r="D46" s="63">
        <f>D45*(1-VLOOKUP($C45,'Key Information'!$F$8:$I$58,4,FALSE)-VLOOKUP($C45,'Key Information'!$F$8:$I$58,3,FALSE))*(1+'Key Information'!$C$21)</f>
        <v>2069115538.3684704</v>
      </c>
      <c r="E46" s="62">
        <f>(E45*VLOOKUP($C45,'Key Information'!$F$8:$I$58,2,FALSE)+E45)*(1-VLOOKUP($C45,'Key Information'!$F$8:$I$58,4,FALSE)-VLOOKUP($C45,'Key Information'!$F$8:$I$58,3,FALSE))*(1+'Key Information'!$C$21)</f>
        <v>22271916.02593258</v>
      </c>
      <c r="F46" s="62">
        <f>(F45*'Key Information'!$C$20+F45)*(1-VLOOKUP($C45,'Key Information'!$F$8:$I$58,4,FALSE)-VLOOKUP($C45,'Key Information'!$F$8:$I$58,3,FALSE))</f>
        <v>952777.32030543871</v>
      </c>
      <c r="G46" s="62">
        <f>'Key Information'!$C$30*E46</f>
        <v>1113595.801296629</v>
      </c>
      <c r="H46" s="62">
        <f>D46*VLOOKUP($C46,'Key Information'!$F$8:$I$58,3,FALSE)</f>
        <v>7448815.9381264932</v>
      </c>
      <c r="I46" s="62">
        <f>E46*'Key Information'!$C$44</f>
        <v>7349732.288557752</v>
      </c>
      <c r="J46" s="60"/>
      <c r="K46" s="63">
        <f>H46*'Key Information'!$C$45</f>
        <v>2607085.5783442724</v>
      </c>
      <c r="L46" s="62">
        <f>NPV('Key Information'!$C$16,E47:E$61)*(1+'Key Information'!$C$16)</f>
        <v>185484614.71097592</v>
      </c>
      <c r="M46" s="62">
        <f>NPV('Key Information'!$C$16,F47:F$61)*(1+'Key Information'!$C$16)</f>
        <v>5639311.8331289515</v>
      </c>
      <c r="N46" s="62">
        <f>NPV('Key Information'!$C$16,G47:G$61)*(1+'Key Information'!$C$16)</f>
        <v>9274230.7355487961</v>
      </c>
      <c r="O46" s="62">
        <f>NPV('Key Information'!$C$16,H47:H$61)</f>
        <v>45097728.819123417</v>
      </c>
      <c r="P46" s="62">
        <f>NPV('Key Information'!$C$16,I47:I$61)*(1+'Key Information'!$C$16)</f>
        <v>61209922.854622044</v>
      </c>
      <c r="Q46" s="60"/>
      <c r="R46" s="63">
        <f>NPV('Key Information'!$C$16,K47:K$61)</f>
        <v>15784205.08669319</v>
      </c>
      <c r="S46" s="62">
        <f t="shared" si="0"/>
        <v>-80047625.555245906</v>
      </c>
      <c r="T46" s="62">
        <f t="shared" si="1"/>
        <v>25187620.855433427</v>
      </c>
      <c r="U46" s="63">
        <f t="shared" si="2"/>
        <v>-54860004.699812479</v>
      </c>
    </row>
    <row r="47" spans="1:21" x14ac:dyDescent="0.3">
      <c r="A47" s="64"/>
      <c r="B47" s="57">
        <v>2056</v>
      </c>
      <c r="C47" s="58">
        <v>37</v>
      </c>
      <c r="D47" s="63">
        <f>D46*(1-VLOOKUP($C46,'Key Information'!$F$8:$I$58,4,FALSE)-VLOOKUP($C46,'Key Information'!$F$8:$I$58,3,FALSE))*(1+'Key Information'!$C$21)</f>
        <v>1839087825.7369707</v>
      </c>
      <c r="E47" s="62">
        <f>(E46*VLOOKUP($C46,'Key Information'!$F$8:$I$58,2,FALSE)+E46)*(1-VLOOKUP($C46,'Key Information'!$F$8:$I$58,4,FALSE)-VLOOKUP($C46,'Key Information'!$F$8:$I$58,3,FALSE))*(1+'Key Information'!$C$21)</f>
        <v>20967648.476870928</v>
      </c>
      <c r="F47" s="62">
        <f>(F46*'Key Information'!$C$20+F46)*(1-VLOOKUP($C46,'Key Information'!$F$8:$I$58,4,FALSE)-VLOOKUP($C46,'Key Information'!$F$8:$I$58,3,FALSE))</f>
        <v>855157.66162158409</v>
      </c>
      <c r="G47" s="62">
        <f>'Key Information'!$C$30*E47</f>
        <v>1048382.4238435464</v>
      </c>
      <c r="H47" s="62">
        <f>D47*VLOOKUP($C47,'Key Information'!$F$8:$I$58,3,FALSE)</f>
        <v>6804624.955226792</v>
      </c>
      <c r="I47" s="62">
        <f>E47*'Key Information'!$C$44</f>
        <v>6919323.9973674063</v>
      </c>
      <c r="J47" s="60"/>
      <c r="K47" s="63">
        <f>H47*'Key Information'!$C$45</f>
        <v>2381618.7343293768</v>
      </c>
      <c r="L47" s="62">
        <f>NPV('Key Information'!$C$16,E48:E$61)*(1+'Key Information'!$C$16)</f>
        <v>169452475.22112814</v>
      </c>
      <c r="M47" s="62">
        <f>NPV('Key Information'!$C$16,F48:F$61)*(1+'Key Information'!$C$16)</f>
        <v>4927678.7966525899</v>
      </c>
      <c r="N47" s="62">
        <f>NPV('Key Information'!$C$16,G48:G$61)*(1+'Key Information'!$C$16)</f>
        <v>8472623.7610564064</v>
      </c>
      <c r="O47" s="62">
        <f>NPV('Key Information'!$C$16,H48:H$61)</f>
        <v>39646035.728470318</v>
      </c>
      <c r="P47" s="62">
        <f>NPV('Key Information'!$C$16,I48:I$61)*(1+'Key Information'!$C$16)</f>
        <v>55919316.822972275</v>
      </c>
      <c r="Q47" s="60"/>
      <c r="R47" s="63">
        <f>NPV('Key Information'!$C$16,K48:K$61)</f>
        <v>13876112.504964611</v>
      </c>
      <c r="S47" s="62">
        <f t="shared" si="0"/>
        <v>-74362932.616941154</v>
      </c>
      <c r="T47" s="62">
        <f t="shared" si="1"/>
        <v>23010559.153572433</v>
      </c>
      <c r="U47" s="63">
        <f t="shared" si="2"/>
        <v>-51352373.463368721</v>
      </c>
    </row>
    <row r="48" spans="1:21" x14ac:dyDescent="0.3">
      <c r="A48" s="64"/>
      <c r="B48" s="57">
        <v>2057</v>
      </c>
      <c r="C48" s="58">
        <v>38</v>
      </c>
      <c r="D48" s="63">
        <f>D47*(1-VLOOKUP($C47,'Key Information'!$F$8:$I$58,4,FALSE)-VLOOKUP($C47,'Key Information'!$F$8:$I$58,3,FALSE))*(1+'Key Information'!$C$21)</f>
        <v>1632569297.4336631</v>
      </c>
      <c r="E48" s="62">
        <f>(E47*VLOOKUP($C47,'Key Information'!$F$8:$I$58,2,FALSE)+E47)*(1-VLOOKUP($C47,'Key Information'!$F$8:$I$58,4,FALSE)-VLOOKUP($C47,'Key Information'!$F$8:$I$58,3,FALSE))*(1+'Key Information'!$C$21)</f>
        <v>19758911.417117424</v>
      </c>
      <c r="F48" s="62">
        <f>(F47*'Key Information'!$C$20+F47)*(1-VLOOKUP($C47,'Key Information'!$F$8:$I$58,4,FALSE)-VLOOKUP($C47,'Key Information'!$F$8:$I$58,3,FALSE))</f>
        <v>766571.02429654251</v>
      </c>
      <c r="G48" s="62">
        <f>'Key Information'!$C$30*E48</f>
        <v>987945.57085587131</v>
      </c>
      <c r="H48" s="62">
        <f>D48*VLOOKUP($C48,'Key Information'!$F$8:$I$58,3,FALSE)</f>
        <v>6040506.4005045537</v>
      </c>
      <c r="I48" s="62">
        <f>E48*'Key Information'!$C$44</f>
        <v>6520440.76764875</v>
      </c>
      <c r="J48" s="60"/>
      <c r="K48" s="63">
        <f>H48*'Key Information'!$C$45</f>
        <v>2114177.2401765939</v>
      </c>
      <c r="L48" s="62">
        <f>NPV('Key Information'!$C$16,E49:E$61)*(1+'Key Information'!$C$16)</f>
        <v>154184370.71813107</v>
      </c>
      <c r="M48" s="62">
        <f>NPV('Key Information'!$C$16,F49:F$61)*(1+'Key Information'!$C$16)</f>
        <v>4285941.005526728</v>
      </c>
      <c r="N48" s="62">
        <f>NPV('Key Information'!$C$16,G49:G$61)*(1+'Key Information'!$C$16)</f>
        <v>7709218.5359065495</v>
      </c>
      <c r="O48" s="62">
        <f>NPV('Key Information'!$C$16,H49:H$61)</f>
        <v>34794910.399819881</v>
      </c>
      <c r="P48" s="62">
        <f>NPV('Key Information'!$C$16,I49:I$61)*(1+'Key Information'!$C$16)</f>
        <v>50880842.336983241</v>
      </c>
      <c r="Q48" s="60"/>
      <c r="R48" s="63">
        <f>NPV('Key Information'!$C$16,K49:K$61)</f>
        <v>12178218.639936958</v>
      </c>
      <c r="S48" s="62">
        <f t="shared" si="0"/>
        <v>-68691677.07983163</v>
      </c>
      <c r="T48" s="62">
        <f t="shared" si="1"/>
        <v>20937248.501894597</v>
      </c>
      <c r="U48" s="63">
        <f t="shared" si="2"/>
        <v>-47754428.577937037</v>
      </c>
    </row>
    <row r="49" spans="1:21" x14ac:dyDescent="0.3">
      <c r="A49" s="64"/>
      <c r="B49" s="57">
        <v>2058</v>
      </c>
      <c r="C49" s="58">
        <v>39</v>
      </c>
      <c r="D49" s="63">
        <f>D48*(1-VLOOKUP($C48,'Key Information'!$F$8:$I$58,4,FALSE)-VLOOKUP($C48,'Key Information'!$F$8:$I$58,3,FALSE))*(1+'Key Information'!$C$21)</f>
        <v>1447576340.064265</v>
      </c>
      <c r="E49" s="62">
        <f>(E48*VLOOKUP($C48,'Key Information'!$F$8:$I$58,2,FALSE)+E48)*(1-VLOOKUP($C48,'Key Information'!$F$8:$I$58,4,FALSE)-VLOOKUP($C48,'Key Information'!$F$8:$I$58,3,FALSE))*(1+'Key Information'!$C$21)</f>
        <v>18641600.950170118</v>
      </c>
      <c r="F49" s="62">
        <f>(F48*'Key Information'!$C$20+F48)*(1-VLOOKUP($C48,'Key Information'!$F$8:$I$58,4,FALSE)-VLOOKUP($C48,'Key Information'!$F$8:$I$58,3,FALSE))</f>
        <v>686371.59716361389</v>
      </c>
      <c r="G49" s="62">
        <f>'Key Information'!$C$30*E49</f>
        <v>932080.04750850599</v>
      </c>
      <c r="H49" s="62">
        <f>D49*VLOOKUP($C49,'Key Information'!$F$8:$I$58,3,FALSE)</f>
        <v>5500790.0922442069</v>
      </c>
      <c r="I49" s="62">
        <f>E49*'Key Information'!$C$44</f>
        <v>6151728.3135561394</v>
      </c>
      <c r="J49" s="60"/>
      <c r="K49" s="63">
        <f>H49*'Key Information'!$C$45</f>
        <v>1925276.5322854724</v>
      </c>
      <c r="L49" s="62">
        <f>NPV('Key Information'!$C$16,E50:E$61)*(1+'Key Information'!$C$16)</f>
        <v>139609052.8609997</v>
      </c>
      <c r="M49" s="62">
        <f>NPV('Key Information'!$C$16,F50:F$61)*(1+'Key Information'!$C$16)</f>
        <v>3707556.4906140077</v>
      </c>
      <c r="N49" s="62">
        <f>NPV('Key Information'!$C$16,G50:G$61)*(1+'Key Information'!$C$16)</f>
        <v>6980452.6430499861</v>
      </c>
      <c r="O49" s="62">
        <f>NPV('Key Information'!$C$16,H50:H$61)</f>
        <v>30337967.61957027</v>
      </c>
      <c r="P49" s="62">
        <f>NPV('Key Information'!$C$16,I50:I$61)*(1+'Key Information'!$C$16)</f>
        <v>46070987.444129907</v>
      </c>
      <c r="Q49" s="60"/>
      <c r="R49" s="63">
        <f>NPV('Key Information'!$C$16,K50:K$61)</f>
        <v>10618288.666849593</v>
      </c>
      <c r="S49" s="62">
        <f t="shared" si="0"/>
        <v>-63130377.33048512</v>
      </c>
      <c r="T49" s="62">
        <f t="shared" si="1"/>
        <v>18958013.832728643</v>
      </c>
      <c r="U49" s="63">
        <f t="shared" si="2"/>
        <v>-44172363.497756481</v>
      </c>
    </row>
    <row r="50" spans="1:21" x14ac:dyDescent="0.3">
      <c r="A50" s="64"/>
      <c r="B50" s="57">
        <v>2059</v>
      </c>
      <c r="C50" s="58">
        <v>40</v>
      </c>
      <c r="D50" s="63">
        <f>D49*(1-VLOOKUP($C49,'Key Information'!$F$8:$I$58,4,FALSE)-VLOOKUP($C49,'Key Information'!$F$8:$I$58,3,FALSE))*(1+'Key Information'!$C$21)</f>
        <v>1281921494.0126708</v>
      </c>
      <c r="E50" s="62">
        <f>(E49*VLOOKUP($C49,'Key Information'!$F$8:$I$58,2,FALSE)+E49)*(1-VLOOKUP($C49,'Key Information'!$F$8:$I$58,4,FALSE)-VLOOKUP($C49,'Key Information'!$F$8:$I$58,3,FALSE))*(1+'Key Information'!$C$21)</f>
        <v>17607491.709410399</v>
      </c>
      <c r="F50" s="62">
        <f>(F49*'Key Information'!$C$20+F49)*(1-VLOOKUP($C49,'Key Information'!$F$8:$I$58,4,FALSE)-VLOOKUP($C49,'Key Information'!$F$8:$I$58,3,FALSE))</f>
        <v>613785.05527717294</v>
      </c>
      <c r="G50" s="62">
        <f>'Key Information'!$C$30*E50</f>
        <v>880374.58547051996</v>
      </c>
      <c r="H50" s="62">
        <f>D50*VLOOKUP($C50,'Key Information'!$F$8:$I$58,3,FALSE)</f>
        <v>4999493.8266494153</v>
      </c>
      <c r="I50" s="62">
        <f>E50*'Key Information'!$C$44</f>
        <v>5810472.2641054317</v>
      </c>
      <c r="J50" s="60"/>
      <c r="K50" s="63">
        <f>H50*'Key Information'!$C$45</f>
        <v>1749822.8393272953</v>
      </c>
      <c r="L50" s="62">
        <f>NPV('Key Information'!$C$16,E51:E$61)*(1+'Key Information'!$C$16)</f>
        <v>125661607.986137</v>
      </c>
      <c r="M50" s="62">
        <f>NPV('Key Information'!$C$16,F51:F$61)*(1+'Key Information'!$C$16)</f>
        <v>3186584.5783969387</v>
      </c>
      <c r="N50" s="62">
        <f>NPV('Key Information'!$C$16,G51:G$61)*(1+'Key Information'!$C$16)</f>
        <v>6283080.3993068505</v>
      </c>
      <c r="O50" s="62">
        <f>NPV('Key Information'!$C$16,H51:H$61)</f>
        <v>26248612.821507968</v>
      </c>
      <c r="P50" s="62">
        <f>NPV('Key Information'!$C$16,I51:I$61)*(1+'Key Information'!$C$16)</f>
        <v>41468330.635425217</v>
      </c>
      <c r="Q50" s="60"/>
      <c r="R50" s="63">
        <f>NPV('Key Information'!$C$16,K51:K$61)</f>
        <v>9187014.4875277858</v>
      </c>
      <c r="S50" s="62">
        <f t="shared" si="0"/>
        <v>-57662014.039027825</v>
      </c>
      <c r="T50" s="62">
        <f t="shared" si="1"/>
        <v>17064040.286957722</v>
      </c>
      <c r="U50" s="63">
        <f t="shared" si="2"/>
        <v>-40597973.752070099</v>
      </c>
    </row>
    <row r="51" spans="1:21" x14ac:dyDescent="0.3">
      <c r="A51" s="64"/>
      <c r="B51" s="57">
        <v>2060</v>
      </c>
      <c r="C51" s="58">
        <v>41</v>
      </c>
      <c r="D51" s="63">
        <f>D50*(1-VLOOKUP($C50,'Key Information'!$F$8:$I$58,4,FALSE)-VLOOKUP($C50,'Key Information'!$F$8:$I$58,3,FALSE))*(1+'Key Information'!$C$21)</f>
        <v>1132477650.0836616</v>
      </c>
      <c r="E51" s="62">
        <f>(E50*VLOOKUP($C50,'Key Information'!$F$8:$I$58,2,FALSE)+E50)*(1-VLOOKUP($C50,'Key Information'!$F$8:$I$58,4,FALSE)-VLOOKUP($C50,'Key Information'!$F$8:$I$58,3,FALSE))*(1+'Key Information'!$C$21)</f>
        <v>16631948.439559037</v>
      </c>
      <c r="F51" s="62">
        <f>(F50*'Key Information'!$C$20+F50)*(1-VLOOKUP($C50,'Key Information'!$F$8:$I$58,4,FALSE)-VLOOKUP($C50,'Key Information'!$F$8:$I$58,3,FALSE))</f>
        <v>547547.21346682624</v>
      </c>
      <c r="G51" s="62">
        <f>'Key Information'!$C$30*E51</f>
        <v>831597.42197795189</v>
      </c>
      <c r="H51" s="62">
        <f>D51*VLOOKUP($C51,'Key Information'!$F$8:$I$58,3,FALSE)</f>
        <v>4416662.8353262795</v>
      </c>
      <c r="I51" s="62">
        <f>E51*'Key Information'!$C$44</f>
        <v>5488542.9850544827</v>
      </c>
      <c r="J51" s="60"/>
      <c r="K51" s="63">
        <f>H51*'Key Information'!$C$45</f>
        <v>1545831.9923641977</v>
      </c>
      <c r="L51" s="62">
        <f>NPV('Key Information'!$C$16,E52:E$61)*(1+'Key Information'!$C$16)</f>
        <v>112300549.3329753</v>
      </c>
      <c r="M51" s="62">
        <f>NPV('Key Information'!$C$16,F52:F$61)*(1+'Key Information'!$C$16)</f>
        <v>2718208.4858780163</v>
      </c>
      <c r="N51" s="62">
        <f>NPV('Key Information'!$C$16,G52:G$61)*(1+'Key Information'!$C$16)</f>
        <v>5615027.4666487658</v>
      </c>
      <c r="O51" s="62">
        <f>NPV('Key Information'!$C$16,H52:H$61)</f>
        <v>22619408.370826922</v>
      </c>
      <c r="P51" s="62">
        <f>NPV('Key Information'!$C$16,I52:I$61)*(1+'Key Information'!$C$16)</f>
        <v>37059181.279881857</v>
      </c>
      <c r="Q51" s="60"/>
      <c r="R51" s="63">
        <f>NPV('Key Information'!$C$16,K52:K$61)</f>
        <v>7916792.9297894221</v>
      </c>
      <c r="S51" s="62">
        <f t="shared" si="0"/>
        <v>-52205516.65952915</v>
      </c>
      <c r="T51" s="62">
        <f t="shared" si="1"/>
        <v>15249694.228620568</v>
      </c>
      <c r="U51" s="63">
        <f t="shared" si="2"/>
        <v>-36955822.430908583</v>
      </c>
    </row>
    <row r="52" spans="1:21" x14ac:dyDescent="0.3">
      <c r="A52" s="64"/>
      <c r="B52" s="57">
        <v>2061</v>
      </c>
      <c r="C52" s="58">
        <v>42</v>
      </c>
      <c r="D52" s="63">
        <f>D51*(1-VLOOKUP($C51,'Key Information'!$F$8:$I$58,4,FALSE)-VLOOKUP($C51,'Key Information'!$F$8:$I$58,3,FALSE))*(1+'Key Information'!$C$21)</f>
        <v>999300543.3891232</v>
      </c>
      <c r="E52" s="62">
        <f>(E51*VLOOKUP($C51,'Key Information'!$F$8:$I$58,2,FALSE)+E51)*(1-VLOOKUP($C51,'Key Information'!$F$8:$I$58,4,FALSE)-VLOOKUP($C51,'Key Information'!$F$8:$I$58,3,FALSE))*(1+'Key Information'!$C$21)</f>
        <v>15732965.897807622</v>
      </c>
      <c r="F52" s="62">
        <f>(F51*'Key Information'!$C$20+F51)*(1-VLOOKUP($C51,'Key Information'!$F$8:$I$58,4,FALSE)-VLOOKUP($C51,'Key Information'!$F$8:$I$58,3,FALSE))</f>
        <v>487893.5872012559</v>
      </c>
      <c r="G52" s="62">
        <f>'Key Information'!$C$30*E52</f>
        <v>786648.29489038116</v>
      </c>
      <c r="H52" s="62">
        <f>D52*VLOOKUP($C52,'Key Information'!$F$8:$I$58,3,FALSE)</f>
        <v>4097132.2278954056</v>
      </c>
      <c r="I52" s="62">
        <f>E52*'Key Information'!$C$44</f>
        <v>5191878.7462765155</v>
      </c>
      <c r="J52" s="60"/>
      <c r="K52" s="63">
        <f>H52*'Key Information'!$C$45</f>
        <v>1433996.2797633919</v>
      </c>
      <c r="L52" s="62">
        <f>NPV('Key Information'!$C$16,E53:E$61)*(1+'Key Information'!$C$16)</f>
        <v>99464610.938222736</v>
      </c>
      <c r="M52" s="62">
        <f>NPV('Key Information'!$C$16,F53:F$61)*(1+'Key Information'!$C$16)</f>
        <v>2297224.3456370635</v>
      </c>
      <c r="N52" s="62">
        <f>NPV('Key Information'!$C$16,G53:G$61)*(1+'Key Information'!$C$16)</f>
        <v>4973230.5469111362</v>
      </c>
      <c r="O52" s="62">
        <f>NPV('Key Information'!$C$16,H53:H$61)</f>
        <v>19200858.394056324</v>
      </c>
      <c r="P52" s="62">
        <f>NPV('Key Information'!$C$16,I53:I$61)*(1+'Key Information'!$C$16)</f>
        <v>32823321.609613501</v>
      </c>
      <c r="Q52" s="60"/>
      <c r="R52" s="63">
        <f>NPV('Key Information'!$C$16,K53:K$61)</f>
        <v>6720300.4379197126</v>
      </c>
      <c r="S52" s="62">
        <f t="shared" si="0"/>
        <v>-46890276.479924425</v>
      </c>
      <c r="T52" s="62">
        <f t="shared" si="1"/>
        <v>13506656.132902989</v>
      </c>
      <c r="U52" s="63">
        <f t="shared" si="2"/>
        <v>-33383620.347021438</v>
      </c>
    </row>
    <row r="53" spans="1:21" x14ac:dyDescent="0.3">
      <c r="A53" s="64"/>
      <c r="B53" s="57">
        <v>2062</v>
      </c>
      <c r="C53" s="58">
        <v>43</v>
      </c>
      <c r="D53" s="63">
        <f>D52*(1-VLOOKUP($C52,'Key Information'!$F$8:$I$58,4,FALSE)-VLOOKUP($C52,'Key Information'!$F$8:$I$58,3,FALSE))*(1+'Key Information'!$C$21)</f>
        <v>880561654.22254086</v>
      </c>
      <c r="E53" s="62">
        <f>(E52*VLOOKUP($C52,'Key Information'!$F$8:$I$58,2,FALSE)+E52)*(1-VLOOKUP($C52,'Key Information'!$F$8:$I$58,4,FALSE)-VLOOKUP($C52,'Key Information'!$F$8:$I$58,3,FALSE))*(1+'Key Information'!$C$21)</f>
        <v>14901866.287987456</v>
      </c>
      <c r="F53" s="62">
        <f>(F52*'Key Information'!$C$20+F52)*(1-VLOOKUP($C52,'Key Information'!$F$8:$I$58,4,FALSE)-VLOOKUP($C52,'Key Information'!$F$8:$I$58,3,FALSE))</f>
        <v>434136.00808265992</v>
      </c>
      <c r="G53" s="62">
        <f>'Key Information'!$C$30*E53</f>
        <v>745093.31439937279</v>
      </c>
      <c r="H53" s="62">
        <f>D53*VLOOKUP($C53,'Key Information'!$F$8:$I$58,3,FALSE)</f>
        <v>3610302.7823124179</v>
      </c>
      <c r="I53" s="62">
        <f>E53*'Key Information'!$C$44</f>
        <v>4917615.8750358606</v>
      </c>
      <c r="J53" s="60"/>
      <c r="K53" s="63">
        <f>H53*'Key Information'!$C$45</f>
        <v>1263605.9738093461</v>
      </c>
      <c r="L53" s="62">
        <f>NPV('Key Information'!$C$16,E54:E$61)*(1+'Key Information'!$C$16)</f>
        <v>87099626.989742324</v>
      </c>
      <c r="M53" s="62">
        <f>NPV('Key Information'!$C$16,F54:F$61)*(1+'Key Information'!$C$16)</f>
        <v>1918980.9876810357</v>
      </c>
      <c r="N53" s="62">
        <f>NPV('Key Information'!$C$16,G54:G$61)*(1+'Key Information'!$C$16)</f>
        <v>4354981.3494871166</v>
      </c>
      <c r="O53" s="62">
        <f>NPV('Key Information'!$C$16,H54:H$61)</f>
        <v>16166581.363565598</v>
      </c>
      <c r="P53" s="62">
        <f>NPV('Key Information'!$C$16,I54:I$61)*(1+'Key Information'!$C$16)</f>
        <v>28742876.906614967</v>
      </c>
      <c r="Q53" s="60"/>
      <c r="R53" s="63">
        <f>NPV('Key Information'!$C$16,K54:K$61)</f>
        <v>5658303.477247959</v>
      </c>
      <c r="S53" s="62">
        <f t="shared" si="0"/>
        <v>-41574509.859641567</v>
      </c>
      <c r="T53" s="62">
        <f t="shared" si="1"/>
        <v>11827570.629972512</v>
      </c>
      <c r="U53" s="63">
        <f t="shared" si="2"/>
        <v>-29746939.229669057</v>
      </c>
    </row>
    <row r="54" spans="1:21" x14ac:dyDescent="0.3">
      <c r="A54" s="64"/>
      <c r="B54" s="57">
        <v>2063</v>
      </c>
      <c r="C54" s="58">
        <v>44</v>
      </c>
      <c r="D54" s="63">
        <f>D53*(1-VLOOKUP($C53,'Key Information'!$F$8:$I$58,4,FALSE)-VLOOKUP($C53,'Key Information'!$F$8:$I$58,3,FALSE))*(1+'Key Information'!$C$21)</f>
        <v>774135211.5698961</v>
      </c>
      <c r="E54" s="62">
        <f>(E53*VLOOKUP($C53,'Key Information'!$F$8:$I$58,2,FALSE)+E53)*(1-VLOOKUP($C53,'Key Information'!$F$8:$I$58,4,FALSE)-VLOOKUP($C53,'Key Information'!$F$8:$I$58,3,FALSE))*(1+'Key Information'!$C$21)</f>
        <v>14121241.037100386</v>
      </c>
      <c r="F54" s="62">
        <f>(F53*'Key Information'!$C$20+F53)*(1-VLOOKUP($C53,'Key Information'!$F$8:$I$58,4,FALSE)-VLOOKUP($C53,'Key Information'!$F$8:$I$58,3,FALSE))</f>
        <v>385407.2801274379</v>
      </c>
      <c r="G54" s="62">
        <f>'Key Information'!$C$30*E54</f>
        <v>706062.05185501929</v>
      </c>
      <c r="H54" s="62">
        <f>D54*VLOOKUP($C54,'Key Information'!$F$8:$I$58,3,FALSE)</f>
        <v>3251367.8885935633</v>
      </c>
      <c r="I54" s="62">
        <f>E54*'Key Information'!$C$44</f>
        <v>4660009.5422431277</v>
      </c>
      <c r="J54" s="60"/>
      <c r="K54" s="63">
        <f>H54*'Key Information'!$C$45</f>
        <v>1137978.7610077471</v>
      </c>
      <c r="L54" s="62">
        <f>NPV('Key Information'!$C$16,E55:E$61)*(1+'Key Information'!$C$16)</f>
        <v>75167737.531221196</v>
      </c>
      <c r="M54" s="62">
        <f>NPV('Key Information'!$C$16,F55:F$61)*(1+'Key Information'!$C$16)</f>
        <v>1579580.918780206</v>
      </c>
      <c r="N54" s="62">
        <f>NPV('Key Information'!$C$16,G55:G$61)*(1+'Key Information'!$C$16)</f>
        <v>3758386.8765610605</v>
      </c>
      <c r="O54" s="62">
        <f>NPV('Key Information'!$C$16,H55:H$61)</f>
        <v>13400210.915879002</v>
      </c>
      <c r="P54" s="62">
        <f>NPV('Key Information'!$C$16,I55:I$61)*(1+'Key Information'!$C$16)</f>
        <v>24805353.385302994</v>
      </c>
      <c r="Q54" s="60"/>
      <c r="R54" s="63">
        <f>NPV('Key Information'!$C$16,K55:K$61)</f>
        <v>4690073.8205576492</v>
      </c>
      <c r="S54" s="62">
        <f t="shared" si="0"/>
        <v>-36314279.255255587</v>
      </c>
      <c r="T54" s="62">
        <f t="shared" si="1"/>
        <v>10207296.580620918</v>
      </c>
      <c r="U54" s="63">
        <f t="shared" si="2"/>
        <v>-26106982.674634669</v>
      </c>
    </row>
    <row r="55" spans="1:21" x14ac:dyDescent="0.3">
      <c r="A55" s="64"/>
      <c r="B55" s="57">
        <v>2064</v>
      </c>
      <c r="C55" s="58">
        <v>45</v>
      </c>
      <c r="D55" s="63">
        <f>D54*(1-VLOOKUP($C54,'Key Information'!$F$8:$I$58,4,FALSE)-VLOOKUP($C54,'Key Information'!$F$8:$I$58,3,FALSE))*(1+'Key Information'!$C$21)</f>
        <v>679703101.92175388</v>
      </c>
      <c r="E55" s="62">
        <f>(E54*VLOOKUP($C54,'Key Information'!$F$8:$I$58,2,FALSE)+E54)*(1-VLOOKUP($C54,'Key Information'!$F$8:$I$58,4,FALSE)-VLOOKUP($C54,'Key Information'!$F$8:$I$58,3,FALSE))*(1+'Key Information'!$C$21)</f>
        <v>13403060.401574356</v>
      </c>
      <c r="F55" s="62">
        <f>(F54*'Key Information'!$C$20+F54)*(1-VLOOKUP($C54,'Key Information'!$F$8:$I$58,4,FALSE)-VLOOKUP($C54,'Key Information'!$F$8:$I$58,3,FALSE))</f>
        <v>341711.34433570952</v>
      </c>
      <c r="G55" s="62">
        <f>'Key Information'!$C$30*E55</f>
        <v>670153.02007871785</v>
      </c>
      <c r="H55" s="62">
        <f>D55*VLOOKUP($C55,'Key Information'!$F$8:$I$58,3,FALSE)</f>
        <v>2922723.3382635419</v>
      </c>
      <c r="I55" s="62">
        <f>E55*'Key Information'!$C$44</f>
        <v>4423009.9325195374</v>
      </c>
      <c r="J55" s="60"/>
      <c r="K55" s="63">
        <f>H55*'Key Information'!$C$45</f>
        <v>1022953.1683922396</v>
      </c>
      <c r="L55" s="62">
        <f>NPV('Key Information'!$C$16,E56:E$61)*(1+'Key Information'!$C$16)</f>
        <v>63617617.443536244</v>
      </c>
      <c r="M55" s="62">
        <f>NPV('Key Information'!$C$16,F56:F$61)*(1+'Key Information'!$C$16)</f>
        <v>1275005.6616778313</v>
      </c>
      <c r="N55" s="62">
        <f>NPV('Key Information'!$C$16,G56:G$61)*(1+'Key Information'!$C$16)</f>
        <v>3180880.8721768125</v>
      </c>
      <c r="O55" s="62">
        <f>NPV('Key Information'!$C$16,H56:H$61)</f>
        <v>10879493.90509183</v>
      </c>
      <c r="P55" s="62">
        <f>NPV('Key Information'!$C$16,I56:I$61)*(1+'Key Information'!$C$16)</f>
        <v>20993813.756366961</v>
      </c>
      <c r="Q55" s="60"/>
      <c r="R55" s="63">
        <f>NPV('Key Information'!$C$16,K56:K$61)</f>
        <v>3807822.8667821405</v>
      </c>
      <c r="S55" s="62">
        <f t="shared" si="0"/>
        <v>-31096246.115004949</v>
      </c>
      <c r="T55" s="62">
        <f t="shared" si="1"/>
        <v>8638864.3629049174</v>
      </c>
      <c r="U55" s="63">
        <f t="shared" si="2"/>
        <v>-22457381.752100032</v>
      </c>
    </row>
    <row r="56" spans="1:21" x14ac:dyDescent="0.3">
      <c r="A56" s="64"/>
      <c r="B56" s="57">
        <v>2065</v>
      </c>
      <c r="C56" s="58">
        <v>46</v>
      </c>
      <c r="D56" s="63">
        <f>D55*(1-VLOOKUP($C55,'Key Information'!$F$8:$I$58,4,FALSE)-VLOOKUP($C55,'Key Information'!$F$8:$I$58,3,FALSE))*(1+'Key Information'!$C$21)</f>
        <v>596027571.85657454</v>
      </c>
      <c r="E56" s="62">
        <f>(E55*VLOOKUP($C55,'Key Information'!$F$8:$I$58,2,FALSE)+E55)*(1-VLOOKUP($C55,'Key Information'!$F$8:$I$58,4,FALSE)-VLOOKUP($C55,'Key Information'!$F$8:$I$58,3,FALSE))*(1+'Key Information'!$C$21)</f>
        <v>12743232.10199352</v>
      </c>
      <c r="F56" s="62">
        <f>(F55*'Key Information'!$C$20+F55)*(1-VLOOKUP($C55,'Key Information'!$F$8:$I$58,4,FALSE)-VLOOKUP($C55,'Key Information'!$F$8:$I$58,3,FALSE))</f>
        <v>302582.32000717177</v>
      </c>
      <c r="G56" s="62">
        <f>'Key Information'!$C$30*E56</f>
        <v>637161.60509967606</v>
      </c>
      <c r="H56" s="62">
        <f>D56*VLOOKUP($C56,'Key Information'!$F$8:$I$58,3,FALSE)</f>
        <v>2622521.3161689281</v>
      </c>
      <c r="I56" s="62">
        <f>E56*'Key Information'!$C$44</f>
        <v>4205266.5936578615</v>
      </c>
      <c r="J56" s="60"/>
      <c r="K56" s="63">
        <f>H56*'Key Information'!$C$45</f>
        <v>917882.46065912477</v>
      </c>
      <c r="L56" s="62">
        <f>NPV('Key Information'!$C$16,E57:E$61)*(1+'Key Information'!$C$16)</f>
        <v>52400616.90178901</v>
      </c>
      <c r="M56" s="62">
        <f>NPV('Key Information'!$C$16,F57:F$61)*(1+'Key Information'!$C$16)</f>
        <v>1001596.0419207793</v>
      </c>
      <c r="N56" s="62">
        <f>NPV('Key Information'!$C$16,G57:G$61)*(1+'Key Information'!$C$16)</f>
        <v>2620030.8450894509</v>
      </c>
      <c r="O56" s="62">
        <f>NPV('Key Information'!$C$16,H57:H$61)</f>
        <v>8583357.4060756564</v>
      </c>
      <c r="P56" s="62">
        <f>NPV('Key Information'!$C$16,I57:I$61)*(1+'Key Information'!$C$16)</f>
        <v>17292203.577590376</v>
      </c>
      <c r="Q56" s="60"/>
      <c r="R56" s="63">
        <f>NPV('Key Information'!$C$16,K57:K$61)</f>
        <v>3004175.0921264798</v>
      </c>
      <c r="S56" s="62">
        <f t="shared" si="0"/>
        <v>-25907604.123239227</v>
      </c>
      <c r="T56" s="62">
        <f t="shared" si="1"/>
        <v>7115667.6426757956</v>
      </c>
      <c r="U56" s="63">
        <f t="shared" si="2"/>
        <v>-18791936.480563432</v>
      </c>
    </row>
    <row r="57" spans="1:21" x14ac:dyDescent="0.3">
      <c r="A57" s="64"/>
      <c r="B57" s="57">
        <v>2066</v>
      </c>
      <c r="C57" s="58">
        <v>47</v>
      </c>
      <c r="D57" s="63">
        <f>D56*(1-VLOOKUP($C56,'Key Information'!$F$8:$I$58,4,FALSE)-VLOOKUP($C56,'Key Information'!$F$8:$I$58,3,FALSE))*(1+'Key Information'!$C$21)</f>
        <v>521376310.53668231</v>
      </c>
      <c r="E57" s="62">
        <f>(E56*VLOOKUP($C56,'Key Information'!$F$8:$I$58,2,FALSE)+E56)*(1-VLOOKUP($C56,'Key Information'!$F$8:$I$58,4,FALSE)-VLOOKUP($C56,'Key Information'!$F$8:$I$58,3,FALSE))*(1+'Key Information'!$C$21)</f>
        <v>12123856.246909445</v>
      </c>
      <c r="F57" s="62">
        <f>(F56*'Key Information'!$C$20+F56)*(1-VLOOKUP($C56,'Key Information'!$F$8:$I$58,4,FALSE)-VLOOKUP($C56,'Key Information'!$F$8:$I$58,3,FALSE))</f>
        <v>267279.435567295</v>
      </c>
      <c r="G57" s="62">
        <f>'Key Information'!$C$30*E57</f>
        <v>606192.81234547228</v>
      </c>
      <c r="H57" s="62">
        <f>D57*VLOOKUP($C57,'Key Information'!$F$8:$I$58,3,FALSE)</f>
        <v>2346193.3974150703</v>
      </c>
      <c r="I57" s="62">
        <f>E57*'Key Information'!$C$44</f>
        <v>4000872.561480117</v>
      </c>
      <c r="J57" s="60"/>
      <c r="K57" s="63">
        <f>H57*'Key Information'!$C$45</f>
        <v>821167.68909527455</v>
      </c>
      <c r="L57" s="62">
        <f>NPV('Key Information'!$C$16,E58:E$61)*(1+'Key Information'!$C$16)</f>
        <v>41485063.474525951</v>
      </c>
      <c r="M57" s="62">
        <f>NPV('Key Information'!$C$16,F58:F$61)*(1+'Key Information'!$C$16)</f>
        <v>756346.10454408871</v>
      </c>
      <c r="N57" s="62">
        <f>NPV('Key Information'!$C$16,G58:G$61)*(1+'Key Information'!$C$16)</f>
        <v>2074253.1737262979</v>
      </c>
      <c r="O57" s="62">
        <f>NPV('Key Information'!$C$16,H58:H$61)</f>
        <v>6494664.7308428558</v>
      </c>
      <c r="P57" s="62">
        <f>NPV('Key Information'!$C$16,I58:I$61)*(1+'Key Information'!$C$16)</f>
        <v>13690070.946593564</v>
      </c>
      <c r="Q57" s="60"/>
      <c r="R57" s="63">
        <f>NPV('Key Information'!$C$16,K58:K$61)</f>
        <v>2273132.655795</v>
      </c>
      <c r="S57" s="62">
        <f t="shared" si="0"/>
        <v>-20742861.174614146</v>
      </c>
      <c r="T57" s="62">
        <f t="shared" si="1"/>
        <v>5633405.5069103129</v>
      </c>
      <c r="U57" s="63">
        <f t="shared" si="2"/>
        <v>-15109455.667703833</v>
      </c>
    </row>
    <row r="58" spans="1:21" x14ac:dyDescent="0.3">
      <c r="A58" s="64"/>
      <c r="B58" s="57">
        <v>2067</v>
      </c>
      <c r="C58" s="58">
        <v>48</v>
      </c>
      <c r="D58" s="63">
        <f>D57*(1-VLOOKUP($C57,'Key Information'!$F$8:$I$58,4,FALSE)-VLOOKUP($C57,'Key Information'!$F$8:$I$58,3,FALSE))*(1+'Key Information'!$C$21)</f>
        <v>455489986.17416179</v>
      </c>
      <c r="E58" s="62">
        <f>(E57*VLOOKUP($C57,'Key Information'!$F$8:$I$58,2,FALSE)+E57)*(1-VLOOKUP($C57,'Key Information'!$F$8:$I$58,4,FALSE)-VLOOKUP($C57,'Key Information'!$F$8:$I$58,3,FALSE))*(1+'Key Information'!$C$21)</f>
        <v>11556910.90864359</v>
      </c>
      <c r="F58" s="62">
        <f>(F57*'Key Information'!$C$20+F57)*(1-VLOOKUP($C57,'Key Information'!$F$8:$I$58,4,FALSE)-VLOOKUP($C57,'Key Information'!$F$8:$I$58,3,FALSE))</f>
        <v>235792.58166028984</v>
      </c>
      <c r="G58" s="62">
        <f>'Key Information'!$C$30*E58</f>
        <v>577845.54543217958</v>
      </c>
      <c r="H58" s="62">
        <f>D58*VLOOKUP($C58,'Key Information'!$F$8:$I$58,3,FALSE)</f>
        <v>2049704.9377837279</v>
      </c>
      <c r="I58" s="62">
        <f>E58*'Key Information'!$C$44</f>
        <v>3813780.599852385</v>
      </c>
      <c r="J58" s="60"/>
      <c r="K58" s="63">
        <f>H58*'Key Information'!$C$45</f>
        <v>717396.72822430474</v>
      </c>
      <c r="L58" s="62">
        <f>NPV('Key Information'!$C$16,E59:E$61)*(1+'Key Information'!$C$16)</f>
        <v>30825997.142858833</v>
      </c>
      <c r="M58" s="62">
        <f>NPV('Key Information'!$C$16,F59:F$61)*(1+'Key Information'!$C$16)</f>
        <v>536170.12857031287</v>
      </c>
      <c r="N58" s="62">
        <f>NPV('Key Information'!$C$16,G59:G$61)*(1+'Key Information'!$C$16)</f>
        <v>1541299.8571429418</v>
      </c>
      <c r="O58" s="62">
        <f>NPV('Key Information'!$C$16,H59:H$61)</f>
        <v>4639799.7349844137</v>
      </c>
      <c r="P58" s="62">
        <f>NPV('Key Information'!$C$16,I59:I$61)*(1+'Key Information'!$C$16)</f>
        <v>10172579.057143416</v>
      </c>
      <c r="Q58" s="60"/>
      <c r="R58" s="63">
        <f>NPV('Key Information'!$C$16,K59:K$61)</f>
        <v>1623929.9072445452</v>
      </c>
      <c r="S58" s="62">
        <f t="shared" si="0"/>
        <v>-15560078.272262294</v>
      </c>
      <c r="T58" s="62">
        <f t="shared" si="1"/>
        <v>4185972.6734470637</v>
      </c>
      <c r="U58" s="63">
        <f t="shared" si="2"/>
        <v>-11374105.598815231</v>
      </c>
    </row>
    <row r="59" spans="1:21" x14ac:dyDescent="0.3">
      <c r="A59" s="64"/>
      <c r="B59" s="57">
        <v>2068</v>
      </c>
      <c r="C59" s="58">
        <v>49</v>
      </c>
      <c r="D59" s="63">
        <f>D58*(1-VLOOKUP($C58,'Key Information'!$F$8:$I$58,4,FALSE)-VLOOKUP($C58,'Key Information'!$F$8:$I$58,3,FALSE))*(1+'Key Information'!$C$21)</f>
        <v>397465116.83543533</v>
      </c>
      <c r="E59" s="62">
        <f>(E58*VLOOKUP($C58,'Key Information'!$F$8:$I$58,2,FALSE)+E58)*(1-VLOOKUP($C58,'Key Information'!$F$8:$I$58,4,FALSE)-VLOOKUP($C58,'Key Information'!$F$8:$I$58,3,FALSE))*(1+'Key Information'!$C$21)</f>
        <v>11040372.883532323</v>
      </c>
      <c r="F59" s="62">
        <f>(F58*'Key Information'!$C$20+F58)*(1-VLOOKUP($C58,'Key Information'!$F$8:$I$58,4,FALSE)-VLOOKUP($C58,'Key Information'!$F$8:$I$58,3,FALSE))</f>
        <v>207772.17021868931</v>
      </c>
      <c r="G59" s="62">
        <f>'Key Information'!$C$30*E59</f>
        <v>552018.64417661622</v>
      </c>
      <c r="H59" s="62">
        <f>D59*VLOOKUP($C59,'Key Information'!$F$8:$I$58,3,FALSE)</f>
        <v>1868086.0491265461</v>
      </c>
      <c r="I59" s="62">
        <f>E59*'Key Information'!$C$44</f>
        <v>3643323.0515656667</v>
      </c>
      <c r="J59" s="60"/>
      <c r="K59" s="63">
        <f>H59*'Key Information'!$C$45</f>
        <v>653830.11719429109</v>
      </c>
      <c r="L59" s="62">
        <f>NPV('Key Information'!$C$16,E60:E$61)*(1+'Key Information'!$C$16)</f>
        <v>20379192.987106308</v>
      </c>
      <c r="M59" s="62">
        <f>NPV('Key Information'!$C$16,F60:F$61)*(1+'Key Information'!$C$16)</f>
        <v>338249.89710217225</v>
      </c>
      <c r="N59" s="62">
        <f>NPV('Key Information'!$C$16,G60:G$61)*(1+'Key Information'!$C$16)</f>
        <v>1018959.6493553154</v>
      </c>
      <c r="O59" s="62">
        <f>NPV('Key Information'!$C$16,H60:H$61)</f>
        <v>2910907.6779074008</v>
      </c>
      <c r="P59" s="62">
        <f>NPV('Key Information'!$C$16,I60:I$61)*(1+'Key Information'!$C$16)</f>
        <v>6725133.6857450809</v>
      </c>
      <c r="Q59" s="60"/>
      <c r="R59" s="63">
        <f>NPV('Key Information'!$C$16,K60:K$61)</f>
        <v>1018817.6872675903</v>
      </c>
      <c r="S59" s="62">
        <f t="shared" si="0"/>
        <v>-10404759.76426393</v>
      </c>
      <c r="T59" s="62">
        <f t="shared" si="1"/>
        <v>2767363.68188152</v>
      </c>
      <c r="U59" s="63">
        <f t="shared" si="2"/>
        <v>-7637396.0823824098</v>
      </c>
    </row>
    <row r="60" spans="1:21" x14ac:dyDescent="0.3">
      <c r="A60" s="64"/>
      <c r="B60" s="57">
        <v>2069</v>
      </c>
      <c r="C60" s="58">
        <v>50</v>
      </c>
      <c r="D60" s="89">
        <f>D59*(1-VLOOKUP($C59,'Key Information'!$F$8:$I$58,4,FALSE)-VLOOKUP($C59,'Key Information'!$F$8:$I$58,3,FALSE))*(1+'Key Information'!$C$21)</f>
        <v>345940123.87959045</v>
      </c>
      <c r="E60" s="90">
        <f>(E59*VLOOKUP($C59,'Key Information'!$F$8:$I$58,2,FALSE)+E59)*(1-VLOOKUP($C59,'Key Information'!$F$8:$I$58,4,FALSE)-VLOOKUP($C59,'Key Information'!$F$8:$I$58,3,FALSE))*(1+'Key Information'!$C$21)</f>
        <v>10556224.553578582</v>
      </c>
      <c r="F60" s="90">
        <f>(F59*'Key Information'!$C$20+F59)*(1-VLOOKUP($C59,'Key Information'!$F$8:$I$58,4,FALSE)-VLOOKUP($C59,'Key Information'!$F$8:$I$58,3,FALSE))</f>
        <v>182610.75263303582</v>
      </c>
      <c r="G60" s="90">
        <f>'Key Information'!$C$30*E60</f>
        <v>527811.22767892911</v>
      </c>
      <c r="H60" s="90">
        <f>D60*VLOOKUP($C60,'Key Information'!$F$8:$I$58,3,FALSE)</f>
        <v>1625918.5822340753</v>
      </c>
      <c r="I60" s="62">
        <f>E60*'Key Information'!$C$44</f>
        <v>3483554.1026809323</v>
      </c>
      <c r="J60" s="91"/>
      <c r="K60" s="63">
        <f>H60*'Key Information'!$C$45</f>
        <v>569071.50378192635</v>
      </c>
      <c r="L60" s="90">
        <f>NPV('Key Information'!$C$16,E61:E$61)*(1+'Key Information'!$C$16)</f>
        <v>10117657.486533556</v>
      </c>
      <c r="M60" s="90">
        <f>NPV('Key Information'!$C$16,F61:F$61)*(1+'Key Information'!$C$16)</f>
        <v>160308.31880321051</v>
      </c>
      <c r="N60" s="90">
        <f>NPV('Key Information'!$C$16,G61:G$61)*(1+'Key Information'!$C$16)</f>
        <v>505882.87432667782</v>
      </c>
      <c r="O60" s="90">
        <f>NPV('Key Information'!$C$16,H61:H$61)</f>
        <v>1372316.3260105478</v>
      </c>
      <c r="P60" s="90">
        <f>NPV('Key Information'!$C$16,I61:I$61)*(1+'Key Information'!$C$16)</f>
        <v>3338826.9705560738</v>
      </c>
      <c r="Q60" s="91"/>
      <c r="R60" s="63">
        <f>NPV('Key Information'!$C$16,K61:K$61)</f>
        <v>480310.71410369163</v>
      </c>
      <c r="S60" s="90">
        <f t="shared" si="0"/>
        <v>-5220633.7109407373</v>
      </c>
      <c r="T60" s="90">
        <f t="shared" si="1"/>
        <v>1373912.9852523815</v>
      </c>
      <c r="U60" s="63">
        <f t="shared" si="2"/>
        <v>-3846720.725688356</v>
      </c>
    </row>
    <row r="61" spans="1:21" x14ac:dyDescent="0.3">
      <c r="A61" s="64"/>
      <c r="B61" s="65">
        <v>2070</v>
      </c>
      <c r="C61" s="66">
        <v>51</v>
      </c>
      <c r="D61" s="92">
        <f>D60*(1-VLOOKUP($C60,'Key Information'!$F$8:$I$58,4,FALSE)-VLOOKUP($C60,'Key Information'!$F$8:$I$58,3,FALSE))*(1+'Key Information'!$C$21)</f>
        <v>300741662.93422639</v>
      </c>
      <c r="E61" s="68">
        <f>(E60*VLOOKUP($C60,'Key Information'!$F$8:$I$58,2,FALSE)+E60)*(1-VLOOKUP($C60,'Key Information'!$F$8:$I$58,4,FALSE)-VLOOKUP($C60,'Key Information'!$F$8:$I$58,3,FALSE))*(1+'Key Information'!$C$21)</f>
        <v>10117657.486533556</v>
      </c>
      <c r="F61" s="68">
        <f>(F60*'Key Information'!$C$20+F60)*(1-VLOOKUP($C60,'Key Information'!$F$8:$I$58,4,FALSE)-VLOOKUP($C60,'Key Information'!$F$8:$I$58,3,FALSE))</f>
        <v>160308.31880321051</v>
      </c>
      <c r="G61" s="68">
        <f>'Key Information'!$C$30*E61</f>
        <v>505882.87432667782</v>
      </c>
      <c r="H61" s="68">
        <f>D61*VLOOKUP($C61,'Key Information'!$F$8:$I$58,3,FALSE)</f>
        <v>1413485.8157908642</v>
      </c>
      <c r="I61" s="62">
        <f>E61*'Key Information'!$C$44</f>
        <v>3338826.9705560738</v>
      </c>
      <c r="J61" s="69"/>
      <c r="K61" s="63">
        <f>H61*'Key Information'!$C$45</f>
        <v>494720.03552680241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11"/>
      <c r="R61" s="67">
        <v>0</v>
      </c>
      <c r="S61" s="68">
        <f t="shared" si="0"/>
        <v>0</v>
      </c>
      <c r="T61" s="68">
        <f t="shared" si="1"/>
        <v>0</v>
      </c>
      <c r="U61" s="67">
        <f t="shared" si="2"/>
        <v>0</v>
      </c>
    </row>
    <row r="65" spans="7:7" x14ac:dyDescent="0.3">
      <c r="G65" s="6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D7"/>
  <sheetViews>
    <sheetView tabSelected="1" workbookViewId="0">
      <selection activeCell="C8" sqref="C8"/>
    </sheetView>
  </sheetViews>
  <sheetFormatPr defaultRowHeight="15" x14ac:dyDescent="0.25"/>
  <cols>
    <col min="3" max="3" width="19.28515625" bestFit="1" customWidth="1"/>
    <col min="4" max="4" width="14.28515625" bestFit="1" customWidth="1"/>
  </cols>
  <sheetData>
    <row r="7" spans="3:4" x14ac:dyDescent="0.25">
      <c r="C7" t="s">
        <v>68</v>
      </c>
      <c r="D7" s="95">
        <f>'Projection (After Recapture)'!T10-'Projection (Before Recapture)'!T10</f>
        <v>40137028.303853393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Information</vt:lpstr>
      <vt:lpstr>Projection (Before Recapture)</vt:lpstr>
      <vt:lpstr>Projection (After Recapture)</vt:lpstr>
      <vt:lpstr>1d)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Zhu, Vincent-JF</cp:lastModifiedBy>
  <cp:lastPrinted>2019-02-06T13:21:15Z</cp:lastPrinted>
  <dcterms:created xsi:type="dcterms:W3CDTF">2019-01-01T11:22:09Z</dcterms:created>
  <dcterms:modified xsi:type="dcterms:W3CDTF">2019-10-07T09:54:48Z</dcterms:modified>
</cp:coreProperties>
</file>