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lliam Zheng\Documents\2B\2019 Semester 1\Exam Marking\Markers Package\Revised\"/>
    </mc:Choice>
  </mc:AlternateContent>
  <xr:revisionPtr revIDLastSave="0" documentId="13_ncr:8001_{2A920B2C-0295-4BC8-A237-1EE2E964BCCC}" xr6:coauthVersionLast="43" xr6:coauthVersionMax="43" xr10:uidLastSave="{00000000-0000-0000-0000-000000000000}"/>
  <bookViews>
    <workbookView xWindow="-108" yWindow="-108" windowWidth="23256" windowHeight="12720" xr2:uid="{00000000-000D-0000-FFFF-FFFF00000000}"/>
  </bookViews>
  <sheets>
    <sheet name="Key Information" sheetId="2" r:id="rId1"/>
    <sheet name="Projection (Before Recapture)" sheetId="1" r:id="rId2"/>
    <sheet name="Projection (After Recapture)" sheetId="7" r:id="rId3"/>
    <sheet name="Sensitivity" sheetId="4" r:id="rId4"/>
  </sheets>
  <definedNames>
    <definedName name="solver_adj" localSheetId="3" hidden="1">Sensitivity!#REF!</definedName>
    <definedName name="solver_cvg" localSheetId="3" hidden="1">0.0001</definedName>
    <definedName name="solver_drv" localSheetId="3" hidden="1">1</definedName>
    <definedName name="solver_est" localSheetId="3" hidden="1">1</definedName>
    <definedName name="solver_itr" localSheetId="3" hidden="1">100</definedName>
    <definedName name="solver_lin" localSheetId="3" hidden="1">2</definedName>
    <definedName name="solver_neg" localSheetId="3" hidden="1">2</definedName>
    <definedName name="solver_num" localSheetId="3" hidden="1">0</definedName>
    <definedName name="solver_nwt" localSheetId="3" hidden="1">1</definedName>
    <definedName name="solver_opt" localSheetId="3" hidden="1">Sensitivity!$G$9</definedName>
    <definedName name="solver_pre" localSheetId="3" hidden="1">0.000001</definedName>
    <definedName name="solver_scl" localSheetId="3" hidden="1">2</definedName>
    <definedName name="solver_sho" localSheetId="3" hidden="1">2</definedName>
    <definedName name="solver_tim" localSheetId="3" hidden="1">100</definedName>
    <definedName name="solver_tol" localSheetId="3" hidden="1">0.05</definedName>
    <definedName name="solver_typ" localSheetId="3" hidden="1">3</definedName>
    <definedName name="solver_val" localSheetId="3" hidden="1">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61" i="7" l="1"/>
  <c r="S61" i="1"/>
  <c r="J11" i="1" l="1"/>
  <c r="Q10" i="1" s="1"/>
  <c r="F11" i="1" l="1"/>
  <c r="F11" i="7"/>
  <c r="E11" i="7"/>
  <c r="J11" i="7"/>
  <c r="Q10" i="7" s="1"/>
  <c r="I11" i="7" l="1"/>
  <c r="G11" i="7"/>
  <c r="C53" i="2"/>
  <c r="U10" i="7" s="1"/>
  <c r="U10" i="1" l="1"/>
  <c r="K8" i="2"/>
  <c r="L11" i="2"/>
  <c r="F38" i="2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E11" i="1"/>
  <c r="G11" i="1" s="1"/>
  <c r="H11" i="1" l="1"/>
  <c r="H11" i="7"/>
  <c r="K11" i="7" s="1"/>
  <c r="L13" i="2"/>
  <c r="L9" i="2"/>
  <c r="L8" i="2"/>
  <c r="D12" i="1" s="1"/>
  <c r="L14" i="2"/>
  <c r="L10" i="2"/>
  <c r="L12" i="2"/>
  <c r="L15" i="2"/>
  <c r="K9" i="2"/>
  <c r="K11" i="2"/>
  <c r="K10" i="2"/>
  <c r="I11" i="1"/>
  <c r="E12" i="1" l="1"/>
  <c r="E13" i="1" s="1"/>
  <c r="E12" i="7"/>
  <c r="E13" i="7" s="1"/>
  <c r="L16" i="2"/>
  <c r="H12" i="1"/>
  <c r="F12" i="1"/>
  <c r="D13" i="1"/>
  <c r="D12" i="7"/>
  <c r="F12" i="7"/>
  <c r="F13" i="7" s="1"/>
  <c r="F14" i="7" s="1"/>
  <c r="F15" i="7" s="1"/>
  <c r="K12" i="2"/>
  <c r="E14" i="1" l="1"/>
  <c r="E14" i="7"/>
  <c r="L17" i="2"/>
  <c r="F13" i="1"/>
  <c r="D13" i="7"/>
  <c r="H12" i="7"/>
  <c r="K12" i="7" s="1"/>
  <c r="D14" i="1"/>
  <c r="H13" i="1"/>
  <c r="G12" i="1"/>
  <c r="F16" i="7"/>
  <c r="G12" i="7"/>
  <c r="I12" i="7"/>
  <c r="K11" i="1"/>
  <c r="K13" i="2"/>
  <c r="E15" i="7" l="1"/>
  <c r="E15" i="1"/>
  <c r="L18" i="2"/>
  <c r="F14" i="1"/>
  <c r="D14" i="7"/>
  <c r="H13" i="7"/>
  <c r="K13" i="7" s="1"/>
  <c r="D15" i="1"/>
  <c r="H14" i="1"/>
  <c r="G13" i="1"/>
  <c r="F17" i="7"/>
  <c r="I13" i="7"/>
  <c r="G13" i="7"/>
  <c r="I12" i="1"/>
  <c r="K12" i="1"/>
  <c r="K14" i="2"/>
  <c r="E16" i="1" l="1"/>
  <c r="E16" i="7"/>
  <c r="L19" i="2"/>
  <c r="F15" i="1"/>
  <c r="D15" i="7"/>
  <c r="H14" i="7"/>
  <c r="K14" i="7" s="1"/>
  <c r="H15" i="1"/>
  <c r="D16" i="1"/>
  <c r="G14" i="1"/>
  <c r="F18" i="7"/>
  <c r="G14" i="7"/>
  <c r="I14" i="7"/>
  <c r="I13" i="1"/>
  <c r="K13" i="1"/>
  <c r="K15" i="2"/>
  <c r="E17" i="7" l="1"/>
  <c r="E17" i="1"/>
  <c r="L20" i="2"/>
  <c r="F16" i="1"/>
  <c r="H15" i="7"/>
  <c r="K15" i="7" s="1"/>
  <c r="D16" i="7"/>
  <c r="H16" i="1"/>
  <c r="D17" i="1"/>
  <c r="G15" i="1"/>
  <c r="F19" i="7"/>
  <c r="G15" i="7"/>
  <c r="I15" i="7"/>
  <c r="I14" i="1"/>
  <c r="K14" i="1"/>
  <c r="K16" i="2"/>
  <c r="E18" i="1" l="1"/>
  <c r="E18" i="7"/>
  <c r="L21" i="2"/>
  <c r="F17" i="1"/>
  <c r="H16" i="7"/>
  <c r="K16" i="7" s="1"/>
  <c r="D17" i="7"/>
  <c r="H17" i="1"/>
  <c r="D18" i="1"/>
  <c r="G16" i="1"/>
  <c r="F20" i="7"/>
  <c r="G16" i="7"/>
  <c r="I16" i="7"/>
  <c r="I15" i="1"/>
  <c r="K15" i="1"/>
  <c r="K17" i="2"/>
  <c r="E19" i="7" l="1"/>
  <c r="E19" i="1"/>
  <c r="L22" i="2"/>
  <c r="F18" i="1"/>
  <c r="H17" i="7"/>
  <c r="K17" i="7" s="1"/>
  <c r="D18" i="7"/>
  <c r="H18" i="1"/>
  <c r="D19" i="1"/>
  <c r="G17" i="1"/>
  <c r="F21" i="7"/>
  <c r="G17" i="7"/>
  <c r="I17" i="7"/>
  <c r="I16" i="1"/>
  <c r="K16" i="1"/>
  <c r="K18" i="2"/>
  <c r="E20" i="1" l="1"/>
  <c r="E20" i="7"/>
  <c r="L23" i="2"/>
  <c r="F19" i="1"/>
  <c r="H18" i="7"/>
  <c r="K18" i="7" s="1"/>
  <c r="D19" i="7"/>
  <c r="H19" i="1"/>
  <c r="D20" i="1"/>
  <c r="G18" i="1"/>
  <c r="F22" i="7"/>
  <c r="I18" i="7"/>
  <c r="G18" i="7"/>
  <c r="I17" i="1"/>
  <c r="K17" i="1"/>
  <c r="K19" i="2"/>
  <c r="E21" i="7" l="1"/>
  <c r="E21" i="1"/>
  <c r="L24" i="2"/>
  <c r="F20" i="1"/>
  <c r="H19" i="7"/>
  <c r="K19" i="7" s="1"/>
  <c r="D20" i="7"/>
  <c r="H20" i="1"/>
  <c r="D21" i="1"/>
  <c r="G19" i="1"/>
  <c r="F23" i="7"/>
  <c r="I19" i="7"/>
  <c r="G19" i="7"/>
  <c r="I18" i="1"/>
  <c r="K18" i="1"/>
  <c r="K20" i="2"/>
  <c r="E22" i="1" l="1"/>
  <c r="E22" i="7"/>
  <c r="L25" i="2"/>
  <c r="F21" i="1"/>
  <c r="H20" i="7"/>
  <c r="K20" i="7" s="1"/>
  <c r="D21" i="7"/>
  <c r="H21" i="1"/>
  <c r="D22" i="1"/>
  <c r="G20" i="1"/>
  <c r="F24" i="7"/>
  <c r="G20" i="7"/>
  <c r="I20" i="7"/>
  <c r="I19" i="1"/>
  <c r="K19" i="1"/>
  <c r="K21" i="2"/>
  <c r="E23" i="7" l="1"/>
  <c r="E23" i="1"/>
  <c r="L26" i="2"/>
  <c r="F22" i="1"/>
  <c r="H21" i="7"/>
  <c r="K21" i="7" s="1"/>
  <c r="D22" i="7"/>
  <c r="H22" i="1"/>
  <c r="D23" i="1"/>
  <c r="G21" i="1"/>
  <c r="F25" i="7"/>
  <c r="I21" i="7"/>
  <c r="G21" i="7"/>
  <c r="I20" i="1"/>
  <c r="K20" i="1"/>
  <c r="K22" i="2"/>
  <c r="E24" i="1" l="1"/>
  <c r="E24" i="7"/>
  <c r="L27" i="2"/>
  <c r="F23" i="1"/>
  <c r="H22" i="7"/>
  <c r="K22" i="7" s="1"/>
  <c r="D23" i="7"/>
  <c r="H23" i="1"/>
  <c r="D24" i="1"/>
  <c r="G22" i="1"/>
  <c r="F26" i="7"/>
  <c r="I22" i="7"/>
  <c r="G22" i="7"/>
  <c r="I21" i="1"/>
  <c r="K21" i="1"/>
  <c r="K23" i="2"/>
  <c r="E25" i="7" l="1"/>
  <c r="E25" i="1"/>
  <c r="L28" i="2"/>
  <c r="F24" i="1"/>
  <c r="H23" i="7"/>
  <c r="K23" i="7" s="1"/>
  <c r="D24" i="7"/>
  <c r="H24" i="1"/>
  <c r="D25" i="1"/>
  <c r="G23" i="1"/>
  <c r="F27" i="7"/>
  <c r="I23" i="7"/>
  <c r="G23" i="7"/>
  <c r="I22" i="1"/>
  <c r="K22" i="1"/>
  <c r="K24" i="2"/>
  <c r="E26" i="1" l="1"/>
  <c r="E26" i="7"/>
  <c r="L29" i="2"/>
  <c r="F25" i="1"/>
  <c r="H24" i="7"/>
  <c r="K24" i="7" s="1"/>
  <c r="D25" i="7"/>
  <c r="H25" i="1"/>
  <c r="D26" i="1"/>
  <c r="G24" i="1"/>
  <c r="F28" i="7"/>
  <c r="G24" i="7"/>
  <c r="I24" i="7"/>
  <c r="I23" i="1"/>
  <c r="K23" i="1"/>
  <c r="K25" i="2"/>
  <c r="E27" i="1" l="1"/>
  <c r="E27" i="7"/>
  <c r="L30" i="2"/>
  <c r="F26" i="1"/>
  <c r="H25" i="7"/>
  <c r="K25" i="7" s="1"/>
  <c r="D26" i="7"/>
  <c r="H26" i="1"/>
  <c r="D27" i="1"/>
  <c r="G25" i="1"/>
  <c r="F29" i="7"/>
  <c r="I25" i="7"/>
  <c r="G25" i="7"/>
  <c r="I24" i="1"/>
  <c r="K24" i="1"/>
  <c r="K26" i="2"/>
  <c r="E28" i="1" l="1"/>
  <c r="E28" i="7"/>
  <c r="L31" i="2"/>
  <c r="F27" i="1"/>
  <c r="H26" i="7"/>
  <c r="K26" i="7" s="1"/>
  <c r="D27" i="7"/>
  <c r="H27" i="1"/>
  <c r="D28" i="1"/>
  <c r="G26" i="1"/>
  <c r="F30" i="7"/>
  <c r="G26" i="7"/>
  <c r="I26" i="7"/>
  <c r="I25" i="1"/>
  <c r="K25" i="1"/>
  <c r="K27" i="2"/>
  <c r="E29" i="1" l="1"/>
  <c r="E29" i="7"/>
  <c r="L32" i="2"/>
  <c r="F28" i="1"/>
  <c r="H27" i="7"/>
  <c r="K27" i="7" s="1"/>
  <c r="D28" i="7"/>
  <c r="H28" i="1"/>
  <c r="D29" i="1"/>
  <c r="G27" i="1"/>
  <c r="F31" i="7"/>
  <c r="G27" i="7"/>
  <c r="I27" i="7"/>
  <c r="I26" i="1"/>
  <c r="K26" i="1"/>
  <c r="K28" i="2"/>
  <c r="E30" i="1" l="1"/>
  <c r="E30" i="7"/>
  <c r="L33" i="2"/>
  <c r="F29" i="1"/>
  <c r="H28" i="7"/>
  <c r="K28" i="7" s="1"/>
  <c r="D29" i="7"/>
  <c r="H29" i="1"/>
  <c r="D30" i="1"/>
  <c r="G28" i="1"/>
  <c r="F32" i="7"/>
  <c r="I28" i="7"/>
  <c r="G28" i="7"/>
  <c r="I27" i="1"/>
  <c r="K27" i="1"/>
  <c r="K29" i="2"/>
  <c r="E31" i="1" l="1"/>
  <c r="E31" i="7"/>
  <c r="L34" i="2"/>
  <c r="F30" i="1"/>
  <c r="H29" i="7"/>
  <c r="K29" i="7" s="1"/>
  <c r="D30" i="7"/>
  <c r="H30" i="1"/>
  <c r="D31" i="1"/>
  <c r="G29" i="1"/>
  <c r="F33" i="7"/>
  <c r="I29" i="7"/>
  <c r="G29" i="7"/>
  <c r="I28" i="1"/>
  <c r="K28" i="1"/>
  <c r="K30" i="2"/>
  <c r="E32" i="7" l="1"/>
  <c r="E32" i="1"/>
  <c r="L35" i="2"/>
  <c r="F31" i="1"/>
  <c r="H30" i="7"/>
  <c r="K30" i="7" s="1"/>
  <c r="D31" i="7"/>
  <c r="H31" i="1"/>
  <c r="D32" i="1"/>
  <c r="G30" i="1"/>
  <c r="F34" i="7"/>
  <c r="G30" i="7"/>
  <c r="I30" i="7"/>
  <c r="I29" i="1"/>
  <c r="K29" i="1"/>
  <c r="K31" i="2"/>
  <c r="E33" i="1" l="1"/>
  <c r="E33" i="7"/>
  <c r="L36" i="2"/>
  <c r="F32" i="1"/>
  <c r="H31" i="7"/>
  <c r="K31" i="7" s="1"/>
  <c r="D32" i="7"/>
  <c r="H32" i="1"/>
  <c r="D33" i="1"/>
  <c r="G31" i="1"/>
  <c r="F35" i="7"/>
  <c r="G31" i="7"/>
  <c r="I31" i="7"/>
  <c r="I30" i="1"/>
  <c r="K30" i="1"/>
  <c r="K32" i="2"/>
  <c r="E34" i="1" l="1"/>
  <c r="E34" i="7"/>
  <c r="L37" i="2"/>
  <c r="F33" i="1"/>
  <c r="H32" i="7"/>
  <c r="K32" i="7" s="1"/>
  <c r="D33" i="7"/>
  <c r="H33" i="1"/>
  <c r="D34" i="1"/>
  <c r="G32" i="1"/>
  <c r="F36" i="7"/>
  <c r="G32" i="7"/>
  <c r="I32" i="7"/>
  <c r="I31" i="1"/>
  <c r="K31" i="1"/>
  <c r="K33" i="2"/>
  <c r="E35" i="1" l="1"/>
  <c r="E35" i="7"/>
  <c r="L38" i="2"/>
  <c r="F34" i="1"/>
  <c r="H33" i="7"/>
  <c r="K33" i="7" s="1"/>
  <c r="D34" i="7"/>
  <c r="H34" i="1"/>
  <c r="D35" i="1"/>
  <c r="G33" i="1"/>
  <c r="F37" i="7"/>
  <c r="G33" i="7"/>
  <c r="I33" i="7"/>
  <c r="I32" i="1"/>
  <c r="K32" i="1"/>
  <c r="K34" i="2"/>
  <c r="E36" i="1" l="1"/>
  <c r="E36" i="7"/>
  <c r="L39" i="2"/>
  <c r="F35" i="1"/>
  <c r="H34" i="7"/>
  <c r="K34" i="7" s="1"/>
  <c r="D35" i="7"/>
  <c r="H35" i="1"/>
  <c r="D36" i="1"/>
  <c r="G34" i="1"/>
  <c r="F38" i="7"/>
  <c r="I34" i="7"/>
  <c r="G34" i="7"/>
  <c r="I33" i="1"/>
  <c r="K33" i="1"/>
  <c r="K35" i="2"/>
  <c r="E37" i="1" l="1"/>
  <c r="E37" i="7"/>
  <c r="L40" i="2"/>
  <c r="F36" i="1"/>
  <c r="H35" i="7"/>
  <c r="K35" i="7" s="1"/>
  <c r="D36" i="7"/>
  <c r="H36" i="1"/>
  <c r="D37" i="1"/>
  <c r="G35" i="1"/>
  <c r="F39" i="7"/>
  <c r="I35" i="7"/>
  <c r="G35" i="7"/>
  <c r="I34" i="1"/>
  <c r="K34" i="1"/>
  <c r="K36" i="2"/>
  <c r="E38" i="1" l="1"/>
  <c r="E38" i="7"/>
  <c r="L41" i="2"/>
  <c r="F37" i="1"/>
  <c r="H36" i="7"/>
  <c r="K36" i="7" s="1"/>
  <c r="D37" i="7"/>
  <c r="H37" i="1"/>
  <c r="D38" i="1"/>
  <c r="G36" i="1"/>
  <c r="F40" i="7"/>
  <c r="I36" i="7"/>
  <c r="G36" i="7"/>
  <c r="I35" i="1"/>
  <c r="K35" i="1"/>
  <c r="K37" i="2"/>
  <c r="E39" i="7" l="1"/>
  <c r="E39" i="1"/>
  <c r="L42" i="2"/>
  <c r="F38" i="1"/>
  <c r="H37" i="7"/>
  <c r="K37" i="7" s="1"/>
  <c r="D38" i="7"/>
  <c r="H38" i="1"/>
  <c r="D39" i="1"/>
  <c r="G37" i="1"/>
  <c r="F41" i="7"/>
  <c r="I37" i="7"/>
  <c r="G37" i="7"/>
  <c r="I36" i="1"/>
  <c r="K36" i="1"/>
  <c r="K38" i="2"/>
  <c r="E40" i="1" l="1"/>
  <c r="E40" i="7"/>
  <c r="L43" i="2"/>
  <c r="F39" i="1"/>
  <c r="H38" i="7"/>
  <c r="K38" i="7" s="1"/>
  <c r="D39" i="7"/>
  <c r="H39" i="1"/>
  <c r="D40" i="1"/>
  <c r="G38" i="1"/>
  <c r="F42" i="7"/>
  <c r="G38" i="7"/>
  <c r="I38" i="7"/>
  <c r="I37" i="1"/>
  <c r="K37" i="1"/>
  <c r="K39" i="2"/>
  <c r="E41" i="7" l="1"/>
  <c r="E41" i="1"/>
  <c r="L44" i="2"/>
  <c r="F40" i="1"/>
  <c r="H39" i="7"/>
  <c r="K39" i="7" s="1"/>
  <c r="D40" i="7"/>
  <c r="H40" i="1"/>
  <c r="D41" i="1"/>
  <c r="G39" i="1"/>
  <c r="F43" i="7"/>
  <c r="G39" i="7"/>
  <c r="I39" i="7"/>
  <c r="I38" i="1"/>
  <c r="K38" i="1"/>
  <c r="K40" i="2"/>
  <c r="E42" i="1" l="1"/>
  <c r="E42" i="7"/>
  <c r="L45" i="2"/>
  <c r="F41" i="1"/>
  <c r="H40" i="7"/>
  <c r="K40" i="7" s="1"/>
  <c r="D41" i="7"/>
  <c r="H41" i="1"/>
  <c r="D42" i="1"/>
  <c r="G40" i="1"/>
  <c r="F44" i="7"/>
  <c r="G40" i="7"/>
  <c r="I40" i="7"/>
  <c r="I39" i="1"/>
  <c r="K39" i="1"/>
  <c r="K41" i="2"/>
  <c r="E43" i="7" l="1"/>
  <c r="E43" i="1"/>
  <c r="L46" i="2"/>
  <c r="F42" i="1"/>
  <c r="H41" i="7"/>
  <c r="K41" i="7" s="1"/>
  <c r="D42" i="7"/>
  <c r="H42" i="1"/>
  <c r="D43" i="1"/>
  <c r="G41" i="1"/>
  <c r="F45" i="7"/>
  <c r="G41" i="7"/>
  <c r="I41" i="7"/>
  <c r="I40" i="1"/>
  <c r="K40" i="1"/>
  <c r="K42" i="2"/>
  <c r="E44" i="1" l="1"/>
  <c r="E44" i="7"/>
  <c r="L47" i="2"/>
  <c r="F43" i="1"/>
  <c r="H42" i="7"/>
  <c r="K42" i="7" s="1"/>
  <c r="D43" i="7"/>
  <c r="H43" i="1"/>
  <c r="D44" i="1"/>
  <c r="G42" i="1"/>
  <c r="F46" i="7"/>
  <c r="I42" i="7"/>
  <c r="G42" i="7"/>
  <c r="I41" i="1"/>
  <c r="K41" i="1"/>
  <c r="K43" i="2"/>
  <c r="E45" i="7" l="1"/>
  <c r="E45" i="1"/>
  <c r="L48" i="2"/>
  <c r="F44" i="1"/>
  <c r="H43" i="7"/>
  <c r="K43" i="7" s="1"/>
  <c r="D44" i="7"/>
  <c r="H44" i="1"/>
  <c r="D45" i="1"/>
  <c r="G43" i="1"/>
  <c r="F47" i="7"/>
  <c r="G43" i="7"/>
  <c r="I43" i="7"/>
  <c r="I42" i="1"/>
  <c r="K42" i="1"/>
  <c r="K44" i="2"/>
  <c r="E46" i="1" l="1"/>
  <c r="E46" i="7"/>
  <c r="L49" i="2"/>
  <c r="F45" i="1"/>
  <c r="H44" i="7"/>
  <c r="K44" i="7" s="1"/>
  <c r="D45" i="7"/>
  <c r="H45" i="1"/>
  <c r="D46" i="1"/>
  <c r="G44" i="1"/>
  <c r="F48" i="7"/>
  <c r="G44" i="7"/>
  <c r="I44" i="7"/>
  <c r="I43" i="1"/>
  <c r="K43" i="1"/>
  <c r="K45" i="2"/>
  <c r="E47" i="1" l="1"/>
  <c r="E47" i="7"/>
  <c r="L50" i="2"/>
  <c r="F46" i="1"/>
  <c r="H45" i="7"/>
  <c r="K45" i="7" s="1"/>
  <c r="D46" i="7"/>
  <c r="H46" i="1"/>
  <c r="D47" i="1"/>
  <c r="G45" i="1"/>
  <c r="F49" i="7"/>
  <c r="I45" i="7"/>
  <c r="G45" i="7"/>
  <c r="I44" i="1"/>
  <c r="K44" i="1"/>
  <c r="K46" i="2"/>
  <c r="E48" i="1" l="1"/>
  <c r="E48" i="7"/>
  <c r="L51" i="2"/>
  <c r="F47" i="1"/>
  <c r="H46" i="7"/>
  <c r="K46" i="7" s="1"/>
  <c r="D47" i="7"/>
  <c r="H47" i="1"/>
  <c r="D48" i="1"/>
  <c r="G46" i="1"/>
  <c r="F50" i="7"/>
  <c r="G46" i="7"/>
  <c r="I46" i="7"/>
  <c r="I45" i="1"/>
  <c r="K45" i="1"/>
  <c r="K47" i="2"/>
  <c r="E49" i="1" l="1"/>
  <c r="E49" i="7"/>
  <c r="L52" i="2"/>
  <c r="F48" i="1"/>
  <c r="H47" i="7"/>
  <c r="K47" i="7" s="1"/>
  <c r="D48" i="7"/>
  <c r="H48" i="1"/>
  <c r="D49" i="1"/>
  <c r="G47" i="1"/>
  <c r="F51" i="7"/>
  <c r="G47" i="7"/>
  <c r="I47" i="7"/>
  <c r="I46" i="1"/>
  <c r="K46" i="1"/>
  <c r="K48" i="2"/>
  <c r="E50" i="1" l="1"/>
  <c r="E50" i="7"/>
  <c r="L53" i="2"/>
  <c r="F49" i="1"/>
  <c r="H48" i="7"/>
  <c r="K48" i="7" s="1"/>
  <c r="D49" i="7"/>
  <c r="H49" i="1"/>
  <c r="D50" i="1"/>
  <c r="G48" i="1"/>
  <c r="F52" i="7"/>
  <c r="I48" i="7"/>
  <c r="G48" i="7"/>
  <c r="I47" i="1"/>
  <c r="K47" i="1"/>
  <c r="K49" i="2"/>
  <c r="E51" i="1" l="1"/>
  <c r="E51" i="7"/>
  <c r="L54" i="2"/>
  <c r="F50" i="1"/>
  <c r="H49" i="7"/>
  <c r="K49" i="7" s="1"/>
  <c r="D50" i="7"/>
  <c r="H50" i="1"/>
  <c r="D51" i="1"/>
  <c r="G49" i="1"/>
  <c r="F53" i="7"/>
  <c r="G49" i="7"/>
  <c r="I49" i="7"/>
  <c r="I48" i="1"/>
  <c r="K48" i="1"/>
  <c r="K50" i="2"/>
  <c r="E52" i="1" l="1"/>
  <c r="E52" i="7"/>
  <c r="L55" i="2"/>
  <c r="F51" i="1"/>
  <c r="H50" i="7"/>
  <c r="K50" i="7" s="1"/>
  <c r="D51" i="7"/>
  <c r="H51" i="1"/>
  <c r="D52" i="1"/>
  <c r="G50" i="1"/>
  <c r="F54" i="7"/>
  <c r="G50" i="7"/>
  <c r="I50" i="7"/>
  <c r="I49" i="1"/>
  <c r="K49" i="1"/>
  <c r="K51" i="2"/>
  <c r="E53" i="1" l="1"/>
  <c r="E53" i="7"/>
  <c r="L56" i="2"/>
  <c r="F52" i="1"/>
  <c r="H51" i="7"/>
  <c r="K51" i="7" s="1"/>
  <c r="D52" i="7"/>
  <c r="H52" i="1"/>
  <c r="D53" i="1"/>
  <c r="G51" i="1"/>
  <c r="F55" i="7"/>
  <c r="G51" i="7"/>
  <c r="I51" i="7"/>
  <c r="I50" i="1"/>
  <c r="K50" i="1"/>
  <c r="K52" i="2"/>
  <c r="E54" i="1" l="1"/>
  <c r="E54" i="7"/>
  <c r="K58" i="2"/>
  <c r="L57" i="2"/>
  <c r="F53" i="1"/>
  <c r="H52" i="7"/>
  <c r="K52" i="7" s="1"/>
  <c r="D53" i="7"/>
  <c r="H53" i="1"/>
  <c r="D54" i="1"/>
  <c r="G52" i="1"/>
  <c r="F56" i="7"/>
  <c r="G52" i="7"/>
  <c r="I52" i="7"/>
  <c r="I51" i="1"/>
  <c r="K51" i="1"/>
  <c r="K53" i="2"/>
  <c r="E55" i="1" l="1"/>
  <c r="E55" i="7"/>
  <c r="L58" i="2"/>
  <c r="F54" i="1"/>
  <c r="H53" i="7"/>
  <c r="K53" i="7" s="1"/>
  <c r="D54" i="7"/>
  <c r="H54" i="1"/>
  <c r="D55" i="1"/>
  <c r="G53" i="1"/>
  <c r="F57" i="7"/>
  <c r="G53" i="7"/>
  <c r="I53" i="7"/>
  <c r="I52" i="1"/>
  <c r="K52" i="1"/>
  <c r="K54" i="2"/>
  <c r="E56" i="1" l="1"/>
  <c r="E56" i="7"/>
  <c r="F55" i="1"/>
  <c r="H54" i="7"/>
  <c r="K54" i="7" s="1"/>
  <c r="D55" i="7"/>
  <c r="H55" i="1"/>
  <c r="D56" i="1"/>
  <c r="G54" i="1"/>
  <c r="F58" i="7"/>
  <c r="G54" i="7"/>
  <c r="I54" i="7"/>
  <c r="I53" i="1"/>
  <c r="K53" i="1"/>
  <c r="K55" i="2"/>
  <c r="E57" i="1" l="1"/>
  <c r="E57" i="7"/>
  <c r="F56" i="1"/>
  <c r="H55" i="7"/>
  <c r="K55" i="7" s="1"/>
  <c r="D56" i="7"/>
  <c r="H56" i="1"/>
  <c r="D57" i="1"/>
  <c r="G55" i="1"/>
  <c r="F59" i="7"/>
  <c r="G55" i="7"/>
  <c r="I55" i="7"/>
  <c r="I54" i="1"/>
  <c r="K54" i="1"/>
  <c r="K56" i="2"/>
  <c r="K57" i="2"/>
  <c r="E58" i="1" l="1"/>
  <c r="E58" i="7"/>
  <c r="F57" i="1"/>
  <c r="H56" i="7"/>
  <c r="K56" i="7" s="1"/>
  <c r="D57" i="7"/>
  <c r="H57" i="1"/>
  <c r="D58" i="1"/>
  <c r="F60" i="7"/>
  <c r="F61" i="7" s="1"/>
  <c r="G56" i="1"/>
  <c r="I56" i="7"/>
  <c r="G56" i="7"/>
  <c r="I55" i="1"/>
  <c r="K55" i="1"/>
  <c r="E59" i="1" l="1"/>
  <c r="E59" i="7"/>
  <c r="F58" i="1"/>
  <c r="H58" i="1"/>
  <c r="D59" i="1"/>
  <c r="H57" i="7"/>
  <c r="K57" i="7" s="1"/>
  <c r="D58" i="7"/>
  <c r="G57" i="1"/>
  <c r="I57" i="7"/>
  <c r="G57" i="7"/>
  <c r="I56" i="1"/>
  <c r="K56" i="1"/>
  <c r="E60" i="1" l="1"/>
  <c r="E60" i="7"/>
  <c r="F59" i="1"/>
  <c r="H59" i="1"/>
  <c r="D60" i="1"/>
  <c r="H58" i="7"/>
  <c r="K58" i="7" s="1"/>
  <c r="D59" i="7"/>
  <c r="G58" i="1"/>
  <c r="G58" i="7"/>
  <c r="I58" i="7"/>
  <c r="I57" i="1"/>
  <c r="K57" i="1"/>
  <c r="E61" i="1" l="1"/>
  <c r="E61" i="7"/>
  <c r="F60" i="1"/>
  <c r="D61" i="1"/>
  <c r="H61" i="1" s="1"/>
  <c r="H60" i="1"/>
  <c r="H59" i="7"/>
  <c r="K59" i="7" s="1"/>
  <c r="D60" i="7"/>
  <c r="G59" i="1"/>
  <c r="G59" i="7"/>
  <c r="I59" i="7"/>
  <c r="I58" i="1"/>
  <c r="K58" i="1"/>
  <c r="F61" i="1" l="1"/>
  <c r="D61" i="7"/>
  <c r="H61" i="7" s="1"/>
  <c r="H60" i="7"/>
  <c r="K60" i="7" s="1"/>
  <c r="G61" i="1"/>
  <c r="G60" i="1"/>
  <c r="M57" i="7"/>
  <c r="I60" i="7"/>
  <c r="G60" i="7"/>
  <c r="L59" i="7"/>
  <c r="I59" i="1"/>
  <c r="K59" i="1"/>
  <c r="O57" i="7" l="1"/>
  <c r="O11" i="7"/>
  <c r="O59" i="7"/>
  <c r="M59" i="7"/>
  <c r="M55" i="7"/>
  <c r="M60" i="7"/>
  <c r="M54" i="7"/>
  <c r="M28" i="7"/>
  <c r="M48" i="7"/>
  <c r="M21" i="7"/>
  <c r="M40" i="7"/>
  <c r="M15" i="7"/>
  <c r="M33" i="7"/>
  <c r="M53" i="7"/>
  <c r="M13" i="7"/>
  <c r="M29" i="7"/>
  <c r="M47" i="7"/>
  <c r="M38" i="7"/>
  <c r="M10" i="7"/>
  <c r="M31" i="7"/>
  <c r="M51" i="7"/>
  <c r="M23" i="7"/>
  <c r="M43" i="7"/>
  <c r="M17" i="7"/>
  <c r="M37" i="7"/>
  <c r="M56" i="7"/>
  <c r="M11" i="7"/>
  <c r="M32" i="7"/>
  <c r="M50" i="7"/>
  <c r="M22" i="7"/>
  <c r="M41" i="7"/>
  <c r="M14" i="7"/>
  <c r="M34" i="7"/>
  <c r="M52" i="7"/>
  <c r="M26" i="7"/>
  <c r="M46" i="7"/>
  <c r="M19" i="7"/>
  <c r="M39" i="7"/>
  <c r="M42" i="7"/>
  <c r="M16" i="7"/>
  <c r="M35" i="7"/>
  <c r="M58" i="7"/>
  <c r="M25" i="7"/>
  <c r="M44" i="7"/>
  <c r="M18" i="7"/>
  <c r="M36" i="7"/>
  <c r="M12" i="7"/>
  <c r="M30" i="7"/>
  <c r="M49" i="7"/>
  <c r="M24" i="7"/>
  <c r="M27" i="7"/>
  <c r="M45" i="7"/>
  <c r="M20" i="7"/>
  <c r="L56" i="7"/>
  <c r="I61" i="7"/>
  <c r="P59" i="7" s="1"/>
  <c r="G61" i="7"/>
  <c r="N31" i="7" s="1"/>
  <c r="L60" i="7"/>
  <c r="L58" i="7"/>
  <c r="L20" i="7"/>
  <c r="L37" i="7"/>
  <c r="L53" i="7"/>
  <c r="L14" i="7"/>
  <c r="L34" i="7"/>
  <c r="L49" i="7"/>
  <c r="L26" i="7"/>
  <c r="L46" i="7"/>
  <c r="L19" i="7"/>
  <c r="L38" i="7"/>
  <c r="L55" i="7"/>
  <c r="L48" i="7"/>
  <c r="L22" i="7"/>
  <c r="L39" i="7"/>
  <c r="L44" i="7"/>
  <c r="L18" i="7"/>
  <c r="L30" i="7"/>
  <c r="L13" i="7"/>
  <c r="L31" i="7"/>
  <c r="L45" i="7"/>
  <c r="L24" i="7"/>
  <c r="L42" i="7"/>
  <c r="L33" i="7"/>
  <c r="L52" i="7"/>
  <c r="L21" i="7"/>
  <c r="L29" i="7"/>
  <c r="L47" i="7"/>
  <c r="L17" i="7"/>
  <c r="L40" i="7"/>
  <c r="L11" i="7"/>
  <c r="L27" i="7"/>
  <c r="L51" i="7"/>
  <c r="L28" i="7"/>
  <c r="L43" i="7"/>
  <c r="L16" i="7"/>
  <c r="L35" i="7"/>
  <c r="L54" i="7"/>
  <c r="L10" i="7"/>
  <c r="L32" i="7"/>
  <c r="L50" i="7"/>
  <c r="L23" i="7"/>
  <c r="L41" i="7"/>
  <c r="L15" i="7"/>
  <c r="L36" i="7"/>
  <c r="L12" i="7"/>
  <c r="L25" i="7"/>
  <c r="O60" i="7"/>
  <c r="K61" i="7"/>
  <c r="R34" i="7" s="1"/>
  <c r="O30" i="7"/>
  <c r="O46" i="7"/>
  <c r="O16" i="7"/>
  <c r="O27" i="7"/>
  <c r="O41" i="7"/>
  <c r="O12" i="7"/>
  <c r="O55" i="7"/>
  <c r="O23" i="7"/>
  <c r="O39" i="7"/>
  <c r="O48" i="7"/>
  <c r="O20" i="7"/>
  <c r="O36" i="7"/>
  <c r="O14" i="7"/>
  <c r="O29" i="7"/>
  <c r="O50" i="7"/>
  <c r="O26" i="7"/>
  <c r="O25" i="7"/>
  <c r="O44" i="7"/>
  <c r="O38" i="7"/>
  <c r="O53" i="7"/>
  <c r="O24" i="7"/>
  <c r="O34" i="7"/>
  <c r="O49" i="7"/>
  <c r="O19" i="7"/>
  <c r="O58" i="7"/>
  <c r="O13" i="7"/>
  <c r="O33" i="7"/>
  <c r="O47" i="7"/>
  <c r="O56" i="7"/>
  <c r="O28" i="7"/>
  <c r="O22" i="7"/>
  <c r="O35" i="7"/>
  <c r="O54" i="7"/>
  <c r="O17" i="7"/>
  <c r="O32" i="7"/>
  <c r="O52" i="7"/>
  <c r="O45" i="7"/>
  <c r="O15" i="7"/>
  <c r="O31" i="7"/>
  <c r="O42" i="7"/>
  <c r="O10" i="7"/>
  <c r="O43" i="7"/>
  <c r="O21" i="7"/>
  <c r="O40" i="7"/>
  <c r="O51" i="7"/>
  <c r="O18" i="7"/>
  <c r="O37" i="7"/>
  <c r="L57" i="7"/>
  <c r="I60" i="1"/>
  <c r="L58" i="1"/>
  <c r="O54" i="1"/>
  <c r="K60" i="1"/>
  <c r="R29" i="7" l="1"/>
  <c r="P34" i="7"/>
  <c r="P44" i="7"/>
  <c r="P50" i="7"/>
  <c r="P58" i="7"/>
  <c r="P11" i="7"/>
  <c r="N37" i="7"/>
  <c r="R46" i="7"/>
  <c r="R35" i="7"/>
  <c r="R30" i="7"/>
  <c r="N54" i="7"/>
  <c r="N27" i="7"/>
  <c r="N35" i="7"/>
  <c r="P28" i="7"/>
  <c r="R22" i="7"/>
  <c r="P10" i="7"/>
  <c r="R18" i="7"/>
  <c r="P48" i="7"/>
  <c r="P14" i="7"/>
  <c r="P30" i="7"/>
  <c r="N18" i="7"/>
  <c r="P45" i="7"/>
  <c r="N24" i="7"/>
  <c r="N49" i="7"/>
  <c r="N21" i="7"/>
  <c r="P33" i="7"/>
  <c r="P53" i="7"/>
  <c r="N15" i="7"/>
  <c r="P16" i="7"/>
  <c r="R60" i="7"/>
  <c r="R21" i="7"/>
  <c r="R40" i="7"/>
  <c r="R31" i="7"/>
  <c r="R55" i="7"/>
  <c r="R14" i="7"/>
  <c r="R13" i="7"/>
  <c r="R57" i="7"/>
  <c r="R49" i="7"/>
  <c r="R37" i="7"/>
  <c r="R47" i="7"/>
  <c r="N57" i="7"/>
  <c r="N60" i="7"/>
  <c r="N23" i="7"/>
  <c r="N19" i="7"/>
  <c r="N46" i="7"/>
  <c r="N22" i="7"/>
  <c r="N50" i="7"/>
  <c r="N56" i="7"/>
  <c r="N34" i="7"/>
  <c r="N40" i="7"/>
  <c r="N16" i="7"/>
  <c r="N20" i="7"/>
  <c r="N47" i="7"/>
  <c r="N55" i="7"/>
  <c r="N32" i="7"/>
  <c r="N51" i="7"/>
  <c r="N38" i="7"/>
  <c r="N11" i="7"/>
  <c r="N39" i="7"/>
  <c r="N52" i="7"/>
  <c r="N41" i="7"/>
  <c r="N36" i="7"/>
  <c r="R17" i="7"/>
  <c r="R15" i="7"/>
  <c r="R44" i="7"/>
  <c r="R51" i="7"/>
  <c r="R32" i="7"/>
  <c r="R41" i="7"/>
  <c r="R11" i="7"/>
  <c r="N48" i="7"/>
  <c r="N13" i="7"/>
  <c r="N12" i="7"/>
  <c r="N10" i="7"/>
  <c r="R54" i="7"/>
  <c r="P24" i="7"/>
  <c r="P42" i="7"/>
  <c r="P39" i="7"/>
  <c r="R23" i="7"/>
  <c r="R36" i="7"/>
  <c r="R25" i="7"/>
  <c r="R12" i="7"/>
  <c r="R48" i="7"/>
  <c r="R10" i="7"/>
  <c r="R27" i="7"/>
  <c r="R38" i="7"/>
  <c r="R26" i="7"/>
  <c r="N29" i="7"/>
  <c r="N53" i="7"/>
  <c r="N14" i="7"/>
  <c r="N45" i="7"/>
  <c r="R45" i="7"/>
  <c r="N58" i="7"/>
  <c r="P20" i="7"/>
  <c r="P22" i="7"/>
  <c r="P25" i="7"/>
  <c r="N33" i="7"/>
  <c r="R58" i="7"/>
  <c r="R50" i="7"/>
  <c r="R39" i="7"/>
  <c r="R28" i="7"/>
  <c r="R42" i="7"/>
  <c r="R53" i="7"/>
  <c r="R33" i="7"/>
  <c r="N43" i="7"/>
  <c r="N42" i="7"/>
  <c r="N44" i="7"/>
  <c r="N59" i="7"/>
  <c r="N17" i="7"/>
  <c r="P56" i="7"/>
  <c r="P55" i="7"/>
  <c r="P57" i="7"/>
  <c r="P60" i="7"/>
  <c r="P17" i="7"/>
  <c r="P43" i="7"/>
  <c r="P51" i="7"/>
  <c r="P26" i="7"/>
  <c r="P31" i="7"/>
  <c r="S31" i="7" s="1"/>
  <c r="P37" i="7"/>
  <c r="P47" i="7"/>
  <c r="P27" i="7"/>
  <c r="P36" i="7"/>
  <c r="P46" i="7"/>
  <c r="P12" i="7"/>
  <c r="P41" i="7"/>
  <c r="P23" i="7"/>
  <c r="P35" i="7"/>
  <c r="P49" i="7"/>
  <c r="P18" i="7"/>
  <c r="P32" i="7"/>
  <c r="P19" i="7"/>
  <c r="P29" i="7"/>
  <c r="P52" i="7"/>
  <c r="P13" i="7"/>
  <c r="P21" i="7"/>
  <c r="P15" i="7"/>
  <c r="R19" i="7"/>
  <c r="R56" i="7"/>
  <c r="R24" i="7"/>
  <c r="R52" i="7"/>
  <c r="R16" i="7"/>
  <c r="R59" i="7"/>
  <c r="N25" i="7"/>
  <c r="N30" i="7"/>
  <c r="N26" i="7"/>
  <c r="N28" i="7"/>
  <c r="R43" i="7"/>
  <c r="R20" i="7"/>
  <c r="P38" i="7"/>
  <c r="P40" i="7"/>
  <c r="P54" i="7"/>
  <c r="O58" i="1"/>
  <c r="M60" i="1"/>
  <c r="M10" i="1"/>
  <c r="M11" i="1"/>
  <c r="M12" i="1"/>
  <c r="M13" i="1"/>
  <c r="M15" i="1"/>
  <c r="M17" i="1"/>
  <c r="M14" i="1"/>
  <c r="M16" i="1"/>
  <c r="M20" i="1"/>
  <c r="M18" i="1"/>
  <c r="M19" i="1"/>
  <c r="M21" i="1"/>
  <c r="M23" i="1"/>
  <c r="M22" i="1"/>
  <c r="M24" i="1"/>
  <c r="M25" i="1"/>
  <c r="M27" i="1"/>
  <c r="M26" i="1"/>
  <c r="M28" i="1"/>
  <c r="M29" i="1"/>
  <c r="M30" i="1"/>
  <c r="M31" i="1"/>
  <c r="M32" i="1"/>
  <c r="M33" i="1"/>
  <c r="M35" i="1"/>
  <c r="M34" i="1"/>
  <c r="M36" i="1"/>
  <c r="M37" i="1"/>
  <c r="M38" i="1"/>
  <c r="M39" i="1"/>
  <c r="M41" i="1"/>
  <c r="M40" i="1"/>
  <c r="M42" i="1"/>
  <c r="M43" i="1"/>
  <c r="M45" i="1"/>
  <c r="M46" i="1"/>
  <c r="M44" i="1"/>
  <c r="M47" i="1"/>
  <c r="M48" i="1"/>
  <c r="M49" i="1"/>
  <c r="M51" i="1"/>
  <c r="M50" i="1"/>
  <c r="M52" i="1"/>
  <c r="M54" i="1"/>
  <c r="M55" i="1"/>
  <c r="M58" i="1"/>
  <c r="M56" i="1"/>
  <c r="M57" i="1"/>
  <c r="M53" i="1"/>
  <c r="L56" i="1"/>
  <c r="O59" i="1"/>
  <c r="L55" i="1"/>
  <c r="O57" i="1"/>
  <c r="O55" i="1"/>
  <c r="L60" i="1"/>
  <c r="L11" i="1"/>
  <c r="L10" i="1"/>
  <c r="L12" i="1"/>
  <c r="L15" i="1"/>
  <c r="L14" i="1"/>
  <c r="L13" i="1"/>
  <c r="L16" i="1"/>
  <c r="L17" i="1"/>
  <c r="L19" i="1"/>
  <c r="L18" i="1"/>
  <c r="L20" i="1"/>
  <c r="L21" i="1"/>
  <c r="L24" i="1"/>
  <c r="L22" i="1"/>
  <c r="L23" i="1"/>
  <c r="L27" i="1"/>
  <c r="L25" i="1"/>
  <c r="L26" i="1"/>
  <c r="L29" i="1"/>
  <c r="L30" i="1"/>
  <c r="L28" i="1"/>
  <c r="L33" i="1"/>
  <c r="L31" i="1"/>
  <c r="L32" i="1"/>
  <c r="L35" i="1"/>
  <c r="L36" i="1"/>
  <c r="L34" i="1"/>
  <c r="L37" i="1"/>
  <c r="L38" i="1"/>
  <c r="L39" i="1"/>
  <c r="L41" i="1"/>
  <c r="L40" i="1"/>
  <c r="L42" i="1"/>
  <c r="L44" i="1"/>
  <c r="L43" i="1"/>
  <c r="L47" i="1"/>
  <c r="L45" i="1"/>
  <c r="L48" i="1"/>
  <c r="L46" i="1"/>
  <c r="L49" i="1"/>
  <c r="L52" i="1"/>
  <c r="L50" i="1"/>
  <c r="L51" i="1"/>
  <c r="L53" i="1"/>
  <c r="L54" i="1"/>
  <c r="L57" i="1"/>
  <c r="O60" i="1"/>
  <c r="O10" i="1"/>
  <c r="O11" i="1"/>
  <c r="O13" i="1"/>
  <c r="O12" i="1"/>
  <c r="O14" i="1"/>
  <c r="O15" i="1"/>
  <c r="O16" i="1"/>
  <c r="O17" i="1"/>
  <c r="O18" i="1"/>
  <c r="O19" i="1"/>
  <c r="O20" i="1"/>
  <c r="O21" i="1"/>
  <c r="O23" i="1"/>
  <c r="O22" i="1"/>
  <c r="O24" i="1"/>
  <c r="O25" i="1"/>
  <c r="O27" i="1"/>
  <c r="O28" i="1"/>
  <c r="O26" i="1"/>
  <c r="O29" i="1"/>
  <c r="O30" i="1"/>
  <c r="O32" i="1"/>
  <c r="O33" i="1"/>
  <c r="O31" i="1"/>
  <c r="O34" i="1"/>
  <c r="O35" i="1"/>
  <c r="O36" i="1"/>
  <c r="O37" i="1"/>
  <c r="O40" i="1"/>
  <c r="O39" i="1"/>
  <c r="O38" i="1"/>
  <c r="O41" i="1"/>
  <c r="O43" i="1"/>
  <c r="O42" i="1"/>
  <c r="O45" i="1"/>
  <c r="O44" i="1"/>
  <c r="O47" i="1"/>
  <c r="O46" i="1"/>
  <c r="O49" i="1"/>
  <c r="O48" i="1"/>
  <c r="O50" i="1"/>
  <c r="O51" i="1"/>
  <c r="O52" i="1"/>
  <c r="O53" i="1"/>
  <c r="O56" i="1"/>
  <c r="L59" i="1"/>
  <c r="M59" i="1"/>
  <c r="K61" i="1"/>
  <c r="R58" i="1" s="1"/>
  <c r="I61" i="1"/>
  <c r="P56" i="1" s="1"/>
  <c r="S26" i="7" l="1"/>
  <c r="S28" i="7"/>
  <c r="S59" i="7"/>
  <c r="S34" i="7"/>
  <c r="S16" i="7"/>
  <c r="S45" i="7"/>
  <c r="S48" i="7"/>
  <c r="S11" i="7"/>
  <c r="S30" i="7"/>
  <c r="S50" i="7"/>
  <c r="S42" i="7"/>
  <c r="S10" i="7"/>
  <c r="T10" i="7" s="1"/>
  <c r="S14" i="7"/>
  <c r="S58" i="7"/>
  <c r="S53" i="7"/>
  <c r="S25" i="7"/>
  <c r="S44" i="7"/>
  <c r="S33" i="7"/>
  <c r="S29" i="7"/>
  <c r="S13" i="7"/>
  <c r="S39" i="7"/>
  <c r="S32" i="7"/>
  <c r="S23" i="7"/>
  <c r="S24" i="7"/>
  <c r="S54" i="7"/>
  <c r="S37" i="7"/>
  <c r="S36" i="7"/>
  <c r="S55" i="7"/>
  <c r="S40" i="7"/>
  <c r="S22" i="7"/>
  <c r="S60" i="7"/>
  <c r="S41" i="7"/>
  <c r="S38" i="7"/>
  <c r="S47" i="7"/>
  <c r="S46" i="7"/>
  <c r="S57" i="7"/>
  <c r="S21" i="7"/>
  <c r="S18" i="7"/>
  <c r="S35" i="7"/>
  <c r="S17" i="7"/>
  <c r="S43" i="7"/>
  <c r="S12" i="7"/>
  <c r="S52" i="7"/>
  <c r="S51" i="7"/>
  <c r="S20" i="7"/>
  <c r="S56" i="7"/>
  <c r="S19" i="7"/>
  <c r="S15" i="7"/>
  <c r="S49" i="7"/>
  <c r="S27" i="7"/>
  <c r="R57" i="1"/>
  <c r="R55" i="1"/>
  <c r="P59" i="1"/>
  <c r="N60" i="1"/>
  <c r="N10" i="1"/>
  <c r="N12" i="1"/>
  <c r="N11" i="1"/>
  <c r="N13" i="1"/>
  <c r="N14" i="1"/>
  <c r="N15" i="1"/>
  <c r="N17" i="1"/>
  <c r="N16" i="1"/>
  <c r="N18" i="1"/>
  <c r="N20" i="1"/>
  <c r="N19" i="1"/>
  <c r="N21" i="1"/>
  <c r="N22" i="1"/>
  <c r="N23" i="1"/>
  <c r="N25" i="1"/>
  <c r="N24" i="1"/>
  <c r="N28" i="1"/>
  <c r="N27" i="1"/>
  <c r="N26" i="1"/>
  <c r="N29" i="1"/>
  <c r="N31" i="1"/>
  <c r="N30" i="1"/>
  <c r="N32" i="1"/>
  <c r="N33" i="1"/>
  <c r="N35" i="1"/>
  <c r="N34" i="1"/>
  <c r="N36" i="1"/>
  <c r="N37" i="1"/>
  <c r="N38" i="1"/>
  <c r="N40" i="1"/>
  <c r="N39" i="1"/>
  <c r="N41" i="1"/>
  <c r="N42" i="1"/>
  <c r="N43" i="1"/>
  <c r="N45" i="1"/>
  <c r="N44" i="1"/>
  <c r="N47" i="1"/>
  <c r="N49" i="1"/>
  <c r="N50" i="1"/>
  <c r="N46" i="1"/>
  <c r="N48" i="1"/>
  <c r="N52" i="1"/>
  <c r="N51" i="1"/>
  <c r="N53" i="1"/>
  <c r="N54" i="1"/>
  <c r="N55" i="1"/>
  <c r="N56" i="1"/>
  <c r="N58" i="1"/>
  <c r="P54" i="1"/>
  <c r="P57" i="1"/>
  <c r="R60" i="1"/>
  <c r="R10" i="1"/>
  <c r="R11" i="1"/>
  <c r="R13" i="1"/>
  <c r="R12" i="1"/>
  <c r="R15" i="1"/>
  <c r="R14" i="1"/>
  <c r="R17" i="1"/>
  <c r="R16" i="1"/>
  <c r="R18" i="1"/>
  <c r="R19" i="1"/>
  <c r="R21" i="1"/>
  <c r="R20" i="1"/>
  <c r="R23" i="1"/>
  <c r="R25" i="1"/>
  <c r="R22" i="1"/>
  <c r="R24" i="1"/>
  <c r="R26" i="1"/>
  <c r="R27" i="1"/>
  <c r="R28" i="1"/>
  <c r="R29" i="1"/>
  <c r="R30" i="1"/>
  <c r="R31" i="1"/>
  <c r="R32" i="1"/>
  <c r="R33" i="1"/>
  <c r="R34" i="1"/>
  <c r="R35" i="1"/>
  <c r="R37" i="1"/>
  <c r="R36" i="1"/>
  <c r="R39" i="1"/>
  <c r="R38" i="1"/>
  <c r="R42" i="1"/>
  <c r="R40" i="1"/>
  <c r="R41" i="1"/>
  <c r="R45" i="1"/>
  <c r="R43" i="1"/>
  <c r="R44" i="1"/>
  <c r="R46" i="1"/>
  <c r="R47" i="1"/>
  <c r="R48" i="1"/>
  <c r="R50" i="1"/>
  <c r="R49" i="1"/>
  <c r="R52" i="1"/>
  <c r="R51" i="1"/>
  <c r="R53" i="1"/>
  <c r="R56" i="1"/>
  <c r="R54" i="1"/>
  <c r="P60" i="1"/>
  <c r="P10" i="1"/>
  <c r="P12" i="1"/>
  <c r="P11" i="1"/>
  <c r="P13" i="1"/>
  <c r="P14" i="1"/>
  <c r="P15" i="1"/>
  <c r="P17" i="1"/>
  <c r="P16" i="1"/>
  <c r="P18" i="1"/>
  <c r="P19" i="1"/>
  <c r="P22" i="1"/>
  <c r="P20" i="1"/>
  <c r="P21" i="1"/>
  <c r="P25" i="1"/>
  <c r="P24" i="1"/>
  <c r="P23" i="1"/>
  <c r="P27" i="1"/>
  <c r="P26" i="1"/>
  <c r="P29" i="1"/>
  <c r="P28" i="1"/>
  <c r="P30" i="1"/>
  <c r="P32" i="1"/>
  <c r="P31" i="1"/>
  <c r="P34" i="1"/>
  <c r="P33" i="1"/>
  <c r="P36" i="1"/>
  <c r="P35" i="1"/>
  <c r="P37" i="1"/>
  <c r="P38" i="1"/>
  <c r="P39" i="1"/>
  <c r="P40" i="1"/>
  <c r="P42" i="1"/>
  <c r="P41" i="1"/>
  <c r="P44" i="1"/>
  <c r="P43" i="1"/>
  <c r="P47" i="1"/>
  <c r="P46" i="1"/>
  <c r="P45" i="1"/>
  <c r="P48" i="1"/>
  <c r="P49" i="1"/>
  <c r="P52" i="1"/>
  <c r="P51" i="1"/>
  <c r="P50" i="1"/>
  <c r="P55" i="1"/>
  <c r="P58" i="1"/>
  <c r="P53" i="1"/>
  <c r="N59" i="1"/>
  <c r="N57" i="1"/>
  <c r="R59" i="1"/>
  <c r="S57" i="1" l="1"/>
  <c r="S56" i="1"/>
  <c r="S51" i="1"/>
  <c r="S50" i="1"/>
  <c r="S45" i="1"/>
  <c r="S39" i="1"/>
  <c r="S36" i="1"/>
  <c r="S32" i="1"/>
  <c r="S26" i="1"/>
  <c r="S25" i="1"/>
  <c r="S19" i="1"/>
  <c r="S17" i="1"/>
  <c r="S11" i="1"/>
  <c r="S55" i="1"/>
  <c r="S52" i="1"/>
  <c r="S49" i="1"/>
  <c r="S43" i="1"/>
  <c r="S40" i="1"/>
  <c r="S34" i="1"/>
  <c r="S30" i="1"/>
  <c r="S27" i="1"/>
  <c r="S23" i="1"/>
  <c r="S20" i="1"/>
  <c r="S15" i="1"/>
  <c r="S12" i="1"/>
  <c r="S54" i="1"/>
  <c r="S48" i="1"/>
  <c r="S47" i="1"/>
  <c r="S42" i="1"/>
  <c r="S38" i="1"/>
  <c r="S35" i="1"/>
  <c r="S31" i="1"/>
  <c r="S28" i="1"/>
  <c r="S22" i="1"/>
  <c r="S18" i="1"/>
  <c r="S14" i="1"/>
  <c r="S10" i="1"/>
  <c r="T10" i="1" s="1"/>
  <c r="S59" i="1"/>
  <c r="S58" i="1"/>
  <c r="S53" i="1"/>
  <c r="S46" i="1"/>
  <c r="S44" i="1"/>
  <c r="S41" i="1"/>
  <c r="S37" i="1"/>
  <c r="S33" i="1"/>
  <c r="S29" i="1"/>
  <c r="S24" i="1"/>
  <c r="S21" i="1"/>
  <c r="S16" i="1"/>
  <c r="S13" i="1"/>
  <c r="S60" i="1"/>
  <c r="U6" i="7"/>
  <c r="H4" i="4"/>
  <c r="D6" i="4" s="1"/>
  <c r="U6" i="1" l="1"/>
  <c r="T19" i="7"/>
  <c r="U19" i="7" s="1"/>
  <c r="T24" i="7"/>
  <c r="U24" i="7" s="1"/>
  <c r="T23" i="7"/>
  <c r="U23" i="7" s="1"/>
  <c r="T52" i="7"/>
  <c r="U52" i="7" s="1"/>
  <c r="T17" i="7"/>
  <c r="U17" i="7" s="1"/>
  <c r="T59" i="7"/>
  <c r="U59" i="7" s="1"/>
  <c r="T21" i="7"/>
  <c r="U21" i="7" s="1"/>
  <c r="T53" i="7"/>
  <c r="U53" i="7" s="1"/>
  <c r="T49" i="7"/>
  <c r="U49" i="7" s="1"/>
  <c r="T56" i="7"/>
  <c r="U56" i="7" s="1"/>
  <c r="T30" i="7"/>
  <c r="U30" i="7" s="1"/>
  <c r="T20" i="7"/>
  <c r="U20" i="7" s="1"/>
  <c r="T34" i="7"/>
  <c r="U34" i="7" s="1"/>
  <c r="T47" i="7"/>
  <c r="U47" i="7" s="1"/>
  <c r="T57" i="7"/>
  <c r="U57" i="7" s="1"/>
  <c r="T48" i="7"/>
  <c r="U48" i="7" s="1"/>
  <c r="T15" i="7"/>
  <c r="U15" i="7" s="1"/>
  <c r="T27" i="7"/>
  <c r="U27" i="7" s="1"/>
  <c r="T11" i="7"/>
  <c r="U11" i="7" s="1"/>
  <c r="T12" i="7"/>
  <c r="U12" i="7" s="1"/>
  <c r="T14" i="7"/>
  <c r="U14" i="7" s="1"/>
  <c r="T31" i="7"/>
  <c r="U31" i="7" s="1"/>
  <c r="T60" i="7"/>
  <c r="U60" i="7" s="1"/>
  <c r="T39" i="7"/>
  <c r="U39" i="7" s="1"/>
  <c r="T32" i="7"/>
  <c r="U32" i="7" s="1"/>
  <c r="T43" i="7"/>
  <c r="U43" i="7" s="1"/>
  <c r="T50" i="7"/>
  <c r="U50" i="7" s="1"/>
  <c r="T18" i="7"/>
  <c r="U18" i="7" s="1"/>
  <c r="T37" i="7"/>
  <c r="U37" i="7" s="1"/>
  <c r="T61" i="7"/>
  <c r="U61" i="7" s="1"/>
  <c r="T38" i="7"/>
  <c r="U38" i="7" s="1"/>
  <c r="T25" i="7"/>
  <c r="U25" i="7" s="1"/>
  <c r="T44" i="7"/>
  <c r="U44" i="7" s="1"/>
  <c r="T16" i="7"/>
  <c r="U16" i="7" s="1"/>
  <c r="T42" i="7"/>
  <c r="U42" i="7" s="1"/>
  <c r="T29" i="7"/>
  <c r="U29" i="7" s="1"/>
  <c r="T46" i="7"/>
  <c r="U46" i="7" s="1"/>
  <c r="T33" i="7"/>
  <c r="U33" i="7" s="1"/>
  <c r="T28" i="7"/>
  <c r="U28" i="7" s="1"/>
  <c r="T54" i="7"/>
  <c r="U54" i="7" s="1"/>
  <c r="T22" i="7"/>
  <c r="U22" i="7" s="1"/>
  <c r="T41" i="7"/>
  <c r="U41" i="7" s="1"/>
  <c r="T36" i="7"/>
  <c r="U36" i="7" s="1"/>
  <c r="T35" i="7"/>
  <c r="U35" i="7" s="1"/>
  <c r="T55" i="7"/>
  <c r="U55" i="7" s="1"/>
  <c r="T40" i="7"/>
  <c r="U40" i="7" s="1"/>
  <c r="T51" i="7"/>
  <c r="U51" i="7" s="1"/>
  <c r="T58" i="7"/>
  <c r="U58" i="7" s="1"/>
  <c r="T26" i="7"/>
  <c r="U26" i="7" s="1"/>
  <c r="T45" i="7"/>
  <c r="U45" i="7" s="1"/>
  <c r="T13" i="7"/>
  <c r="U13" i="7" s="1"/>
  <c r="H9" i="4"/>
  <c r="D11" i="4" s="1"/>
  <c r="G4" i="4"/>
  <c r="C6" i="4" s="1"/>
  <c r="D5" i="4"/>
  <c r="T22" i="1" l="1"/>
  <c r="T14" i="1"/>
  <c r="T59" i="1"/>
  <c r="T49" i="1"/>
  <c r="T13" i="1"/>
  <c r="U13" i="1" s="1"/>
  <c r="T45" i="1"/>
  <c r="T34" i="1"/>
  <c r="T24" i="1"/>
  <c r="T30" i="1"/>
  <c r="T56" i="1"/>
  <c r="T20" i="1"/>
  <c r="T26" i="1"/>
  <c r="T52" i="1"/>
  <c r="T50" i="1"/>
  <c r="T35" i="1"/>
  <c r="T46" i="1"/>
  <c r="T12" i="1"/>
  <c r="U12" i="1" s="1"/>
  <c r="T32" i="1"/>
  <c r="T41" i="1"/>
  <c r="T58" i="1"/>
  <c r="T61" i="1"/>
  <c r="T19" i="1"/>
  <c r="T27" i="1"/>
  <c r="T55" i="1"/>
  <c r="T23" i="1"/>
  <c r="T33" i="1"/>
  <c r="T53" i="1"/>
  <c r="T18" i="1"/>
  <c r="T29" i="1"/>
  <c r="T48" i="1"/>
  <c r="T16" i="1"/>
  <c r="T25" i="1"/>
  <c r="T44" i="1"/>
  <c r="T54" i="1"/>
  <c r="G9" i="4"/>
  <c r="C11" i="4" s="1"/>
  <c r="T42" i="1"/>
  <c r="T38" i="1"/>
  <c r="T15" i="1"/>
  <c r="T36" i="1"/>
  <c r="T57" i="1"/>
  <c r="T21" i="1"/>
  <c r="T40" i="1"/>
  <c r="T51" i="1"/>
  <c r="T17" i="1"/>
  <c r="T37" i="1"/>
  <c r="T47" i="1"/>
  <c r="T11" i="1"/>
  <c r="U11" i="1" s="1"/>
  <c r="T31" i="1"/>
  <c r="T43" i="1"/>
  <c r="T60" i="1"/>
  <c r="T28" i="1"/>
  <c r="T39" i="1"/>
  <c r="D10" i="4"/>
  <c r="C5" i="4"/>
  <c r="C10" i="4" l="1"/>
  <c r="U14" i="1"/>
  <c r="U15" i="1" l="1"/>
  <c r="U16" i="1" l="1"/>
  <c r="U17" i="1" l="1"/>
  <c r="U18" i="1" l="1"/>
  <c r="U19" i="1" l="1"/>
  <c r="U20" i="1" l="1"/>
  <c r="U21" i="1" l="1"/>
  <c r="U22" i="1" l="1"/>
  <c r="U23" i="1" l="1"/>
  <c r="U24" i="1" l="1"/>
  <c r="U25" i="1" l="1"/>
  <c r="U26" i="1" l="1"/>
  <c r="U27" i="1" l="1"/>
  <c r="U28" i="1" l="1"/>
  <c r="U29" i="1" l="1"/>
  <c r="U30" i="1" l="1"/>
  <c r="U31" i="1" l="1"/>
  <c r="U32" i="1" l="1"/>
  <c r="U33" i="1" l="1"/>
  <c r="U34" i="1" l="1"/>
  <c r="U35" i="1" l="1"/>
  <c r="U36" i="1" l="1"/>
  <c r="U37" i="1" l="1"/>
  <c r="U38" i="1" l="1"/>
  <c r="U39" i="1" l="1"/>
  <c r="U40" i="1" l="1"/>
  <c r="U41" i="1" l="1"/>
  <c r="U42" i="1" l="1"/>
  <c r="U43" i="1"/>
  <c r="U44" i="1" l="1"/>
  <c r="U45" i="1" l="1"/>
  <c r="U46" i="1" l="1"/>
  <c r="U47" i="1" l="1"/>
  <c r="U48" i="1" l="1"/>
  <c r="U49" i="1" l="1"/>
  <c r="U50" i="1" l="1"/>
  <c r="U51" i="1" l="1"/>
  <c r="U52" i="1" l="1"/>
  <c r="U53" i="1" l="1"/>
  <c r="U54" i="1" l="1"/>
  <c r="U55" i="1" l="1"/>
  <c r="U56" i="1" l="1"/>
  <c r="U57" i="1" l="1"/>
  <c r="U58" i="1" l="1"/>
  <c r="U59" i="1" l="1"/>
  <c r="U61" i="1" l="1"/>
  <c r="U60" i="1" l="1"/>
</calcChain>
</file>

<file path=xl/sharedStrings.xml><?xml version="1.0" encoding="utf-8"?>
<sst xmlns="http://schemas.openxmlformats.org/spreadsheetml/2006/main" count="159" uniqueCount="83">
  <si>
    <t>EOY</t>
  </si>
  <si>
    <t>Year</t>
  </si>
  <si>
    <t>BOY</t>
  </si>
  <si>
    <t>Expense Assumptions</t>
  </si>
  <si>
    <t>Inflation Assumptions</t>
  </si>
  <si>
    <t>Expense Inflation (p.a.)</t>
  </si>
  <si>
    <t>Discount Rate Assumption</t>
  </si>
  <si>
    <t>Discount Rate (p.a.)</t>
  </si>
  <si>
    <t>Benefit Indexation (p.a.)</t>
  </si>
  <si>
    <t>Claim Incidence Rate</t>
  </si>
  <si>
    <t>Lapse Rate</t>
  </si>
  <si>
    <t>Reinsurance Premium</t>
  </si>
  <si>
    <t>Reinsurance Claims</t>
  </si>
  <si>
    <t>10% increase in lapse rates</t>
  </si>
  <si>
    <t>10% increase in claims incidence rates</t>
  </si>
  <si>
    <t>% increase in PVPM</t>
  </si>
  <si>
    <t>Before reins</t>
  </si>
  <si>
    <t>After reins</t>
  </si>
  <si>
    <t>Loading</t>
  </si>
  <si>
    <t>Applied Decrement Assumptions</t>
  </si>
  <si>
    <t>- Reinsurance Premium</t>
  </si>
  <si>
    <t>- Reinsurance Claims</t>
  </si>
  <si>
    <t>as % of Gross Premium</t>
  </si>
  <si>
    <t>as % of Gross Claims</t>
  </si>
  <si>
    <t>- Unearned Premium Reserve (UPR)</t>
  </si>
  <si>
    <t>- Deferred Acquisition Costs (DAC)</t>
  </si>
  <si>
    <t>Y</t>
  </si>
  <si>
    <t>N</t>
  </si>
  <si>
    <t>Students' own workings</t>
  </si>
  <si>
    <t>Reinsurance Information</t>
  </si>
  <si>
    <t>Present Value of Reinsurance Premium</t>
  </si>
  <si>
    <t>Present Value of Reinsurance Claims</t>
  </si>
  <si>
    <t>Year Ending 30 June</t>
  </si>
  <si>
    <t>Projection Year</t>
  </si>
  <si>
    <t>Gross  Sum Insured In-Force</t>
  </si>
  <si>
    <t>Gross  Premium</t>
  </si>
  <si>
    <t>Gross  Claims</t>
  </si>
  <si>
    <t>Present Value of Gross  Premium</t>
  </si>
  <si>
    <t>Present Value of Gross  Claims</t>
  </si>
  <si>
    <t>Net  Best Estimate Liability (Net BEL)</t>
  </si>
  <si>
    <t>Net Present Value of Profit Margins (Net PVPM)</t>
  </si>
  <si>
    <t>Net Policy Liability (Net PL)</t>
  </si>
  <si>
    <t>Net Profit Margin %</t>
  </si>
  <si>
    <t>Gross Renewal Expense</t>
  </si>
  <si>
    <t>Gross  Renewal Commission</t>
  </si>
  <si>
    <t>Present Value of Gross  Renewal Expense</t>
  </si>
  <si>
    <t>Present Value of Gross Renewal Commission</t>
  </si>
  <si>
    <t>for year ending 30 June 2020</t>
  </si>
  <si>
    <t>Gross Renewal Commission</t>
  </si>
  <si>
    <t>Commission Assumptions</t>
  </si>
  <si>
    <t>Premium Increase and Decrement Assumptions</t>
  </si>
  <si>
    <t>Reinsurance Ratios Before Recapture</t>
  </si>
  <si>
    <t>Reinsurance Ratios After Recapture</t>
  </si>
  <si>
    <t>Reinsurance Repayment on Recapture</t>
  </si>
  <si>
    <t>payable on 1 July 2019</t>
  </si>
  <si>
    <t>Present Value of Reinsurance Repayment on Recapture</t>
  </si>
  <si>
    <t>Projection</t>
  </si>
  <si>
    <t>Assumption on Timing of Cash Flow</t>
  </si>
  <si>
    <t>- Premiums are received annually in advance (on every 1 July).</t>
  </si>
  <si>
    <t>- Expense and commissions are incurred annually in advance (on every 1 July).</t>
  </si>
  <si>
    <t>- Claims are incurred and paid annually in arrears (on every 30 June).</t>
  </si>
  <si>
    <t>(Gross Renewal Expense is incurred annually in advance on every 1 July, based on the proportion of policies in-force remaining at that time.)</t>
  </si>
  <si>
    <t>Profit Carrier Information</t>
  </si>
  <si>
    <t>Use expected gross premiums as the profit carrier.</t>
  </si>
  <si>
    <t>Policy Liability Components as at 1 July 2019 (Based on Accumulation Basis)</t>
  </si>
  <si>
    <t>Increase in profit margin %</t>
  </si>
  <si>
    <t>New Business Assumption</t>
  </si>
  <si>
    <t>For the purposes of the projection, assume that:</t>
  </si>
  <si>
    <t>Claim Incidence Rate (Annual)</t>
  </si>
  <si>
    <t>Premium Increase (p.a.)</t>
  </si>
  <si>
    <t>Lapse Rate (Annual)</t>
  </si>
  <si>
    <t>For the purposes of the projection, assume there is no new business written on or after 1 July 2019.</t>
  </si>
  <si>
    <t>based on assumed average age and assumed average policy duration for each projection year, before benefit indexation</t>
  </si>
  <si>
    <t>Payment to Reinsurer on Recapture</t>
  </si>
  <si>
    <t>Net Policy Liability, whose components are:</t>
  </si>
  <si>
    <t>Key:</t>
  </si>
  <si>
    <t>Provided data</t>
  </si>
  <si>
    <t>To be completed by candidates</t>
  </si>
  <si>
    <t>After Recapture? (Y/N)</t>
  </si>
  <si>
    <t>&lt;- set K4 in Key Information sheet to 10% then copy values from G4:H4</t>
  </si>
  <si>
    <t>&lt;- set K4 in Key Information sheet to 10% then copy values from G9:H9</t>
  </si>
  <si>
    <t>&lt;- set L4 in Key Information sheet to 10% then copy values from G4:H4</t>
  </si>
  <si>
    <t>&lt;- set L4 in Key Information sheet to 10% then copy values from G9:H9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</si>
</sst>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* #,##0.00_-;\-&quot;$&quot;* #,##0.00_-;_-&quot;$&quot;* &quot;-&quot;??_-;_-@_-"/>
    <numFmt numFmtId="43" formatCode="_-* #,##0.00_-;\-* #,##0.00_-;_-* &quot;-&quot;??_-;_-@_-"/>
    <numFmt numFmtId="164" formatCode="#,##0_ ;[Red]\(#,##0\);&quot;-&quot;_ "/>
    <numFmt numFmtId="165" formatCode="0.0000"/>
    <numFmt numFmtId="166" formatCode="0.0%"/>
    <numFmt numFmtId="167" formatCode="#,##0.000_ ;[Red]\(#,##0.000\);&quot;-&quot;_ "/>
    <numFmt numFmtId="168" formatCode="_-&quot;$&quot;* #,##0_-;\-&quot;$&quot;* #,##0_-;_-&quot;$&quot;* &quot;-&quot;??_-;_-@_-"/>
    <numFmt numFmtId="169" formatCode="_-* #,##0_-;\-* #,##0_-;_-* &quot;-&quot;??_-;_-@_-"/>
    <numFmt numFmtId="170" formatCode="0.0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theme="1"/>
      <name val="Times New Roman"/>
      <family val="2"/>
    </font>
    <font>
      <b/>
      <sz val="10"/>
      <name val="Century Gothic"/>
      <family val="2"/>
    </font>
    <font>
      <sz val="10"/>
      <color theme="1"/>
      <name val="Century Gothic"/>
      <family val="2"/>
    </font>
    <font>
      <u/>
      <sz val="10"/>
      <color theme="1"/>
      <name val="Century Gothic"/>
      <family val="2"/>
    </font>
    <font>
      <b/>
      <sz val="10"/>
      <color theme="1"/>
      <name val="Century Gothic"/>
      <family val="2"/>
    </font>
    <font>
      <u/>
      <sz val="11"/>
      <color theme="1"/>
      <name val="Century Gothic"/>
      <family val="2"/>
    </font>
    <font>
      <sz val="11"/>
      <color theme="1"/>
      <name val="Century Gothic"/>
      <family val="2"/>
    </font>
    <font>
      <b/>
      <u/>
      <sz val="14"/>
      <color theme="1"/>
      <name val="Century Gothic"/>
      <family val="2"/>
    </font>
    <font>
      <sz val="10"/>
      <name val="Arial"/>
      <family val="2"/>
    </font>
    <font>
      <b/>
      <sz val="11"/>
      <color theme="1"/>
      <name val="Century Gothic"/>
      <family val="2"/>
    </font>
    <font>
      <b/>
      <sz val="1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</fills>
  <borders count="2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3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" fillId="0" borderId="0"/>
  </cellStyleXfs>
  <cellXfs count="114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166" fontId="0" fillId="0" borderId="0" xfId="1" applyNumberFormat="1" applyFont="1" applyAlignment="1">
      <alignment horizontal="center"/>
    </xf>
    <xf numFmtId="9" fontId="0" fillId="0" borderId="0" xfId="1" applyFont="1"/>
    <xf numFmtId="166" fontId="0" fillId="0" borderId="0" xfId="1" applyNumberFormat="1" applyFont="1"/>
    <xf numFmtId="0" fontId="0" fillId="0" borderId="0" xfId="0" applyBorder="1"/>
    <xf numFmtId="169" fontId="0" fillId="0" borderId="0" xfId="4" applyNumberFormat="1" applyFont="1"/>
    <xf numFmtId="170" fontId="0" fillId="0" borderId="0" xfId="0" applyNumberFormat="1"/>
    <xf numFmtId="0" fontId="4" fillId="0" borderId="0" xfId="0" applyFont="1" applyBorder="1" applyAlignment="1">
      <alignment horizontal="right"/>
    </xf>
    <xf numFmtId="0" fontId="5" fillId="0" borderId="0" xfId="0" applyFont="1"/>
    <xf numFmtId="0" fontId="6" fillId="0" borderId="19" xfId="0" applyFont="1" applyBorder="1"/>
    <xf numFmtId="0" fontId="5" fillId="0" borderId="17" xfId="0" applyFont="1" applyBorder="1"/>
    <xf numFmtId="0" fontId="5" fillId="0" borderId="20" xfId="0" applyFont="1" applyBorder="1"/>
    <xf numFmtId="0" fontId="5" fillId="0" borderId="19" xfId="0" applyFont="1" applyBorder="1"/>
    <xf numFmtId="0" fontId="6" fillId="0" borderId="17" xfId="0" applyFont="1" applyBorder="1"/>
    <xf numFmtId="0" fontId="6" fillId="0" borderId="20" xfId="0" applyFont="1" applyBorder="1"/>
    <xf numFmtId="0" fontId="5" fillId="0" borderId="21" xfId="0" applyFont="1" applyBorder="1"/>
    <xf numFmtId="0" fontId="5" fillId="0" borderId="0" xfId="0" applyFont="1" applyBorder="1"/>
    <xf numFmtId="0" fontId="5" fillId="0" borderId="3" xfId="0" applyFont="1" applyBorder="1"/>
    <xf numFmtId="9" fontId="5" fillId="0" borderId="0" xfId="0" applyNumberFormat="1" applyFont="1" applyBorder="1"/>
    <xf numFmtId="0" fontId="5" fillId="0" borderId="2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21" xfId="0" applyFont="1" applyBorder="1"/>
    <xf numFmtId="166" fontId="5" fillId="0" borderId="3" xfId="1" applyNumberFormat="1" applyFont="1" applyBorder="1"/>
    <xf numFmtId="10" fontId="5" fillId="0" borderId="3" xfId="1" applyNumberFormat="1" applyFont="1" applyBorder="1"/>
    <xf numFmtId="166" fontId="5" fillId="0" borderId="0" xfId="0" applyNumberFormat="1" applyFont="1"/>
    <xf numFmtId="0" fontId="5" fillId="0" borderId="21" xfId="0" applyFont="1" applyBorder="1" applyAlignment="1">
      <alignment horizontal="center"/>
    </xf>
    <xf numFmtId="166" fontId="5" fillId="3" borderId="0" xfId="1" applyNumberFormat="1" applyFont="1" applyFill="1" applyBorder="1" applyAlignment="1">
      <alignment horizontal="center"/>
    </xf>
    <xf numFmtId="165" fontId="5" fillId="3" borderId="0" xfId="1" applyNumberFormat="1" applyFont="1" applyFill="1" applyBorder="1" applyAlignment="1">
      <alignment horizontal="center"/>
    </xf>
    <xf numFmtId="166" fontId="5" fillId="3" borderId="3" xfId="1" applyNumberFormat="1" applyFont="1" applyFill="1" applyBorder="1" applyAlignment="1">
      <alignment horizontal="center"/>
    </xf>
    <xf numFmtId="0" fontId="5" fillId="0" borderId="21" xfId="0" quotePrefix="1" applyFont="1" applyBorder="1"/>
    <xf numFmtId="166" fontId="5" fillId="0" borderId="0" xfId="0" applyNumberFormat="1" applyFont="1" applyBorder="1"/>
    <xf numFmtId="168" fontId="5" fillId="3" borderId="0" xfId="3" applyNumberFormat="1" applyFont="1" applyFill="1" applyBorder="1" applyAlignment="1">
      <alignment horizontal="center"/>
    </xf>
    <xf numFmtId="164" fontId="5" fillId="0" borderId="0" xfId="0" applyNumberFormat="1" applyFont="1" applyFill="1" applyBorder="1"/>
    <xf numFmtId="0" fontId="5" fillId="0" borderId="22" xfId="0" applyFont="1" applyBorder="1"/>
    <xf numFmtId="0" fontId="5" fillId="0" borderId="14" xfId="0" applyFont="1" applyBorder="1"/>
    <xf numFmtId="166" fontId="5" fillId="0" borderId="6" xfId="1" applyNumberFormat="1" applyFont="1" applyBorder="1"/>
    <xf numFmtId="9" fontId="5" fillId="3" borderId="0" xfId="1" applyNumberFormat="1" applyFont="1" applyFill="1" applyBorder="1" applyAlignment="1">
      <alignment horizontal="center"/>
    </xf>
    <xf numFmtId="168" fontId="5" fillId="0" borderId="0" xfId="3" applyNumberFormat="1" applyFont="1" applyFill="1" applyBorder="1"/>
    <xf numFmtId="0" fontId="5" fillId="0" borderId="6" xfId="0" applyFont="1" applyBorder="1"/>
    <xf numFmtId="0" fontId="6" fillId="0" borderId="23" xfId="0" applyFont="1" applyBorder="1"/>
    <xf numFmtId="0" fontId="5" fillId="0" borderId="13" xfId="0" applyFont="1" applyBorder="1"/>
    <xf numFmtId="0" fontId="5" fillId="0" borderId="24" xfId="0" applyFont="1" applyBorder="1"/>
    <xf numFmtId="0" fontId="7" fillId="0" borderId="21" xfId="0" applyFont="1" applyBorder="1"/>
    <xf numFmtId="168" fontId="7" fillId="3" borderId="0" xfId="3" applyNumberFormat="1" applyFont="1" applyFill="1" applyBorder="1" applyAlignment="1">
      <alignment horizontal="center"/>
    </xf>
    <xf numFmtId="0" fontId="5" fillId="0" borderId="21" xfId="0" quotePrefix="1" applyFont="1" applyBorder="1" applyAlignment="1">
      <alignment horizontal="left" indent="2"/>
    </xf>
    <xf numFmtId="0" fontId="5" fillId="0" borderId="25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25" xfId="0" applyFont="1" applyBorder="1" applyAlignment="1">
      <alignment horizontal="center"/>
    </xf>
    <xf numFmtId="166" fontId="5" fillId="3" borderId="4" xfId="1" applyNumberFormat="1" applyFont="1" applyFill="1" applyBorder="1" applyAlignment="1">
      <alignment horizontal="center"/>
    </xf>
    <xf numFmtId="165" fontId="5" fillId="3" borderId="4" xfId="1" applyNumberFormat="1" applyFont="1" applyFill="1" applyBorder="1" applyAlignment="1">
      <alignment horizontal="center"/>
    </xf>
    <xf numFmtId="166" fontId="5" fillId="3" borderId="5" xfId="1" applyNumberFormat="1" applyFont="1" applyFill="1" applyBorder="1" applyAlignment="1">
      <alignment horizontal="center"/>
    </xf>
    <xf numFmtId="164" fontId="5" fillId="0" borderId="0" xfId="0" applyNumberFormat="1" applyFont="1"/>
    <xf numFmtId="0" fontId="8" fillId="2" borderId="0" xfId="0" applyFont="1" applyFill="1"/>
    <xf numFmtId="0" fontId="9" fillId="2" borderId="0" xfId="0" applyFont="1" applyFill="1"/>
    <xf numFmtId="0" fontId="6" fillId="2" borderId="0" xfId="0" applyFont="1" applyFill="1"/>
    <xf numFmtId="0" fontId="5" fillId="2" borderId="0" xfId="0" applyFont="1" applyFill="1"/>
    <xf numFmtId="9" fontId="5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165" fontId="5" fillId="2" borderId="0" xfId="0" applyNumberFormat="1" applyFont="1" applyFill="1" applyAlignment="1">
      <alignment horizontal="center"/>
    </xf>
    <xf numFmtId="166" fontId="5" fillId="2" borderId="0" xfId="1" applyNumberFormat="1" applyFont="1" applyFill="1" applyAlignment="1">
      <alignment horizontal="center"/>
    </xf>
    <xf numFmtId="165" fontId="5" fillId="2" borderId="0" xfId="0" applyNumberFormat="1" applyFont="1" applyFill="1" applyBorder="1" applyAlignment="1">
      <alignment horizontal="center"/>
    </xf>
    <xf numFmtId="166" fontId="5" fillId="2" borderId="0" xfId="1" applyNumberFormat="1" applyFont="1" applyFill="1" applyBorder="1" applyAlignment="1">
      <alignment horizontal="center"/>
    </xf>
    <xf numFmtId="0" fontId="9" fillId="2" borderId="1" xfId="0" applyFont="1" applyFill="1" applyBorder="1"/>
    <xf numFmtId="0" fontId="0" fillId="0" borderId="0" xfId="0" applyFill="1"/>
    <xf numFmtId="164" fontId="0" fillId="0" borderId="0" xfId="0" applyNumberFormat="1" applyFill="1"/>
    <xf numFmtId="0" fontId="5" fillId="0" borderId="0" xfId="0" applyFont="1" applyFill="1"/>
    <xf numFmtId="169" fontId="0" fillId="0" borderId="0" xfId="4" applyNumberFormat="1" applyFont="1" applyFill="1"/>
    <xf numFmtId="0" fontId="9" fillId="0" borderId="0" xfId="0" applyFont="1"/>
    <xf numFmtId="0" fontId="10" fillId="0" borderId="0" xfId="0" applyFont="1"/>
    <xf numFmtId="0" fontId="8" fillId="0" borderId="0" xfId="0" applyFont="1"/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1" xfId="0" applyFont="1" applyBorder="1"/>
    <xf numFmtId="0" fontId="9" fillId="0" borderId="12" xfId="0" applyFont="1" applyBorder="1"/>
    <xf numFmtId="0" fontId="9" fillId="0" borderId="1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164" fontId="9" fillId="0" borderId="15" xfId="0" applyNumberFormat="1" applyFont="1" applyBorder="1"/>
    <xf numFmtId="164" fontId="9" fillId="0" borderId="0" xfId="0" applyNumberFormat="1" applyFont="1" applyBorder="1"/>
    <xf numFmtId="167" fontId="9" fillId="0" borderId="0" xfId="0" applyNumberFormat="1" applyFont="1" applyBorder="1"/>
    <xf numFmtId="164" fontId="9" fillId="4" borderId="0" xfId="0" applyNumberFormat="1" applyFont="1" applyFill="1" applyBorder="1"/>
    <xf numFmtId="164" fontId="9" fillId="4" borderId="15" xfId="0" applyNumberFormat="1" applyFont="1" applyFill="1" applyBorder="1"/>
    <xf numFmtId="9" fontId="9" fillId="0" borderId="0" xfId="1" applyFont="1"/>
    <xf numFmtId="164" fontId="9" fillId="3" borderId="15" xfId="0" applyNumberFormat="1" applyFont="1" applyFill="1" applyBorder="1"/>
    <xf numFmtId="164" fontId="9" fillId="3" borderId="0" xfId="0" applyNumberFormat="1" applyFont="1" applyFill="1" applyBorder="1"/>
    <xf numFmtId="0" fontId="9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164" fontId="9" fillId="4" borderId="12" xfId="0" applyNumberFormat="1" applyFont="1" applyFill="1" applyBorder="1"/>
    <xf numFmtId="164" fontId="9" fillId="4" borderId="14" xfId="0" applyNumberFormat="1" applyFont="1" applyFill="1" applyBorder="1"/>
    <xf numFmtId="164" fontId="9" fillId="0" borderId="14" xfId="0" applyNumberFormat="1" applyFont="1" applyBorder="1"/>
    <xf numFmtId="0" fontId="9" fillId="0" borderId="14" xfId="0" applyFont="1" applyBorder="1"/>
    <xf numFmtId="0" fontId="9" fillId="0" borderId="25" xfId="0" applyFont="1" applyBorder="1"/>
    <xf numFmtId="0" fontId="9" fillId="0" borderId="21" xfId="0" applyFont="1" applyBorder="1"/>
    <xf numFmtId="0" fontId="9" fillId="4" borderId="20" xfId="5" applyFont="1" applyFill="1" applyBorder="1" applyAlignment="1">
      <alignment horizontal="left" vertical="center" wrapText="1"/>
    </xf>
    <xf numFmtId="0" fontId="9" fillId="3" borderId="3" xfId="0" applyFont="1" applyFill="1" applyBorder="1"/>
    <xf numFmtId="0" fontId="7" fillId="0" borderId="18" xfId="5" applyFont="1" applyBorder="1" applyAlignment="1">
      <alignment horizontal="left" vertical="center"/>
    </xf>
    <xf numFmtId="164" fontId="9" fillId="2" borderId="0" xfId="0" applyNumberFormat="1" applyFont="1" applyFill="1"/>
    <xf numFmtId="166" fontId="9" fillId="2" borderId="0" xfId="1" applyNumberFormat="1" applyFont="1" applyFill="1"/>
    <xf numFmtId="0" fontId="12" fillId="0" borderId="19" xfId="5" applyFont="1" applyBorder="1" applyAlignment="1">
      <alignment horizontal="left" vertical="center"/>
    </xf>
    <xf numFmtId="0" fontId="9" fillId="2" borderId="5" xfId="0" applyFont="1" applyFill="1" applyBorder="1"/>
    <xf numFmtId="0" fontId="13" fillId="0" borderId="18" xfId="0" applyFont="1" applyBorder="1" applyAlignment="1">
      <alignment horizontal="right"/>
    </xf>
    <xf numFmtId="0" fontId="9" fillId="3" borderId="2" xfId="0" applyFont="1" applyFill="1" applyBorder="1"/>
    <xf numFmtId="0" fontId="9" fillId="0" borderId="7" xfId="0" applyFont="1" applyFill="1" applyBorder="1"/>
    <xf numFmtId="0" fontId="9" fillId="4" borderId="8" xfId="5" applyFont="1" applyFill="1" applyBorder="1" applyAlignment="1">
      <alignment horizontal="left" vertical="center" wrapText="1"/>
    </xf>
    <xf numFmtId="166" fontId="9" fillId="4" borderId="8" xfId="1" applyNumberFormat="1" applyFont="1" applyFill="1" applyBorder="1"/>
    <xf numFmtId="164" fontId="0" fillId="0" borderId="0" xfId="0" applyNumberFormat="1"/>
  </cellXfs>
  <cellStyles count="6">
    <cellStyle name="Comma" xfId="4" builtinId="3"/>
    <cellStyle name="Currency" xfId="3" builtinId="4"/>
    <cellStyle name="Normal" xfId="0" builtinId="0"/>
    <cellStyle name="Normal 3" xfId="5" xr:uid="{00000000-0005-0000-0000-000003000000}"/>
    <cellStyle name="Normal 4" xfId="2" xr:uid="{00000000-0005-0000-0000-000004000000}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3"/>
  <sheetViews>
    <sheetView tabSelected="1" zoomScale="70" zoomScaleNormal="70" workbookViewId="0">
      <selection activeCell="C41" sqref="C41"/>
    </sheetView>
  </sheetViews>
  <sheetFormatPr defaultColWidth="9.109375" defaultRowHeight="14.4" x14ac:dyDescent="0.3"/>
  <cols>
    <col min="1" max="1" width="6.88671875" style="67" bestFit="1" customWidth="1"/>
    <col min="2" max="2" width="50.6640625" style="67" bestFit="1" customWidth="1"/>
    <col min="3" max="3" width="25.88671875" style="67" bestFit="1" customWidth="1"/>
    <col min="4" max="4" width="60.6640625" style="67" bestFit="1" customWidth="1"/>
    <col min="5" max="5" width="4.6640625" style="67" customWidth="1"/>
    <col min="6" max="6" width="9.109375" style="67"/>
    <col min="7" max="9" width="44" style="67" customWidth="1"/>
    <col min="10" max="10" width="4.6640625" style="67" customWidth="1"/>
    <col min="11" max="12" width="26.88671875" style="69" customWidth="1"/>
    <col min="13" max="16384" width="9.109375" style="67"/>
  </cols>
  <sheetData>
    <row r="1" spans="1:12" customFormat="1" ht="15" thickBot="1" x14ac:dyDescent="0.35">
      <c r="A1" s="108" t="s">
        <v>75</v>
      </c>
      <c r="B1" s="109" t="s">
        <v>76</v>
      </c>
      <c r="C1" s="66" t="s">
        <v>28</v>
      </c>
      <c r="D1" s="5"/>
      <c r="K1" s="58" t="s">
        <v>19</v>
      </c>
      <c r="L1" s="59"/>
    </row>
    <row r="2" spans="1:12" customFormat="1" ht="15" thickBot="1" x14ac:dyDescent="0.35">
      <c r="A2" s="9"/>
      <c r="B2" s="10"/>
      <c r="C2" s="10"/>
      <c r="D2" s="10"/>
      <c r="E2" s="10"/>
      <c r="F2" s="10"/>
      <c r="G2" s="10"/>
      <c r="H2" s="10"/>
      <c r="I2" s="10"/>
      <c r="K2" s="58"/>
      <c r="L2" s="59"/>
    </row>
    <row r="3" spans="1:12" customFormat="1" x14ac:dyDescent="0.3">
      <c r="A3" s="10"/>
      <c r="B3" s="11" t="s">
        <v>66</v>
      </c>
      <c r="C3" s="12"/>
      <c r="D3" s="13"/>
      <c r="E3" s="10"/>
      <c r="F3" s="14"/>
      <c r="G3" s="15" t="s">
        <v>50</v>
      </c>
      <c r="H3" s="12"/>
      <c r="I3" s="16"/>
      <c r="J3" s="2"/>
      <c r="K3" s="59" t="s">
        <v>18</v>
      </c>
      <c r="L3" s="59"/>
    </row>
    <row r="4" spans="1:12" customFormat="1" x14ac:dyDescent="0.3">
      <c r="A4" s="10"/>
      <c r="B4" s="17"/>
      <c r="C4" s="18"/>
      <c r="D4" s="19"/>
      <c r="E4" s="10"/>
      <c r="F4" s="17"/>
      <c r="G4" s="18" t="s">
        <v>72</v>
      </c>
      <c r="H4" s="18"/>
      <c r="I4" s="19"/>
      <c r="K4" s="60">
        <v>0</v>
      </c>
      <c r="L4" s="60">
        <v>0</v>
      </c>
    </row>
    <row r="5" spans="1:12" customFormat="1" x14ac:dyDescent="0.3">
      <c r="A5" s="10"/>
      <c r="B5" s="17" t="s">
        <v>71</v>
      </c>
      <c r="C5" s="20"/>
      <c r="D5" s="19"/>
      <c r="E5" s="10"/>
      <c r="F5" s="17"/>
      <c r="G5" s="18"/>
      <c r="H5" s="18"/>
      <c r="I5" s="19"/>
      <c r="K5" s="59"/>
      <c r="L5" s="59"/>
    </row>
    <row r="6" spans="1:12" customFormat="1" x14ac:dyDescent="0.3">
      <c r="A6" s="10"/>
      <c r="B6" s="17"/>
      <c r="C6" s="18"/>
      <c r="D6" s="19"/>
      <c r="E6" s="10"/>
      <c r="F6" s="21" t="s">
        <v>1</v>
      </c>
      <c r="G6" s="22" t="s">
        <v>69</v>
      </c>
      <c r="H6" s="22" t="s">
        <v>68</v>
      </c>
      <c r="I6" s="23" t="s">
        <v>70</v>
      </c>
      <c r="J6" s="1"/>
      <c r="K6" s="61" t="s">
        <v>9</v>
      </c>
      <c r="L6" s="61" t="s">
        <v>10</v>
      </c>
    </row>
    <row r="7" spans="1:12" customFormat="1" x14ac:dyDescent="0.3">
      <c r="A7" s="10"/>
      <c r="B7" s="24" t="s">
        <v>57</v>
      </c>
      <c r="C7" s="18"/>
      <c r="D7" s="25"/>
      <c r="E7" s="10"/>
      <c r="F7" s="17"/>
      <c r="G7" s="18"/>
      <c r="H7" s="18"/>
      <c r="I7" s="23"/>
      <c r="J7" s="1"/>
      <c r="K7" s="61"/>
      <c r="L7" s="59"/>
    </row>
    <row r="8" spans="1:12" customFormat="1" x14ac:dyDescent="0.3">
      <c r="A8" s="10"/>
      <c r="B8" s="17"/>
      <c r="C8" s="18"/>
      <c r="D8" s="26"/>
      <c r="E8" s="27"/>
      <c r="F8" s="28">
        <v>1</v>
      </c>
      <c r="G8" s="29">
        <v>1.4999999999999999E-2</v>
      </c>
      <c r="H8" s="30">
        <v>1.8E-3</v>
      </c>
      <c r="I8" s="31">
        <v>8.7999999999999995E-2</v>
      </c>
      <c r="J8" s="3"/>
      <c r="K8" s="62">
        <f t="shared" ref="K8:K39" si="0">H8*(1+$K$4)</f>
        <v>1.8E-3</v>
      </c>
      <c r="L8" s="63">
        <f t="shared" ref="L8:L39" si="1">I8*(1+$L$4)</f>
        <v>8.7999999999999995E-2</v>
      </c>
    </row>
    <row r="9" spans="1:12" customFormat="1" x14ac:dyDescent="0.3">
      <c r="A9" s="10"/>
      <c r="B9" s="17" t="s">
        <v>67</v>
      </c>
      <c r="C9" s="18"/>
      <c r="D9" s="26"/>
      <c r="E9" s="27"/>
      <c r="F9" s="28">
        <v>2</v>
      </c>
      <c r="G9" s="29">
        <v>1.5599999999999999E-2</v>
      </c>
      <c r="H9" s="30">
        <v>1.8E-3</v>
      </c>
      <c r="I9" s="31">
        <v>0.09</v>
      </c>
      <c r="J9" s="3"/>
      <c r="K9" s="62">
        <f t="shared" si="0"/>
        <v>1.8E-3</v>
      </c>
      <c r="L9" s="63">
        <f t="shared" si="1"/>
        <v>0.09</v>
      </c>
    </row>
    <row r="10" spans="1:12" customFormat="1" x14ac:dyDescent="0.3">
      <c r="A10" s="10"/>
      <c r="B10" s="32" t="s">
        <v>58</v>
      </c>
      <c r="C10" s="18"/>
      <c r="D10" s="26"/>
      <c r="E10" s="27"/>
      <c r="F10" s="28">
        <v>3</v>
      </c>
      <c r="G10" s="29">
        <v>1.6223999999999999E-2</v>
      </c>
      <c r="H10" s="30">
        <v>1.9E-3</v>
      </c>
      <c r="I10" s="31">
        <v>0.09</v>
      </c>
      <c r="J10" s="3"/>
      <c r="K10" s="62">
        <f t="shared" si="0"/>
        <v>1.9E-3</v>
      </c>
      <c r="L10" s="63">
        <f t="shared" si="1"/>
        <v>0.09</v>
      </c>
    </row>
    <row r="11" spans="1:12" customFormat="1" x14ac:dyDescent="0.3">
      <c r="A11" s="10"/>
      <c r="B11" s="32" t="s">
        <v>59</v>
      </c>
      <c r="C11" s="18"/>
      <c r="D11" s="26"/>
      <c r="E11" s="27"/>
      <c r="F11" s="28">
        <v>4</v>
      </c>
      <c r="G11" s="29">
        <v>1.6872959999999999E-2</v>
      </c>
      <c r="H11" s="30">
        <v>1.9E-3</v>
      </c>
      <c r="I11" s="31">
        <v>9.0999999999999998E-2</v>
      </c>
      <c r="J11" s="3"/>
      <c r="K11" s="62">
        <f t="shared" si="0"/>
        <v>1.9E-3</v>
      </c>
      <c r="L11" s="63">
        <f t="shared" si="1"/>
        <v>9.0999999999999998E-2</v>
      </c>
    </row>
    <row r="12" spans="1:12" customFormat="1" x14ac:dyDescent="0.3">
      <c r="A12" s="10"/>
      <c r="B12" s="32" t="s">
        <v>60</v>
      </c>
      <c r="C12" s="18"/>
      <c r="D12" s="26"/>
      <c r="E12" s="27"/>
      <c r="F12" s="28">
        <v>5</v>
      </c>
      <c r="G12" s="29">
        <v>1.7547878400000001E-2</v>
      </c>
      <c r="H12" s="30">
        <v>1.9E-3</v>
      </c>
      <c r="I12" s="31">
        <v>9.1999999999999998E-2</v>
      </c>
      <c r="J12" s="3"/>
      <c r="K12" s="62">
        <f t="shared" si="0"/>
        <v>1.9E-3</v>
      </c>
      <c r="L12" s="63">
        <f t="shared" si="1"/>
        <v>9.1999999999999998E-2</v>
      </c>
    </row>
    <row r="13" spans="1:12" customFormat="1" x14ac:dyDescent="0.3">
      <c r="A13" s="10"/>
      <c r="B13" s="32"/>
      <c r="C13" s="18"/>
      <c r="D13" s="26"/>
      <c r="E13" s="27"/>
      <c r="F13" s="28">
        <v>6</v>
      </c>
      <c r="G13" s="29">
        <v>1.8249793536000002E-2</v>
      </c>
      <c r="H13" s="30">
        <v>2E-3</v>
      </c>
      <c r="I13" s="31">
        <v>9.1999999999999998E-2</v>
      </c>
      <c r="J13" s="3"/>
      <c r="K13" s="62">
        <f t="shared" si="0"/>
        <v>2E-3</v>
      </c>
      <c r="L13" s="63">
        <f t="shared" si="1"/>
        <v>9.1999999999999998E-2</v>
      </c>
    </row>
    <row r="14" spans="1:12" customFormat="1" x14ac:dyDescent="0.3">
      <c r="A14" s="10"/>
      <c r="B14" s="24" t="s">
        <v>6</v>
      </c>
      <c r="C14" s="33"/>
      <c r="D14" s="26"/>
      <c r="E14" s="27"/>
      <c r="F14" s="28">
        <v>7</v>
      </c>
      <c r="G14" s="29">
        <v>1.8979785277440004E-2</v>
      </c>
      <c r="H14" s="30">
        <v>2E-3</v>
      </c>
      <c r="I14" s="31">
        <v>9.2999999999999999E-2</v>
      </c>
      <c r="J14" s="3"/>
      <c r="K14" s="62">
        <f t="shared" si="0"/>
        <v>2E-3</v>
      </c>
      <c r="L14" s="63">
        <f t="shared" si="1"/>
        <v>9.2999999999999999E-2</v>
      </c>
    </row>
    <row r="15" spans="1:12" customFormat="1" x14ac:dyDescent="0.3">
      <c r="A15" s="10"/>
      <c r="B15" s="17"/>
      <c r="C15" s="33"/>
      <c r="D15" s="26"/>
      <c r="E15" s="27"/>
      <c r="F15" s="28">
        <v>8</v>
      </c>
      <c r="G15" s="29">
        <v>1.9738976688537604E-2</v>
      </c>
      <c r="H15" s="30">
        <v>2.0999999999999999E-3</v>
      </c>
      <c r="I15" s="31">
        <v>9.4E-2</v>
      </c>
      <c r="J15" s="3"/>
      <c r="K15" s="62">
        <f t="shared" si="0"/>
        <v>2.0999999999999999E-3</v>
      </c>
      <c r="L15" s="63">
        <f t="shared" si="1"/>
        <v>9.4E-2</v>
      </c>
    </row>
    <row r="16" spans="1:12" customFormat="1" x14ac:dyDescent="0.3">
      <c r="A16" s="10"/>
      <c r="B16" s="17" t="s">
        <v>7</v>
      </c>
      <c r="C16" s="29">
        <v>0.03</v>
      </c>
      <c r="D16" s="26"/>
      <c r="E16" s="27"/>
      <c r="F16" s="28">
        <v>9</v>
      </c>
      <c r="G16" s="29">
        <v>2.052853575607911E-2</v>
      </c>
      <c r="H16" s="30">
        <v>2.0999999999999999E-3</v>
      </c>
      <c r="I16" s="31">
        <v>9.5000000000000001E-2</v>
      </c>
      <c r="J16" s="3"/>
      <c r="K16" s="62">
        <f t="shared" si="0"/>
        <v>2.0999999999999999E-3</v>
      </c>
      <c r="L16" s="63">
        <f t="shared" si="1"/>
        <v>9.5000000000000001E-2</v>
      </c>
    </row>
    <row r="17" spans="1:12" customFormat="1" x14ac:dyDescent="0.3">
      <c r="A17" s="10"/>
      <c r="B17" s="17"/>
      <c r="C17" s="33"/>
      <c r="D17" s="26"/>
      <c r="E17" s="27"/>
      <c r="F17" s="28">
        <v>10</v>
      </c>
      <c r="G17" s="29">
        <v>2.1349677186322275E-2</v>
      </c>
      <c r="H17" s="30">
        <v>2.0999999999999999E-3</v>
      </c>
      <c r="I17" s="31">
        <v>9.6000000000000002E-2</v>
      </c>
      <c r="J17" s="3"/>
      <c r="K17" s="62">
        <f t="shared" si="0"/>
        <v>2.0999999999999999E-3</v>
      </c>
      <c r="L17" s="63">
        <f t="shared" si="1"/>
        <v>9.6000000000000002E-2</v>
      </c>
    </row>
    <row r="18" spans="1:12" customFormat="1" x14ac:dyDescent="0.3">
      <c r="A18" s="10"/>
      <c r="B18" s="24" t="s">
        <v>4</v>
      </c>
      <c r="C18" s="18"/>
      <c r="D18" s="26"/>
      <c r="E18" s="27"/>
      <c r="F18" s="28">
        <v>11</v>
      </c>
      <c r="G18" s="29">
        <v>2.2203664273775167E-2</v>
      </c>
      <c r="H18" s="30">
        <v>2.2000000000000001E-3</v>
      </c>
      <c r="I18" s="31">
        <v>9.7000000000000003E-2</v>
      </c>
      <c r="J18" s="3"/>
      <c r="K18" s="62">
        <f t="shared" si="0"/>
        <v>2.2000000000000001E-3</v>
      </c>
      <c r="L18" s="63">
        <f t="shared" si="1"/>
        <v>9.7000000000000003E-2</v>
      </c>
    </row>
    <row r="19" spans="1:12" customFormat="1" x14ac:dyDescent="0.3">
      <c r="A19" s="10"/>
      <c r="B19" s="17"/>
      <c r="C19" s="18"/>
      <c r="D19" s="26"/>
      <c r="E19" s="27"/>
      <c r="F19" s="28">
        <v>12</v>
      </c>
      <c r="G19" s="29">
        <v>2.3091810844726175E-2</v>
      </c>
      <c r="H19" s="30">
        <v>2.2000000000000001E-3</v>
      </c>
      <c r="I19" s="31">
        <v>9.8000000000000004E-2</v>
      </c>
      <c r="J19" s="3"/>
      <c r="K19" s="62">
        <f t="shared" si="0"/>
        <v>2.2000000000000001E-3</v>
      </c>
      <c r="L19" s="63">
        <f t="shared" si="1"/>
        <v>9.8000000000000004E-2</v>
      </c>
    </row>
    <row r="20" spans="1:12" customFormat="1" x14ac:dyDescent="0.3">
      <c r="A20" s="10"/>
      <c r="B20" s="17" t="s">
        <v>5</v>
      </c>
      <c r="C20" s="29">
        <v>0.03</v>
      </c>
      <c r="D20" s="26"/>
      <c r="E20" s="27"/>
      <c r="F20" s="28">
        <v>13</v>
      </c>
      <c r="G20" s="29">
        <v>2.4015483278515222E-2</v>
      </c>
      <c r="H20" s="30">
        <v>2.3E-3</v>
      </c>
      <c r="I20" s="31">
        <v>9.9000000000000005E-2</v>
      </c>
      <c r="J20" s="3"/>
      <c r="K20" s="62">
        <f t="shared" si="0"/>
        <v>2.3E-3</v>
      </c>
      <c r="L20" s="63">
        <f t="shared" si="1"/>
        <v>9.9000000000000005E-2</v>
      </c>
    </row>
    <row r="21" spans="1:12" customFormat="1" x14ac:dyDescent="0.3">
      <c r="A21" s="10"/>
      <c r="B21" s="17" t="s">
        <v>8</v>
      </c>
      <c r="C21" s="29">
        <v>0.02</v>
      </c>
      <c r="D21" s="26"/>
      <c r="E21" s="27"/>
      <c r="F21" s="28">
        <v>14</v>
      </c>
      <c r="G21" s="29">
        <v>2.4976102609655833E-2</v>
      </c>
      <c r="H21" s="30">
        <v>2.3E-3</v>
      </c>
      <c r="I21" s="31">
        <v>0.1</v>
      </c>
      <c r="J21" s="3"/>
      <c r="K21" s="62">
        <f t="shared" si="0"/>
        <v>2.3E-3</v>
      </c>
      <c r="L21" s="63">
        <f t="shared" si="1"/>
        <v>0.1</v>
      </c>
    </row>
    <row r="22" spans="1:12" customFormat="1" x14ac:dyDescent="0.3">
      <c r="A22" s="10"/>
      <c r="B22" s="17"/>
      <c r="C22" s="18"/>
      <c r="D22" s="26"/>
      <c r="E22" s="27"/>
      <c r="F22" s="28">
        <v>15</v>
      </c>
      <c r="G22" s="29">
        <v>2.5975146714042066E-2</v>
      </c>
      <c r="H22" s="30">
        <v>2.3999999999999998E-3</v>
      </c>
      <c r="I22" s="31">
        <v>0.10100000000000001</v>
      </c>
      <c r="J22" s="3"/>
      <c r="K22" s="62">
        <f t="shared" si="0"/>
        <v>2.3999999999999998E-3</v>
      </c>
      <c r="L22" s="63">
        <f t="shared" si="1"/>
        <v>0.10100000000000001</v>
      </c>
    </row>
    <row r="23" spans="1:12" customFormat="1" x14ac:dyDescent="0.3">
      <c r="A23" s="10"/>
      <c r="B23" s="24" t="s">
        <v>3</v>
      </c>
      <c r="C23" s="18"/>
      <c r="D23" s="19"/>
      <c r="E23" s="27"/>
      <c r="F23" s="28">
        <v>16</v>
      </c>
      <c r="G23" s="29">
        <v>2.701415258260375E-2</v>
      </c>
      <c r="H23" s="30">
        <v>2.3999999999999998E-3</v>
      </c>
      <c r="I23" s="31">
        <v>0.10199999999999999</v>
      </c>
      <c r="J23" s="3"/>
      <c r="K23" s="62">
        <f t="shared" si="0"/>
        <v>2.3999999999999998E-3</v>
      </c>
      <c r="L23" s="63">
        <f t="shared" si="1"/>
        <v>0.10199999999999999</v>
      </c>
    </row>
    <row r="24" spans="1:12" customFormat="1" x14ac:dyDescent="0.3">
      <c r="A24" s="10"/>
      <c r="B24" s="17"/>
      <c r="C24" s="18"/>
      <c r="D24" s="19"/>
      <c r="E24" s="27"/>
      <c r="F24" s="28">
        <v>17</v>
      </c>
      <c r="G24" s="29">
        <v>2.8094718685907901E-2</v>
      </c>
      <c r="H24" s="30">
        <v>2.5000000000000001E-3</v>
      </c>
      <c r="I24" s="31">
        <v>0.10299999999999999</v>
      </c>
      <c r="J24" s="3"/>
      <c r="K24" s="62">
        <f t="shared" si="0"/>
        <v>2.5000000000000001E-3</v>
      </c>
      <c r="L24" s="63">
        <f t="shared" si="1"/>
        <v>0.10299999999999999</v>
      </c>
    </row>
    <row r="25" spans="1:12" customFormat="1" x14ac:dyDescent="0.3">
      <c r="A25" s="10"/>
      <c r="B25" s="17" t="s">
        <v>43</v>
      </c>
      <c r="C25" s="34">
        <v>18000000</v>
      </c>
      <c r="D25" s="19" t="s">
        <v>47</v>
      </c>
      <c r="E25" s="27"/>
      <c r="F25" s="28">
        <v>18</v>
      </c>
      <c r="G25" s="29">
        <v>2.9218507433344219E-2</v>
      </c>
      <c r="H25" s="30">
        <v>2.5000000000000001E-3</v>
      </c>
      <c r="I25" s="31">
        <v>0.104</v>
      </c>
      <c r="J25" s="3"/>
      <c r="K25" s="62">
        <f t="shared" si="0"/>
        <v>2.5000000000000001E-3</v>
      </c>
      <c r="L25" s="63">
        <f t="shared" si="1"/>
        <v>0.104</v>
      </c>
    </row>
    <row r="26" spans="1:12" customFormat="1" x14ac:dyDescent="0.3">
      <c r="A26" s="10"/>
      <c r="B26" s="17" t="s">
        <v>61</v>
      </c>
      <c r="C26" s="18"/>
      <c r="D26" s="19"/>
      <c r="E26" s="27"/>
      <c r="F26" s="28">
        <v>19</v>
      </c>
      <c r="G26" s="29">
        <v>3.038724773067799E-2</v>
      </c>
      <c r="H26" s="30">
        <v>2.5999999999999999E-3</v>
      </c>
      <c r="I26" s="31">
        <v>0.105</v>
      </c>
      <c r="J26" s="3"/>
      <c r="K26" s="62">
        <f t="shared" si="0"/>
        <v>2.5999999999999999E-3</v>
      </c>
      <c r="L26" s="63">
        <f t="shared" si="1"/>
        <v>0.105</v>
      </c>
    </row>
    <row r="27" spans="1:12" customFormat="1" x14ac:dyDescent="0.3">
      <c r="A27" s="10"/>
      <c r="B27" s="32"/>
      <c r="C27" s="18"/>
      <c r="D27" s="19"/>
      <c r="E27" s="27"/>
      <c r="F27" s="28">
        <v>20</v>
      </c>
      <c r="G27" s="29">
        <v>3.1602737639905107E-2</v>
      </c>
      <c r="H27" s="30">
        <v>2.5999999999999999E-3</v>
      </c>
      <c r="I27" s="31">
        <v>0.106</v>
      </c>
      <c r="J27" s="3"/>
      <c r="K27" s="62">
        <f t="shared" si="0"/>
        <v>2.5999999999999999E-3</v>
      </c>
      <c r="L27" s="63">
        <f t="shared" si="1"/>
        <v>0.106</v>
      </c>
    </row>
    <row r="28" spans="1:12" customFormat="1" x14ac:dyDescent="0.3">
      <c r="A28" s="10"/>
      <c r="B28" s="24" t="s">
        <v>49</v>
      </c>
      <c r="C28" s="18"/>
      <c r="D28" s="19"/>
      <c r="E28" s="27"/>
      <c r="F28" s="28">
        <v>21</v>
      </c>
      <c r="G28" s="29">
        <v>3.286684714550131E-2</v>
      </c>
      <c r="H28" s="30">
        <v>2.7000000000000001E-3</v>
      </c>
      <c r="I28" s="31">
        <v>0.107</v>
      </c>
      <c r="J28" s="3"/>
      <c r="K28" s="62">
        <f t="shared" si="0"/>
        <v>2.7000000000000001E-3</v>
      </c>
      <c r="L28" s="63">
        <f t="shared" si="1"/>
        <v>0.107</v>
      </c>
    </row>
    <row r="29" spans="1:12" customFormat="1" x14ac:dyDescent="0.3">
      <c r="A29" s="10"/>
      <c r="B29" s="17"/>
      <c r="C29" s="18"/>
      <c r="D29" s="19"/>
      <c r="E29" s="27"/>
      <c r="F29" s="28">
        <v>22</v>
      </c>
      <c r="G29" s="29">
        <v>3.4181521031321362E-2</v>
      </c>
      <c r="H29" s="30">
        <v>2.7000000000000001E-3</v>
      </c>
      <c r="I29" s="31">
        <v>0.108</v>
      </c>
      <c r="J29" s="3"/>
      <c r="K29" s="62">
        <f t="shared" si="0"/>
        <v>2.7000000000000001E-3</v>
      </c>
      <c r="L29" s="63">
        <f t="shared" si="1"/>
        <v>0.108</v>
      </c>
    </row>
    <row r="30" spans="1:12" customFormat="1" x14ac:dyDescent="0.3">
      <c r="A30" s="10"/>
      <c r="B30" s="17" t="s">
        <v>48</v>
      </c>
      <c r="C30" s="29">
        <v>0.05</v>
      </c>
      <c r="D30" s="19" t="s">
        <v>22</v>
      </c>
      <c r="E30" s="27"/>
      <c r="F30" s="28">
        <v>23</v>
      </c>
      <c r="G30" s="29">
        <v>3.5548781872574216E-2</v>
      </c>
      <c r="H30" s="30">
        <v>2.7000000000000001E-3</v>
      </c>
      <c r="I30" s="31">
        <v>0.11</v>
      </c>
      <c r="J30" s="3"/>
      <c r="K30" s="62">
        <f t="shared" si="0"/>
        <v>2.7000000000000001E-3</v>
      </c>
      <c r="L30" s="63">
        <f t="shared" si="1"/>
        <v>0.11</v>
      </c>
    </row>
    <row r="31" spans="1:12" customFormat="1" x14ac:dyDescent="0.3">
      <c r="A31" s="10"/>
      <c r="B31" s="32"/>
      <c r="C31" s="35"/>
      <c r="D31" s="19"/>
      <c r="E31" s="27"/>
      <c r="F31" s="28">
        <v>24</v>
      </c>
      <c r="G31" s="29">
        <v>3.6970733147477189E-2</v>
      </c>
      <c r="H31" s="30">
        <v>2.8E-3</v>
      </c>
      <c r="I31" s="31">
        <v>0.111</v>
      </c>
      <c r="J31" s="3"/>
      <c r="K31" s="62">
        <f t="shared" si="0"/>
        <v>2.8E-3</v>
      </c>
      <c r="L31" s="63">
        <f t="shared" si="1"/>
        <v>0.111</v>
      </c>
    </row>
    <row r="32" spans="1:12" customFormat="1" x14ac:dyDescent="0.3">
      <c r="A32" s="10"/>
      <c r="B32" s="24" t="s">
        <v>62</v>
      </c>
      <c r="C32" s="18"/>
      <c r="D32" s="19"/>
      <c r="E32" s="27"/>
      <c r="F32" s="28">
        <v>25</v>
      </c>
      <c r="G32" s="29">
        <v>3.8449562473376275E-2</v>
      </c>
      <c r="H32" s="30">
        <v>2.8999999999999998E-3</v>
      </c>
      <c r="I32" s="31">
        <v>0.112</v>
      </c>
      <c r="J32" s="3"/>
      <c r="K32" s="62">
        <f t="shared" si="0"/>
        <v>2.8999999999999998E-3</v>
      </c>
      <c r="L32" s="63">
        <f t="shared" si="1"/>
        <v>0.112</v>
      </c>
    </row>
    <row r="33" spans="1:12" customFormat="1" x14ac:dyDescent="0.3">
      <c r="A33" s="10"/>
      <c r="B33" s="32" t="s">
        <v>63</v>
      </c>
      <c r="C33" s="18"/>
      <c r="D33" s="25"/>
      <c r="E33" s="27"/>
      <c r="F33" s="28">
        <v>26</v>
      </c>
      <c r="G33" s="29">
        <v>3.9987544972311329E-2</v>
      </c>
      <c r="H33" s="30">
        <v>3.0000000000000001E-3</v>
      </c>
      <c r="I33" s="31">
        <v>0.113</v>
      </c>
      <c r="J33" s="3"/>
      <c r="K33" s="62">
        <f t="shared" si="0"/>
        <v>3.0000000000000001E-3</v>
      </c>
      <c r="L33" s="63">
        <f t="shared" si="1"/>
        <v>0.113</v>
      </c>
    </row>
    <row r="34" spans="1:12" customFormat="1" x14ac:dyDescent="0.3">
      <c r="A34" s="10"/>
      <c r="B34" s="17"/>
      <c r="C34" s="18"/>
      <c r="D34" s="25"/>
      <c r="E34" s="27"/>
      <c r="F34" s="28">
        <v>27</v>
      </c>
      <c r="G34" s="29">
        <v>4.1587046771203784E-2</v>
      </c>
      <c r="H34" s="30">
        <v>3.0000000000000001E-3</v>
      </c>
      <c r="I34" s="31">
        <v>0.114</v>
      </c>
      <c r="J34" s="3"/>
      <c r="K34" s="62">
        <f t="shared" si="0"/>
        <v>3.0000000000000001E-3</v>
      </c>
      <c r="L34" s="63">
        <f t="shared" si="1"/>
        <v>0.114</v>
      </c>
    </row>
    <row r="35" spans="1:12" customFormat="1" x14ac:dyDescent="0.3">
      <c r="A35" s="10"/>
      <c r="B35" s="32"/>
      <c r="C35" s="18"/>
      <c r="D35" s="25"/>
      <c r="E35" s="27"/>
      <c r="F35" s="28">
        <v>28</v>
      </c>
      <c r="G35" s="29">
        <v>4.3250528642051936E-2</v>
      </c>
      <c r="H35" s="30">
        <v>3.0999999999999999E-3</v>
      </c>
      <c r="I35" s="31">
        <v>0.115</v>
      </c>
      <c r="J35" s="3"/>
      <c r="K35" s="62">
        <f t="shared" si="0"/>
        <v>3.0999999999999999E-3</v>
      </c>
      <c r="L35" s="63">
        <f t="shared" si="1"/>
        <v>0.115</v>
      </c>
    </row>
    <row r="36" spans="1:12" customFormat="1" x14ac:dyDescent="0.3">
      <c r="A36" s="10"/>
      <c r="B36" s="36"/>
      <c r="C36" s="37"/>
      <c r="D36" s="38"/>
      <c r="E36" s="27"/>
      <c r="F36" s="28">
        <v>29</v>
      </c>
      <c r="G36" s="29">
        <v>4.4980549787734012E-2</v>
      </c>
      <c r="H36" s="30">
        <v>3.0999999999999999E-3</v>
      </c>
      <c r="I36" s="31">
        <v>0.11600000000000001</v>
      </c>
      <c r="J36" s="3"/>
      <c r="K36" s="62">
        <f t="shared" si="0"/>
        <v>3.0999999999999999E-3</v>
      </c>
      <c r="L36" s="63">
        <f t="shared" si="1"/>
        <v>0.11600000000000001</v>
      </c>
    </row>
    <row r="37" spans="1:12" customFormat="1" x14ac:dyDescent="0.3">
      <c r="A37" s="10"/>
      <c r="B37" s="24" t="s">
        <v>29</v>
      </c>
      <c r="C37" s="18"/>
      <c r="D37" s="19"/>
      <c r="E37" s="27"/>
      <c r="F37" s="28">
        <v>30</v>
      </c>
      <c r="G37" s="29">
        <v>4.6779771779243376E-2</v>
      </c>
      <c r="H37" s="30">
        <v>3.2000000000000002E-3</v>
      </c>
      <c r="I37" s="31">
        <v>0.11700000000000001</v>
      </c>
      <c r="J37" s="3"/>
      <c r="K37" s="62">
        <f t="shared" si="0"/>
        <v>3.2000000000000002E-3</v>
      </c>
      <c r="L37" s="63">
        <f t="shared" si="1"/>
        <v>0.11700000000000001</v>
      </c>
    </row>
    <row r="38" spans="1:12" customFormat="1" x14ac:dyDescent="0.3">
      <c r="A38" s="10"/>
      <c r="B38" s="17"/>
      <c r="C38" s="18"/>
      <c r="D38" s="19"/>
      <c r="E38" s="27"/>
      <c r="F38" s="28">
        <f>F37+1</f>
        <v>31</v>
      </c>
      <c r="G38" s="29">
        <v>4.8650962650413111E-2</v>
      </c>
      <c r="H38" s="30">
        <v>3.3E-3</v>
      </c>
      <c r="I38" s="31">
        <v>0.11899999999999999</v>
      </c>
      <c r="K38" s="62">
        <f t="shared" si="0"/>
        <v>3.3E-3</v>
      </c>
      <c r="L38" s="63">
        <f t="shared" si="1"/>
        <v>0.11899999999999999</v>
      </c>
    </row>
    <row r="39" spans="1:12" customFormat="1" x14ac:dyDescent="0.3">
      <c r="A39" s="10"/>
      <c r="B39" s="17" t="s">
        <v>51</v>
      </c>
      <c r="C39" s="18"/>
      <c r="D39" s="19"/>
      <c r="E39" s="27"/>
      <c r="F39" s="28">
        <f t="shared" ref="F39:F58" si="2">F38+1</f>
        <v>32</v>
      </c>
      <c r="G39" s="29">
        <v>5.0597001156429636E-2</v>
      </c>
      <c r="H39" s="30">
        <v>3.3E-3</v>
      </c>
      <c r="I39" s="31">
        <v>0.12</v>
      </c>
      <c r="K39" s="62">
        <f t="shared" si="0"/>
        <v>3.3E-3</v>
      </c>
      <c r="L39" s="63">
        <f t="shared" si="1"/>
        <v>0.12</v>
      </c>
    </row>
    <row r="40" spans="1:12" customFormat="1" x14ac:dyDescent="0.3">
      <c r="A40" s="10"/>
      <c r="B40" s="32" t="s">
        <v>20</v>
      </c>
      <c r="C40" s="39">
        <v>0.7</v>
      </c>
      <c r="D40" s="19" t="s">
        <v>22</v>
      </c>
      <c r="E40" s="27"/>
      <c r="F40" s="28">
        <f t="shared" si="2"/>
        <v>33</v>
      </c>
      <c r="G40" s="29">
        <v>5.262088120268682E-2</v>
      </c>
      <c r="H40" s="30">
        <v>3.3E-3</v>
      </c>
      <c r="I40" s="31">
        <v>0.121</v>
      </c>
      <c r="K40" s="62">
        <f t="shared" ref="K40:K57" si="3">H40*(1+$K$4)</f>
        <v>3.3E-3</v>
      </c>
      <c r="L40" s="63">
        <f t="shared" ref="L40:L57" si="4">I40*(1+$L$4)</f>
        <v>0.121</v>
      </c>
    </row>
    <row r="41" spans="1:12" customFormat="1" x14ac:dyDescent="0.3">
      <c r="A41" s="10"/>
      <c r="B41" s="32" t="s">
        <v>21</v>
      </c>
      <c r="C41" s="39">
        <v>0.9</v>
      </c>
      <c r="D41" s="19" t="s">
        <v>23</v>
      </c>
      <c r="E41" s="27"/>
      <c r="F41" s="28">
        <f t="shared" si="2"/>
        <v>34</v>
      </c>
      <c r="G41" s="29">
        <v>5.4725716450794291E-2</v>
      </c>
      <c r="H41" s="30">
        <v>3.5000000000000001E-3</v>
      </c>
      <c r="I41" s="31">
        <v>0.122</v>
      </c>
      <c r="K41" s="62">
        <f t="shared" si="3"/>
        <v>3.5000000000000001E-3</v>
      </c>
      <c r="L41" s="63">
        <f t="shared" si="4"/>
        <v>0.122</v>
      </c>
    </row>
    <row r="42" spans="1:12" customFormat="1" x14ac:dyDescent="0.3">
      <c r="A42" s="10"/>
      <c r="B42" s="17"/>
      <c r="C42" s="18"/>
      <c r="D42" s="19"/>
      <c r="E42" s="27"/>
      <c r="F42" s="28">
        <f t="shared" si="2"/>
        <v>35</v>
      </c>
      <c r="G42" s="29">
        <v>5.6914745108826062E-2</v>
      </c>
      <c r="H42" s="30">
        <v>3.5000000000000001E-3</v>
      </c>
      <c r="I42" s="31">
        <v>0.123</v>
      </c>
      <c r="K42" s="62">
        <f t="shared" si="3"/>
        <v>3.5000000000000001E-3</v>
      </c>
      <c r="L42" s="63">
        <f t="shared" si="4"/>
        <v>0.123</v>
      </c>
    </row>
    <row r="43" spans="1:12" customFormat="1" x14ac:dyDescent="0.3">
      <c r="A43" s="10"/>
      <c r="B43" s="17" t="s">
        <v>52</v>
      </c>
      <c r="C43" s="18"/>
      <c r="D43" s="19"/>
      <c r="E43" s="27"/>
      <c r="F43" s="28">
        <f t="shared" si="2"/>
        <v>36</v>
      </c>
      <c r="G43" s="29">
        <v>5.9191334913179107E-2</v>
      </c>
      <c r="H43" s="30">
        <v>3.5999999999999999E-3</v>
      </c>
      <c r="I43" s="31">
        <v>0.125</v>
      </c>
      <c r="K43" s="62">
        <f t="shared" si="3"/>
        <v>3.5999999999999999E-3</v>
      </c>
      <c r="L43" s="63">
        <f t="shared" si="4"/>
        <v>0.125</v>
      </c>
    </row>
    <row r="44" spans="1:12" customFormat="1" x14ac:dyDescent="0.3">
      <c r="A44" s="10"/>
      <c r="B44" s="32" t="s">
        <v>20</v>
      </c>
      <c r="C44" s="29">
        <v>0.33</v>
      </c>
      <c r="D44" s="19" t="s">
        <v>22</v>
      </c>
      <c r="E44" s="27"/>
      <c r="F44" s="28">
        <f t="shared" si="2"/>
        <v>37</v>
      </c>
      <c r="G44" s="29">
        <v>6.1558988309706276E-2</v>
      </c>
      <c r="H44" s="30">
        <v>3.7000000000000002E-3</v>
      </c>
      <c r="I44" s="31">
        <v>0.126</v>
      </c>
      <c r="K44" s="62">
        <f t="shared" si="3"/>
        <v>3.7000000000000002E-3</v>
      </c>
      <c r="L44" s="63">
        <f t="shared" si="4"/>
        <v>0.126</v>
      </c>
    </row>
    <row r="45" spans="1:12" customFormat="1" x14ac:dyDescent="0.3">
      <c r="A45" s="10"/>
      <c r="B45" s="32" t="s">
        <v>21</v>
      </c>
      <c r="C45" s="29">
        <v>0.35</v>
      </c>
      <c r="D45" s="19" t="s">
        <v>23</v>
      </c>
      <c r="E45" s="27"/>
      <c r="F45" s="28">
        <f t="shared" si="2"/>
        <v>38</v>
      </c>
      <c r="G45" s="29">
        <v>6.4021347842094525E-2</v>
      </c>
      <c r="H45" s="30">
        <v>3.7000000000000002E-3</v>
      </c>
      <c r="I45" s="31">
        <v>0.127</v>
      </c>
      <c r="K45" s="62">
        <f t="shared" si="3"/>
        <v>3.7000000000000002E-3</v>
      </c>
      <c r="L45" s="63">
        <f t="shared" si="4"/>
        <v>0.127</v>
      </c>
    </row>
    <row r="46" spans="1:12" customFormat="1" x14ac:dyDescent="0.3">
      <c r="A46" s="10"/>
      <c r="B46" s="17"/>
      <c r="C46" s="18"/>
      <c r="D46" s="19"/>
      <c r="E46" s="27"/>
      <c r="F46" s="28">
        <f t="shared" si="2"/>
        <v>39</v>
      </c>
      <c r="G46" s="29">
        <v>6.6582201755778309E-2</v>
      </c>
      <c r="H46" s="30">
        <v>3.8E-3</v>
      </c>
      <c r="I46" s="31">
        <v>0.128</v>
      </c>
      <c r="K46" s="62">
        <f t="shared" si="3"/>
        <v>3.8E-3</v>
      </c>
      <c r="L46" s="63">
        <f t="shared" si="4"/>
        <v>0.128</v>
      </c>
    </row>
    <row r="47" spans="1:12" customFormat="1" x14ac:dyDescent="0.3">
      <c r="A47" s="10"/>
      <c r="B47" s="17" t="s">
        <v>73</v>
      </c>
      <c r="C47" s="34">
        <v>215000000</v>
      </c>
      <c r="D47" s="19" t="s">
        <v>54</v>
      </c>
      <c r="E47" s="27"/>
      <c r="F47" s="28">
        <f>F46+1</f>
        <v>40</v>
      </c>
      <c r="G47" s="29">
        <v>6.9245489826009449E-2</v>
      </c>
      <c r="H47" s="30">
        <v>3.8999999999999998E-3</v>
      </c>
      <c r="I47" s="31">
        <v>0.13</v>
      </c>
      <c r="K47" s="62">
        <f t="shared" si="3"/>
        <v>3.8999999999999998E-3</v>
      </c>
      <c r="L47" s="63">
        <f t="shared" si="4"/>
        <v>0.13</v>
      </c>
    </row>
    <row r="48" spans="1:12" customFormat="1" x14ac:dyDescent="0.3">
      <c r="A48" s="10"/>
      <c r="B48" s="17"/>
      <c r="C48" s="40"/>
      <c r="D48" s="19"/>
      <c r="E48" s="27"/>
      <c r="F48" s="28">
        <f t="shared" si="2"/>
        <v>41</v>
      </c>
      <c r="G48" s="29">
        <v>7.2015309419049822E-2</v>
      </c>
      <c r="H48" s="30">
        <v>3.8999999999999998E-3</v>
      </c>
      <c r="I48" s="31">
        <v>0.13100000000000001</v>
      </c>
      <c r="K48" s="62">
        <f t="shared" si="3"/>
        <v>3.8999999999999998E-3</v>
      </c>
      <c r="L48" s="63">
        <f t="shared" si="4"/>
        <v>0.13100000000000001</v>
      </c>
    </row>
    <row r="49" spans="1:12" customFormat="1" x14ac:dyDescent="0.3">
      <c r="A49" s="10"/>
      <c r="B49" s="17"/>
      <c r="C49" s="40"/>
      <c r="D49" s="19"/>
      <c r="E49" s="27"/>
      <c r="F49" s="28">
        <f t="shared" si="2"/>
        <v>42</v>
      </c>
      <c r="G49" s="29">
        <v>7.4895921795811823E-2</v>
      </c>
      <c r="H49" s="30">
        <v>4.1000000000000003E-3</v>
      </c>
      <c r="I49" s="31">
        <v>0.13200000000000001</v>
      </c>
      <c r="K49" s="62">
        <f t="shared" si="3"/>
        <v>4.1000000000000003E-3</v>
      </c>
      <c r="L49" s="63">
        <f t="shared" si="4"/>
        <v>0.13200000000000001</v>
      </c>
    </row>
    <row r="50" spans="1:12" customFormat="1" x14ac:dyDescent="0.3">
      <c r="A50" s="10"/>
      <c r="B50" s="36"/>
      <c r="C50" s="37"/>
      <c r="D50" s="41"/>
      <c r="E50" s="27"/>
      <c r="F50" s="28">
        <f t="shared" si="2"/>
        <v>43</v>
      </c>
      <c r="G50" s="29">
        <v>7.7891758667644292E-2</v>
      </c>
      <c r="H50" s="30">
        <v>4.1000000000000003E-3</v>
      </c>
      <c r="I50" s="31">
        <v>0.13400000000000001</v>
      </c>
      <c r="K50" s="62">
        <f t="shared" si="3"/>
        <v>4.1000000000000003E-3</v>
      </c>
      <c r="L50" s="63">
        <f t="shared" si="4"/>
        <v>0.13400000000000001</v>
      </c>
    </row>
    <row r="51" spans="1:12" customFormat="1" x14ac:dyDescent="0.3">
      <c r="A51" s="10"/>
      <c r="B51" s="42" t="s">
        <v>64</v>
      </c>
      <c r="C51" s="43"/>
      <c r="D51" s="44"/>
      <c r="E51" s="27"/>
      <c r="F51" s="28">
        <f>F50+1</f>
        <v>44</v>
      </c>
      <c r="G51" s="29">
        <v>8.1007429014350069E-2</v>
      </c>
      <c r="H51" s="30">
        <v>4.1999999999999997E-3</v>
      </c>
      <c r="I51" s="31">
        <v>0.13500000000000001</v>
      </c>
      <c r="K51" s="62">
        <f t="shared" si="3"/>
        <v>4.1999999999999997E-3</v>
      </c>
      <c r="L51" s="63">
        <f t="shared" si="4"/>
        <v>0.13500000000000001</v>
      </c>
    </row>
    <row r="52" spans="1:12" customFormat="1" x14ac:dyDescent="0.3">
      <c r="A52" s="10"/>
      <c r="B52" s="17"/>
      <c r="C52" s="18"/>
      <c r="D52" s="19"/>
      <c r="E52" s="27"/>
      <c r="F52" s="28">
        <f t="shared" si="2"/>
        <v>45</v>
      </c>
      <c r="G52" s="29">
        <v>8.424772617492407E-2</v>
      </c>
      <c r="H52" s="30">
        <v>4.3E-3</v>
      </c>
      <c r="I52" s="31">
        <v>0.13600000000000001</v>
      </c>
      <c r="K52" s="62">
        <f t="shared" si="3"/>
        <v>4.3E-3</v>
      </c>
      <c r="L52" s="63">
        <f t="shared" si="4"/>
        <v>0.13600000000000001</v>
      </c>
    </row>
    <row r="53" spans="1:12" customFormat="1" x14ac:dyDescent="0.3">
      <c r="A53" s="10"/>
      <c r="B53" s="45" t="s">
        <v>74</v>
      </c>
      <c r="C53" s="46">
        <f>C54-C55</f>
        <v>-10000000</v>
      </c>
      <c r="D53" s="19"/>
      <c r="E53" s="27"/>
      <c r="F53" s="28">
        <f t="shared" si="2"/>
        <v>46</v>
      </c>
      <c r="G53" s="29">
        <v>8.7617635221921036E-2</v>
      </c>
      <c r="H53" s="30">
        <v>4.4000000000000003E-3</v>
      </c>
      <c r="I53" s="31">
        <v>0.13800000000000001</v>
      </c>
      <c r="K53" s="62">
        <f t="shared" si="3"/>
        <v>4.4000000000000003E-3</v>
      </c>
      <c r="L53" s="63">
        <f t="shared" si="4"/>
        <v>0.13800000000000001</v>
      </c>
    </row>
    <row r="54" spans="1:12" customFormat="1" x14ac:dyDescent="0.3">
      <c r="A54" s="10"/>
      <c r="B54" s="47" t="s">
        <v>24</v>
      </c>
      <c r="C54" s="34">
        <v>0</v>
      </c>
      <c r="D54" s="19"/>
      <c r="E54" s="10"/>
      <c r="F54" s="28">
        <f t="shared" si="2"/>
        <v>47</v>
      </c>
      <c r="G54" s="29">
        <v>9.1122340630797882E-2</v>
      </c>
      <c r="H54" s="30">
        <v>4.4999999999999997E-3</v>
      </c>
      <c r="I54" s="31">
        <v>0.13900000000000001</v>
      </c>
      <c r="K54" s="62">
        <f t="shared" si="3"/>
        <v>4.4999999999999997E-3</v>
      </c>
      <c r="L54" s="63">
        <f t="shared" si="4"/>
        <v>0.13900000000000001</v>
      </c>
    </row>
    <row r="55" spans="1:12" customFormat="1" x14ac:dyDescent="0.3">
      <c r="A55" s="10"/>
      <c r="B55" s="47" t="s">
        <v>25</v>
      </c>
      <c r="C55" s="34">
        <v>10000000</v>
      </c>
      <c r="D55" s="19"/>
      <c r="E55" s="10"/>
      <c r="F55" s="28">
        <f t="shared" si="2"/>
        <v>48</v>
      </c>
      <c r="G55" s="29">
        <v>9.47672342560298E-2</v>
      </c>
      <c r="H55" s="30">
        <v>4.4999999999999997E-3</v>
      </c>
      <c r="I55" s="31">
        <v>0.14000000000000001</v>
      </c>
      <c r="K55" s="62">
        <f t="shared" si="3"/>
        <v>4.4999999999999997E-3</v>
      </c>
      <c r="L55" s="63">
        <f t="shared" si="4"/>
        <v>0.14000000000000001</v>
      </c>
    </row>
    <row r="56" spans="1:12" customFormat="1" x14ac:dyDescent="0.3">
      <c r="A56" s="10"/>
      <c r="B56" s="17"/>
      <c r="C56" s="18"/>
      <c r="D56" s="19"/>
      <c r="E56" s="10"/>
      <c r="F56" s="28">
        <f t="shared" si="2"/>
        <v>49</v>
      </c>
      <c r="G56" s="29">
        <v>9.8557923626270999E-2</v>
      </c>
      <c r="H56" s="30">
        <v>4.7000000000000002E-3</v>
      </c>
      <c r="I56" s="31">
        <v>0.14199999999999999</v>
      </c>
      <c r="K56" s="62">
        <f t="shared" si="3"/>
        <v>4.7000000000000002E-3</v>
      </c>
      <c r="L56" s="63">
        <f t="shared" si="4"/>
        <v>0.14199999999999999</v>
      </c>
    </row>
    <row r="57" spans="1:12" s="6" customFormat="1" x14ac:dyDescent="0.3">
      <c r="A57" s="18"/>
      <c r="B57" s="17"/>
      <c r="C57" s="18"/>
      <c r="D57" s="19"/>
      <c r="E57" s="18"/>
      <c r="F57" s="28">
        <f t="shared" si="2"/>
        <v>50</v>
      </c>
      <c r="G57" s="29">
        <v>0.10250024057132184</v>
      </c>
      <c r="H57" s="30">
        <v>4.7000000000000002E-3</v>
      </c>
      <c r="I57" s="31">
        <v>0.14299999999999999</v>
      </c>
      <c r="K57" s="64">
        <f t="shared" si="3"/>
        <v>4.7000000000000002E-3</v>
      </c>
      <c r="L57" s="65">
        <f t="shared" si="4"/>
        <v>0.14299999999999999</v>
      </c>
    </row>
    <row r="58" spans="1:12" s="6" customFormat="1" ht="15" thickBot="1" x14ac:dyDescent="0.35">
      <c r="A58" s="18"/>
      <c r="B58" s="48"/>
      <c r="C58" s="49"/>
      <c r="D58" s="50"/>
      <c r="E58" s="18"/>
      <c r="F58" s="51">
        <f t="shared" si="2"/>
        <v>51</v>
      </c>
      <c r="G58" s="52">
        <v>0.10660025019417473</v>
      </c>
      <c r="H58" s="53">
        <v>4.7000000000000002E-3</v>
      </c>
      <c r="I58" s="54">
        <v>0.14299999999999999</v>
      </c>
      <c r="K58" s="64">
        <f t="shared" ref="K58" si="5">H58*(1+$K$4)</f>
        <v>4.7000000000000002E-3</v>
      </c>
      <c r="L58" s="65">
        <f t="shared" ref="L58" si="6">I58*(1+$L$4)</f>
        <v>0.14299999999999999</v>
      </c>
    </row>
    <row r="59" spans="1:12" customFormat="1" x14ac:dyDescent="0.3">
      <c r="A59" s="10"/>
      <c r="B59" s="55"/>
      <c r="C59" s="55"/>
      <c r="D59" s="55"/>
      <c r="E59" s="10"/>
      <c r="F59" s="10"/>
      <c r="G59" s="10"/>
      <c r="H59" s="10"/>
      <c r="I59" s="10"/>
      <c r="K59" s="69"/>
      <c r="L59" s="69"/>
    </row>
    <row r="60" spans="1:12" x14ac:dyDescent="0.3">
      <c r="B60" s="68"/>
      <c r="C60" s="68"/>
      <c r="D60" s="68"/>
    </row>
    <row r="61" spans="1:12" x14ac:dyDescent="0.3">
      <c r="B61" s="68"/>
    </row>
    <row r="62" spans="1:12" x14ac:dyDescent="0.3">
      <c r="B62" s="68"/>
      <c r="C62" s="70"/>
    </row>
    <row r="63" spans="1:12" x14ac:dyDescent="0.3">
      <c r="B63" s="68"/>
      <c r="C63" s="70"/>
      <c r="D63" s="68"/>
    </row>
    <row r="64" spans="1:12" x14ac:dyDescent="0.3">
      <c r="B64" s="68"/>
      <c r="D64" s="68"/>
    </row>
    <row r="65" spans="2:4" x14ac:dyDescent="0.3">
      <c r="B65" s="68"/>
      <c r="D65" s="68"/>
    </row>
    <row r="67" spans="2:4" x14ac:dyDescent="0.3">
      <c r="B67" s="68"/>
      <c r="D67" s="68"/>
    </row>
    <row r="68" spans="2:4" x14ac:dyDescent="0.3">
      <c r="B68" s="68"/>
      <c r="D68" s="68"/>
    </row>
    <row r="69" spans="2:4" x14ac:dyDescent="0.3">
      <c r="B69" s="68"/>
      <c r="D69" s="68"/>
    </row>
    <row r="71" spans="2:4" x14ac:dyDescent="0.3">
      <c r="B71" s="68"/>
      <c r="D71" s="68"/>
    </row>
    <row r="72" spans="2:4" x14ac:dyDescent="0.3">
      <c r="B72" s="68"/>
      <c r="D72" s="68"/>
    </row>
    <row r="73" spans="2:4" x14ac:dyDescent="0.3">
      <c r="B73" s="68"/>
      <c r="D73" s="6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65"/>
  <sheetViews>
    <sheetView zoomScale="55" zoomScaleNormal="55" workbookViewId="0"/>
  </sheetViews>
  <sheetFormatPr defaultRowHeight="14.4" x14ac:dyDescent="0.3"/>
  <cols>
    <col min="2" max="2" width="30.33203125" customWidth="1"/>
    <col min="3" max="3" width="16.6640625" customWidth="1"/>
    <col min="4" max="4" width="28.6640625" bestFit="1" customWidth="1"/>
    <col min="5" max="21" width="16.6640625" customWidth="1"/>
    <col min="23" max="23" width="17.33203125" bestFit="1" customWidth="1"/>
    <col min="24" max="24" width="24.109375" customWidth="1"/>
  </cols>
  <sheetData>
    <row r="1" spans="1:24" ht="27.6" x14ac:dyDescent="0.3">
      <c r="A1" s="106" t="s">
        <v>75</v>
      </c>
      <c r="B1" s="101" t="s">
        <v>77</v>
      </c>
    </row>
    <row r="2" spans="1:24" x14ac:dyDescent="0.3">
      <c r="A2" s="100"/>
      <c r="B2" s="102" t="s">
        <v>76</v>
      </c>
    </row>
    <row r="3" spans="1:24" ht="15" thickBot="1" x14ac:dyDescent="0.35">
      <c r="A3" s="99"/>
      <c r="B3" s="107" t="s">
        <v>28</v>
      </c>
    </row>
    <row r="4" spans="1:24" ht="17.399999999999999" x14ac:dyDescent="0.3">
      <c r="A4" s="71"/>
      <c r="B4" s="72" t="s">
        <v>56</v>
      </c>
      <c r="C4" s="73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</row>
    <row r="5" spans="1:24" x14ac:dyDescent="0.3">
      <c r="A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</row>
    <row r="6" spans="1:24" x14ac:dyDescent="0.3">
      <c r="A6" s="71"/>
      <c r="B6" s="110" t="s">
        <v>78</v>
      </c>
      <c r="C6" s="111" t="s">
        <v>27</v>
      </c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4" t="s">
        <v>42</v>
      </c>
      <c r="U6" s="112">
        <f>T10/L10</f>
        <v>0.11810687703223999</v>
      </c>
    </row>
    <row r="7" spans="1:24" x14ac:dyDescent="0.3">
      <c r="A7" s="71"/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</row>
    <row r="8" spans="1:24" ht="57.6" customHeight="1" x14ac:dyDescent="0.3">
      <c r="A8" s="71"/>
      <c r="B8" s="75" t="s">
        <v>32</v>
      </c>
      <c r="C8" s="76" t="s">
        <v>33</v>
      </c>
      <c r="D8" s="77" t="s">
        <v>34</v>
      </c>
      <c r="E8" s="78" t="s">
        <v>35</v>
      </c>
      <c r="F8" s="78" t="s">
        <v>43</v>
      </c>
      <c r="G8" s="78" t="s">
        <v>44</v>
      </c>
      <c r="H8" s="78" t="s">
        <v>36</v>
      </c>
      <c r="I8" s="78" t="s">
        <v>11</v>
      </c>
      <c r="J8" s="78" t="s">
        <v>53</v>
      </c>
      <c r="K8" s="77" t="s">
        <v>12</v>
      </c>
      <c r="L8" s="78" t="s">
        <v>37</v>
      </c>
      <c r="M8" s="78" t="s">
        <v>45</v>
      </c>
      <c r="N8" s="78" t="s">
        <v>46</v>
      </c>
      <c r="O8" s="78" t="s">
        <v>38</v>
      </c>
      <c r="P8" s="78" t="s">
        <v>30</v>
      </c>
      <c r="Q8" s="78" t="s">
        <v>55</v>
      </c>
      <c r="R8" s="77" t="s">
        <v>31</v>
      </c>
      <c r="S8" s="78" t="s">
        <v>39</v>
      </c>
      <c r="T8" s="78" t="s">
        <v>40</v>
      </c>
      <c r="U8" s="77" t="s">
        <v>41</v>
      </c>
    </row>
    <row r="9" spans="1:24" x14ac:dyDescent="0.3">
      <c r="A9" s="71"/>
      <c r="B9" s="79"/>
      <c r="C9" s="80"/>
      <c r="D9" s="81" t="s">
        <v>2</v>
      </c>
      <c r="E9" s="82" t="s">
        <v>2</v>
      </c>
      <c r="F9" s="82" t="s">
        <v>2</v>
      </c>
      <c r="G9" s="82" t="s">
        <v>2</v>
      </c>
      <c r="H9" s="82" t="s">
        <v>0</v>
      </c>
      <c r="I9" s="82" t="s">
        <v>2</v>
      </c>
      <c r="J9" s="82" t="s">
        <v>2</v>
      </c>
      <c r="K9" s="81" t="s">
        <v>0</v>
      </c>
      <c r="L9" s="82" t="s">
        <v>0</v>
      </c>
      <c r="M9" s="82" t="s">
        <v>0</v>
      </c>
      <c r="N9" s="82" t="s">
        <v>0</v>
      </c>
      <c r="O9" s="82" t="s">
        <v>0</v>
      </c>
      <c r="P9" s="82" t="s">
        <v>0</v>
      </c>
      <c r="Q9" s="82" t="s">
        <v>0</v>
      </c>
      <c r="R9" s="81" t="s">
        <v>0</v>
      </c>
      <c r="S9" s="82" t="s">
        <v>0</v>
      </c>
      <c r="T9" s="82" t="s">
        <v>0</v>
      </c>
      <c r="U9" s="81" t="s">
        <v>0</v>
      </c>
    </row>
    <row r="10" spans="1:24" x14ac:dyDescent="0.3">
      <c r="A10" s="71"/>
      <c r="B10" s="83">
        <v>2019</v>
      </c>
      <c r="C10" s="84">
        <v>0</v>
      </c>
      <c r="D10" s="85"/>
      <c r="E10" s="86"/>
      <c r="F10" s="86"/>
      <c r="G10" s="86"/>
      <c r="H10" s="87"/>
      <c r="I10" s="86"/>
      <c r="J10" s="86"/>
      <c r="K10" s="85"/>
      <c r="L10" s="88">
        <f>NPV('Key Information'!$C$16,E11:E$61)*(1+'Key Information'!$C$16)</f>
        <v>2269332858.5938993</v>
      </c>
      <c r="M10" s="88">
        <f>NPV('Key Information'!$C$16,F11:F$61)*(1+'Key Information'!$C$16)</f>
        <v>183033737.88677853</v>
      </c>
      <c r="N10" s="88">
        <f>NPV('Key Information'!$C$16,G11:G$61)*(1+'Key Information'!$C$16)</f>
        <v>113466642.92969503</v>
      </c>
      <c r="O10" s="88">
        <f>NPV('Key Information'!$C$16,H11:H$61)</f>
        <v>1062756598.8652525</v>
      </c>
      <c r="P10" s="88">
        <f>NPV('Key Information'!$C$16,I11:I$61)*(1+'Key Information'!$C$16)</f>
        <v>1588533001.0157294</v>
      </c>
      <c r="Q10" s="88">
        <f>NPV('Key Information'!$C$16,J11:J$61)*(1+'Key Information'!$C$16)</f>
        <v>0</v>
      </c>
      <c r="R10" s="89">
        <f>NPV('Key Information'!$C$16,K11:K$61)</f>
        <v>956480938.9787277</v>
      </c>
      <c r="S10" s="88">
        <f>O10+M10+N10-L10+P10+Q10-R10</f>
        <v>-278023816.8751713</v>
      </c>
      <c r="T10" s="88">
        <f>U10-S10</f>
        <v>268023816.8751713</v>
      </c>
      <c r="U10" s="89">
        <f>'Key Information'!C53</f>
        <v>-10000000</v>
      </c>
      <c r="W10" s="113"/>
    </row>
    <row r="11" spans="1:24" x14ac:dyDescent="0.3">
      <c r="A11" s="90"/>
      <c r="B11" s="83">
        <v>2020</v>
      </c>
      <c r="C11" s="84">
        <v>1</v>
      </c>
      <c r="D11" s="91">
        <v>55000000000</v>
      </c>
      <c r="E11" s="92">
        <f>200*10^6</f>
        <v>200000000</v>
      </c>
      <c r="F11" s="88">
        <f>'Key Information'!$C$25</f>
        <v>18000000</v>
      </c>
      <c r="G11" s="88">
        <f>E11*'Key Information'!$C$30</f>
        <v>10000000</v>
      </c>
      <c r="H11" s="88">
        <f>D11*'Key Information'!K8</f>
        <v>99000000</v>
      </c>
      <c r="I11" s="88">
        <f>E11*IF($C$6="Y",'Key Information'!$C$44,'Key Information'!$C$40)</f>
        <v>140000000</v>
      </c>
      <c r="J11" s="88">
        <f>IF(C6="Y",'Key Information'!$C$47,0)</f>
        <v>0</v>
      </c>
      <c r="K11" s="89">
        <f>H11*IF($C$6="Y",'Key Information'!$C$45,'Key Information'!$C$41)</f>
        <v>89100000</v>
      </c>
      <c r="L11" s="88">
        <f>NPV('Key Information'!$C$16,E12:E$61)*(1+'Key Information'!$C$16)</f>
        <v>2131412844.3517165</v>
      </c>
      <c r="M11" s="88">
        <f>NPV('Key Information'!$C$16,F12:F$61)*(1+'Key Information'!$C$16)</f>
        <v>169984750.02338195</v>
      </c>
      <c r="N11" s="88">
        <f>NPV('Key Information'!$C$16,G12:G$61)*(1+'Key Information'!$C$16)</f>
        <v>106570642.21758583</v>
      </c>
      <c r="O11" s="88">
        <f>NPV('Key Information'!$C$16,H12:H$61)</f>
        <v>995639296.83121061</v>
      </c>
      <c r="P11" s="88">
        <f>NPV('Key Information'!$C$16,I12:I$61)*(1+'Key Information'!$C$16)</f>
        <v>1491988991.0462019</v>
      </c>
      <c r="Q11" s="86"/>
      <c r="R11" s="89">
        <f>NPV('Key Information'!$C$16,K12:K$61)</f>
        <v>896075367.14808917</v>
      </c>
      <c r="S11" s="88">
        <f t="shared" ref="S11:S61" si="0">O11+M11+N11-L11+P11+Q11-R11</f>
        <v>-263304531.38142538</v>
      </c>
      <c r="T11" s="88">
        <f>L11*$U$6</f>
        <v>251734514.71278507</v>
      </c>
      <c r="U11" s="89">
        <f t="shared" ref="U11" si="1">S11+T11</f>
        <v>-11570016.668640316</v>
      </c>
      <c r="X11" s="8"/>
    </row>
    <row r="12" spans="1:24" x14ac:dyDescent="0.3">
      <c r="A12" s="90"/>
      <c r="B12" s="83">
        <v>2021</v>
      </c>
      <c r="C12" s="84">
        <v>2</v>
      </c>
      <c r="D12" s="89">
        <f>$D11*(1-'Key Information'!K8-'Key Information'!L8)*(1+'Key Information'!$C$21)</f>
        <v>51062220000</v>
      </c>
      <c r="E12" s="88">
        <f>$E11*(1-'Key Information'!K8-'Key Information'!L8)*(1+'Key Information'!G8)*(1+'Key Information'!$C$21)</f>
        <v>188466011.99999997</v>
      </c>
      <c r="F12" s="88">
        <f>$F11*(1-'Key Information'!K8-'Key Information'!L8)*(1+'Key Information'!$C$20)</f>
        <v>16875108</v>
      </c>
      <c r="G12" s="88">
        <f>E12*'Key Information'!$C$30</f>
        <v>9423300.5999999996</v>
      </c>
      <c r="H12" s="88">
        <f>D12*'Key Information'!K9</f>
        <v>91911996</v>
      </c>
      <c r="I12" s="88">
        <f>E12*IF($C$6="Y",'Key Information'!$C$44,'Key Information'!$C$40)</f>
        <v>131926208.39999998</v>
      </c>
      <c r="J12" s="86"/>
      <c r="K12" s="89">
        <f>H12*IF($C$6="Y",'Key Information'!$C$45,'Key Information'!$C$41)</f>
        <v>82720796.400000006</v>
      </c>
      <c r="L12" s="88">
        <f>NPV('Key Information'!$C$16,E13:E$61)*(1+'Key Information'!$C$16)</f>
        <v>2001235237.3222692</v>
      </c>
      <c r="M12" s="88">
        <f>NPV('Key Information'!$C$16,F13:F$61)*(1+'Key Information'!$C$16)</f>
        <v>157702931.28408352</v>
      </c>
      <c r="N12" s="88">
        <f>NPV('Key Information'!$C$16,G13:G$61)*(1+'Key Information'!$C$16)</f>
        <v>100061761.86611341</v>
      </c>
      <c r="O12" s="88">
        <f>NPV('Key Information'!$C$16,H13:H$61)</f>
        <v>933596479.73614657</v>
      </c>
      <c r="P12" s="88">
        <f>NPV('Key Information'!$C$16,I13:I$61)*(1+'Key Information'!$C$16)</f>
        <v>1400864666.1255879</v>
      </c>
      <c r="Q12" s="86"/>
      <c r="R12" s="89">
        <f>NPV('Key Information'!$C$16,K13:K$61)</f>
        <v>840236831.762532</v>
      </c>
      <c r="S12" s="88">
        <f t="shared" si="0"/>
        <v>-249246230.07286978</v>
      </c>
      <c r="T12" s="88">
        <f t="shared" ref="T12:T61" si="2">L12*$U$6</f>
        <v>236359644.08700687</v>
      </c>
      <c r="U12" s="89">
        <f t="shared" ref="U12:U60" si="3">S12+T12</f>
        <v>-12886585.985862911</v>
      </c>
      <c r="W12" s="7"/>
      <c r="X12" s="8"/>
    </row>
    <row r="13" spans="1:24" x14ac:dyDescent="0.3">
      <c r="A13" s="90"/>
      <c r="B13" s="83">
        <v>2022</v>
      </c>
      <c r="C13" s="84">
        <v>3</v>
      </c>
      <c r="D13" s="89">
        <f>$D12*(1-'Key Information'!K9-'Key Information'!L9)*(1+'Key Information'!$C$21)</f>
        <v>47302202368.080002</v>
      </c>
      <c r="E13" s="88">
        <f>$E12*(1-'Key Information'!K9-'Key Information'!L9)*(1+'Key Information'!G9)*(1+'Key Information'!$C$21)</f>
        <v>177311703.54871771</v>
      </c>
      <c r="F13" s="88">
        <f>$F12*(1-'Key Information'!K9-'Key Information'!L9)*(1+'Key Information'!$C$20)</f>
        <v>15785752.278168</v>
      </c>
      <c r="G13" s="88">
        <f>E13*'Key Information'!$C$30</f>
        <v>8865585.1774358861</v>
      </c>
      <c r="H13" s="88">
        <f>D13*'Key Information'!K10</f>
        <v>89874184.499352008</v>
      </c>
      <c r="I13" s="88">
        <f>E13*IF($C$6="Y",'Key Information'!$C$44,'Key Information'!$C$40)</f>
        <v>124118192.48410238</v>
      </c>
      <c r="J13" s="86"/>
      <c r="K13" s="89">
        <f>H13*IF($C$6="Y",'Key Information'!$C$45,'Key Information'!$C$41)</f>
        <v>80886766.04941681</v>
      </c>
      <c r="L13" s="88">
        <f>NPV('Key Information'!$C$16,E14:E$61)*(1+'Key Information'!$C$16)</f>
        <v>1878641239.7867579</v>
      </c>
      <c r="M13" s="88">
        <f>NPV('Key Information'!$C$16,F14:F$61)*(1+'Key Information'!$C$16)</f>
        <v>146174694.37609273</v>
      </c>
      <c r="N13" s="88">
        <f>NPV('Key Information'!$C$16,G14:G$61)*(1+'Key Information'!$C$16)</f>
        <v>93932061.989337847</v>
      </c>
      <c r="O13" s="88">
        <f>NPV('Key Information'!$C$16,H14:H$61)</f>
        <v>871730189.62887895</v>
      </c>
      <c r="P13" s="88">
        <f>NPV('Key Information'!$C$16,I14:I$61)*(1+'Key Information'!$C$16)</f>
        <v>1315048867.8507292</v>
      </c>
      <c r="Q13" s="86"/>
      <c r="R13" s="89">
        <f>NPV('Key Information'!$C$16,K14:K$61)</f>
        <v>784557170.66599119</v>
      </c>
      <c r="S13" s="88">
        <f t="shared" si="0"/>
        <v>-236312596.60771024</v>
      </c>
      <c r="T13" s="88">
        <f t="shared" si="2"/>
        <v>221880449.89518949</v>
      </c>
      <c r="U13" s="89">
        <f t="shared" si="3"/>
        <v>-14432146.712520748</v>
      </c>
      <c r="W13" s="7"/>
      <c r="X13" s="8"/>
    </row>
    <row r="14" spans="1:24" x14ac:dyDescent="0.3">
      <c r="A14" s="90"/>
      <c r="B14" s="83">
        <v>2023</v>
      </c>
      <c r="C14" s="84">
        <v>4</v>
      </c>
      <c r="D14" s="89">
        <f>$D13*(1-'Key Information'!K10-'Key Information'!L10)*(1+'Key Information'!$C$21)</f>
        <v>43814232569.862526</v>
      </c>
      <c r="E14" s="88">
        <f>$E13*(1-'Key Information'!K10-'Key Information'!L10)*(1+'Key Information'!G10)*(1+'Key Information'!$C$21)</f>
        <v>166901675.75174758</v>
      </c>
      <c r="F14" s="88">
        <f>$F13*(1-'Key Information'!K10-'Key Information'!L10)*(1+'Key Information'!$C$20)</f>
        <v>14765092.893118493</v>
      </c>
      <c r="G14" s="88">
        <f>E14*'Key Information'!$C$30</f>
        <v>8345083.7875873791</v>
      </c>
      <c r="H14" s="88">
        <f>D14*'Key Information'!K11</f>
        <v>83247041.882738799</v>
      </c>
      <c r="I14" s="88">
        <f>E14*IF($C$6="Y",'Key Information'!$C$44,'Key Information'!$C$40)</f>
        <v>116831173.0262233</v>
      </c>
      <c r="J14" s="86"/>
      <c r="K14" s="89">
        <f>H14*IF($C$6="Y",'Key Information'!$C$45,'Key Information'!$C$41)</f>
        <v>74922337.694464922</v>
      </c>
      <c r="L14" s="88">
        <f>NPV('Key Information'!$C$16,E15:E$61)*(1+'Key Information'!$C$16)</f>
        <v>1763091750.9560602</v>
      </c>
      <c r="M14" s="88">
        <f>NPV('Key Information'!$C$16,F15:F$61)*(1+'Key Information'!$C$16)</f>
        <v>135351889.52746367</v>
      </c>
      <c r="N14" s="88">
        <f>NPV('Key Information'!$C$16,G15:G$61)*(1+'Key Information'!$C$16)</f>
        <v>88154587.547803015</v>
      </c>
      <c r="O14" s="88">
        <f>NPV('Key Information'!$C$16,H15:H$61)</f>
        <v>814635053.43500674</v>
      </c>
      <c r="P14" s="88">
        <f>NPV('Key Information'!$C$16,I15:I$61)*(1+'Key Information'!$C$16)</f>
        <v>1234164225.6692421</v>
      </c>
      <c r="Q14" s="86"/>
      <c r="R14" s="89">
        <f>NPV('Key Information'!$C$16,K15:K$61)</f>
        <v>733171548.09150636</v>
      </c>
      <c r="S14" s="88">
        <f t="shared" si="0"/>
        <v>-223957542.86805093</v>
      </c>
      <c r="T14" s="88">
        <f t="shared" si="2"/>
        <v>208233260.62672409</v>
      </c>
      <c r="U14" s="89">
        <f t="shared" si="3"/>
        <v>-15724282.241326839</v>
      </c>
      <c r="W14" s="7"/>
      <c r="X14" s="8"/>
    </row>
    <row r="15" spans="1:24" x14ac:dyDescent="0.3">
      <c r="A15" s="90"/>
      <c r="B15" s="83">
        <v>2024</v>
      </c>
      <c r="C15" s="84">
        <v>5</v>
      </c>
      <c r="D15" s="89">
        <f>$D14*(1-'Key Information'!K11-'Key Information'!L11)*(1+'Key Information'!$C$21)</f>
        <v>40538768171.404747</v>
      </c>
      <c r="E15" s="88">
        <f>$E14*(1-'Key Information'!K11-'Key Information'!L11)*(1+'Key Information'!G11)*(1+'Key Information'!$C$21)</f>
        <v>157030037.67969605</v>
      </c>
      <c r="F15" s="88">
        <f>$F14*(1-'Key Information'!K11-'Key Information'!L11)*(1+'Key Information'!$C$20)</f>
        <v>13795218.236248219</v>
      </c>
      <c r="G15" s="88">
        <f>E15*'Key Information'!$C$30</f>
        <v>7851501.8839848032</v>
      </c>
      <c r="H15" s="88">
        <f>D15*'Key Information'!K12</f>
        <v>77023659.525669023</v>
      </c>
      <c r="I15" s="88">
        <f>E15*IF($C$6="Y",'Key Information'!$C$44,'Key Information'!$C$40)</f>
        <v>109921026.37578723</v>
      </c>
      <c r="J15" s="86"/>
      <c r="K15" s="89">
        <f>H15*IF($C$6="Y",'Key Information'!$C$45,'Key Information'!$C$41)</f>
        <v>69321293.573102117</v>
      </c>
      <c r="L15" s="88">
        <f>NPV('Key Information'!$C$16,E16:E$61)*(1+'Key Information'!$C$16)</f>
        <v>1654243564.6746547</v>
      </c>
      <c r="M15" s="88">
        <f>NPV('Key Information'!$C$16,F16:F$61)*(1+'Key Information'!$C$16)</f>
        <v>125203371.42995186</v>
      </c>
      <c r="N15" s="88">
        <f>NPV('Key Information'!$C$16,G16:G$61)*(1+'Key Information'!$C$16)</f>
        <v>82712178.233732775</v>
      </c>
      <c r="O15" s="88">
        <f>NPV('Key Information'!$C$16,H16:H$61)</f>
        <v>762050445.51238823</v>
      </c>
      <c r="P15" s="88">
        <f>NPV('Key Information'!$C$16,I16:I$61)*(1+'Key Information'!$C$16)</f>
        <v>1157970495.2722583</v>
      </c>
      <c r="Q15" s="86"/>
      <c r="R15" s="89">
        <f>NPV('Key Information'!$C$16,K16:K$61)</f>
        <v>685845400.96114933</v>
      </c>
      <c r="S15" s="88">
        <f t="shared" si="0"/>
        <v>-212152475.18747282</v>
      </c>
      <c r="T15" s="88">
        <f t="shared" si="2"/>
        <v>195377541.27440378</v>
      </c>
      <c r="U15" s="89">
        <f t="shared" si="3"/>
        <v>-16774933.91306904</v>
      </c>
      <c r="W15" s="7"/>
      <c r="X15" s="8"/>
    </row>
    <row r="16" spans="1:24" x14ac:dyDescent="0.3">
      <c r="A16" s="90"/>
      <c r="B16" s="83">
        <v>2025</v>
      </c>
      <c r="C16" s="84">
        <v>6</v>
      </c>
      <c r="D16" s="89">
        <f>$D15*(1-'Key Information'!K12-'Key Information'!L12)*(1+'Key Information'!$C$21)</f>
        <v>37466821396.912041</v>
      </c>
      <c r="E16" s="88">
        <f>$E15*(1-'Key Information'!K12-'Key Information'!L12)*(1+'Key Information'!G12)*(1+'Key Information'!$C$21)</f>
        <v>147677349.87704155</v>
      </c>
      <c r="F16" s="88">
        <f>$F15*(1-'Key Information'!K12-'Key Information'!L12)*(1+'Key Information'!$C$20)</f>
        <v>12874842.661180448</v>
      </c>
      <c r="G16" s="88">
        <f>E16*'Key Information'!$C$30</f>
        <v>7383867.493852078</v>
      </c>
      <c r="H16" s="88">
        <f>D16*'Key Information'!K13</f>
        <v>74933642.793824077</v>
      </c>
      <c r="I16" s="88">
        <f>E16*IF($C$6="Y",'Key Information'!$C$44,'Key Information'!$C$40)</f>
        <v>103374144.91392908</v>
      </c>
      <c r="J16" s="86"/>
      <c r="K16" s="89">
        <f>H16*IF($C$6="Y",'Key Information'!$C$45,'Key Information'!$C$41)</f>
        <v>67440278.514441669</v>
      </c>
      <c r="L16" s="88">
        <f>NPV('Key Information'!$C$16,E17:E$61)*(1+'Key Information'!$C$16)</f>
        <v>1551763201.2415426</v>
      </c>
      <c r="M16" s="88">
        <f>NPV('Key Information'!$C$16,F17:F$61)*(1+'Key Information'!$C$16)</f>
        <v>115698384.63183458</v>
      </c>
      <c r="N16" s="88">
        <f>NPV('Key Information'!$C$16,G17:G$61)*(1+'Key Information'!$C$16)</f>
        <v>77588160.062077105</v>
      </c>
      <c r="O16" s="88">
        <f>NPV('Key Information'!$C$16,H17:H$61)</f>
        <v>709978316.08393562</v>
      </c>
      <c r="P16" s="88">
        <f>NPV('Key Information'!$C$16,I17:I$61)*(1+'Key Information'!$C$16)</f>
        <v>1086234240.8690794</v>
      </c>
      <c r="Q16" s="86"/>
      <c r="R16" s="89">
        <f>NPV('Key Information'!$C$16,K17:K$61)</f>
        <v>638980484.47554231</v>
      </c>
      <c r="S16" s="88">
        <f t="shared" si="0"/>
        <v>-201244584.07015824</v>
      </c>
      <c r="T16" s="88">
        <f t="shared" si="2"/>
        <v>183273905.59218994</v>
      </c>
      <c r="U16" s="89">
        <f t="shared" si="3"/>
        <v>-17970678.477968305</v>
      </c>
      <c r="W16" s="7"/>
      <c r="X16" s="8"/>
    </row>
    <row r="17" spans="1:24" x14ac:dyDescent="0.3">
      <c r="A17" s="90"/>
      <c r="B17" s="83">
        <v>2026</v>
      </c>
      <c r="C17" s="84">
        <v>7</v>
      </c>
      <c r="D17" s="89">
        <f>$D16*(1-'Key Information'!K13-'Key Information'!L13)*(1+'Key Information'!$C$21)</f>
        <v>34623838989.314354</v>
      </c>
      <c r="E17" s="88">
        <f>$E16*(1-'Key Information'!K13-'Key Information'!L13)*(1+'Key Information'!G13)*(1+'Key Information'!$C$21)</f>
        <v>138962170.95627353</v>
      </c>
      <c r="F17" s="88">
        <f>$F16*(1-'Key Information'!K13-'Key Information'!L13)*(1+'Key Information'!$C$20)</f>
        <v>12014545.674560372</v>
      </c>
      <c r="G17" s="88">
        <f>E17*'Key Information'!$C$30</f>
        <v>6948108.5478136763</v>
      </c>
      <c r="H17" s="88">
        <f>D17*'Key Information'!K14</f>
        <v>69247677.97862871</v>
      </c>
      <c r="I17" s="88">
        <f>E17*IF($C$6="Y",'Key Information'!$C$44,'Key Information'!$C$40)</f>
        <v>97273519.669391468</v>
      </c>
      <c r="J17" s="86"/>
      <c r="K17" s="89">
        <f>H17*IF($C$6="Y",'Key Information'!$C$45,'Key Information'!$C$41)</f>
        <v>62322910.180765837</v>
      </c>
      <c r="L17" s="88">
        <f>NPV('Key Information'!$C$16,E18:E$61)*(1+'Key Information'!$C$16)</f>
        <v>1455185061.1938269</v>
      </c>
      <c r="M17" s="88">
        <f>NPV('Key Information'!$C$16,F18:F$61)*(1+'Key Information'!$C$16)</f>
        <v>106794354.12599245</v>
      </c>
      <c r="N17" s="88">
        <f>NPV('Key Information'!$C$16,G18:G$61)*(1+'Key Information'!$C$16)</f>
        <v>72759253.05969134</v>
      </c>
      <c r="O17" s="88">
        <f>NPV('Key Information'!$C$16,H18:H$61)</f>
        <v>662029987.5878247</v>
      </c>
      <c r="P17" s="88">
        <f>NPV('Key Information'!$C$16,I18:I$61)*(1+'Key Information'!$C$16)</f>
        <v>1018629542.8356785</v>
      </c>
      <c r="Q17" s="86"/>
      <c r="R17" s="89">
        <f>NPV('Key Information'!$C$16,K18:K$61)</f>
        <v>595826988.82904232</v>
      </c>
      <c r="S17" s="88">
        <f t="shared" si="0"/>
        <v>-190798912.41368234</v>
      </c>
      <c r="T17" s="88">
        <f t="shared" si="2"/>
        <v>171867363.08157194</v>
      </c>
      <c r="U17" s="89">
        <f t="shared" si="3"/>
        <v>-18931549.332110405</v>
      </c>
      <c r="W17" s="7"/>
      <c r="X17" s="8"/>
    </row>
    <row r="18" spans="1:24" x14ac:dyDescent="0.3">
      <c r="A18" s="90"/>
      <c r="B18" s="83">
        <v>2027</v>
      </c>
      <c r="C18" s="84">
        <v>8</v>
      </c>
      <c r="D18" s="89">
        <f>$D17*(1-'Key Information'!K14-'Key Information'!L14)*(1+'Key Information'!$C$21)</f>
        <v>31961265771.036079</v>
      </c>
      <c r="E18" s="88">
        <f>$E17*(1-'Key Information'!K14-'Key Information'!L14)*(1+'Key Information'!G14)*(1+'Key Information'!$C$21)</f>
        <v>130710630.56657408</v>
      </c>
      <c r="F18" s="88">
        <f>$F17*(1-'Key Information'!K14-'Key Information'!L14)*(1+'Key Information'!$C$20)</f>
        <v>11199358.75054145</v>
      </c>
      <c r="G18" s="88">
        <f>E18*'Key Information'!$C$30</f>
        <v>6535531.5283287046</v>
      </c>
      <c r="H18" s="88">
        <f>D18*'Key Information'!K15</f>
        <v>67118658.119175762</v>
      </c>
      <c r="I18" s="88">
        <f>E18*IF($C$6="Y",'Key Information'!$C$44,'Key Information'!$C$40)</f>
        <v>91497441.396601856</v>
      </c>
      <c r="J18" s="86"/>
      <c r="K18" s="89">
        <f>H18*IF($C$6="Y",'Key Information'!$C$45,'Key Information'!$C$41)</f>
        <v>60406792.307258189</v>
      </c>
      <c r="L18" s="88">
        <f>NPV('Key Information'!$C$16,E19:E$61)*(1+'Key Information'!$C$16)</f>
        <v>1364208663.5460696</v>
      </c>
      <c r="M18" s="88">
        <f>NPV('Key Information'!$C$16,F19:F$61)*(1+'Key Information'!$C$16)</f>
        <v>98462845.236714497</v>
      </c>
      <c r="N18" s="88">
        <f>NPV('Key Information'!$C$16,G19:G$61)*(1+'Key Information'!$C$16)</f>
        <v>68210433.177303493</v>
      </c>
      <c r="O18" s="88">
        <f>NPV('Key Information'!$C$16,H19:H$61)</f>
        <v>614772229.09628367</v>
      </c>
      <c r="P18" s="88">
        <f>NPV('Key Information'!$C$16,I19:I$61)*(1+'Key Information'!$C$16)</f>
        <v>954946064.48224914</v>
      </c>
      <c r="Q18" s="86"/>
      <c r="R18" s="89">
        <f>NPV('Key Information'!$C$16,K19:K$61)</f>
        <v>553295006.1866554</v>
      </c>
      <c r="S18" s="88">
        <f t="shared" si="0"/>
        <v>-181112097.74017429</v>
      </c>
      <c r="T18" s="88">
        <f t="shared" si="2"/>
        <v>161122424.87175211</v>
      </c>
      <c r="U18" s="89">
        <f t="shared" si="3"/>
        <v>-19989672.86842218</v>
      </c>
      <c r="W18" s="7"/>
      <c r="X18" s="8"/>
    </row>
    <row r="19" spans="1:24" x14ac:dyDescent="0.3">
      <c r="A19" s="90"/>
      <c r="B19" s="83">
        <v>2028</v>
      </c>
      <c r="C19" s="84">
        <v>9</v>
      </c>
      <c r="D19" s="89">
        <f>$D18*(1-'Key Information'!K15-'Key Information'!L15)*(1+'Key Information'!$C$21)</f>
        <v>29467583893.048306</v>
      </c>
      <c r="E19" s="88">
        <f>$E18*(1-'Key Information'!K15-'Key Information'!L15)*(1+'Key Information'!G15)*(1+'Key Information'!$C$21)</f>
        <v>122891115.7371401</v>
      </c>
      <c r="F19" s="88">
        <f>$F18*(1-'Key Information'!K15-'Key Information'!L15)*(1+'Key Information'!$C$20)</f>
        <v>10426793.385852851</v>
      </c>
      <c r="G19" s="88">
        <f>E19*'Key Information'!$C$30</f>
        <v>6144555.7868570052</v>
      </c>
      <c r="H19" s="88">
        <f>D19*'Key Information'!K16</f>
        <v>61881926.175401434</v>
      </c>
      <c r="I19" s="88">
        <f>E19*IF($C$6="Y",'Key Information'!$C$44,'Key Information'!$C$40)</f>
        <v>86023781.015998065</v>
      </c>
      <c r="J19" s="86"/>
      <c r="K19" s="89">
        <f>H19*IF($C$6="Y",'Key Information'!$C$45,'Key Information'!$C$41)</f>
        <v>55693733.557861291</v>
      </c>
      <c r="L19" s="88">
        <f>NPV('Key Information'!$C$16,E20:E$61)*(1+'Key Information'!$C$16)</f>
        <v>1278557074.2431986</v>
      </c>
      <c r="M19" s="88">
        <f>NPV('Key Information'!$C$16,F20:F$61)*(1+'Key Information'!$C$16)</f>
        <v>90677133.406387582</v>
      </c>
      <c r="N19" s="88">
        <f>NPV('Key Information'!$C$16,G20:G$61)*(1+'Key Information'!$C$16)</f>
        <v>63927853.712159887</v>
      </c>
      <c r="O19" s="88">
        <f>NPV('Key Information'!$C$16,H20:H$61)</f>
        <v>571333469.79377103</v>
      </c>
      <c r="P19" s="88">
        <f>NPV('Key Information'!$C$16,I20:I$61)*(1+'Key Information'!$C$16)</f>
        <v>894989951.97023869</v>
      </c>
      <c r="Q19" s="86"/>
      <c r="R19" s="89">
        <f>NPV('Key Information'!$C$16,K20:K$61)</f>
        <v>514200122.81439376</v>
      </c>
      <c r="S19" s="88">
        <f t="shared" si="0"/>
        <v>-171828788.17503524</v>
      </c>
      <c r="T19" s="88">
        <f t="shared" si="2"/>
        <v>151006383.14634198</v>
      </c>
      <c r="U19" s="89">
        <f t="shared" si="3"/>
        <v>-20822405.028693259</v>
      </c>
      <c r="W19" s="7"/>
      <c r="X19" s="8"/>
    </row>
    <row r="20" spans="1:24" x14ac:dyDescent="0.3">
      <c r="A20" s="90"/>
      <c r="B20" s="83">
        <v>2029</v>
      </c>
      <c r="C20" s="84">
        <v>10</v>
      </c>
      <c r="D20" s="89">
        <f>$D19*(1-'Key Information'!K16-'Key Information'!L16)*(1+'Key Information'!$C$21)</f>
        <v>27138407126.973984</v>
      </c>
      <c r="E20" s="88">
        <f>$E19*(1-'Key Information'!K16-'Key Information'!L16)*(1+'Key Information'!G16)*(1+'Key Information'!$C$21)</f>
        <v>115500925.67560592</v>
      </c>
      <c r="F20" s="88">
        <f>$F19*(1-'Key Information'!K16-'Key Information'!L16)*(1+'Key Information'!$C$20)</f>
        <v>9696782.3005291373</v>
      </c>
      <c r="G20" s="88">
        <f>E20*'Key Information'!$C$30</f>
        <v>5775046.2837802963</v>
      </c>
      <c r="H20" s="88">
        <f>D20*'Key Information'!K17</f>
        <v>56990654.96664536</v>
      </c>
      <c r="I20" s="88">
        <f>E20*IF($C$6="Y",'Key Information'!$C$44,'Key Information'!$C$40)</f>
        <v>80850647.972924143</v>
      </c>
      <c r="J20" s="86"/>
      <c r="K20" s="89">
        <f>H20*IF($C$6="Y",'Key Information'!$C$45,'Key Information'!$C$41)</f>
        <v>51291589.469980828</v>
      </c>
      <c r="L20" s="88">
        <f>NPV('Key Information'!$C$16,E21:E$61)*(1+'Key Information'!$C$16)</f>
        <v>1197947833.0246205</v>
      </c>
      <c r="M20" s="88">
        <f>NPV('Key Information'!$C$16,F21:F$61)*(1+'Key Information'!$C$16)</f>
        <v>83409761.639034167</v>
      </c>
      <c r="N20" s="88">
        <f>NPV('Key Information'!$C$16,G21:G$61)*(1+'Key Information'!$C$16)</f>
        <v>59897391.651230983</v>
      </c>
      <c r="O20" s="88">
        <f>NPV('Key Information'!$C$16,H21:H$61)</f>
        <v>531482818.92093867</v>
      </c>
      <c r="P20" s="88">
        <f>NPV('Key Information'!$C$16,I21:I$61)*(1+'Key Information'!$C$16)</f>
        <v>838563483.11723399</v>
      </c>
      <c r="Q20" s="86"/>
      <c r="R20" s="89">
        <f>NPV('Key Information'!$C$16,K21:K$61)</f>
        <v>478334537.02884483</v>
      </c>
      <c r="S20" s="88">
        <f t="shared" si="0"/>
        <v>-162928914.72502756</v>
      </c>
      <c r="T20" s="88">
        <f t="shared" si="2"/>
        <v>141485877.40607721</v>
      </c>
      <c r="U20" s="89">
        <f t="shared" si="3"/>
        <v>-21443037.318950355</v>
      </c>
      <c r="W20" s="7"/>
      <c r="X20" s="8"/>
    </row>
    <row r="21" spans="1:24" x14ac:dyDescent="0.3">
      <c r="A21" s="90"/>
      <c r="B21" s="83">
        <v>2030</v>
      </c>
      <c r="C21" s="84">
        <v>11</v>
      </c>
      <c r="D21" s="89">
        <f>$D20*(1-'Key Information'!K17-'Key Information'!L17)*(1+'Key Information'!$C$21)</f>
        <v>24965651975.574192</v>
      </c>
      <c r="E21" s="88">
        <f>$E20*(1-'Key Information'!K17-'Key Information'!L17)*(1+'Key Information'!G17)*(1+'Key Information'!$C$21)</f>
        <v>108522172.55756588</v>
      </c>
      <c r="F21" s="88">
        <f>$F20*(1-'Key Information'!K17-'Key Information'!L17)*(1+'Key Information'!$C$20)</f>
        <v>9007893.7955526467</v>
      </c>
      <c r="G21" s="88">
        <f>E21*'Key Information'!$C$30</f>
        <v>5426108.6278782943</v>
      </c>
      <c r="H21" s="88">
        <f>D21*'Key Information'!K18</f>
        <v>54924434.346263222</v>
      </c>
      <c r="I21" s="88">
        <f>E21*IF($C$6="Y",'Key Information'!$C$44,'Key Information'!$C$40)</f>
        <v>75965520.790296108</v>
      </c>
      <c r="J21" s="86"/>
      <c r="K21" s="89">
        <f>H21*IF($C$6="Y",'Key Information'!$C$45,'Key Information'!$C$41)</f>
        <v>49431990.911636904</v>
      </c>
      <c r="L21" s="88">
        <f>NPV('Key Information'!$C$16,E22:E$61)*(1+'Key Information'!$C$16)</f>
        <v>1122108430.2810655</v>
      </c>
      <c r="M21" s="88">
        <f>NPV('Key Information'!$C$16,F22:F$61)*(1+'Key Information'!$C$16)</f>
        <v>76633923.878785983</v>
      </c>
      <c r="N21" s="88">
        <f>NPV('Key Information'!$C$16,G22:G$61)*(1+'Key Information'!$C$16)</f>
        <v>56105421.514053285</v>
      </c>
      <c r="O21" s="88">
        <f>NPV('Key Information'!$C$16,H22:H$61)</f>
        <v>492502869.14230376</v>
      </c>
      <c r="P21" s="88">
        <f>NPV('Key Information'!$C$16,I22:I$61)*(1+'Key Information'!$C$16)</f>
        <v>785475901.19674599</v>
      </c>
      <c r="Q21" s="86"/>
      <c r="R21" s="89">
        <f>NPV('Key Information'!$C$16,K22:K$61)</f>
        <v>443252582.22807324</v>
      </c>
      <c r="S21" s="88">
        <f t="shared" si="0"/>
        <v>-154642896.77724957</v>
      </c>
      <c r="T21" s="88">
        <f t="shared" si="2"/>
        <v>132528722.39204563</v>
      </c>
      <c r="U21" s="89">
        <f t="shared" si="3"/>
        <v>-22114174.385203943</v>
      </c>
      <c r="W21" s="7"/>
      <c r="X21" s="8"/>
    </row>
    <row r="22" spans="1:24" x14ac:dyDescent="0.3">
      <c r="A22" s="90"/>
      <c r="B22" s="83">
        <v>2031</v>
      </c>
      <c r="C22" s="84">
        <v>12</v>
      </c>
      <c r="D22" s="89">
        <f>$D21*(1-'Key Information'!K18-'Key Information'!L18)*(1+'Key Information'!$C$21)</f>
        <v>22938840485.589176</v>
      </c>
      <c r="E22" s="88">
        <f>$E21*(1-'Key Information'!K18-'Key Information'!L18)*(1+'Key Information'!G18)*(1+'Key Information'!$C$21)</f>
        <v>101925878.24109831</v>
      </c>
      <c r="F22" s="88">
        <f>$F21*(1-'Key Information'!K18-'Key Information'!L18)*(1+'Key Information'!$C$20)</f>
        <v>8357740.0529648392</v>
      </c>
      <c r="G22" s="88">
        <f>E22*'Key Information'!$C$30</f>
        <v>5096293.9120549159</v>
      </c>
      <c r="H22" s="88">
        <f>D22*'Key Information'!K19</f>
        <v>50465449.068296194</v>
      </c>
      <c r="I22" s="88">
        <f>E22*IF($C$6="Y",'Key Information'!$C$44,'Key Information'!$C$40)</f>
        <v>71348114.768768817</v>
      </c>
      <c r="J22" s="86"/>
      <c r="K22" s="89">
        <f>H22*IF($C$6="Y",'Key Information'!$C$45,'Key Information'!$C$41)</f>
        <v>45418904.161466576</v>
      </c>
      <c r="L22" s="88">
        <f>NPV('Key Information'!$C$16,E23:E$61)*(1+'Key Information'!$C$16)</f>
        <v>1050788028.6011662</v>
      </c>
      <c r="M22" s="88">
        <f>NPV('Key Information'!$C$16,F23:F$61)*(1+'Key Information'!$C$16)</f>
        <v>70324469.340595782</v>
      </c>
      <c r="N22" s="88">
        <f>NPV('Key Information'!$C$16,G23:G$61)*(1+'Key Information'!$C$16)</f>
        <v>52539401.430058315</v>
      </c>
      <c r="O22" s="88">
        <f>NPV('Key Information'!$C$16,H23:H$61)</f>
        <v>456812506.14827669</v>
      </c>
      <c r="P22" s="88">
        <f>NPV('Key Information'!$C$16,I23:I$61)*(1+'Key Information'!$C$16)</f>
        <v>735551620.02081621</v>
      </c>
      <c r="Q22" s="86"/>
      <c r="R22" s="89">
        <f>NPV('Key Information'!$C$16,K23:K$61)</f>
        <v>411131255.53344899</v>
      </c>
      <c r="S22" s="88">
        <f t="shared" si="0"/>
        <v>-146691287.19486827</v>
      </c>
      <c r="T22" s="88">
        <f t="shared" si="2"/>
        <v>124105292.48094782</v>
      </c>
      <c r="U22" s="89">
        <f t="shared" si="3"/>
        <v>-22585994.713920444</v>
      </c>
      <c r="W22" s="7"/>
      <c r="X22" s="8"/>
    </row>
    <row r="23" spans="1:24" x14ac:dyDescent="0.3">
      <c r="A23" s="90"/>
      <c r="B23" s="83">
        <v>2032</v>
      </c>
      <c r="C23" s="84">
        <v>13</v>
      </c>
      <c r="D23" s="89">
        <f>$D22*(1-'Key Information'!K19-'Key Information'!L19)*(1+'Key Information'!$C$21)</f>
        <v>21053176042.311806</v>
      </c>
      <c r="E23" s="88">
        <f>$E22*(1-'Key Information'!K19-'Key Information'!L19)*(1+'Key Information'!G19)*(1+'Key Information'!$C$21)</f>
        <v>95707336.747217461</v>
      </c>
      <c r="F23" s="88">
        <f>$F22*(1-'Key Information'!K19-'Key Information'!L19)*(1+'Key Information'!$C$20)</f>
        <v>7745903.3346474953</v>
      </c>
      <c r="G23" s="88">
        <f>E23*'Key Information'!$C$30</f>
        <v>4785366.8373608729</v>
      </c>
      <c r="H23" s="88">
        <f>D23*'Key Information'!K20</f>
        <v>48422304.897317149</v>
      </c>
      <c r="I23" s="88">
        <f>E23*IF($C$6="Y",'Key Information'!$C$44,'Key Information'!$C$40)</f>
        <v>66995135.723052219</v>
      </c>
      <c r="J23" s="86"/>
      <c r="K23" s="89">
        <f>H23*IF($C$6="Y",'Key Information'!$C$45,'Key Information'!$C$41)</f>
        <v>43580074.407585435</v>
      </c>
      <c r="L23" s="88">
        <f>NPV('Key Information'!$C$16,E24:E$61)*(1+'Key Information'!$C$16)</f>
        <v>983733112.60956752</v>
      </c>
      <c r="M23" s="88">
        <f>NPV('Key Information'!$C$16,F24:F$61)*(1+'Key Information'!$C$16)</f>
        <v>64455922.986126713</v>
      </c>
      <c r="N23" s="88">
        <f>NPV('Key Information'!$C$16,G24:G$61)*(1+'Key Information'!$C$16)</f>
        <v>49186655.630478367</v>
      </c>
      <c r="O23" s="88">
        <f>NPV('Key Information'!$C$16,H24:H$61)</f>
        <v>422094576.43540776</v>
      </c>
      <c r="P23" s="88">
        <f>NPV('Key Information'!$C$16,I24:I$61)*(1+'Key Information'!$C$16)</f>
        <v>688613178.82669711</v>
      </c>
      <c r="Q23" s="86"/>
      <c r="R23" s="89">
        <f>NPV('Key Information'!$C$16,K24:K$61)</f>
        <v>379885118.79186702</v>
      </c>
      <c r="S23" s="88">
        <f t="shared" si="0"/>
        <v>-139267897.52272457</v>
      </c>
      <c r="T23" s="88">
        <f t="shared" si="2"/>
        <v>116185645.76352088</v>
      </c>
      <c r="U23" s="89">
        <f t="shared" si="3"/>
        <v>-23082251.759203687</v>
      </c>
      <c r="W23" s="7"/>
      <c r="X23" s="8"/>
    </row>
    <row r="24" spans="1:24" x14ac:dyDescent="0.3">
      <c r="A24" s="90"/>
      <c r="B24" s="83">
        <v>2033</v>
      </c>
      <c r="C24" s="84">
        <v>14</v>
      </c>
      <c r="D24" s="89">
        <f>$D23*(1-'Key Information'!K20-'Key Information'!L20)*(1+'Key Information'!$C$21)</f>
        <v>19298899095.410133</v>
      </c>
      <c r="E24" s="88">
        <f>$E23*(1-'Key Information'!K20-'Key Information'!L20)*(1+'Key Information'!G20)*(1+'Key Information'!$C$21)</f>
        <v>89839363.843954131</v>
      </c>
      <c r="F24" s="88">
        <f>$F23*(1-'Key Information'!K20-'Key Information'!L20)*(1+'Key Information'!$C$20)</f>
        <v>7170080.6266531358</v>
      </c>
      <c r="G24" s="88">
        <f>E24*'Key Information'!$C$30</f>
        <v>4491968.1921977066</v>
      </c>
      <c r="H24" s="88">
        <f>D24*'Key Information'!K21</f>
        <v>44387467.919443309</v>
      </c>
      <c r="I24" s="88">
        <f>E24*IF($C$6="Y",'Key Information'!$C$44,'Key Information'!$C$40)</f>
        <v>62887554.690767884</v>
      </c>
      <c r="J24" s="86"/>
      <c r="K24" s="89">
        <f>H24*IF($C$6="Y",'Key Information'!$C$45,'Key Information'!$C$41)</f>
        <v>39948721.127498977</v>
      </c>
      <c r="L24" s="88">
        <f>NPV('Key Information'!$C$16,E25:E$61)*(1+'Key Information'!$C$16)</f>
        <v>920710561.22858155</v>
      </c>
      <c r="M24" s="88">
        <f>NPV('Key Information'!$C$16,F25:F$61)*(1+'Key Information'!$C$16)</f>
        <v>59004417.63025777</v>
      </c>
      <c r="N24" s="88">
        <f>NPV('Key Information'!$C$16,G25:G$61)*(1+'Key Information'!$C$16)</f>
        <v>46035528.061429098</v>
      </c>
      <c r="O24" s="88">
        <f>NPV('Key Information'!$C$16,H25:H$61)</f>
        <v>390369945.80902684</v>
      </c>
      <c r="P24" s="88">
        <f>NPV('Key Information'!$C$16,I25:I$61)*(1+'Key Information'!$C$16)</f>
        <v>644497392.86000705</v>
      </c>
      <c r="Q24" s="86"/>
      <c r="R24" s="89">
        <f>NPV('Key Information'!$C$16,K25:K$61)</f>
        <v>351332951.22812402</v>
      </c>
      <c r="S24" s="88">
        <f t="shared" si="0"/>
        <v>-132136228.09598482</v>
      </c>
      <c r="T24" s="88">
        <f t="shared" si="2"/>
        <v>108742249.03730875</v>
      </c>
      <c r="U24" s="89">
        <f t="shared" si="3"/>
        <v>-23393979.058676064</v>
      </c>
      <c r="W24" s="7"/>
      <c r="X24" s="8"/>
    </row>
    <row r="25" spans="1:24" x14ac:dyDescent="0.3">
      <c r="A25" s="90"/>
      <c r="B25" s="83">
        <v>2034</v>
      </c>
      <c r="C25" s="84">
        <v>15</v>
      </c>
      <c r="D25" s="89">
        <f>$D24*(1-'Key Information'!K21-'Key Information'!L21)*(1+'Key Information'!$C$21)</f>
        <v>17671114152.30867</v>
      </c>
      <c r="E25" s="88">
        <f>$E24*(1-'Key Information'!K21-'Key Information'!L21)*(1+'Key Information'!G21)*(1+'Key Information'!$C$21)</f>
        <v>84316351.341004819</v>
      </c>
      <c r="F25" s="88">
        <f>$F24*(1-'Key Information'!K21-'Key Information'!L21)*(1+'Key Information'!$C$20)</f>
        <v>6629678.8199029155</v>
      </c>
      <c r="G25" s="88">
        <f>E25*'Key Information'!$C$30</f>
        <v>4215817.5670502409</v>
      </c>
      <c r="H25" s="88">
        <f>D25*'Key Information'!K22</f>
        <v>42410673.965540804</v>
      </c>
      <c r="I25" s="88">
        <f>E25*IF($C$6="Y",'Key Information'!$C$44,'Key Information'!$C$40)</f>
        <v>59021445.938703366</v>
      </c>
      <c r="J25" s="86"/>
      <c r="K25" s="89">
        <f>H25*IF($C$6="Y",'Key Information'!$C$45,'Key Information'!$C$41)</f>
        <v>38169606.568986721</v>
      </c>
      <c r="L25" s="88">
        <f>NPV('Key Information'!$C$16,E26:E$61)*(1+'Key Information'!$C$16)</f>
        <v>861486036.18420398</v>
      </c>
      <c r="M25" s="88">
        <f>NPV('Key Information'!$C$16,F26:F$61)*(1+'Key Information'!$C$16)</f>
        <v>53945980.974665515</v>
      </c>
      <c r="N25" s="88">
        <f>NPV('Key Information'!$C$16,G26:G$61)*(1+'Key Information'!$C$16)</f>
        <v>43074301.809210211</v>
      </c>
      <c r="O25" s="88">
        <f>NPV('Key Information'!$C$16,H26:H$61)</f>
        <v>359670370.21775669</v>
      </c>
      <c r="P25" s="88">
        <f>NPV('Key Information'!$C$16,I26:I$61)*(1+'Key Information'!$C$16)</f>
        <v>603040225.32894313</v>
      </c>
      <c r="Q25" s="86"/>
      <c r="R25" s="89">
        <f>NPV('Key Information'!$C$16,K26:K$61)</f>
        <v>323703333.19598091</v>
      </c>
      <c r="S25" s="88">
        <f t="shared" si="0"/>
        <v>-125458491.0496093</v>
      </c>
      <c r="T25" s="88">
        <f t="shared" si="2"/>
        <v>101747425.34059963</v>
      </c>
      <c r="U25" s="89">
        <f t="shared" si="3"/>
        <v>-23711065.709009677</v>
      </c>
      <c r="W25" s="7"/>
      <c r="X25" s="8"/>
    </row>
    <row r="26" spans="1:24" x14ac:dyDescent="0.3">
      <c r="A26" s="90"/>
      <c r="B26" s="83">
        <v>2035</v>
      </c>
      <c r="C26" s="84">
        <v>16</v>
      </c>
      <c r="D26" s="89">
        <f>$D25*(1-'Key Information'!K22-'Key Information'!L22)*(1+'Key Information'!$C$21)</f>
        <v>16160799367.939154</v>
      </c>
      <c r="E26" s="88">
        <f>$E25*(1-'Key Information'!K22-'Key Information'!L22)*(1+'Key Information'!G22)*(1+'Key Information'!$C$21)</f>
        <v>79112945.024715587</v>
      </c>
      <c r="F26" s="88">
        <f>$F25*(1-'Key Information'!K22-'Key Information'!L22)*(1+'Key Information'!$C$20)</f>
        <v>6122495.1308227032</v>
      </c>
      <c r="G26" s="88">
        <f>E26*'Key Information'!$C$30</f>
        <v>3955647.2512357794</v>
      </c>
      <c r="H26" s="88">
        <f>D26*'Key Information'!K23</f>
        <v>38785918.483053967</v>
      </c>
      <c r="I26" s="88">
        <f>E26*IF($C$6="Y",'Key Information'!$C$44,'Key Information'!$C$40)</f>
        <v>55379061.517300911</v>
      </c>
      <c r="J26" s="86"/>
      <c r="K26" s="89">
        <f>H26*IF($C$6="Y",'Key Information'!$C$45,'Key Information'!$C$41)</f>
        <v>34907326.634748571</v>
      </c>
      <c r="L26" s="88">
        <f>NPV('Key Information'!$C$16,E27:E$61)*(1+'Key Information'!$C$16)</f>
        <v>805844283.89427328</v>
      </c>
      <c r="M26" s="88">
        <f>NPV('Key Information'!$C$16,F27:F$61)*(1+'Key Information'!$C$16)</f>
        <v>49258190.419158086</v>
      </c>
      <c r="N26" s="88">
        <f>NPV('Key Information'!$C$16,G27:G$61)*(1+'Key Information'!$C$16)</f>
        <v>40292214.194713645</v>
      </c>
      <c r="O26" s="88">
        <f>NPV('Key Information'!$C$16,H27:H$61)</f>
        <v>331674562.84123528</v>
      </c>
      <c r="P26" s="88">
        <f>NPV('Key Information'!$C$16,I27:I$61)*(1+'Key Information'!$C$16)</f>
        <v>564090998.72599125</v>
      </c>
      <c r="Q26" s="86"/>
      <c r="R26" s="89">
        <f>NPV('Key Information'!$C$16,K27:K$61)</f>
        <v>298507106.55711198</v>
      </c>
      <c r="S26" s="88">
        <f t="shared" si="0"/>
        <v>-119035424.27028698</v>
      </c>
      <c r="T26" s="88">
        <f t="shared" si="2"/>
        <v>95175751.745034426</v>
      </c>
      <c r="U26" s="89">
        <f t="shared" si="3"/>
        <v>-23859672.525252551</v>
      </c>
      <c r="W26" s="7"/>
      <c r="X26" s="8"/>
    </row>
    <row r="27" spans="1:24" x14ac:dyDescent="0.3">
      <c r="A27" s="90"/>
      <c r="B27" s="83">
        <v>2036</v>
      </c>
      <c r="C27" s="84">
        <v>17</v>
      </c>
      <c r="D27" s="89">
        <f>$D26*(1-'Key Information'!K23-'Key Information'!L23)*(1+'Key Information'!$C$21)</f>
        <v>14763084152.204834</v>
      </c>
      <c r="E27" s="88">
        <f>$E26*(1-'Key Information'!K23-'Key Information'!L23)*(1+'Key Information'!G23)*(1+'Key Information'!$C$21)</f>
        <v>74222954.316559255</v>
      </c>
      <c r="F27" s="88">
        <f>$F26*(1-'Key Information'!K23-'Key Information'!L23)*(1+'Key Information'!$C$20)</f>
        <v>5647805.8383397581</v>
      </c>
      <c r="G27" s="88">
        <f>E27*'Key Information'!$C$30</f>
        <v>3711147.7158279628</v>
      </c>
      <c r="H27" s="88">
        <f>D27*'Key Information'!K24</f>
        <v>36907710.380512089</v>
      </c>
      <c r="I27" s="88">
        <f>E27*IF($C$6="Y",'Key Information'!$C$44,'Key Information'!$C$40)</f>
        <v>51956068.021591477</v>
      </c>
      <c r="J27" s="86"/>
      <c r="K27" s="89">
        <f>H27*IF($C$6="Y",'Key Information'!$C$45,'Key Information'!$C$41)</f>
        <v>33216939.342460882</v>
      </c>
      <c r="L27" s="88">
        <f>NPV('Key Information'!$C$16,E28:E$61)*(1+'Key Information'!$C$16)</f>
        <v>753569969.46504545</v>
      </c>
      <c r="M27" s="88">
        <f>NPV('Key Information'!$C$16,F28:F$61)*(1+'Key Information'!$C$16)</f>
        <v>44918696.11824289</v>
      </c>
      <c r="N27" s="88">
        <f>NPV('Key Information'!$C$16,G28:G$61)*(1+'Key Information'!$C$16)</f>
        <v>37678498.473252274</v>
      </c>
      <c r="O27" s="88">
        <f>NPV('Key Information'!$C$16,H28:H$61)</f>
        <v>304717089.34596038</v>
      </c>
      <c r="P27" s="88">
        <f>NPV('Key Information'!$C$16,I28:I$61)*(1+'Key Information'!$C$16)</f>
        <v>527498978.62553173</v>
      </c>
      <c r="Q27" s="86"/>
      <c r="R27" s="89">
        <f>NPV('Key Information'!$C$16,K28:K$61)</f>
        <v>274245380.41136438</v>
      </c>
      <c r="S27" s="88">
        <f t="shared" si="0"/>
        <v>-113002087.31342256</v>
      </c>
      <c r="T27" s="88">
        <f t="shared" si="2"/>
        <v>89001795.718796968</v>
      </c>
      <c r="U27" s="89">
        <f t="shared" si="3"/>
        <v>-24000291.594625592</v>
      </c>
      <c r="W27" s="7"/>
      <c r="X27" s="8"/>
    </row>
    <row r="28" spans="1:24" x14ac:dyDescent="0.3">
      <c r="A28" s="90"/>
      <c r="B28" s="83">
        <v>2037</v>
      </c>
      <c r="C28" s="84">
        <v>18</v>
      </c>
      <c r="D28" s="89">
        <f>$D27*(1-'Key Information'!K24-'Key Information'!L24)*(1+'Key Information'!$C$21)</f>
        <v>13469690349.630169</v>
      </c>
      <c r="E28" s="88">
        <f>$E27*(1-'Key Information'!K24-'Key Information'!L24)*(1+'Key Information'!G24)*(1+'Key Information'!$C$21)</f>
        <v>69622863.541027293</v>
      </c>
      <c r="F28" s="88">
        <f>$F27*(1-'Key Information'!K24-'Key Information'!L24)*(1+'Key Information'!$C$20)</f>
        <v>5203521.1920667617</v>
      </c>
      <c r="G28" s="88">
        <f>E28*'Key Information'!$C$30</f>
        <v>3481143.1770513649</v>
      </c>
      <c r="H28" s="88">
        <f>D28*'Key Information'!K25</f>
        <v>33674225.87407542</v>
      </c>
      <c r="I28" s="88">
        <f>E28*IF($C$6="Y",'Key Information'!$C$44,'Key Information'!$C$40)</f>
        <v>48736004.4787191</v>
      </c>
      <c r="J28" s="86"/>
      <c r="K28" s="89">
        <f>H28*IF($C$6="Y",'Key Information'!$C$45,'Key Information'!$C$41)</f>
        <v>30306803.28666788</v>
      </c>
      <c r="L28" s="88">
        <f>NPV('Key Information'!$C$16,E29:E$61)*(1+'Key Information'!$C$16)</f>
        <v>704465519.10173857</v>
      </c>
      <c r="M28" s="88">
        <f>NPV('Key Information'!$C$16,F29:F$61)*(1+'Key Information'!$C$16)</f>
        <v>40906630.173961416</v>
      </c>
      <c r="N28" s="88">
        <f>NPV('Key Information'!$C$16,G29:G$61)*(1+'Key Information'!$C$16)</f>
        <v>35223275.955086954</v>
      </c>
      <c r="O28" s="88">
        <f>NPV('Key Information'!$C$16,H29:H$61)</f>
        <v>280184376.15226382</v>
      </c>
      <c r="P28" s="88">
        <f>NPV('Key Information'!$C$16,I29:I$61)*(1+'Key Information'!$C$16)</f>
        <v>493125863.37121713</v>
      </c>
      <c r="Q28" s="86"/>
      <c r="R28" s="89">
        <f>NPV('Key Information'!$C$16,K29:K$61)</f>
        <v>252165938.53703749</v>
      </c>
      <c r="S28" s="88">
        <f t="shared" si="0"/>
        <v>-107191311.98624676</v>
      </c>
      <c r="T28" s="88">
        <f t="shared" si="2"/>
        <v>83202222.438002154</v>
      </c>
      <c r="U28" s="89">
        <f t="shared" si="3"/>
        <v>-23989089.54824461</v>
      </c>
      <c r="W28" s="7"/>
      <c r="X28" s="8"/>
    </row>
    <row r="29" spans="1:24" x14ac:dyDescent="0.3">
      <c r="A29" s="90"/>
      <c r="B29" s="83">
        <v>2038</v>
      </c>
      <c r="C29" s="84">
        <v>19</v>
      </c>
      <c r="D29" s="89">
        <f>$D28*(1-'Key Information'!K25-'Key Information'!L25)*(1+'Key Information'!$C$21)</f>
        <v>12275871693.942448</v>
      </c>
      <c r="E29" s="88">
        <f>$E28*(1-'Key Information'!K25-'Key Information'!L25)*(1+'Key Information'!G25)*(1+'Key Information'!$C$21)</f>
        <v>65306167.405592479</v>
      </c>
      <c r="F29" s="88">
        <f>$F28*(1-'Key Information'!K25-'Key Information'!L25)*(1+'Key Information'!$C$20)</f>
        <v>4788826.5706650019</v>
      </c>
      <c r="G29" s="88">
        <f>E29*'Key Information'!$C$30</f>
        <v>3265308.3702796241</v>
      </c>
      <c r="H29" s="88">
        <f>D29*'Key Information'!K26</f>
        <v>31917266.404250361</v>
      </c>
      <c r="I29" s="88">
        <f>E29*IF($C$6="Y",'Key Information'!$C$44,'Key Information'!$C$40)</f>
        <v>45714317.183914736</v>
      </c>
      <c r="J29" s="86"/>
      <c r="K29" s="89">
        <f>H29*IF($C$6="Y",'Key Information'!$C$45,'Key Information'!$C$41)</f>
        <v>28725539.763825327</v>
      </c>
      <c r="L29" s="88">
        <f>NPV('Key Information'!$C$16,E30:E$61)*(1+'Key Information'!$C$16)</f>
        <v>658334132.24703085</v>
      </c>
      <c r="M29" s="88">
        <f>NPV('Key Information'!$C$16,F30:F$61)*(1+'Key Information'!$C$16)</f>
        <v>37201337.711395301</v>
      </c>
      <c r="N29" s="88">
        <f>NPV('Key Information'!$C$16,G30:G$61)*(1+'Key Information'!$C$16)</f>
        <v>32916706.612351537</v>
      </c>
      <c r="O29" s="88">
        <f>NPV('Key Information'!$C$16,H30:H$61)</f>
        <v>256672641.03258142</v>
      </c>
      <c r="P29" s="88">
        <f>NPV('Key Information'!$C$16,I30:I$61)*(1+'Key Information'!$C$16)</f>
        <v>460833892.57292151</v>
      </c>
      <c r="Q29" s="86"/>
      <c r="R29" s="89">
        <f>NPV('Key Information'!$C$16,K30:K$61)</f>
        <v>231005376.92932326</v>
      </c>
      <c r="S29" s="88">
        <f t="shared" si="0"/>
        <v>-101714931.24710435</v>
      </c>
      <c r="T29" s="88">
        <f t="shared" si="2"/>
        <v>77753788.403426498</v>
      </c>
      <c r="U29" s="89">
        <f t="shared" si="3"/>
        <v>-23961142.843677849</v>
      </c>
      <c r="W29" s="7"/>
      <c r="X29" s="8"/>
    </row>
    <row r="30" spans="1:24" x14ac:dyDescent="0.3">
      <c r="A30" s="90"/>
      <c r="B30" s="83">
        <v>2039</v>
      </c>
      <c r="C30" s="84">
        <v>20</v>
      </c>
      <c r="D30" s="89">
        <f>$D29*(1-'Key Information'!K26-'Key Information'!L26)*(1+'Key Information'!$C$21)</f>
        <v>11174087657.667725</v>
      </c>
      <c r="E30" s="88">
        <f>$E29*(1-'Key Information'!K26-'Key Information'!L26)*(1+'Key Information'!G26)*(1+'Key Information'!$C$21)</f>
        <v>61251172.38376651</v>
      </c>
      <c r="F30" s="88">
        <f>$F29*(1-'Key Information'!K26-'Key Information'!L26)*(1+'Key Information'!$C$20)</f>
        <v>4401755.2966112914</v>
      </c>
      <c r="G30" s="88">
        <f>E30*'Key Information'!$C$30</f>
        <v>3062558.6191883255</v>
      </c>
      <c r="H30" s="88">
        <f>D30*'Key Information'!K27</f>
        <v>29052627.909936082</v>
      </c>
      <c r="I30" s="88">
        <f>E30*IF($C$6="Y",'Key Information'!$C$44,'Key Information'!$C$40)</f>
        <v>42875820.668636553</v>
      </c>
      <c r="J30" s="86"/>
      <c r="K30" s="89">
        <f>H30*IF($C$6="Y",'Key Information'!$C$45,'Key Information'!$C$41)</f>
        <v>26147365.118942473</v>
      </c>
      <c r="L30" s="88">
        <f>NPV('Key Information'!$C$16,E31:E$61)*(1+'Key Information'!$C$16)</f>
        <v>614995448.65916204</v>
      </c>
      <c r="M30" s="88">
        <f>NPV('Key Information'!$C$16,F31:F$61)*(1+'Key Information'!$C$16)</f>
        <v>33783569.887227528</v>
      </c>
      <c r="N30" s="88">
        <f>NPV('Key Information'!$C$16,G31:G$61)*(1+'Key Information'!$C$16)</f>
        <v>30749772.432958115</v>
      </c>
      <c r="O30" s="88">
        <f>NPV('Key Information'!$C$16,H31:H$61)</f>
        <v>235320192.3536227</v>
      </c>
      <c r="P30" s="88">
        <f>NPV('Key Information'!$C$16,I31:I$61)*(1+'Key Information'!$C$16)</f>
        <v>430496814.06141353</v>
      </c>
      <c r="Q30" s="86"/>
      <c r="R30" s="89">
        <f>NPV('Key Information'!$C$16,K31:K$61)</f>
        <v>211788173.11826056</v>
      </c>
      <c r="S30" s="88">
        <f t="shared" si="0"/>
        <v>-96433273.042200744</v>
      </c>
      <c r="T30" s="88">
        <f t="shared" si="2"/>
        <v>72635191.830174908</v>
      </c>
      <c r="U30" s="89">
        <f t="shared" si="3"/>
        <v>-23798081.212025836</v>
      </c>
      <c r="W30" s="7"/>
      <c r="X30" s="8"/>
    </row>
    <row r="31" spans="1:24" x14ac:dyDescent="0.3">
      <c r="A31" s="90"/>
      <c r="B31" s="83">
        <v>2040</v>
      </c>
      <c r="C31" s="84">
        <v>21</v>
      </c>
      <c r="D31" s="89">
        <f>$D30*(1-'Key Information'!K27-'Key Information'!L27)*(1+'Key Information'!$C$21)</f>
        <v>10159793372.80591</v>
      </c>
      <c r="E31" s="88">
        <f>$E30*(1-'Key Information'!K27-'Key Information'!L27)*(1+'Key Information'!G27)*(1+'Key Information'!$C$21)</f>
        <v>57451277.905287437</v>
      </c>
      <c r="F31" s="88">
        <f>$F30*(1-'Key Information'!K27-'Key Information'!L27)*(1+'Key Information'!$C$20)</f>
        <v>4041436.4115412845</v>
      </c>
      <c r="G31" s="88">
        <f>E31*'Key Information'!$C$30</f>
        <v>2872563.8952643722</v>
      </c>
      <c r="H31" s="88">
        <f>D31*'Key Information'!K28</f>
        <v>27431442.106575958</v>
      </c>
      <c r="I31" s="88">
        <f>E31*IF($C$6="Y",'Key Information'!$C$44,'Key Information'!$C$40)</f>
        <v>40215894.533701204</v>
      </c>
      <c r="J31" s="86"/>
      <c r="K31" s="89">
        <f>H31*IF($C$6="Y",'Key Information'!$C$45,'Key Information'!$C$41)</f>
        <v>24688297.895918362</v>
      </c>
      <c r="L31" s="88">
        <f>NPV('Key Information'!$C$16,E32:E$61)*(1+'Key Information'!$C$16)</f>
        <v>574270495.87649095</v>
      </c>
      <c r="M31" s="88">
        <f>NPV('Key Information'!$C$16,F32:F$61)*(1+'Key Information'!$C$16)</f>
        <v>30634397.479956839</v>
      </c>
      <c r="N31" s="88">
        <f>NPV('Key Information'!$C$16,G32:G$61)*(1+'Key Information'!$C$16)</f>
        <v>28713524.793824553</v>
      </c>
      <c r="O31" s="88">
        <f>NPV('Key Information'!$C$16,H32:H$61)</f>
        <v>214948356.01765543</v>
      </c>
      <c r="P31" s="88">
        <f>NPV('Key Information'!$C$16,I32:I$61)*(1+'Key Information'!$C$16)</f>
        <v>401989347.11354357</v>
      </c>
      <c r="Q31" s="86"/>
      <c r="R31" s="89">
        <f>NPV('Key Information'!$C$16,K32:K$61)</f>
        <v>193453520.41588998</v>
      </c>
      <c r="S31" s="88">
        <f t="shared" si="0"/>
        <v>-91438390.887400568</v>
      </c>
      <c r="T31" s="88">
        <f t="shared" si="2"/>
        <v>67825294.839728191</v>
      </c>
      <c r="U31" s="89">
        <f t="shared" si="3"/>
        <v>-23613096.047672376</v>
      </c>
      <c r="W31" s="7"/>
      <c r="X31" s="8"/>
    </row>
    <row r="32" spans="1:24" x14ac:dyDescent="0.3">
      <c r="A32" s="90"/>
      <c r="B32" s="83">
        <v>2041</v>
      </c>
      <c r="C32" s="84">
        <v>22</v>
      </c>
      <c r="D32" s="89">
        <f>$D31*(1-'Key Information'!K28-'Key Information'!L28)*(1+'Key Information'!$C$21)</f>
        <v>9226169320.6052837</v>
      </c>
      <c r="E32" s="88">
        <f>$E31*(1-'Key Information'!K28-'Key Information'!L28)*(1+'Key Information'!G28)*(1+'Key Information'!$C$21)</f>
        <v>53886574.398408018</v>
      </c>
      <c r="F32" s="88">
        <f>$F31*(1-'Key Information'!K28-'Key Information'!L28)*(1+'Key Information'!$C$20)</f>
        <v>3706033.5623110617</v>
      </c>
      <c r="G32" s="88">
        <f>E32*'Key Information'!$C$30</f>
        <v>2694328.719920401</v>
      </c>
      <c r="H32" s="88">
        <f>D32*'Key Information'!K29</f>
        <v>24910657.165634267</v>
      </c>
      <c r="I32" s="88">
        <f>E32*IF($C$6="Y",'Key Information'!$C$44,'Key Information'!$C$40)</f>
        <v>37720602.078885607</v>
      </c>
      <c r="J32" s="86"/>
      <c r="K32" s="89">
        <f>H32*IF($C$6="Y",'Key Information'!$C$45,'Key Information'!$C$41)</f>
        <v>22419591.449070841</v>
      </c>
      <c r="L32" s="88">
        <f>NPV('Key Information'!$C$16,E33:E$61)*(1+'Key Information'!$C$16)</f>
        <v>535995439.12242538</v>
      </c>
      <c r="M32" s="88">
        <f>NPV('Key Information'!$C$16,F33:F$61)*(1+'Key Information'!$C$16)</f>
        <v>27736214.835175142</v>
      </c>
      <c r="N32" s="88">
        <f>NPV('Key Information'!$C$16,G33:G$61)*(1+'Key Information'!$C$16)</f>
        <v>26799771.956121277</v>
      </c>
      <c r="O32" s="88">
        <f>NPV('Key Information'!$C$16,H33:H$61)</f>
        <v>196486149.5325509</v>
      </c>
      <c r="P32" s="88">
        <f>NPV('Key Information'!$C$16,I33:I$61)*(1+'Key Information'!$C$16)</f>
        <v>375196807.38569772</v>
      </c>
      <c r="Q32" s="86"/>
      <c r="R32" s="89">
        <f>NPV('Key Information'!$C$16,K33:K$61)</f>
        <v>176837534.57929587</v>
      </c>
      <c r="S32" s="88">
        <f t="shared" si="0"/>
        <v>-86614029.992176235</v>
      </c>
      <c r="T32" s="88">
        <f t="shared" si="2"/>
        <v>63304747.418273769</v>
      </c>
      <c r="U32" s="89">
        <f t="shared" si="3"/>
        <v>-23309282.573902465</v>
      </c>
      <c r="W32" s="7"/>
      <c r="X32" s="8"/>
    </row>
    <row r="33" spans="1:24" x14ac:dyDescent="0.3">
      <c r="A33" s="90"/>
      <c r="B33" s="83">
        <v>2042</v>
      </c>
      <c r="C33" s="84">
        <v>23</v>
      </c>
      <c r="D33" s="89">
        <f>$D32*(1-'Key Information'!K29-'Key Information'!L29)*(1+'Key Information'!$C$21)</f>
        <v>8368929024.350564</v>
      </c>
      <c r="E33" s="88">
        <f>$E32*(1-'Key Information'!K29-'Key Information'!L29)*(1+'Key Information'!G29)*(1+'Key Information'!$C$21)</f>
        <v>50550541.674338162</v>
      </c>
      <c r="F33" s="88">
        <f>$F32*(1-'Key Information'!K29-'Key Information'!L29)*(1+'Key Information'!$C$20)</f>
        <v>3394648.9163721241</v>
      </c>
      <c r="G33" s="88">
        <f>E33*'Key Information'!$C$30</f>
        <v>2527527.0837169085</v>
      </c>
      <c r="H33" s="88">
        <f>D33*'Key Information'!K30</f>
        <v>22596108.365746524</v>
      </c>
      <c r="I33" s="88">
        <f>E33*IF($C$6="Y",'Key Information'!$C$44,'Key Information'!$C$40)</f>
        <v>35385379.172036707</v>
      </c>
      <c r="J33" s="86"/>
      <c r="K33" s="89">
        <f>H33*IF($C$6="Y",'Key Information'!$C$45,'Key Information'!$C$41)</f>
        <v>20336497.529171873</v>
      </c>
      <c r="L33" s="88">
        <f>NPV('Key Information'!$C$16,E34:E$61)*(1+'Key Information'!$C$16)</f>
        <v>500008244.37152988</v>
      </c>
      <c r="M33" s="88">
        <f>NPV('Key Information'!$C$16,F34:F$61)*(1+'Key Information'!$C$16)</f>
        <v>25071812.896367118</v>
      </c>
      <c r="N33" s="88">
        <f>NPV('Key Information'!$C$16,G34:G$61)*(1+'Key Information'!$C$16)</f>
        <v>25000412.218576502</v>
      </c>
      <c r="O33" s="88">
        <f>NPV('Key Information'!$C$16,H34:H$61)</f>
        <v>179784625.65278101</v>
      </c>
      <c r="P33" s="88">
        <f>NPV('Key Information'!$C$16,I34:I$61)*(1+'Key Information'!$C$16)</f>
        <v>350005771.06007099</v>
      </c>
      <c r="Q33" s="86"/>
      <c r="R33" s="89">
        <f>NPV('Key Information'!$C$16,K34:K$61)</f>
        <v>161806163.08750281</v>
      </c>
      <c r="S33" s="88">
        <f t="shared" si="0"/>
        <v>-81951785.63123706</v>
      </c>
      <c r="T33" s="88">
        <f t="shared" si="2"/>
        <v>59054412.233094484</v>
      </c>
      <c r="U33" s="89">
        <f t="shared" si="3"/>
        <v>-22897373.398142576</v>
      </c>
      <c r="W33" s="7"/>
      <c r="X33" s="8"/>
    </row>
    <row r="34" spans="1:24" x14ac:dyDescent="0.3">
      <c r="A34" s="90"/>
      <c r="B34" s="83">
        <v>2043</v>
      </c>
      <c r="C34" s="84">
        <v>24</v>
      </c>
      <c r="D34" s="89">
        <f>$D33*(1-'Key Information'!K30-'Key Information'!L30)*(1+'Key Information'!$C$21)</f>
        <v>7574265737.7723808</v>
      </c>
      <c r="E34" s="88">
        <f>$E33*(1-'Key Information'!K30-'Key Information'!L30)*(1+'Key Information'!G30)*(1+'Key Information'!$C$21)</f>
        <v>47376942.415128283</v>
      </c>
      <c r="F34" s="88">
        <f>$F33*(1-'Key Information'!K30-'Key Information'!L30)*(1+'Key Information'!$C$20)</f>
        <v>3102434.1430018954</v>
      </c>
      <c r="G34" s="88">
        <f>E34*'Key Information'!$C$30</f>
        <v>2368847.1207564143</v>
      </c>
      <c r="H34" s="88">
        <f>D34*'Key Information'!K31</f>
        <v>21207944.065762665</v>
      </c>
      <c r="I34" s="88">
        <f>E34*IF($C$6="Y",'Key Information'!$C$44,'Key Information'!$C$40)</f>
        <v>33163859.690589797</v>
      </c>
      <c r="J34" s="86"/>
      <c r="K34" s="89">
        <f>H34*IF($C$6="Y",'Key Information'!$C$45,'Key Information'!$C$41)</f>
        <v>19087149.6591864</v>
      </c>
      <c r="L34" s="88">
        <f>NPV('Key Information'!$C$16,E35:E$61)*(1+'Key Information'!$C$16)</f>
        <v>466210241.01509374</v>
      </c>
      <c r="M34" s="88">
        <f>NPV('Key Information'!$C$16,F35:F$61)*(1+'Key Information'!$C$16)</f>
        <v>22628460.115966167</v>
      </c>
      <c r="N34" s="88">
        <f>NPV('Key Information'!$C$16,G35:G$61)*(1+'Key Information'!$C$16)</f>
        <v>23310512.050754685</v>
      </c>
      <c r="O34" s="88">
        <f>NPV('Key Information'!$C$16,H35:H$61)</f>
        <v>163970220.35660172</v>
      </c>
      <c r="P34" s="88">
        <f>NPV('Key Information'!$C$16,I35:I$61)*(1+'Key Information'!$C$16)</f>
        <v>326347168.71056557</v>
      </c>
      <c r="Q34" s="86"/>
      <c r="R34" s="89">
        <f>NPV('Key Information'!$C$16,K35:K$61)</f>
        <v>147573198.32094157</v>
      </c>
      <c r="S34" s="88">
        <f t="shared" si="0"/>
        <v>-77527078.102147162</v>
      </c>
      <c r="T34" s="88">
        <f t="shared" si="2"/>
        <v>55062635.606740646</v>
      </c>
      <c r="U34" s="89">
        <f t="shared" si="3"/>
        <v>-22464442.495406516</v>
      </c>
      <c r="W34" s="7"/>
      <c r="X34" s="8"/>
    </row>
    <row r="35" spans="1:24" x14ac:dyDescent="0.3">
      <c r="A35" s="90"/>
      <c r="B35" s="83">
        <v>2044</v>
      </c>
      <c r="C35" s="84">
        <v>25</v>
      </c>
      <c r="D35" s="89">
        <f>$D34*(1-'Key Information'!K31-'Key Information'!L31)*(1+'Key Information'!$C$21)</f>
        <v>6846560582.7501612</v>
      </c>
      <c r="E35" s="88">
        <f>$E34*(1-'Key Information'!K31-'Key Information'!L31)*(1+'Key Information'!G31)*(1+'Key Information'!$C$21)</f>
        <v>44408432.684087254</v>
      </c>
      <c r="F35" s="88">
        <f>$F34*(1-'Key Information'!K31-'Key Information'!L31)*(1+'Key Information'!$C$20)</f>
        <v>2831858.4516541283</v>
      </c>
      <c r="G35" s="88">
        <f>E35*'Key Information'!$C$30</f>
        <v>2220421.634204363</v>
      </c>
      <c r="H35" s="88">
        <f>D35*'Key Information'!K32</f>
        <v>19855025.689975467</v>
      </c>
      <c r="I35" s="88">
        <f>E35*IF($C$6="Y",'Key Information'!$C$44,'Key Information'!$C$40)</f>
        <v>31085902.878861077</v>
      </c>
      <c r="J35" s="86"/>
      <c r="K35" s="89">
        <f>H35*IF($C$6="Y",'Key Information'!$C$45,'Key Information'!$C$41)</f>
        <v>17869523.12097792</v>
      </c>
      <c r="L35" s="88">
        <f>NPV('Key Information'!$C$16,E36:E$61)*(1+'Key Information'!$C$16)</f>
        <v>434455862.58093673</v>
      </c>
      <c r="M35" s="88">
        <f>NPV('Key Information'!$C$16,F36:F$61)*(1+'Key Information'!$C$16)</f>
        <v>20390499.714241404</v>
      </c>
      <c r="N35" s="88">
        <f>NPV('Key Information'!$C$16,G36:G$61)*(1+'Key Information'!$C$16)</f>
        <v>21722793.129046835</v>
      </c>
      <c r="O35" s="88">
        <f>NPV('Key Information'!$C$16,H36:H$61)</f>
        <v>149034301.2773242</v>
      </c>
      <c r="P35" s="88">
        <f>NPV('Key Information'!$C$16,I36:I$61)*(1+'Key Information'!$C$16)</f>
        <v>304119103.80665559</v>
      </c>
      <c r="Q35" s="86"/>
      <c r="R35" s="89">
        <f>NPV('Key Information'!$C$16,K36:K$61)</f>
        <v>134130871.14959185</v>
      </c>
      <c r="S35" s="88">
        <f t="shared" si="0"/>
        <v>-73320035.80326055</v>
      </c>
      <c r="T35" s="88">
        <f t="shared" si="2"/>
        <v>51312225.137782447</v>
      </c>
      <c r="U35" s="89">
        <f t="shared" si="3"/>
        <v>-22007810.665478103</v>
      </c>
      <c r="W35" s="7"/>
      <c r="X35" s="8"/>
    </row>
    <row r="36" spans="1:24" x14ac:dyDescent="0.3">
      <c r="A36" s="90"/>
      <c r="B36" s="83">
        <v>2045</v>
      </c>
      <c r="C36" s="84">
        <v>26</v>
      </c>
      <c r="D36" s="89">
        <f>$D35*(1-'Key Information'!K32-'Key Information'!L32)*(1+'Key Information'!$C$21)</f>
        <v>6181088587.2280111</v>
      </c>
      <c r="E36" s="88">
        <f>$E35*(1-'Key Information'!K32-'Key Information'!L32)*(1+'Key Information'!G32)*(1+'Key Information'!$C$21)</f>
        <v>41633542.542636469</v>
      </c>
      <c r="F36" s="88">
        <f>$F35*(1-'Key Information'!K32-'Key Information'!L32)*(1+'Key Information'!$C$20)</f>
        <v>2581672.253025841</v>
      </c>
      <c r="G36" s="88">
        <f>E36*'Key Information'!$C$30</f>
        <v>2081677.1271318235</v>
      </c>
      <c r="H36" s="88">
        <f>D36*'Key Information'!K33</f>
        <v>18543265.761684034</v>
      </c>
      <c r="I36" s="88">
        <f>E36*IF($C$6="Y",'Key Information'!$C$44,'Key Information'!$C$40)</f>
        <v>29143479.779845528</v>
      </c>
      <c r="J36" s="86"/>
      <c r="K36" s="89">
        <f>H36*IF($C$6="Y",'Key Information'!$C$45,'Key Information'!$C$41)</f>
        <v>16688939.185515631</v>
      </c>
      <c r="L36" s="88">
        <f>NPV('Key Information'!$C$16,E37:E$61)*(1+'Key Information'!$C$16)</f>
        <v>404606989.63944924</v>
      </c>
      <c r="M36" s="88">
        <f>NPV('Key Information'!$C$16,F37:F$61)*(1+'Key Information'!$C$16)</f>
        <v>18343092.285052039</v>
      </c>
      <c r="N36" s="88">
        <f>NPV('Key Information'!$C$16,G37:G$61)*(1+'Key Information'!$C$16)</f>
        <v>20230349.48197246</v>
      </c>
      <c r="O36" s="88">
        <f>NPV('Key Information'!$C$16,H37:H$61)</f>
        <v>134962064.55395994</v>
      </c>
      <c r="P36" s="88">
        <f>NPV('Key Information'!$C$16,I37:I$61)*(1+'Key Information'!$C$16)</f>
        <v>283224892.7476145</v>
      </c>
      <c r="Q36" s="86"/>
      <c r="R36" s="89">
        <f>NPV('Key Information'!$C$16,K37:K$61)</f>
        <v>121465858.09856397</v>
      </c>
      <c r="S36" s="88">
        <f t="shared" si="0"/>
        <v>-69312448.669414282</v>
      </c>
      <c r="T36" s="88">
        <f t="shared" si="2"/>
        <v>47786867.971731231</v>
      </c>
      <c r="U36" s="89">
        <f t="shared" si="3"/>
        <v>-21525580.697683051</v>
      </c>
      <c r="W36" s="7"/>
      <c r="X36" s="8"/>
    </row>
    <row r="37" spans="1:24" x14ac:dyDescent="0.3">
      <c r="A37" s="90"/>
      <c r="B37" s="83">
        <v>2046</v>
      </c>
      <c r="C37" s="84">
        <v>27</v>
      </c>
      <c r="D37" s="89">
        <f>$D36*(1-'Key Information'!K33-'Key Information'!L33)*(1+'Key Information'!$C$21)</f>
        <v>5573363957.3317537</v>
      </c>
      <c r="E37" s="88">
        <f>$E36*(1-'Key Information'!K33-'Key Information'!L33)*(1+'Key Information'!G33)*(1+'Key Information'!$C$21)</f>
        <v>39041270.382046767</v>
      </c>
      <c r="F37" s="88">
        <f>$F36*(1-'Key Information'!K33-'Key Information'!L33)*(1+'Key Information'!$C$20)</f>
        <v>2350664.219825089</v>
      </c>
      <c r="G37" s="88">
        <f>E37*'Key Information'!$C$30</f>
        <v>1952063.5191023385</v>
      </c>
      <c r="H37" s="88">
        <f>D37*'Key Information'!K34</f>
        <v>16720091.871995261</v>
      </c>
      <c r="I37" s="88">
        <f>E37*IF($C$6="Y",'Key Information'!$C$44,'Key Information'!$C$40)</f>
        <v>27328889.267432734</v>
      </c>
      <c r="J37" s="86"/>
      <c r="K37" s="89">
        <f>H37*IF($C$6="Y",'Key Information'!$C$45,'Key Information'!$C$41)</f>
        <v>15048082.684795735</v>
      </c>
      <c r="L37" s="88">
        <f>NPV('Key Information'!$C$16,E38:E$61)*(1+'Key Information'!$C$16)</f>
        <v>376532690.83512461</v>
      </c>
      <c r="M37" s="88">
        <f>NPV('Key Information'!$C$16,F38:F$61)*(1+'Key Information'!$C$16)</f>
        <v>16472200.907183755</v>
      </c>
      <c r="N37" s="88">
        <f>NPV('Key Information'!$C$16,G38:G$61)*(1+'Key Information'!$C$16)</f>
        <v>18826634.541756235</v>
      </c>
      <c r="O37" s="88">
        <f>NPV('Key Information'!$C$16,H38:H$61)</f>
        <v>122290834.61858349</v>
      </c>
      <c r="P37" s="88">
        <f>NPV('Key Information'!$C$16,I38:I$61)*(1+'Key Information'!$C$16)</f>
        <v>263572883.58458722</v>
      </c>
      <c r="Q37" s="86"/>
      <c r="R37" s="89">
        <f>NPV('Key Information'!$C$16,K38:K$61)</f>
        <v>110061751.15672517</v>
      </c>
      <c r="S37" s="88">
        <f t="shared" si="0"/>
        <v>-65431888.339739084</v>
      </c>
      <c r="T37" s="88">
        <f t="shared" si="2"/>
        <v>44471100.215082496</v>
      </c>
      <c r="U37" s="89">
        <f t="shared" si="3"/>
        <v>-20960788.124656588</v>
      </c>
      <c r="W37" s="7"/>
      <c r="X37" s="8"/>
    </row>
    <row r="38" spans="1:24" x14ac:dyDescent="0.3">
      <c r="A38" s="90"/>
      <c r="B38" s="83">
        <v>2047</v>
      </c>
      <c r="C38" s="84">
        <v>28</v>
      </c>
      <c r="D38" s="89">
        <f>$D37*(1-'Key Information'!K34-'Key Information'!L34)*(1+'Key Information'!$C$21)</f>
        <v>5019705981.8104172</v>
      </c>
      <c r="E38" s="88">
        <f>$E37*(1-'Key Information'!K34-'Key Information'!L34)*(1+'Key Information'!G34)*(1+'Key Information'!$C$21)</f>
        <v>36625232.189291768</v>
      </c>
      <c r="F38" s="88">
        <f>$F37*(1-'Key Information'!K34-'Key Information'!L34)*(1+'Key Information'!$C$20)</f>
        <v>2137905.60128872</v>
      </c>
      <c r="G38" s="88">
        <f>E38*'Key Information'!$C$30</f>
        <v>1831261.6094645886</v>
      </c>
      <c r="H38" s="88">
        <f>D38*'Key Information'!K35</f>
        <v>15561088.543612292</v>
      </c>
      <c r="I38" s="88">
        <f>E38*IF($C$6="Y",'Key Information'!$C$44,'Key Information'!$C$40)</f>
        <v>25637662.532504234</v>
      </c>
      <c r="J38" s="86"/>
      <c r="K38" s="89">
        <f>H38*IF($C$6="Y",'Key Information'!$C$45,'Key Information'!$C$41)</f>
        <v>14004979.689251063</v>
      </c>
      <c r="L38" s="88">
        <f>NPV('Key Information'!$C$16,E39:E$61)*(1+'Key Information'!$C$16)</f>
        <v>350104682.40520775</v>
      </c>
      <c r="M38" s="88">
        <f>NPV('Key Information'!$C$16,F39:F$61)*(1+'Key Information'!$C$16)</f>
        <v>14764324.165071888</v>
      </c>
      <c r="N38" s="88">
        <f>NPV('Key Information'!$C$16,G39:G$61)*(1+'Key Information'!$C$16)</f>
        <v>17505234.120260388</v>
      </c>
      <c r="O38" s="88">
        <f>NPV('Key Information'!$C$16,H39:H$61)</f>
        <v>110398471.11352873</v>
      </c>
      <c r="P38" s="88">
        <f>NPV('Key Information'!$C$16,I39:I$61)*(1+'Key Information'!$C$16)</f>
        <v>245073277.68364552</v>
      </c>
      <c r="Q38" s="86"/>
      <c r="R38" s="89">
        <f>NPV('Key Information'!$C$16,K39:K$61)</f>
        <v>99358624.002175838</v>
      </c>
      <c r="S38" s="88">
        <f t="shared" si="0"/>
        <v>-61721999.324877083</v>
      </c>
      <c r="T38" s="88">
        <f t="shared" si="2"/>
        <v>41349770.673243307</v>
      </c>
      <c r="U38" s="89">
        <f t="shared" si="3"/>
        <v>-20372228.651633777</v>
      </c>
      <c r="W38" s="7"/>
      <c r="X38" s="8"/>
    </row>
    <row r="39" spans="1:24" x14ac:dyDescent="0.3">
      <c r="A39" s="90"/>
      <c r="B39" s="83">
        <v>2048</v>
      </c>
      <c r="C39" s="84">
        <v>29</v>
      </c>
      <c r="D39" s="89">
        <f>$D38*(1-'Key Information'!K35-'Key Information'!L35)*(1+'Key Information'!$C$21)</f>
        <v>4515416279.4657793</v>
      </c>
      <c r="E39" s="88">
        <f>$E38*(1-'Key Information'!K35-'Key Information'!L35)*(1+'Key Information'!G35)*(1+'Key Information'!$C$21)</f>
        <v>34370710.865511365</v>
      </c>
      <c r="F39" s="88">
        <f>$F38*(1-'Key Information'!K35-'Key Information'!L35)*(1+'Key Information'!$C$20)</f>
        <v>1941981.518269818</v>
      </c>
      <c r="G39" s="88">
        <f>E39*'Key Information'!$C$30</f>
        <v>1718535.5432755684</v>
      </c>
      <c r="H39" s="88">
        <f>D39*'Key Information'!K36</f>
        <v>13997790.466343915</v>
      </c>
      <c r="I39" s="88">
        <f>E39*IF($C$6="Y",'Key Information'!$C$44,'Key Information'!$C$40)</f>
        <v>24059497.605857953</v>
      </c>
      <c r="J39" s="86"/>
      <c r="K39" s="89">
        <f>H39*IF($C$6="Y",'Key Information'!$C$45,'Key Information'!$C$41)</f>
        <v>12598011.419709524</v>
      </c>
      <c r="L39" s="88">
        <f>NPV('Key Information'!$C$16,E40:E$61)*(1+'Key Information'!$C$16)</f>
        <v>325205990.68588734</v>
      </c>
      <c r="M39" s="88">
        <f>NPV('Key Information'!$C$16,F40:F$61)*(1+'Key Information'!$C$16)</f>
        <v>13207012.926206131</v>
      </c>
      <c r="N39" s="88">
        <f>NPV('Key Information'!$C$16,G40:G$61)*(1+'Key Information'!$C$16)</f>
        <v>16260299.534294369</v>
      </c>
      <c r="O39" s="88">
        <f>NPV('Key Information'!$C$16,H40:H$61)</f>
        <v>99712634.780590668</v>
      </c>
      <c r="P39" s="88">
        <f>NPV('Key Information'!$C$16,I40:I$61)*(1+'Key Information'!$C$16)</f>
        <v>227644193.48012108</v>
      </c>
      <c r="Q39" s="86"/>
      <c r="R39" s="89">
        <f>NPV('Key Information'!$C$16,K40:K$61)</f>
        <v>89741371.30253163</v>
      </c>
      <c r="S39" s="88">
        <f t="shared" si="0"/>
        <v>-58123221.267206728</v>
      </c>
      <c r="T39" s="88">
        <f t="shared" si="2"/>
        <v>38409063.952085875</v>
      </c>
      <c r="U39" s="89">
        <f t="shared" si="3"/>
        <v>-19714157.315120853</v>
      </c>
      <c r="W39" s="7"/>
      <c r="X39" s="8"/>
    </row>
    <row r="40" spans="1:24" x14ac:dyDescent="0.3">
      <c r="A40" s="90"/>
      <c r="B40" s="83">
        <v>2049</v>
      </c>
      <c r="C40" s="84">
        <v>30</v>
      </c>
      <c r="D40" s="89">
        <f>$D39*(1-'Key Information'!K36-'Key Information'!L36)*(1+'Key Information'!$C$21)</f>
        <v>4057182804.5930333</v>
      </c>
      <c r="E40" s="88">
        <f>$E39*(1-'Key Information'!K36-'Key Information'!L36)*(1+'Key Information'!G36)*(1+'Key Information'!$C$21)</f>
        <v>32271823.317686386</v>
      </c>
      <c r="F40" s="88">
        <f>$F39*(1-'Key Information'!K36-'Key Information'!L36)*(1+'Key Information'!$C$20)</f>
        <v>1762012.2650271994</v>
      </c>
      <c r="G40" s="88">
        <f>E40*'Key Information'!$C$30</f>
        <v>1613591.1658843195</v>
      </c>
      <c r="H40" s="88">
        <f>D40*'Key Information'!K37</f>
        <v>12982984.974697707</v>
      </c>
      <c r="I40" s="88">
        <f>E40*IF($C$6="Y",'Key Information'!$C$44,'Key Information'!$C$40)</f>
        <v>22590276.322380468</v>
      </c>
      <c r="J40" s="86"/>
      <c r="K40" s="89">
        <f>H40*IF($C$6="Y",'Key Information'!$C$45,'Key Information'!$C$41)</f>
        <v>11684686.477227937</v>
      </c>
      <c r="L40" s="88">
        <f>NPV('Key Information'!$C$16,E41:E$61)*(1+'Key Information'!$C$16)</f>
        <v>301722192.389247</v>
      </c>
      <c r="M40" s="88">
        <f>NPV('Key Information'!$C$16,F41:F$61)*(1+'Key Information'!$C$16)</f>
        <v>11788350.681014301</v>
      </c>
      <c r="N40" s="88">
        <f>NPV('Key Information'!$C$16,G41:G$61)*(1+'Key Information'!$C$16)</f>
        <v>15086109.619462347</v>
      </c>
      <c r="O40" s="88">
        <f>NPV('Key Information'!$C$16,H41:H$61)</f>
        <v>89721028.849310696</v>
      </c>
      <c r="P40" s="88">
        <f>NPV('Key Information'!$C$16,I41:I$61)*(1+'Key Information'!$C$16)</f>
        <v>211205534.67247283</v>
      </c>
      <c r="Q40" s="86"/>
      <c r="R40" s="89">
        <f>NPV('Key Information'!$C$16,K41:K$61)</f>
        <v>80748925.964379594</v>
      </c>
      <c r="S40" s="88">
        <f t="shared" si="0"/>
        <v>-54670094.531366423</v>
      </c>
      <c r="T40" s="88">
        <f t="shared" si="2"/>
        <v>35635465.874414653</v>
      </c>
      <c r="U40" s="89">
        <f t="shared" si="3"/>
        <v>-19034628.65695177</v>
      </c>
      <c r="W40" s="7"/>
      <c r="X40" s="8"/>
    </row>
    <row r="41" spans="1:24" x14ac:dyDescent="0.3">
      <c r="A41" s="90"/>
      <c r="B41" s="83">
        <v>2050</v>
      </c>
      <c r="C41" s="84">
        <v>31</v>
      </c>
      <c r="D41" s="89">
        <f>$D40*(1-'Key Information'!K37-'Key Information'!L37)*(1+'Key Information'!$C$21)</f>
        <v>3640899620.11057</v>
      </c>
      <c r="E41" s="88">
        <f>$E40*(1-'Key Information'!K37-'Key Information'!L37)*(1+'Key Information'!G37)*(1+'Key Information'!$C$21)</f>
        <v>30315375.65787844</v>
      </c>
      <c r="F41" s="88">
        <f>$F40*(1-'Key Information'!K37-'Key Information'!L37)*(1+'Key Information'!$C$20)</f>
        <v>1596724.9424940581</v>
      </c>
      <c r="G41" s="88">
        <f>E41*'Key Information'!$C$30</f>
        <v>1515768.7828939222</v>
      </c>
      <c r="H41" s="88">
        <f>D41*'Key Information'!K38</f>
        <v>12014968.74636488</v>
      </c>
      <c r="I41" s="88">
        <f>E41*IF($C$6="Y",'Key Information'!$C$44,'Key Information'!$C$40)</f>
        <v>21220762.960514907</v>
      </c>
      <c r="J41" s="86"/>
      <c r="K41" s="89">
        <f>H41*IF($C$6="Y",'Key Information'!$C$45,'Key Information'!$C$41)</f>
        <v>10813471.871728392</v>
      </c>
      <c r="L41" s="88">
        <f>NPV('Key Information'!$C$16,E42:E$61)*(1+'Key Information'!$C$16)</f>
        <v>279549021.23330969</v>
      </c>
      <c r="M41" s="88">
        <f>NPV('Key Information'!$C$16,F42:F$61)*(1+'Key Information'!$C$16)</f>
        <v>10497374.510675844</v>
      </c>
      <c r="N41" s="88">
        <f>NPV('Key Information'!$C$16,G42:G$61)*(1+'Key Information'!$C$16)</f>
        <v>13977451.061665483</v>
      </c>
      <c r="O41" s="88">
        <f>NPV('Key Information'!$C$16,H42:H$61)</f>
        <v>80397690.968425155</v>
      </c>
      <c r="P41" s="88">
        <f>NPV('Key Information'!$C$16,I42:I$61)*(1+'Key Information'!$C$16)</f>
        <v>195684314.86331674</v>
      </c>
      <c r="Q41" s="86"/>
      <c r="R41" s="89">
        <f>NPV('Key Information'!$C$16,K42:K$61)</f>
        <v>72357921.871582612</v>
      </c>
      <c r="S41" s="88">
        <f t="shared" si="0"/>
        <v>-51350111.700809076</v>
      </c>
      <c r="T41" s="88">
        <f t="shared" si="2"/>
        <v>33016661.875285551</v>
      </c>
      <c r="U41" s="89">
        <f t="shared" si="3"/>
        <v>-18333449.825523525</v>
      </c>
      <c r="W41" s="7"/>
      <c r="X41" s="8"/>
    </row>
    <row r="42" spans="1:24" x14ac:dyDescent="0.3">
      <c r="A42" s="90"/>
      <c r="B42" s="83">
        <v>2051</v>
      </c>
      <c r="C42" s="84">
        <v>32</v>
      </c>
      <c r="D42" s="89">
        <f>$D41*(1-'Key Information'!K38-'Key Information'!L38)*(1+'Key Information'!$C$21)</f>
        <v>3259529948.5024681</v>
      </c>
      <c r="E42" s="88">
        <f>$E41*(1-'Key Information'!K38-'Key Information'!L38)*(1+'Key Information'!G38)*(1+'Key Information'!$C$21)</f>
        <v>28460346.563693248</v>
      </c>
      <c r="F42" s="88">
        <f>$F41*(1-'Key Information'!K38-'Key Information'!L38)*(1+'Key Information'!$C$20)</f>
        <v>1443488.8464878458</v>
      </c>
      <c r="G42" s="88">
        <f>E42*'Key Information'!$C$30</f>
        <v>1423017.3281846624</v>
      </c>
      <c r="H42" s="88">
        <f>D42*'Key Information'!K39</f>
        <v>10756448.830058144</v>
      </c>
      <c r="I42" s="88">
        <f>E42*IF($C$6="Y",'Key Information'!$C$44,'Key Information'!$C$40)</f>
        <v>19922242.594585273</v>
      </c>
      <c r="J42" s="86"/>
      <c r="K42" s="89">
        <f>H42*IF($C$6="Y",'Key Information'!$C$45,'Key Information'!$C$41)</f>
        <v>9680803.9470523298</v>
      </c>
      <c r="L42" s="88">
        <f>NPV('Key Information'!$C$16,E43:E$61)*(1+'Key Information'!$C$16)</f>
        <v>258621334.90970486</v>
      </c>
      <c r="M42" s="88">
        <f>NPV('Key Information'!$C$16,F43:F$61)*(1+'Key Information'!$C$16)</f>
        <v>9325502.2341136429</v>
      </c>
      <c r="N42" s="88">
        <f>NPV('Key Information'!$C$16,G43:G$61)*(1+'Key Information'!$C$16)</f>
        <v>12931066.745485242</v>
      </c>
      <c r="O42" s="88">
        <f>NPV('Key Information'!$C$16,H43:H$61)</f>
        <v>72053172.867419764</v>
      </c>
      <c r="P42" s="88">
        <f>NPV('Key Information'!$C$16,I43:I$61)*(1+'Key Information'!$C$16)</f>
        <v>181034934.43679339</v>
      </c>
      <c r="Q42" s="86"/>
      <c r="R42" s="89">
        <f>NPV('Key Information'!$C$16,K43:K$61)</f>
        <v>64847855.58067777</v>
      </c>
      <c r="S42" s="88">
        <f t="shared" si="0"/>
        <v>-48124514.206570588</v>
      </c>
      <c r="T42" s="88">
        <f t="shared" si="2"/>
        <v>30544958.200094268</v>
      </c>
      <c r="U42" s="89">
        <f t="shared" si="3"/>
        <v>-17579556.00647632</v>
      </c>
      <c r="W42" s="7"/>
      <c r="X42" s="8"/>
    </row>
    <row r="43" spans="1:24" x14ac:dyDescent="0.3">
      <c r="A43" s="90"/>
      <c r="B43" s="83">
        <v>2052</v>
      </c>
      <c r="C43" s="84">
        <v>33</v>
      </c>
      <c r="D43" s="89">
        <f>$D42*(1-'Key Information'!K39-'Key Information'!L39)*(1+'Key Information'!$C$21)</f>
        <v>2914782503.9691563</v>
      </c>
      <c r="E43" s="88">
        <f>$E42*(1-'Key Information'!K39-'Key Information'!L39)*(1+'Key Information'!G39)*(1+'Key Information'!$C$21)</f>
        <v>26737913.831021704</v>
      </c>
      <c r="F43" s="88">
        <f>$F42*(1-'Key Information'!K39-'Key Information'!L39)*(1+'Key Information'!$C$20)</f>
        <v>1303471.8718673713</v>
      </c>
      <c r="G43" s="88">
        <f>E43*'Key Information'!$C$30</f>
        <v>1336895.6915510853</v>
      </c>
      <c r="H43" s="88">
        <f>D43*'Key Information'!K40</f>
        <v>9618782.2630982157</v>
      </c>
      <c r="I43" s="88">
        <f>E43*IF($C$6="Y",'Key Information'!$C$44,'Key Information'!$C$40)</f>
        <v>18716539.68171519</v>
      </c>
      <c r="J43" s="86"/>
      <c r="K43" s="89">
        <f>H43*IF($C$6="Y",'Key Information'!$C$45,'Key Information'!$C$41)</f>
        <v>8656904.0367883947</v>
      </c>
      <c r="L43" s="88">
        <f>NPV('Key Information'!$C$16,E44:E$61)*(1+'Key Information'!$C$16)</f>
        <v>238839923.71104366</v>
      </c>
      <c r="M43" s="88">
        <f>NPV('Key Information'!$C$16,F44:F$61)*(1+'Key Information'!$C$16)</f>
        <v>8262691.2731136605</v>
      </c>
      <c r="N43" s="88">
        <f>NPV('Key Information'!$C$16,G44:G$61)*(1+'Key Information'!$C$16)</f>
        <v>11941996.185552184</v>
      </c>
      <c r="O43" s="88">
        <f>NPV('Key Information'!$C$16,H44:H$61)</f>
        <v>64595985.790344127</v>
      </c>
      <c r="P43" s="88">
        <f>NPV('Key Information'!$C$16,I44:I$61)*(1+'Key Information'!$C$16)</f>
        <v>167187946.59773049</v>
      </c>
      <c r="Q43" s="86"/>
      <c r="R43" s="89">
        <f>NPV('Key Information'!$C$16,K44:K$61)</f>
        <v>58136387.211309716</v>
      </c>
      <c r="S43" s="88">
        <f t="shared" si="0"/>
        <v>-44987691.075612918</v>
      </c>
      <c r="T43" s="88">
        <f t="shared" si="2"/>
        <v>28208637.500129811</v>
      </c>
      <c r="U43" s="89">
        <f t="shared" si="3"/>
        <v>-16779053.575483106</v>
      </c>
      <c r="W43" s="7"/>
      <c r="X43" s="8"/>
    </row>
    <row r="44" spans="1:24" x14ac:dyDescent="0.3">
      <c r="A44" s="90"/>
      <c r="B44" s="83">
        <v>2053</v>
      </c>
      <c r="C44" s="84">
        <v>34</v>
      </c>
      <c r="D44" s="89">
        <f>$D43*(1-'Key Information'!K40-'Key Information'!L40)*(1+'Key Information'!$C$21)</f>
        <v>2603524539.5003057</v>
      </c>
      <c r="E44" s="88">
        <f>$E43*(1-'Key Information'!K40-'Key Information'!L40)*(1+'Key Information'!G40)*(1+'Key Information'!$C$21)</f>
        <v>25139406.57726362</v>
      </c>
      <c r="F44" s="88">
        <f>$F43*(1-'Key Information'!K40-'Key Information'!L40)*(1+'Key Information'!$C$20)</f>
        <v>1175693.8277400848</v>
      </c>
      <c r="G44" s="88">
        <f>E44*'Key Information'!$C$30</f>
        <v>1256970.3288631809</v>
      </c>
      <c r="H44" s="88">
        <f>D44*'Key Information'!K41</f>
        <v>9112335.8882510699</v>
      </c>
      <c r="I44" s="88">
        <f>E44*IF($C$6="Y",'Key Information'!$C$44,'Key Information'!$C$40)</f>
        <v>17597584.604084533</v>
      </c>
      <c r="J44" s="86"/>
      <c r="K44" s="89">
        <f>H44*IF($C$6="Y",'Key Information'!$C$45,'Key Information'!$C$41)</f>
        <v>8201102.2994259633</v>
      </c>
      <c r="L44" s="88">
        <f>NPV('Key Information'!$C$16,E45:E$61)*(1+'Key Information'!$C$16)</f>
        <v>220111532.64779338</v>
      </c>
      <c r="M44" s="88">
        <f>NPV('Key Information'!$C$16,F45:F$61)*(1+'Key Information'!$C$16)</f>
        <v>7299607.3687347807</v>
      </c>
      <c r="N44" s="88">
        <f>NPV('Key Information'!$C$16,G45:G$61)*(1+'Key Information'!$C$16)</f>
        <v>11005576.632389672</v>
      </c>
      <c r="O44" s="88">
        <f>NPV('Key Information'!$C$16,H45:H$61)</f>
        <v>57421529.475803368</v>
      </c>
      <c r="P44" s="88">
        <f>NPV('Key Information'!$C$16,I45:I$61)*(1+'Key Information'!$C$16)</f>
        <v>154078072.85345539</v>
      </c>
      <c r="Q44" s="86"/>
      <c r="R44" s="89">
        <f>NPV('Key Information'!$C$16,K45:K$61)</f>
        <v>51679376.52822306</v>
      </c>
      <c r="S44" s="88">
        <f t="shared" si="0"/>
        <v>-41986122.845633231</v>
      </c>
      <c r="T44" s="88">
        <f t="shared" si="2"/>
        <v>25996685.71981081</v>
      </c>
      <c r="U44" s="89">
        <f t="shared" si="3"/>
        <v>-15989437.125822421</v>
      </c>
      <c r="W44" s="7"/>
      <c r="X44" s="8"/>
    </row>
    <row r="45" spans="1:24" x14ac:dyDescent="0.3">
      <c r="A45" s="90"/>
      <c r="B45" s="83">
        <v>2054</v>
      </c>
      <c r="C45" s="84">
        <v>35</v>
      </c>
      <c r="D45" s="89">
        <f>$D44*(1-'Key Information'!K41-'Key Information'!L41)*(1+'Key Information'!$C$21)</f>
        <v>2322317853.9888778</v>
      </c>
      <c r="E45" s="88">
        <f>$E44*(1-'Key Information'!K41-'Key Information'!L41)*(1+'Key Information'!G41)*(1+'Key Information'!$C$21)</f>
        <v>23651274.171324015</v>
      </c>
      <c r="F45" s="88">
        <f>$F44*(1-'Key Information'!K41-'Key Information'!L41)*(1+'Key Information'!$C$20)</f>
        <v>1058988.5799294654</v>
      </c>
      <c r="G45" s="88">
        <f>E45*'Key Information'!$C$30</f>
        <v>1182563.7085662007</v>
      </c>
      <c r="H45" s="88">
        <f>D45*'Key Information'!K42</f>
        <v>8128112.4889610726</v>
      </c>
      <c r="I45" s="88">
        <f>E45*IF($C$6="Y",'Key Information'!$C$44,'Key Information'!$C$40)</f>
        <v>16555891.919926809</v>
      </c>
      <c r="J45" s="86"/>
      <c r="K45" s="89">
        <f>H45*IF($C$6="Y",'Key Information'!$C$45,'Key Information'!$C$41)</f>
        <v>7315301.2400649656</v>
      </c>
      <c r="L45" s="88">
        <f>NPV('Key Information'!$C$16,E46:E$61)*(1+'Key Information'!$C$16)</f>
        <v>202354066.23076347</v>
      </c>
      <c r="M45" s="88">
        <f>NPV('Key Information'!$C$16,F46:F$61)*(1+'Key Information'!$C$16)</f>
        <v>6427837.3524694778</v>
      </c>
      <c r="N45" s="88">
        <f>NPV('Key Information'!$C$16,G46:G$61)*(1+'Key Information'!$C$16)</f>
        <v>10117703.311538173</v>
      </c>
      <c r="O45" s="88">
        <f>NPV('Key Information'!$C$16,H46:H$61)</f>
        <v>51016062.871116422</v>
      </c>
      <c r="P45" s="88">
        <f>NPV('Key Information'!$C$16,I46:I$61)*(1+'Key Information'!$C$16)</f>
        <v>141647846.36153442</v>
      </c>
      <c r="Q45" s="86"/>
      <c r="R45" s="89">
        <f>NPV('Key Information'!$C$16,K46:K$61)</f>
        <v>45914456.58400476</v>
      </c>
      <c r="S45" s="88">
        <f t="shared" si="0"/>
        <v>-39059072.918109715</v>
      </c>
      <c r="T45" s="88">
        <f t="shared" si="2"/>
        <v>23899406.817290526</v>
      </c>
      <c r="U45" s="89">
        <f t="shared" si="3"/>
        <v>-15159666.100819189</v>
      </c>
      <c r="W45" s="7"/>
      <c r="X45" s="8"/>
    </row>
    <row r="46" spans="1:24" x14ac:dyDescent="0.3">
      <c r="A46" s="90"/>
      <c r="B46" s="83">
        <v>2055</v>
      </c>
      <c r="C46" s="84">
        <v>36</v>
      </c>
      <c r="D46" s="89">
        <f>$D45*(1-'Key Information'!K42-'Key Information'!L42)*(1+'Key Information'!$C$21)</f>
        <v>2069115538.3684704</v>
      </c>
      <c r="E46" s="88">
        <f>$E45*(1-'Key Information'!K42-'Key Information'!L42)*(1+'Key Information'!G42)*(1+'Key Information'!$C$21)</f>
        <v>22271916.025932573</v>
      </c>
      <c r="F46" s="88">
        <f>$F45*(1-'Key Information'!K42-'Key Information'!L42)*(1+'Key Information'!$C$20)</f>
        <v>952777.32030543976</v>
      </c>
      <c r="G46" s="88">
        <f>E46*'Key Information'!$C$30</f>
        <v>1113595.8012966288</v>
      </c>
      <c r="H46" s="88">
        <f>D46*'Key Information'!K43</f>
        <v>7448815.9381264932</v>
      </c>
      <c r="I46" s="88">
        <f>E46*IF($C$6="Y",'Key Information'!$C$44,'Key Information'!$C$40)</f>
        <v>15590341.218152801</v>
      </c>
      <c r="J46" s="86"/>
      <c r="K46" s="89">
        <f>H46*IF($C$6="Y",'Key Information'!$C$45,'Key Information'!$C$41)</f>
        <v>6703934.3443138441</v>
      </c>
      <c r="L46" s="88">
        <f>NPV('Key Information'!$C$16,E47:E$61)*(1+'Key Information'!$C$16)</f>
        <v>185484614.71097586</v>
      </c>
      <c r="M46" s="88">
        <f>NPV('Key Information'!$C$16,F47:F$61)*(1+'Key Information'!$C$16)</f>
        <v>5639311.8331289589</v>
      </c>
      <c r="N46" s="88">
        <f>NPV('Key Information'!$C$16,G47:G$61)*(1+'Key Information'!$C$16)</f>
        <v>9274230.7355487943</v>
      </c>
      <c r="O46" s="88">
        <f>NPV('Key Information'!$C$16,H47:H$61)</f>
        <v>45097728.819123417</v>
      </c>
      <c r="P46" s="88">
        <f>NPV('Key Information'!$C$16,I47:I$61)*(1+'Key Information'!$C$16)</f>
        <v>129839230.29768309</v>
      </c>
      <c r="Q46" s="86"/>
      <c r="R46" s="89">
        <f>NPV('Key Information'!$C$16,K47:K$61)</f>
        <v>40587955.937211074</v>
      </c>
      <c r="S46" s="88">
        <f t="shared" si="0"/>
        <v>-36222068.962702669</v>
      </c>
      <c r="T46" s="88">
        <f t="shared" si="2"/>
        <v>21907008.581041638</v>
      </c>
      <c r="U46" s="89">
        <f t="shared" si="3"/>
        <v>-14315060.381661031</v>
      </c>
      <c r="W46" s="7"/>
      <c r="X46" s="8"/>
    </row>
    <row r="47" spans="1:24" x14ac:dyDescent="0.3">
      <c r="A47" s="90"/>
      <c r="B47" s="83">
        <v>2056</v>
      </c>
      <c r="C47" s="84">
        <v>37</v>
      </c>
      <c r="D47" s="89">
        <f>$D46*(1-'Key Information'!K43-'Key Information'!L43)*(1+'Key Information'!$C$21)</f>
        <v>1839087825.7369707</v>
      </c>
      <c r="E47" s="88">
        <f>$E46*(1-'Key Information'!K43-'Key Information'!L43)*(1+'Key Information'!G43)*(1+'Key Information'!$C$21)</f>
        <v>20967648.476870921</v>
      </c>
      <c r="F47" s="88">
        <f>$F46*(1-'Key Information'!K43-'Key Information'!L43)*(1+'Key Information'!$C$20)</f>
        <v>855157.66162158491</v>
      </c>
      <c r="G47" s="88">
        <f>E47*'Key Information'!$C$30</f>
        <v>1048382.4238435461</v>
      </c>
      <c r="H47" s="88">
        <f>D47*'Key Information'!K44</f>
        <v>6804624.955226792</v>
      </c>
      <c r="I47" s="88">
        <f>E47*IF($C$6="Y",'Key Information'!$C$44,'Key Information'!$C$40)</f>
        <v>14677353.933809644</v>
      </c>
      <c r="J47" s="86"/>
      <c r="K47" s="89">
        <f>H47*IF($C$6="Y",'Key Information'!$C$45,'Key Information'!$C$41)</f>
        <v>6124162.4597041132</v>
      </c>
      <c r="L47" s="88">
        <f>NPV('Key Information'!$C$16,E48:E$61)*(1+'Key Information'!$C$16)</f>
        <v>169452475.22112808</v>
      </c>
      <c r="M47" s="88">
        <f>NPV('Key Information'!$C$16,F48:F$61)*(1+'Key Information'!$C$16)</f>
        <v>4927678.7966525936</v>
      </c>
      <c r="N47" s="88">
        <f>NPV('Key Information'!$C$16,G48:G$61)*(1+'Key Information'!$C$16)</f>
        <v>8472623.7610564046</v>
      </c>
      <c r="O47" s="88">
        <f>NPV('Key Information'!$C$16,H48:H$61)</f>
        <v>39646035.728470318</v>
      </c>
      <c r="P47" s="88">
        <f>NPV('Key Information'!$C$16,I48:I$61)*(1+'Key Information'!$C$16)</f>
        <v>118616732.65478961</v>
      </c>
      <c r="Q47" s="86"/>
      <c r="R47" s="89">
        <f>NPV('Key Information'!$C$16,K48:K$61)</f>
        <v>35681432.155623287</v>
      </c>
      <c r="S47" s="88">
        <f t="shared" si="0"/>
        <v>-33470836.435782433</v>
      </c>
      <c r="T47" s="88">
        <f t="shared" si="2"/>
        <v>20013502.653750468</v>
      </c>
      <c r="U47" s="89">
        <f t="shared" si="3"/>
        <v>-13457333.782031965</v>
      </c>
      <c r="W47" s="7"/>
      <c r="X47" s="8"/>
    </row>
    <row r="48" spans="1:24" x14ac:dyDescent="0.3">
      <c r="A48" s="90"/>
      <c r="B48" s="83">
        <v>2057</v>
      </c>
      <c r="C48" s="84">
        <v>38</v>
      </c>
      <c r="D48" s="89">
        <f>$D47*(1-'Key Information'!K44-'Key Information'!L44)*(1+'Key Information'!$C$21)</f>
        <v>1632569297.4336631</v>
      </c>
      <c r="E48" s="88">
        <f>$E47*(1-'Key Information'!K44-'Key Information'!L44)*(1+'Key Information'!G44)*(1+'Key Information'!$C$21)</f>
        <v>19758911.417117421</v>
      </c>
      <c r="F48" s="88">
        <f>$F47*(1-'Key Information'!K44-'Key Information'!L44)*(1+'Key Information'!$C$20)</f>
        <v>766571.02429654333</v>
      </c>
      <c r="G48" s="88">
        <f>E48*'Key Information'!$C$30</f>
        <v>987945.57085587108</v>
      </c>
      <c r="H48" s="88">
        <f>D48*'Key Information'!K45</f>
        <v>6040506.4005045537</v>
      </c>
      <c r="I48" s="88">
        <f>E48*IF($C$6="Y",'Key Information'!$C$44,'Key Information'!$C$40)</f>
        <v>13831237.991982194</v>
      </c>
      <c r="J48" s="86"/>
      <c r="K48" s="89">
        <f>H48*IF($C$6="Y",'Key Information'!$C$45,'Key Information'!$C$41)</f>
        <v>5436455.7604540987</v>
      </c>
      <c r="L48" s="88">
        <f>NPV('Key Information'!$C$16,E49:E$61)*(1+'Key Information'!$C$16)</f>
        <v>154184370.71813095</v>
      </c>
      <c r="M48" s="88">
        <f>NPV('Key Information'!$C$16,F49:F$61)*(1+'Key Information'!$C$16)</f>
        <v>4285941.0055267327</v>
      </c>
      <c r="N48" s="88">
        <f>NPV('Key Information'!$C$16,G49:G$61)*(1+'Key Information'!$C$16)</f>
        <v>7709218.5359065495</v>
      </c>
      <c r="O48" s="88">
        <f>NPV('Key Information'!$C$16,H49:H$61)</f>
        <v>34794910.399819881</v>
      </c>
      <c r="P48" s="88">
        <f>NPV('Key Information'!$C$16,I49:I$61)*(1+'Key Information'!$C$16)</f>
        <v>107929059.50269169</v>
      </c>
      <c r="Q48" s="86"/>
      <c r="R48" s="89">
        <f>NPV('Key Information'!$C$16,K49:K$61)</f>
        <v>31315419.35983789</v>
      </c>
      <c r="S48" s="88">
        <f t="shared" si="0"/>
        <v>-30780660.634023979</v>
      </c>
      <c r="T48" s="88">
        <f t="shared" si="2"/>
        <v>18210234.512699597</v>
      </c>
      <c r="U48" s="89">
        <f t="shared" si="3"/>
        <v>-12570426.121324383</v>
      </c>
      <c r="W48" s="7"/>
      <c r="X48" s="8"/>
    </row>
    <row r="49" spans="1:24" x14ac:dyDescent="0.3">
      <c r="A49" s="90"/>
      <c r="B49" s="83">
        <v>2058</v>
      </c>
      <c r="C49" s="84">
        <v>39</v>
      </c>
      <c r="D49" s="89">
        <f>$D48*(1-'Key Information'!K45-'Key Information'!L45)*(1+'Key Information'!$C$21)</f>
        <v>1447576340.064265</v>
      </c>
      <c r="E49" s="88">
        <f>$E48*(1-'Key Information'!K45-'Key Information'!L45)*(1+'Key Information'!G45)*(1+'Key Information'!$C$21)</f>
        <v>18641600.950170115</v>
      </c>
      <c r="F49" s="88">
        <f>$F48*(1-'Key Information'!K45-'Key Information'!L45)*(1+'Key Information'!$C$20)</f>
        <v>686371.59716361458</v>
      </c>
      <c r="G49" s="88">
        <f>E49*'Key Information'!$C$30</f>
        <v>932080.04750850576</v>
      </c>
      <c r="H49" s="88">
        <f>D49*'Key Information'!K46</f>
        <v>5500790.0922442069</v>
      </c>
      <c r="I49" s="88">
        <f>E49*IF($C$6="Y",'Key Information'!$C$44,'Key Information'!$C$40)</f>
        <v>13049120.66511908</v>
      </c>
      <c r="J49" s="86"/>
      <c r="K49" s="89">
        <f>H49*IF($C$6="Y",'Key Information'!$C$45,'Key Information'!$C$41)</f>
        <v>4950711.0830197865</v>
      </c>
      <c r="L49" s="88">
        <f>NPV('Key Information'!$C$16,E50:E$61)*(1+'Key Information'!$C$16)</f>
        <v>139609052.8609997</v>
      </c>
      <c r="M49" s="88">
        <f>NPV('Key Information'!$C$16,F50:F$61)*(1+'Key Information'!$C$16)</f>
        <v>3707556.4906140114</v>
      </c>
      <c r="N49" s="88">
        <f>NPV('Key Information'!$C$16,G50:G$61)*(1+'Key Information'!$C$16)</f>
        <v>6980452.6430499833</v>
      </c>
      <c r="O49" s="88">
        <f>NPV('Key Information'!$C$16,H50:H$61)</f>
        <v>30337967.61957027</v>
      </c>
      <c r="P49" s="88">
        <f>NPV('Key Information'!$C$16,I50:I$61)*(1+'Key Information'!$C$16)</f>
        <v>97726337.002699792</v>
      </c>
      <c r="Q49" s="86"/>
      <c r="R49" s="89">
        <f>NPV('Key Information'!$C$16,K50:K$61)</f>
        <v>27304170.857613243</v>
      </c>
      <c r="S49" s="88">
        <f t="shared" si="0"/>
        <v>-28160909.962678887</v>
      </c>
      <c r="T49" s="88">
        <f t="shared" si="2"/>
        <v>16488789.238841584</v>
      </c>
      <c r="U49" s="89">
        <f t="shared" si="3"/>
        <v>-11672120.723837303</v>
      </c>
      <c r="W49" s="7"/>
      <c r="X49" s="8"/>
    </row>
    <row r="50" spans="1:24" x14ac:dyDescent="0.3">
      <c r="A50" s="90"/>
      <c r="B50" s="83">
        <v>2059</v>
      </c>
      <c r="C50" s="84">
        <v>40</v>
      </c>
      <c r="D50" s="89">
        <f>$D49*(1-'Key Information'!K46-'Key Information'!L46)*(1+'Key Information'!$C$21)</f>
        <v>1281921494.0126708</v>
      </c>
      <c r="E50" s="88">
        <f>$E49*(1-'Key Information'!K46-'Key Information'!L46)*(1+'Key Information'!G46)*(1+'Key Information'!$C$21)</f>
        <v>17607491.709410392</v>
      </c>
      <c r="F50" s="88">
        <f>$F49*(1-'Key Information'!K46-'Key Information'!L46)*(1+'Key Information'!$C$20)</f>
        <v>613785.05527717364</v>
      </c>
      <c r="G50" s="88">
        <f>E50*'Key Information'!$C$30</f>
        <v>880374.58547051961</v>
      </c>
      <c r="H50" s="88">
        <f>D50*'Key Information'!K47</f>
        <v>4999493.8266494153</v>
      </c>
      <c r="I50" s="88">
        <f>E50*IF($C$6="Y",'Key Information'!$C$44,'Key Information'!$C$40)</f>
        <v>12325244.196587274</v>
      </c>
      <c r="J50" s="86"/>
      <c r="K50" s="89">
        <f>H50*IF($C$6="Y",'Key Information'!$C$45,'Key Information'!$C$41)</f>
        <v>4499544.4439844741</v>
      </c>
      <c r="L50" s="88">
        <f>NPV('Key Information'!$C$16,E51:E$61)*(1+'Key Information'!$C$16)</f>
        <v>125661607.98613697</v>
      </c>
      <c r="M50" s="88">
        <f>NPV('Key Information'!$C$16,F51:F$61)*(1+'Key Information'!$C$16)</f>
        <v>3186584.5783969434</v>
      </c>
      <c r="N50" s="88">
        <f>NPV('Key Information'!$C$16,G51:G$61)*(1+'Key Information'!$C$16)</f>
        <v>6283080.3993068496</v>
      </c>
      <c r="O50" s="88">
        <f>NPV('Key Information'!$C$16,H51:H$61)</f>
        <v>26248612.821507968</v>
      </c>
      <c r="P50" s="88">
        <f>NPV('Key Information'!$C$16,I51:I$61)*(1+'Key Information'!$C$16)</f>
        <v>87963125.590295896</v>
      </c>
      <c r="Q50" s="86"/>
      <c r="R50" s="89">
        <f>NPV('Key Information'!$C$16,K51:K$61)</f>
        <v>23623751.53935717</v>
      </c>
      <c r="S50" s="88">
        <f t="shared" si="0"/>
        <v>-25603956.135986477</v>
      </c>
      <c r="T50" s="88">
        <f t="shared" si="2"/>
        <v>14841500.082092226</v>
      </c>
      <c r="U50" s="89">
        <f t="shared" si="3"/>
        <v>-10762456.053894252</v>
      </c>
      <c r="W50" s="7"/>
      <c r="X50" s="8"/>
    </row>
    <row r="51" spans="1:24" x14ac:dyDescent="0.3">
      <c r="A51" s="90"/>
      <c r="B51" s="83">
        <v>2060</v>
      </c>
      <c r="C51" s="84">
        <v>41</v>
      </c>
      <c r="D51" s="89">
        <f>$D50*(1-'Key Information'!K47-'Key Information'!L47)*(1+'Key Information'!$C$21)</f>
        <v>1132477650.0836616</v>
      </c>
      <c r="E51" s="88">
        <f>$E50*(1-'Key Information'!K47-'Key Information'!L47)*(1+'Key Information'!G47)*(1+'Key Information'!$C$21)</f>
        <v>16631948.439559031</v>
      </c>
      <c r="F51" s="88">
        <f>$F50*(1-'Key Information'!K47-'Key Information'!L47)*(1+'Key Information'!$C$20)</f>
        <v>547547.21346682683</v>
      </c>
      <c r="G51" s="88">
        <f>E51*'Key Information'!$C$30</f>
        <v>831597.42197795166</v>
      </c>
      <c r="H51" s="88">
        <f>D51*'Key Information'!K48</f>
        <v>4416662.8353262795</v>
      </c>
      <c r="I51" s="88">
        <f>E51*IF($C$6="Y",'Key Information'!$C$44,'Key Information'!$C$40)</f>
        <v>11642363.90769132</v>
      </c>
      <c r="J51" s="86"/>
      <c r="K51" s="89">
        <f>H51*IF($C$6="Y",'Key Information'!$C$45,'Key Information'!$C$41)</f>
        <v>3974996.5517936517</v>
      </c>
      <c r="L51" s="88">
        <f>NPV('Key Information'!$C$16,E52:E$61)*(1+'Key Information'!$C$16)</f>
        <v>112300549.3329753</v>
      </c>
      <c r="M51" s="88">
        <f>NPV('Key Information'!$C$16,F52:F$61)*(1+'Key Information'!$C$16)</f>
        <v>2718208.4858780201</v>
      </c>
      <c r="N51" s="88">
        <f>NPV('Key Information'!$C$16,G52:G$61)*(1+'Key Information'!$C$16)</f>
        <v>5615027.466648764</v>
      </c>
      <c r="O51" s="88">
        <f>NPV('Key Information'!$C$16,H52:H$61)</f>
        <v>22619408.370826922</v>
      </c>
      <c r="P51" s="88">
        <f>NPV('Key Information'!$C$16,I52:I$61)*(1+'Key Information'!$C$16)</f>
        <v>78610384.533082694</v>
      </c>
      <c r="Q51" s="86"/>
      <c r="R51" s="89">
        <f>NPV('Key Information'!$C$16,K52:K$61)</f>
        <v>20357467.533744227</v>
      </c>
      <c r="S51" s="88">
        <f t="shared" si="0"/>
        <v>-23094988.010283124</v>
      </c>
      <c r="T51" s="88">
        <f t="shared" si="2"/>
        <v>13263467.170722714</v>
      </c>
      <c r="U51" s="89">
        <f t="shared" si="3"/>
        <v>-9831520.83956041</v>
      </c>
      <c r="W51" s="7"/>
      <c r="X51" s="8"/>
    </row>
    <row r="52" spans="1:24" x14ac:dyDescent="0.3">
      <c r="A52" s="90"/>
      <c r="B52" s="83">
        <v>2061</v>
      </c>
      <c r="C52" s="84">
        <v>42</v>
      </c>
      <c r="D52" s="89">
        <f>$D51*(1-'Key Information'!K48-'Key Information'!L48)*(1+'Key Information'!$C$21)</f>
        <v>999300543.3891232</v>
      </c>
      <c r="E52" s="88">
        <f>$E51*(1-'Key Information'!K48-'Key Information'!L48)*(1+'Key Information'!G48)*(1+'Key Information'!$C$21)</f>
        <v>15732965.897807619</v>
      </c>
      <c r="F52" s="88">
        <f>$F51*(1-'Key Information'!K48-'Key Information'!L48)*(1+'Key Information'!$C$20)</f>
        <v>487893.58720125642</v>
      </c>
      <c r="G52" s="88">
        <f>E52*'Key Information'!$C$30</f>
        <v>786648.29489038093</v>
      </c>
      <c r="H52" s="88">
        <f>D52*'Key Information'!K49</f>
        <v>4097132.2278954056</v>
      </c>
      <c r="I52" s="88">
        <f>E52*IF($C$6="Y",'Key Information'!$C$44,'Key Information'!$C$40)</f>
        <v>11013076.128465332</v>
      </c>
      <c r="J52" s="86"/>
      <c r="K52" s="89">
        <f>H52*IF($C$6="Y",'Key Information'!$C$45,'Key Information'!$C$41)</f>
        <v>3687419.0051058652</v>
      </c>
      <c r="L52" s="88">
        <f>NPV('Key Information'!$C$16,E53:E$61)*(1+'Key Information'!$C$16)</f>
        <v>99464610.938222691</v>
      </c>
      <c r="M52" s="88">
        <f>NPV('Key Information'!$C$16,F53:F$61)*(1+'Key Information'!$C$16)</f>
        <v>2297224.3456370663</v>
      </c>
      <c r="N52" s="88">
        <f>NPV('Key Information'!$C$16,G53:G$61)*(1+'Key Information'!$C$16)</f>
        <v>4973230.5469111344</v>
      </c>
      <c r="O52" s="88">
        <f>NPV('Key Information'!$C$16,H53:H$61)</f>
        <v>19200858.394056324</v>
      </c>
      <c r="P52" s="88">
        <f>NPV('Key Information'!$C$16,I53:I$61)*(1+'Key Information'!$C$16)</f>
        <v>69625227.65675588</v>
      </c>
      <c r="Q52" s="86"/>
      <c r="R52" s="89">
        <f>NPV('Key Information'!$C$16,K53:K$61)</f>
        <v>17280772.55465069</v>
      </c>
      <c r="S52" s="88">
        <f t="shared" si="0"/>
        <v>-20648842.549512979</v>
      </c>
      <c r="T52" s="88">
        <f t="shared" si="2"/>
        <v>11747454.57314026</v>
      </c>
      <c r="U52" s="89">
        <f t="shared" si="3"/>
        <v>-8901387.9763727188</v>
      </c>
      <c r="W52" s="7"/>
      <c r="X52" s="8"/>
    </row>
    <row r="53" spans="1:24" x14ac:dyDescent="0.3">
      <c r="A53" s="90"/>
      <c r="B53" s="83">
        <v>2062</v>
      </c>
      <c r="C53" s="84">
        <v>43</v>
      </c>
      <c r="D53" s="89">
        <f>$D52*(1-'Key Information'!K49-'Key Information'!L49)*(1+'Key Information'!$C$21)</f>
        <v>880561654.22254086</v>
      </c>
      <c r="E53" s="88">
        <f>$E52*(1-'Key Information'!K49-'Key Information'!L49)*(1+'Key Information'!G49)*(1+'Key Information'!$C$21)</f>
        <v>14901866.287987452</v>
      </c>
      <c r="F53" s="88">
        <f>$F52*(1-'Key Information'!K49-'Key Information'!L49)*(1+'Key Information'!$C$20)</f>
        <v>434136.00808266038</v>
      </c>
      <c r="G53" s="88">
        <f>E53*'Key Information'!$C$30</f>
        <v>745093.31439937267</v>
      </c>
      <c r="H53" s="88">
        <f>D53*'Key Information'!K50</f>
        <v>3610302.7823124179</v>
      </c>
      <c r="I53" s="88">
        <f>E53*IF($C$6="Y",'Key Information'!$C$44,'Key Information'!$C$40)</f>
        <v>10431306.401591215</v>
      </c>
      <c r="J53" s="86"/>
      <c r="K53" s="89">
        <f>H53*IF($C$6="Y",'Key Information'!$C$45,'Key Information'!$C$41)</f>
        <v>3249272.5040811761</v>
      </c>
      <c r="L53" s="88">
        <f>NPV('Key Information'!$C$16,E54:E$61)*(1+'Key Information'!$C$16)</f>
        <v>87099626.989742309</v>
      </c>
      <c r="M53" s="88">
        <f>NPV('Key Information'!$C$16,F54:F$61)*(1+'Key Information'!$C$16)</f>
        <v>1918980.9876810382</v>
      </c>
      <c r="N53" s="88">
        <f>NPV('Key Information'!$C$16,G54:G$61)*(1+'Key Information'!$C$16)</f>
        <v>4354981.3494871166</v>
      </c>
      <c r="O53" s="88">
        <f>NPV('Key Information'!$C$16,H54:H$61)</f>
        <v>16166581.363565598</v>
      </c>
      <c r="P53" s="88">
        <f>NPV('Key Information'!$C$16,I54:I$61)*(1+'Key Information'!$C$16)</f>
        <v>60969738.892819613</v>
      </c>
      <c r="Q53" s="86"/>
      <c r="R53" s="89">
        <f>NPV('Key Information'!$C$16,K54:K$61)</f>
        <v>14549923.227209039</v>
      </c>
      <c r="S53" s="88">
        <f t="shared" si="0"/>
        <v>-18239267.623397984</v>
      </c>
      <c r="T53" s="88">
        <f t="shared" si="2"/>
        <v>10287064.934431465</v>
      </c>
      <c r="U53" s="89">
        <f t="shared" si="3"/>
        <v>-7952202.6889665183</v>
      </c>
      <c r="W53" s="7"/>
      <c r="X53" s="8"/>
    </row>
    <row r="54" spans="1:24" x14ac:dyDescent="0.3">
      <c r="A54" s="90"/>
      <c r="B54" s="83">
        <v>2063</v>
      </c>
      <c r="C54" s="84">
        <v>44</v>
      </c>
      <c r="D54" s="89">
        <f>$D53*(1-'Key Information'!K50-'Key Information'!L50)*(1+'Key Information'!$C$21)</f>
        <v>774135211.5698961</v>
      </c>
      <c r="E54" s="88">
        <f>$E53*(1-'Key Information'!K50-'Key Information'!L50)*(1+'Key Information'!G50)*(1+'Key Information'!$C$21)</f>
        <v>14121241.03710038</v>
      </c>
      <c r="F54" s="88">
        <f>$F53*(1-'Key Information'!K50-'Key Information'!L50)*(1+'Key Information'!$C$20)</f>
        <v>385407.28012743837</v>
      </c>
      <c r="G54" s="88">
        <f>E54*'Key Information'!$C$30</f>
        <v>706062.05185501906</v>
      </c>
      <c r="H54" s="88">
        <f>D54*'Key Information'!K51</f>
        <v>3251367.8885935633</v>
      </c>
      <c r="I54" s="88">
        <f>E54*IF($C$6="Y",'Key Information'!$C$44,'Key Information'!$C$40)</f>
        <v>9884868.7259702664</v>
      </c>
      <c r="J54" s="86"/>
      <c r="K54" s="89">
        <f>H54*IF($C$6="Y",'Key Information'!$C$45,'Key Information'!$C$41)</f>
        <v>2926231.0997342071</v>
      </c>
      <c r="L54" s="88">
        <f>NPV('Key Information'!$C$16,E55:E$61)*(1+'Key Information'!$C$16)</f>
        <v>75167737.531221181</v>
      </c>
      <c r="M54" s="88">
        <f>NPV('Key Information'!$C$16,F55:F$61)*(1+'Key Information'!$C$16)</f>
        <v>1579580.9187802081</v>
      </c>
      <c r="N54" s="88">
        <f>NPV('Key Information'!$C$16,G55:G$61)*(1+'Key Information'!$C$16)</f>
        <v>3758386.8765610592</v>
      </c>
      <c r="O54" s="88">
        <f>NPV('Key Information'!$C$16,H55:H$61)</f>
        <v>13400210.915879002</v>
      </c>
      <c r="P54" s="88">
        <f>NPV('Key Information'!$C$16,I55:I$61)*(1+'Key Information'!$C$16)</f>
        <v>52617416.271854825</v>
      </c>
      <c r="Q54" s="86"/>
      <c r="R54" s="89">
        <f>NPV('Key Information'!$C$16,K55:K$61)</f>
        <v>12060189.824291101</v>
      </c>
      <c r="S54" s="88">
        <f t="shared" si="0"/>
        <v>-15872332.372437192</v>
      </c>
      <c r="T54" s="88">
        <f t="shared" si="2"/>
        <v>8877826.7333916314</v>
      </c>
      <c r="U54" s="89">
        <f t="shared" si="3"/>
        <v>-6994505.6390455607</v>
      </c>
      <c r="W54" s="7"/>
      <c r="X54" s="8"/>
    </row>
    <row r="55" spans="1:24" x14ac:dyDescent="0.3">
      <c r="A55" s="90"/>
      <c r="B55" s="83">
        <v>2064</v>
      </c>
      <c r="C55" s="84">
        <v>45</v>
      </c>
      <c r="D55" s="89">
        <f>$D54*(1-'Key Information'!K51-'Key Information'!L51)*(1+'Key Information'!$C$21)</f>
        <v>679703101.92175388</v>
      </c>
      <c r="E55" s="88">
        <f>$E54*(1-'Key Information'!K51-'Key Information'!L51)*(1+'Key Information'!G51)*(1+'Key Information'!$C$21)</f>
        <v>13403060.401574353</v>
      </c>
      <c r="F55" s="88">
        <f>$F54*(1-'Key Information'!K51-'Key Information'!L51)*(1+'Key Information'!$C$20)</f>
        <v>341711.34433570993</v>
      </c>
      <c r="G55" s="88">
        <f>E55*'Key Information'!$C$30</f>
        <v>670153.02007871773</v>
      </c>
      <c r="H55" s="88">
        <f>D55*'Key Information'!K52</f>
        <v>2922723.3382635419</v>
      </c>
      <c r="I55" s="88">
        <f>E55*IF($C$6="Y",'Key Information'!$C$44,'Key Information'!$C$40)</f>
        <v>9382142.2811020464</v>
      </c>
      <c r="J55" s="86"/>
      <c r="K55" s="89">
        <f>H55*IF($C$6="Y",'Key Information'!$C$45,'Key Information'!$C$41)</f>
        <v>2630451.0044371877</v>
      </c>
      <c r="L55" s="88">
        <f>NPV('Key Information'!$C$16,E56:E$61)*(1+'Key Information'!$C$16)</f>
        <v>63617617.443536237</v>
      </c>
      <c r="M55" s="88">
        <f>NPV('Key Information'!$C$16,F56:F$61)*(1+'Key Information'!$C$16)</f>
        <v>1275005.6616778329</v>
      </c>
      <c r="N55" s="88">
        <f>NPV('Key Information'!$C$16,G56:G$61)*(1+'Key Information'!$C$16)</f>
        <v>3180880.872176812</v>
      </c>
      <c r="O55" s="88">
        <f>NPV('Key Information'!$C$16,H56:H$61)</f>
        <v>10879493.90509183</v>
      </c>
      <c r="P55" s="88">
        <f>NPV('Key Information'!$C$16,I56:I$61)*(1+'Key Information'!$C$16)</f>
        <v>44532332.210475363</v>
      </c>
      <c r="Q55" s="86"/>
      <c r="R55" s="89">
        <f>NPV('Key Information'!$C$16,K56:K$61)</f>
        <v>9791544.514582647</v>
      </c>
      <c r="S55" s="88">
        <f t="shared" si="0"/>
        <v>-13541449.30869705</v>
      </c>
      <c r="T55" s="88">
        <f t="shared" si="2"/>
        <v>7513678.1204878204</v>
      </c>
      <c r="U55" s="89">
        <f t="shared" si="3"/>
        <v>-6027771.1882092301</v>
      </c>
      <c r="W55" s="7"/>
      <c r="X55" s="8"/>
    </row>
    <row r="56" spans="1:24" x14ac:dyDescent="0.3">
      <c r="A56" s="90"/>
      <c r="B56" s="83">
        <v>2065</v>
      </c>
      <c r="C56" s="84">
        <v>46</v>
      </c>
      <c r="D56" s="89">
        <f>$D55*(1-'Key Information'!K52-'Key Information'!L52)*(1+'Key Information'!$C$21)</f>
        <v>596027571.85657454</v>
      </c>
      <c r="E56" s="88">
        <f>$E55*(1-'Key Information'!K52-'Key Information'!L52)*(1+'Key Information'!G52)*(1+'Key Information'!$C$21)</f>
        <v>12743232.10199352</v>
      </c>
      <c r="F56" s="88">
        <f>$F55*(1-'Key Information'!K52-'Key Information'!L52)*(1+'Key Information'!$C$20)</f>
        <v>302582.32000717218</v>
      </c>
      <c r="G56" s="88">
        <f>E56*'Key Information'!$C$30</f>
        <v>637161.60509967606</v>
      </c>
      <c r="H56" s="88">
        <f>D56*'Key Information'!K53</f>
        <v>2622521.3161689281</v>
      </c>
      <c r="I56" s="88">
        <f>E56*IF($C$6="Y",'Key Information'!$C$44,'Key Information'!$C$40)</f>
        <v>8920262.4713954628</v>
      </c>
      <c r="J56" s="86"/>
      <c r="K56" s="89">
        <f>H56*IF($C$6="Y",'Key Information'!$C$45,'Key Information'!$C$41)</f>
        <v>2360269.1845520353</v>
      </c>
      <c r="L56" s="88">
        <f>NPV('Key Information'!$C$16,E57:E$61)*(1+'Key Information'!$C$16)</f>
        <v>52400616.90178901</v>
      </c>
      <c r="M56" s="88">
        <f>NPV('Key Information'!$C$16,F57:F$61)*(1+'Key Information'!$C$16)</f>
        <v>1001596.0419207807</v>
      </c>
      <c r="N56" s="88">
        <f>NPV('Key Information'!$C$16,G57:G$61)*(1+'Key Information'!$C$16)</f>
        <v>2620030.84508945</v>
      </c>
      <c r="O56" s="88">
        <f>NPV('Key Information'!$C$16,H57:H$61)</f>
        <v>8583357.4060756564</v>
      </c>
      <c r="P56" s="88">
        <f>NPV('Key Information'!$C$16,I57:I$61)*(1+'Key Information'!$C$16)</f>
        <v>36680431.831252299</v>
      </c>
      <c r="Q56" s="86"/>
      <c r="R56" s="89">
        <f>NPV('Key Information'!$C$16,K57:K$61)</f>
        <v>7725021.6654680921</v>
      </c>
      <c r="S56" s="88">
        <f t="shared" si="0"/>
        <v>-11240222.442918915</v>
      </c>
      <c r="T56" s="88">
        <f t="shared" si="2"/>
        <v>6188873.2168331109</v>
      </c>
      <c r="U56" s="89">
        <f t="shared" si="3"/>
        <v>-5051349.2260858044</v>
      </c>
      <c r="W56" s="7"/>
      <c r="X56" s="8"/>
    </row>
    <row r="57" spans="1:24" x14ac:dyDescent="0.3">
      <c r="A57" s="90"/>
      <c r="B57" s="83">
        <v>2066</v>
      </c>
      <c r="C57" s="84">
        <v>47</v>
      </c>
      <c r="D57" s="89">
        <f>$D56*(1-'Key Information'!K53-'Key Information'!L53)*(1+'Key Information'!$C$21)</f>
        <v>521376310.53668231</v>
      </c>
      <c r="E57" s="88">
        <f>$E56*(1-'Key Information'!K53-'Key Information'!L53)*(1+'Key Information'!G53)*(1+'Key Information'!$C$21)</f>
        <v>12123856.246909445</v>
      </c>
      <c r="F57" s="88">
        <f>$F56*(1-'Key Information'!K53-'Key Information'!L53)*(1+'Key Information'!$C$20)</f>
        <v>267279.43556729541</v>
      </c>
      <c r="G57" s="88">
        <f>E57*'Key Information'!$C$30</f>
        <v>606192.81234547228</v>
      </c>
      <c r="H57" s="88">
        <f>D57*'Key Information'!K54</f>
        <v>2346193.3974150703</v>
      </c>
      <c r="I57" s="88">
        <f>E57*IF($C$6="Y",'Key Information'!$C$44,'Key Information'!$C$40)</f>
        <v>8486699.3728366103</v>
      </c>
      <c r="J57" s="86"/>
      <c r="K57" s="89">
        <f>H57*IF($C$6="Y",'Key Information'!$C$45,'Key Information'!$C$41)</f>
        <v>2111574.0576735632</v>
      </c>
      <c r="L57" s="88">
        <f>NPV('Key Information'!$C$16,E58:E$61)*(1+'Key Information'!$C$16)</f>
        <v>41485063.474525943</v>
      </c>
      <c r="M57" s="88">
        <f>NPV('Key Information'!$C$16,F58:F$61)*(1+'Key Information'!$C$16)</f>
        <v>756346.10454408976</v>
      </c>
      <c r="N57" s="88">
        <f>NPV('Key Information'!$C$16,G58:G$61)*(1+'Key Information'!$C$16)</f>
        <v>2074253.1737262974</v>
      </c>
      <c r="O57" s="88">
        <f>NPV('Key Information'!$C$16,H58:H$61)</f>
        <v>6494664.7308428558</v>
      </c>
      <c r="P57" s="88">
        <f>NPV('Key Information'!$C$16,I58:I$61)*(1+'Key Information'!$C$16)</f>
        <v>29039544.432168156</v>
      </c>
      <c r="Q57" s="86"/>
      <c r="R57" s="89">
        <f>NPV('Key Information'!$C$16,K58:K$61)</f>
        <v>5845198.2577585718</v>
      </c>
      <c r="S57" s="88">
        <f t="shared" si="0"/>
        <v>-8965453.2910031155</v>
      </c>
      <c r="T57" s="88">
        <f t="shared" si="2"/>
        <v>4899671.2904605065</v>
      </c>
      <c r="U57" s="89">
        <f t="shared" si="3"/>
        <v>-4065782.000542609</v>
      </c>
      <c r="W57" s="7"/>
      <c r="X57" s="8"/>
    </row>
    <row r="58" spans="1:24" x14ac:dyDescent="0.3">
      <c r="A58" s="90"/>
      <c r="B58" s="83">
        <v>2067</v>
      </c>
      <c r="C58" s="84">
        <v>48</v>
      </c>
      <c r="D58" s="89">
        <f>$D57*(1-'Key Information'!K54-'Key Information'!L54)*(1+'Key Information'!$C$21)</f>
        <v>455489986.17416179</v>
      </c>
      <c r="E58" s="88">
        <f>$E57*(1-'Key Information'!K54-'Key Information'!L54)*(1+'Key Information'!G54)*(1+'Key Information'!$C$21)</f>
        <v>11556910.90864359</v>
      </c>
      <c r="F58" s="88">
        <f>$F57*(1-'Key Information'!K54-'Key Information'!L54)*(1+'Key Information'!$C$20)</f>
        <v>235792.58166029019</v>
      </c>
      <c r="G58" s="88">
        <f>E58*'Key Information'!$C$30</f>
        <v>577845.54543217958</v>
      </c>
      <c r="H58" s="88">
        <f>D58*'Key Information'!K55</f>
        <v>2049704.9377837279</v>
      </c>
      <c r="I58" s="88">
        <f>E58*IF($C$6="Y",'Key Information'!$C$44,'Key Information'!$C$40)</f>
        <v>8089837.636050513</v>
      </c>
      <c r="J58" s="86"/>
      <c r="K58" s="89">
        <f>H58*IF($C$6="Y",'Key Information'!$C$45,'Key Information'!$C$41)</f>
        <v>1844734.4440053552</v>
      </c>
      <c r="L58" s="88">
        <f>NPV('Key Information'!$C$16,E59:E$61)*(1+'Key Information'!$C$16)</f>
        <v>30825997.142858826</v>
      </c>
      <c r="M58" s="88">
        <f>NPV('Key Information'!$C$16,F59:F$61)*(1+'Key Information'!$C$16)</f>
        <v>536170.12857031368</v>
      </c>
      <c r="N58" s="88">
        <f>NPV('Key Information'!$C$16,G59:G$61)*(1+'Key Information'!$C$16)</f>
        <v>1541299.8571429413</v>
      </c>
      <c r="O58" s="88">
        <f>NPV('Key Information'!$C$16,H59:H$61)</f>
        <v>4639799.7349844137</v>
      </c>
      <c r="P58" s="88">
        <f>NPV('Key Information'!$C$16,I59:I$61)*(1+'Key Information'!$C$16)</f>
        <v>21578198.000001177</v>
      </c>
      <c r="Q58" s="86"/>
      <c r="R58" s="89">
        <f>NPV('Key Information'!$C$16,K59:K$61)</f>
        <v>4175819.7614859734</v>
      </c>
      <c r="S58" s="88">
        <f t="shared" si="0"/>
        <v>-6706349.1836459544</v>
      </c>
      <c r="T58" s="88">
        <f t="shared" si="2"/>
        <v>3640762.2539478084</v>
      </c>
      <c r="U58" s="89">
        <f t="shared" si="3"/>
        <v>-3065586.9296981459</v>
      </c>
      <c r="W58" s="7"/>
      <c r="X58" s="8"/>
    </row>
    <row r="59" spans="1:24" x14ac:dyDescent="0.3">
      <c r="A59" s="90"/>
      <c r="B59" s="83">
        <v>2068</v>
      </c>
      <c r="C59" s="84">
        <v>49</v>
      </c>
      <c r="D59" s="89">
        <f>$D58*(1-'Key Information'!K55-'Key Information'!L55)*(1+'Key Information'!$C$21)</f>
        <v>397465116.83543533</v>
      </c>
      <c r="E59" s="88">
        <f>$E58*(1-'Key Information'!K55-'Key Information'!L55)*(1+'Key Information'!G55)*(1+'Key Information'!$C$21)</f>
        <v>11040372.883532321</v>
      </c>
      <c r="F59" s="88">
        <f>$F58*(1-'Key Information'!K55-'Key Information'!L55)*(1+'Key Information'!$C$20)</f>
        <v>207772.17021868963</v>
      </c>
      <c r="G59" s="88">
        <f>E59*'Key Information'!$C$30</f>
        <v>552018.6441766161</v>
      </c>
      <c r="H59" s="88">
        <f>D59*'Key Information'!K56</f>
        <v>1868086.0491265461</v>
      </c>
      <c r="I59" s="88">
        <f>E59*IF($C$6="Y",'Key Information'!$C$44,'Key Information'!$C$40)</f>
        <v>7728261.018472624</v>
      </c>
      <c r="J59" s="86"/>
      <c r="K59" s="89">
        <f>H59*IF($C$6="Y",'Key Information'!$C$45,'Key Information'!$C$41)</f>
        <v>1681277.4442138916</v>
      </c>
      <c r="L59" s="88">
        <f>NPV('Key Information'!$C$16,E60:E$61)*(1+'Key Information'!$C$16)</f>
        <v>20379192.987106301</v>
      </c>
      <c r="M59" s="88">
        <f>NPV('Key Information'!$C$16,F60:F$61)*(1+'Key Information'!$C$16)</f>
        <v>338249.89710217272</v>
      </c>
      <c r="N59" s="88">
        <f>NPV('Key Information'!$C$16,G60:G$61)*(1+'Key Information'!$C$16)</f>
        <v>1018959.6493553149</v>
      </c>
      <c r="O59" s="88">
        <f>NPV('Key Information'!$C$16,H60:H$61)</f>
        <v>2910907.6779074008</v>
      </c>
      <c r="P59" s="88">
        <f>NPV('Key Information'!$C$16,I60:I$61)*(1+'Key Information'!$C$16)</f>
        <v>14265435.090974409</v>
      </c>
      <c r="Q59" s="86"/>
      <c r="R59" s="89">
        <f>NPV('Key Information'!$C$16,K60:K$61)</f>
        <v>2619816.9101166609</v>
      </c>
      <c r="S59" s="88">
        <f t="shared" si="0"/>
        <v>-4465457.5818836652</v>
      </c>
      <c r="T59" s="88">
        <f t="shared" si="2"/>
        <v>2406922.8401444512</v>
      </c>
      <c r="U59" s="89">
        <f t="shared" si="3"/>
        <v>-2058534.7417392139</v>
      </c>
      <c r="W59" s="7"/>
      <c r="X59" s="8"/>
    </row>
    <row r="60" spans="1:24" x14ac:dyDescent="0.3">
      <c r="A60" s="90"/>
      <c r="B60" s="83">
        <v>2069</v>
      </c>
      <c r="C60" s="84">
        <v>50</v>
      </c>
      <c r="D60" s="89">
        <f>$D59*(1-'Key Information'!K56-'Key Information'!L56)*(1+'Key Information'!$C$21)</f>
        <v>345940123.87959045</v>
      </c>
      <c r="E60" s="88">
        <f>$E59*(1-'Key Information'!K56-'Key Information'!L56)*(1+'Key Information'!G56)*(1+'Key Information'!$C$21)</f>
        <v>10556224.553578578</v>
      </c>
      <c r="F60" s="88">
        <f>$F59*(1-'Key Information'!K56-'Key Information'!L56)*(1+'Key Information'!$C$20)</f>
        <v>182610.75263303609</v>
      </c>
      <c r="G60" s="88">
        <f>E60*'Key Information'!$C$30</f>
        <v>527811.22767892887</v>
      </c>
      <c r="H60" s="88">
        <f>D60*'Key Information'!K57</f>
        <v>1625918.5822340753</v>
      </c>
      <c r="I60" s="88">
        <f>E60*IF($C$6="Y",'Key Information'!$C$44,'Key Information'!$C$40)</f>
        <v>7389357.187505004</v>
      </c>
      <c r="J60" s="86"/>
      <c r="K60" s="89">
        <f>H60*IF($C$6="Y",'Key Information'!$C$45,'Key Information'!$C$41)</f>
        <v>1463326.7240106678</v>
      </c>
      <c r="L60" s="88">
        <f>NPV('Key Information'!$C$16,E61:E$61)*(1+'Key Information'!$C$16)</f>
        <v>10117657.486533552</v>
      </c>
      <c r="M60" s="88">
        <f>NPV('Key Information'!$C$16,F61:F$61)*(1+'Key Information'!$C$16)</f>
        <v>160308.31880321074</v>
      </c>
      <c r="N60" s="88">
        <f>NPV('Key Information'!$C$16,G61:G$61)*(1+'Key Information'!$C$16)</f>
        <v>505882.87432667764</v>
      </c>
      <c r="O60" s="88">
        <f>NPV('Key Information'!$C$16,H61:H$61)</f>
        <v>1372316.3260105478</v>
      </c>
      <c r="P60" s="88">
        <f>NPV('Key Information'!$C$16,I61:I$61)*(1+'Key Information'!$C$16)</f>
        <v>7082360.2405734863</v>
      </c>
      <c r="Q60" s="86"/>
      <c r="R60" s="89">
        <f>NPV('Key Information'!$C$16,K61:K$61)</f>
        <v>1235084.693409493</v>
      </c>
      <c r="S60" s="88">
        <f t="shared" si="0"/>
        <v>-2231874.420229123</v>
      </c>
      <c r="T60" s="88">
        <f t="shared" si="2"/>
        <v>1194964.9286163405</v>
      </c>
      <c r="U60" s="89">
        <f t="shared" si="3"/>
        <v>-1036909.4916127825</v>
      </c>
      <c r="W60" s="7"/>
      <c r="X60" s="8"/>
    </row>
    <row r="61" spans="1:24" x14ac:dyDescent="0.3">
      <c r="A61" s="90"/>
      <c r="B61" s="93">
        <v>2070</v>
      </c>
      <c r="C61" s="94">
        <v>51</v>
      </c>
      <c r="D61" s="95">
        <f>$D60*(1-'Key Information'!K57-'Key Information'!L57)*(1+'Key Information'!$C$21)</f>
        <v>300741662.93422639</v>
      </c>
      <c r="E61" s="96">
        <f>$E60*(1-'Key Information'!K57-'Key Information'!L57)*(1+'Key Information'!G57)*(1+'Key Information'!$C$21)</f>
        <v>10117657.486533552</v>
      </c>
      <c r="F61" s="96">
        <f>$F60*(1-'Key Information'!K57-'Key Information'!L57)*(1+'Key Information'!$C$20)</f>
        <v>160308.31880321074</v>
      </c>
      <c r="G61" s="96">
        <f>E61*'Key Information'!$C$30</f>
        <v>505882.87432667764</v>
      </c>
      <c r="H61" s="96">
        <f>D61*'Key Information'!K58</f>
        <v>1413485.8157908642</v>
      </c>
      <c r="I61" s="96">
        <f>E61*IF($C$6="Y",'Key Information'!$C$44,'Key Information'!$C$40)</f>
        <v>7082360.2405734863</v>
      </c>
      <c r="J61" s="97"/>
      <c r="K61" s="95">
        <f>H61*IF($C$6="Y",'Key Information'!$C$45,'Key Information'!$C$41)</f>
        <v>1272137.2342117778</v>
      </c>
      <c r="L61" s="98"/>
      <c r="M61" s="98"/>
      <c r="N61" s="98"/>
      <c r="O61" s="98"/>
      <c r="P61" s="98"/>
      <c r="Q61" s="98"/>
      <c r="R61" s="80"/>
      <c r="S61" s="96">
        <f t="shared" si="0"/>
        <v>0</v>
      </c>
      <c r="T61" s="96">
        <f t="shared" si="2"/>
        <v>0</v>
      </c>
      <c r="U61" s="95">
        <f t="shared" ref="U61" si="4">S61+T61</f>
        <v>0</v>
      </c>
      <c r="W61" s="7"/>
      <c r="X61" s="8"/>
    </row>
    <row r="65" spans="7:7" x14ac:dyDescent="0.3">
      <c r="G65" s="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65"/>
  <sheetViews>
    <sheetView zoomScale="55" zoomScaleNormal="55" workbookViewId="0"/>
  </sheetViews>
  <sheetFormatPr defaultRowHeight="14.4" x14ac:dyDescent="0.3"/>
  <cols>
    <col min="2" max="2" width="32.6640625" customWidth="1"/>
    <col min="3" max="3" width="19.6640625" customWidth="1"/>
    <col min="4" max="4" width="31" customWidth="1"/>
    <col min="5" max="21" width="16.6640625" customWidth="1"/>
    <col min="24" max="24" width="10" bestFit="1" customWidth="1"/>
  </cols>
  <sheetData>
    <row r="1" spans="1:24" ht="27.6" x14ac:dyDescent="0.3">
      <c r="A1" s="106" t="s">
        <v>75</v>
      </c>
      <c r="B1" s="101" t="s">
        <v>77</v>
      </c>
    </row>
    <row r="2" spans="1:24" x14ac:dyDescent="0.3">
      <c r="A2" s="100"/>
      <c r="B2" s="102" t="s">
        <v>76</v>
      </c>
    </row>
    <row r="3" spans="1:24" ht="15" thickBot="1" x14ac:dyDescent="0.35">
      <c r="A3" s="99"/>
      <c r="B3" s="107" t="s">
        <v>28</v>
      </c>
    </row>
    <row r="4" spans="1:24" ht="17.399999999999999" x14ac:dyDescent="0.3">
      <c r="A4" s="71"/>
      <c r="B4" s="72" t="s">
        <v>56</v>
      </c>
      <c r="C4" s="73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</row>
    <row r="5" spans="1:24" x14ac:dyDescent="0.3">
      <c r="A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</row>
    <row r="6" spans="1:24" x14ac:dyDescent="0.3">
      <c r="A6" s="71"/>
      <c r="B6" s="110" t="s">
        <v>78</v>
      </c>
      <c r="C6" s="111" t="s">
        <v>26</v>
      </c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4" t="s">
        <v>42</v>
      </c>
      <c r="U6" s="112">
        <f>T10/L10</f>
        <v>0.13579358533148972</v>
      </c>
    </row>
    <row r="7" spans="1:24" x14ac:dyDescent="0.3">
      <c r="A7" s="71"/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</row>
    <row r="8" spans="1:24" ht="57.6" customHeight="1" x14ac:dyDescent="0.3">
      <c r="A8" s="71"/>
      <c r="B8" s="75" t="s">
        <v>32</v>
      </c>
      <c r="C8" s="76" t="s">
        <v>33</v>
      </c>
      <c r="D8" s="77" t="s">
        <v>34</v>
      </c>
      <c r="E8" s="78" t="s">
        <v>35</v>
      </c>
      <c r="F8" s="78" t="s">
        <v>43</v>
      </c>
      <c r="G8" s="78" t="s">
        <v>44</v>
      </c>
      <c r="H8" s="78" t="s">
        <v>36</v>
      </c>
      <c r="I8" s="78" t="s">
        <v>11</v>
      </c>
      <c r="J8" s="78" t="s">
        <v>53</v>
      </c>
      <c r="K8" s="77" t="s">
        <v>12</v>
      </c>
      <c r="L8" s="78" t="s">
        <v>37</v>
      </c>
      <c r="M8" s="78" t="s">
        <v>45</v>
      </c>
      <c r="N8" s="78" t="s">
        <v>46</v>
      </c>
      <c r="O8" s="78" t="s">
        <v>38</v>
      </c>
      <c r="P8" s="78" t="s">
        <v>30</v>
      </c>
      <c r="Q8" s="78" t="s">
        <v>55</v>
      </c>
      <c r="R8" s="77" t="s">
        <v>31</v>
      </c>
      <c r="S8" s="78" t="s">
        <v>39</v>
      </c>
      <c r="T8" s="78" t="s">
        <v>40</v>
      </c>
      <c r="U8" s="77" t="s">
        <v>41</v>
      </c>
    </row>
    <row r="9" spans="1:24" x14ac:dyDescent="0.3">
      <c r="A9" s="71"/>
      <c r="B9" s="79"/>
      <c r="C9" s="80"/>
      <c r="D9" s="81" t="s">
        <v>2</v>
      </c>
      <c r="E9" s="82" t="s">
        <v>2</v>
      </c>
      <c r="F9" s="82" t="s">
        <v>2</v>
      </c>
      <c r="G9" s="82" t="s">
        <v>2</v>
      </c>
      <c r="H9" s="82" t="s">
        <v>0</v>
      </c>
      <c r="I9" s="82" t="s">
        <v>2</v>
      </c>
      <c r="J9" s="82" t="s">
        <v>2</v>
      </c>
      <c r="K9" s="81" t="s">
        <v>0</v>
      </c>
      <c r="L9" s="82" t="s">
        <v>0</v>
      </c>
      <c r="M9" s="82" t="s">
        <v>0</v>
      </c>
      <c r="N9" s="82" t="s">
        <v>0</v>
      </c>
      <c r="O9" s="82" t="s">
        <v>0</v>
      </c>
      <c r="P9" s="82" t="s">
        <v>0</v>
      </c>
      <c r="Q9" s="82" t="s">
        <v>0</v>
      </c>
      <c r="R9" s="81" t="s">
        <v>0</v>
      </c>
      <c r="S9" s="82" t="s">
        <v>0</v>
      </c>
      <c r="T9" s="82" t="s">
        <v>0</v>
      </c>
      <c r="U9" s="81" t="s">
        <v>0</v>
      </c>
    </row>
    <row r="10" spans="1:24" x14ac:dyDescent="0.3">
      <c r="A10" s="71"/>
      <c r="B10" s="83">
        <v>2019</v>
      </c>
      <c r="C10" s="84">
        <v>0</v>
      </c>
      <c r="D10" s="85"/>
      <c r="E10" s="86"/>
      <c r="F10" s="86"/>
      <c r="G10" s="86"/>
      <c r="H10" s="87"/>
      <c r="I10" s="86"/>
      <c r="J10" s="86"/>
      <c r="K10" s="85"/>
      <c r="L10" s="88">
        <f>NPV('Key Information'!$C$16,E11:E$61)*(1+'Key Information'!$C$16)</f>
        <v>2269332858.5938993</v>
      </c>
      <c r="M10" s="88">
        <f>NPV('Key Information'!$C$16,F11:F$61)*(1+'Key Information'!$C$16)</f>
        <v>183033737.88677853</v>
      </c>
      <c r="N10" s="88">
        <f>NPV('Key Information'!$C$16,G11:G$61)*(1+'Key Information'!$C$16)</f>
        <v>113466642.92969503</v>
      </c>
      <c r="O10" s="88">
        <f>NPV('Key Information'!$C$16,H11:H$61)</f>
        <v>1062756598.8652525</v>
      </c>
      <c r="P10" s="88">
        <f>NPV('Key Information'!$C$16,I11:I$61)*(1+'Key Information'!$C$16)</f>
        <v>748879843.33598709</v>
      </c>
      <c r="Q10" s="88">
        <f>NPV('Key Information'!$C$16,J11:J$61)*(1+'Key Information'!$C$16)</f>
        <v>215000000</v>
      </c>
      <c r="R10" s="89">
        <f>NPV('Key Information'!$C$16,K11:K$61)</f>
        <v>371964809.60283822</v>
      </c>
      <c r="S10" s="88">
        <f>O10+M10+N10-L10+P10+Q10-R10</f>
        <v>-318160845.17902416</v>
      </c>
      <c r="T10" s="88">
        <f>U10-S10</f>
        <v>308160845.17902416</v>
      </c>
      <c r="U10" s="89">
        <f>'Key Information'!C53</f>
        <v>-10000000</v>
      </c>
    </row>
    <row r="11" spans="1:24" x14ac:dyDescent="0.3">
      <c r="A11" s="90"/>
      <c r="B11" s="83">
        <v>2020</v>
      </c>
      <c r="C11" s="84">
        <v>1</v>
      </c>
      <c r="D11" s="91">
        <v>55000000000</v>
      </c>
      <c r="E11" s="92">
        <f>200*10^6</f>
        <v>200000000</v>
      </c>
      <c r="F11" s="88">
        <f>'Key Information'!$C$25</f>
        <v>18000000</v>
      </c>
      <c r="G11" s="88">
        <f>E11*'Key Information'!$C$30-E11*('Key Information'!$C$5)*'Key Information'!$C$30*(C11=1)</f>
        <v>10000000</v>
      </c>
      <c r="H11" s="88">
        <f>D11*'Key Information'!K8</f>
        <v>99000000</v>
      </c>
      <c r="I11" s="88">
        <f>E11*IF($C$6="Y",'Key Information'!$C$44,'Key Information'!$C$40)</f>
        <v>66000000</v>
      </c>
      <c r="J11" s="88">
        <f>IF(C6="Y",'Key Information'!$C$47,0)</f>
        <v>215000000</v>
      </c>
      <c r="K11" s="89">
        <f>H11*IF($C$6="Y",'Key Information'!$C$45,'Key Information'!$C$41)</f>
        <v>34650000</v>
      </c>
      <c r="L11" s="88">
        <f>NPV('Key Information'!$C$16,E12:E$61)*(1+'Key Information'!$C$16)</f>
        <v>2131412844.3517165</v>
      </c>
      <c r="M11" s="88">
        <f>NPV('Key Information'!$C$16,F12:F$61)*(1+'Key Information'!$C$16)</f>
        <v>169984750.02338195</v>
      </c>
      <c r="N11" s="88">
        <f>NPV('Key Information'!$C$16,G12:G$61)*(1+'Key Information'!$C$16)</f>
        <v>106570642.21758583</v>
      </c>
      <c r="O11" s="88">
        <f>NPV('Key Information'!$C$16,H12:H$61)</f>
        <v>995639296.83121061</v>
      </c>
      <c r="P11" s="88">
        <f>NPV('Key Information'!$C$16,I12:I$61)*(1+'Key Information'!$C$16)</f>
        <v>703366238.63606668</v>
      </c>
      <c r="Q11" s="86"/>
      <c r="R11" s="89">
        <f>NPV('Key Information'!$C$16,K12:K$61)</f>
        <v>348473753.89092362</v>
      </c>
      <c r="S11" s="88">
        <f t="shared" ref="S11:S61" si="0">O11+M11+N11-L11+P11+Q11-R11</f>
        <v>-504325670.5343951</v>
      </c>
      <c r="T11" s="88">
        <f>L11*$U$6</f>
        <v>289432191.95610803</v>
      </c>
      <c r="U11" s="89">
        <f t="shared" ref="U11:U61" si="1">S11+T11</f>
        <v>-214893478.57828707</v>
      </c>
      <c r="X11" s="8"/>
    </row>
    <row r="12" spans="1:24" x14ac:dyDescent="0.3">
      <c r="A12" s="90"/>
      <c r="B12" s="83">
        <v>2021</v>
      </c>
      <c r="C12" s="84">
        <v>2</v>
      </c>
      <c r="D12" s="89">
        <f>$D11*(1-'Key Information'!K8-'Key Information'!L8)*(1+'Key Information'!$C$21)</f>
        <v>51062220000</v>
      </c>
      <c r="E12" s="88">
        <f>$E11*(1-'Key Information'!K8-'Key Information'!L8)*(1+'Key Information'!G8)*(1+'Key Information'!$C$21)</f>
        <v>188466011.99999997</v>
      </c>
      <c r="F12" s="88">
        <f>F11*(1+'Key Information'!$C$20)*(1-'Key Information'!K8-'Key Information'!L8)</f>
        <v>16875108</v>
      </c>
      <c r="G12" s="88">
        <f>E12*'Key Information'!$C$30-E12*('Key Information'!$C$5)*'Key Information'!$C$30*(C12=1)</f>
        <v>9423300.5999999996</v>
      </c>
      <c r="H12" s="88">
        <f>D12*'Key Information'!K9</f>
        <v>91911996</v>
      </c>
      <c r="I12" s="88">
        <f>E12*IF($C$6="Y",'Key Information'!$C$44,'Key Information'!$C$40)</f>
        <v>62193783.959999993</v>
      </c>
      <c r="J12" s="86"/>
      <c r="K12" s="89">
        <f>H12*IF($C$6="Y",'Key Information'!$C$45,'Key Information'!$C$41)</f>
        <v>32169198.599999998</v>
      </c>
      <c r="L12" s="88">
        <f>NPV('Key Information'!$C$16,E13:E$61)*(1+'Key Information'!$C$16)</f>
        <v>2001235237.3222692</v>
      </c>
      <c r="M12" s="88">
        <f>NPV('Key Information'!$C$16,F13:F$61)*(1+'Key Information'!$C$16)</f>
        <v>157702931.28408349</v>
      </c>
      <c r="N12" s="88">
        <f>NPV('Key Information'!$C$16,G13:G$61)*(1+'Key Information'!$C$16)</f>
        <v>100061761.86611341</v>
      </c>
      <c r="O12" s="88">
        <f>NPV('Key Information'!$C$16,H13:H$61)</f>
        <v>933596479.73614657</v>
      </c>
      <c r="P12" s="88">
        <f>NPV('Key Information'!$C$16,I13:I$61)*(1+'Key Information'!$C$16)</f>
        <v>660407628.31634855</v>
      </c>
      <c r="Q12" s="86"/>
      <c r="R12" s="89">
        <f>NPV('Key Information'!$C$16,K13:K$61)</f>
        <v>326758767.90765131</v>
      </c>
      <c r="S12" s="88">
        <f t="shared" si="0"/>
        <v>-476225204.02722847</v>
      </c>
      <c r="T12" s="88">
        <f t="shared" ref="T12:T61" si="2">L12*$U$6</f>
        <v>271754907.96770567</v>
      </c>
      <c r="U12" s="89">
        <f t="shared" si="1"/>
        <v>-204470296.05952281</v>
      </c>
      <c r="X12" s="8"/>
    </row>
    <row r="13" spans="1:24" x14ac:dyDescent="0.3">
      <c r="A13" s="90"/>
      <c r="B13" s="83">
        <v>2022</v>
      </c>
      <c r="C13" s="84">
        <v>3</v>
      </c>
      <c r="D13" s="89">
        <f>$D12*(1-'Key Information'!K9-'Key Information'!L9)*(1+'Key Information'!$C$21)</f>
        <v>47302202368.080002</v>
      </c>
      <c r="E13" s="88">
        <f>$E12*(1-'Key Information'!K9-'Key Information'!L9)*(1+'Key Information'!G9)*(1+'Key Information'!$C$21)</f>
        <v>177311703.54871771</v>
      </c>
      <c r="F13" s="88">
        <f>F12*(1+'Key Information'!$C$20)*(1-'Key Information'!K9-'Key Information'!L9)</f>
        <v>15785752.278168002</v>
      </c>
      <c r="G13" s="88">
        <f>E13*'Key Information'!$C$30-E13*('Key Information'!$C$5)*'Key Information'!$C$30*(C13=1)</f>
        <v>8865585.1774358861</v>
      </c>
      <c r="H13" s="88">
        <f>D13*'Key Information'!K10</f>
        <v>89874184.499352008</v>
      </c>
      <c r="I13" s="88">
        <f>E13*IF($C$6="Y",'Key Information'!$C$44,'Key Information'!$C$40)</f>
        <v>58512862.171076849</v>
      </c>
      <c r="J13" s="86"/>
      <c r="K13" s="89">
        <f>H13*IF($C$6="Y",'Key Information'!$C$45,'Key Information'!$C$41)</f>
        <v>31455964.5747732</v>
      </c>
      <c r="L13" s="88">
        <f>NPV('Key Information'!$C$16,E14:E$61)*(1+'Key Information'!$C$16)</f>
        <v>1878641239.7867579</v>
      </c>
      <c r="M13" s="88">
        <f>NPV('Key Information'!$C$16,F14:F$61)*(1+'Key Information'!$C$16)</f>
        <v>146174694.37609273</v>
      </c>
      <c r="N13" s="88">
        <f>NPV('Key Information'!$C$16,G14:G$61)*(1+'Key Information'!$C$16)</f>
        <v>93932061.989337847</v>
      </c>
      <c r="O13" s="88">
        <f>NPV('Key Information'!$C$16,H14:H$61)</f>
        <v>871730189.62887895</v>
      </c>
      <c r="P13" s="88">
        <f>NPV('Key Information'!$C$16,I14:I$61)*(1+'Key Information'!$C$16)</f>
        <v>619951609.12963033</v>
      </c>
      <c r="Q13" s="86"/>
      <c r="R13" s="89">
        <f>NPV('Key Information'!$C$16,K14:K$61)</f>
        <v>305105566.37010789</v>
      </c>
      <c r="S13" s="88">
        <f t="shared" si="0"/>
        <v>-451958251.03292584</v>
      </c>
      <c r="T13" s="88">
        <f t="shared" si="2"/>
        <v>255107429.50223875</v>
      </c>
      <c r="U13" s="89">
        <f t="shared" si="1"/>
        <v>-196850821.53068709</v>
      </c>
      <c r="X13" s="8"/>
    </row>
    <row r="14" spans="1:24" x14ac:dyDescent="0.3">
      <c r="A14" s="90"/>
      <c r="B14" s="83">
        <v>2023</v>
      </c>
      <c r="C14" s="84">
        <v>4</v>
      </c>
      <c r="D14" s="89">
        <f>$D13*(1-'Key Information'!K10-'Key Information'!L10)*(1+'Key Information'!$C$21)</f>
        <v>43814232569.862526</v>
      </c>
      <c r="E14" s="88">
        <f>$E13*(1-'Key Information'!K10-'Key Information'!L10)*(1+'Key Information'!G10)*(1+'Key Information'!$C$21)</f>
        <v>166901675.75174758</v>
      </c>
      <c r="F14" s="88">
        <f>F13*(1+'Key Information'!$C$20)*(1-'Key Information'!K10-'Key Information'!L10)</f>
        <v>14765092.893118493</v>
      </c>
      <c r="G14" s="88">
        <f>E14*'Key Information'!$C$30-E14*('Key Information'!$C$5)*'Key Information'!$C$30*(C14=1)</f>
        <v>8345083.7875873791</v>
      </c>
      <c r="H14" s="88">
        <f>D14*'Key Information'!K11</f>
        <v>83247041.882738799</v>
      </c>
      <c r="I14" s="88">
        <f>E14*IF($C$6="Y",'Key Information'!$C$44,'Key Information'!$C$40)</f>
        <v>55077552.998076707</v>
      </c>
      <c r="J14" s="86"/>
      <c r="K14" s="89">
        <f>H14*IF($C$6="Y",'Key Information'!$C$45,'Key Information'!$C$41)</f>
        <v>29136464.658958577</v>
      </c>
      <c r="L14" s="88">
        <f>NPV('Key Information'!$C$16,E15:E$61)*(1+'Key Information'!$C$16)</f>
        <v>1763091750.9560602</v>
      </c>
      <c r="M14" s="88">
        <f>NPV('Key Information'!$C$16,F15:F$61)*(1+'Key Information'!$C$16)</f>
        <v>135351889.52746361</v>
      </c>
      <c r="N14" s="88">
        <f>NPV('Key Information'!$C$16,G15:G$61)*(1+'Key Information'!$C$16)</f>
        <v>88154587.547803015</v>
      </c>
      <c r="O14" s="88">
        <f>NPV('Key Information'!$C$16,H15:H$61)</f>
        <v>814635053.43500674</v>
      </c>
      <c r="P14" s="88">
        <f>NPV('Key Information'!$C$16,I15:I$61)*(1+'Key Information'!$C$16)</f>
        <v>581820277.81550002</v>
      </c>
      <c r="Q14" s="86"/>
      <c r="R14" s="89">
        <f>NPV('Key Information'!$C$16,K15:K$61)</f>
        <v>285122268.70225221</v>
      </c>
      <c r="S14" s="88">
        <f t="shared" si="0"/>
        <v>-428252211.33253902</v>
      </c>
      <c r="T14" s="88">
        <f t="shared" si="2"/>
        <v>239416550.13069737</v>
      </c>
      <c r="U14" s="89">
        <f t="shared" si="1"/>
        <v>-188835661.20184165</v>
      </c>
      <c r="X14" s="8"/>
    </row>
    <row r="15" spans="1:24" x14ac:dyDescent="0.3">
      <c r="A15" s="90"/>
      <c r="B15" s="83">
        <v>2024</v>
      </c>
      <c r="C15" s="84">
        <v>5</v>
      </c>
      <c r="D15" s="89">
        <f>$D14*(1-'Key Information'!K11-'Key Information'!L11)*(1+'Key Information'!$C$21)</f>
        <v>40538768171.404747</v>
      </c>
      <c r="E15" s="88">
        <f>$E14*(1-'Key Information'!K11-'Key Information'!L11)*(1+'Key Information'!G11)*(1+'Key Information'!$C$21)</f>
        <v>157030037.67969605</v>
      </c>
      <c r="F15" s="88">
        <f>F14*(1+'Key Information'!$C$20)*(1-'Key Information'!K11-'Key Information'!L11)</f>
        <v>13795218.236248219</v>
      </c>
      <c r="G15" s="88">
        <f>E15*'Key Information'!$C$30-E15*('Key Information'!$C$5)*'Key Information'!$C$30*(C15=1)</f>
        <v>7851501.8839848032</v>
      </c>
      <c r="H15" s="88">
        <f>D15*'Key Information'!K12</f>
        <v>77023659.525669023</v>
      </c>
      <c r="I15" s="88">
        <f>E15*IF($C$6="Y",'Key Information'!$C$44,'Key Information'!$C$40)</f>
        <v>51819912.4342997</v>
      </c>
      <c r="J15" s="86"/>
      <c r="K15" s="89">
        <f>H15*IF($C$6="Y",'Key Information'!$C$45,'Key Information'!$C$41)</f>
        <v>26958280.833984155</v>
      </c>
      <c r="L15" s="88">
        <f>NPV('Key Information'!$C$16,E16:E$61)*(1+'Key Information'!$C$16)</f>
        <v>1654243564.6746547</v>
      </c>
      <c r="M15" s="88">
        <f>NPV('Key Information'!$C$16,F16:F$61)*(1+'Key Information'!$C$16)</f>
        <v>125203371.42995186</v>
      </c>
      <c r="N15" s="88">
        <f>NPV('Key Information'!$C$16,G16:G$61)*(1+'Key Information'!$C$16)</f>
        <v>82712178.233732775</v>
      </c>
      <c r="O15" s="88">
        <f>NPV('Key Information'!$C$16,H16:H$61)</f>
        <v>762050445.51238823</v>
      </c>
      <c r="P15" s="88">
        <f>NPV('Key Information'!$C$16,I16:I$61)*(1+'Key Information'!$C$16)</f>
        <v>545900376.34263623</v>
      </c>
      <c r="Q15" s="86"/>
      <c r="R15" s="89">
        <f>NPV('Key Information'!$C$16,K16:K$61)</f>
        <v>266717655.9293358</v>
      </c>
      <c r="S15" s="88">
        <f t="shared" si="0"/>
        <v>-405094849.08528137</v>
      </c>
      <c r="T15" s="88">
        <f t="shared" si="2"/>
        <v>224635664.65871546</v>
      </c>
      <c r="U15" s="89">
        <f t="shared" si="1"/>
        <v>-180459184.42656592</v>
      </c>
      <c r="X15" s="8"/>
    </row>
    <row r="16" spans="1:24" x14ac:dyDescent="0.3">
      <c r="A16" s="90"/>
      <c r="B16" s="83">
        <v>2025</v>
      </c>
      <c r="C16" s="84">
        <v>6</v>
      </c>
      <c r="D16" s="89">
        <f>$D15*(1-'Key Information'!K12-'Key Information'!L12)*(1+'Key Information'!$C$21)</f>
        <v>37466821396.912041</v>
      </c>
      <c r="E16" s="88">
        <f>$E15*(1-'Key Information'!K12-'Key Information'!L12)*(1+'Key Information'!G12)*(1+'Key Information'!$C$21)</f>
        <v>147677349.87704155</v>
      </c>
      <c r="F16" s="88">
        <f>F15*(1+'Key Information'!$C$20)*(1-'Key Information'!K12-'Key Information'!L12)</f>
        <v>12874842.661180448</v>
      </c>
      <c r="G16" s="88">
        <f>E16*'Key Information'!$C$30-E16*('Key Information'!$C$5)*'Key Information'!$C$30*(C16=1)</f>
        <v>7383867.493852078</v>
      </c>
      <c r="H16" s="88">
        <f>D16*'Key Information'!K13</f>
        <v>74933642.793824077</v>
      </c>
      <c r="I16" s="88">
        <f>E16*IF($C$6="Y",'Key Information'!$C$44,'Key Information'!$C$40)</f>
        <v>48733525.459423713</v>
      </c>
      <c r="J16" s="86"/>
      <c r="K16" s="89">
        <f>H16*IF($C$6="Y",'Key Information'!$C$45,'Key Information'!$C$41)</f>
        <v>26226774.977838427</v>
      </c>
      <c r="L16" s="88">
        <f>NPV('Key Information'!$C$16,E17:E$61)*(1+'Key Information'!$C$16)</f>
        <v>1551763201.2415426</v>
      </c>
      <c r="M16" s="88">
        <f>NPV('Key Information'!$C$16,F17:F$61)*(1+'Key Information'!$C$16)</f>
        <v>115698384.63183457</v>
      </c>
      <c r="N16" s="88">
        <f>NPV('Key Information'!$C$16,G17:G$61)*(1+'Key Information'!$C$16)</f>
        <v>77588160.062077105</v>
      </c>
      <c r="O16" s="88">
        <f>NPV('Key Information'!$C$16,H17:H$61)</f>
        <v>709978316.08393562</v>
      </c>
      <c r="P16" s="88">
        <f>NPV('Key Information'!$C$16,I17:I$61)*(1+'Key Information'!$C$16)</f>
        <v>512081856.40970886</v>
      </c>
      <c r="Q16" s="86"/>
      <c r="R16" s="89">
        <f>NPV('Key Information'!$C$16,K17:K$61)</f>
        <v>248492410.62937734</v>
      </c>
      <c r="S16" s="88">
        <f t="shared" si="0"/>
        <v>-384908894.6833638</v>
      </c>
      <c r="T16" s="88">
        <f t="shared" si="2"/>
        <v>210719488.68205908</v>
      </c>
      <c r="U16" s="89">
        <f t="shared" si="1"/>
        <v>-174189406.00130472</v>
      </c>
      <c r="X16" s="8"/>
    </row>
    <row r="17" spans="1:24" x14ac:dyDescent="0.3">
      <c r="A17" s="90"/>
      <c r="B17" s="83">
        <v>2026</v>
      </c>
      <c r="C17" s="84">
        <v>7</v>
      </c>
      <c r="D17" s="89">
        <f>$D16*(1-'Key Information'!K13-'Key Information'!L13)*(1+'Key Information'!$C$21)</f>
        <v>34623838989.314354</v>
      </c>
      <c r="E17" s="88">
        <f>$E16*(1-'Key Information'!K13-'Key Information'!L13)*(1+'Key Information'!G13)*(1+'Key Information'!$C$21)</f>
        <v>138962170.95627353</v>
      </c>
      <c r="F17" s="88">
        <f>F16*(1+'Key Information'!$C$20)*(1-'Key Information'!K13-'Key Information'!L13)</f>
        <v>12014545.674560372</v>
      </c>
      <c r="G17" s="88">
        <f>E17*'Key Information'!$C$30-E17*('Key Information'!$C$5)*'Key Information'!$C$30*(C17=1)</f>
        <v>6948108.5478136763</v>
      </c>
      <c r="H17" s="88">
        <f>D17*'Key Information'!K14</f>
        <v>69247677.97862871</v>
      </c>
      <c r="I17" s="88">
        <f>E17*IF($C$6="Y",'Key Information'!$C$44,'Key Information'!$C$40)</f>
        <v>45857516.415570267</v>
      </c>
      <c r="J17" s="86"/>
      <c r="K17" s="89">
        <f>H17*IF($C$6="Y",'Key Information'!$C$45,'Key Information'!$C$41)</f>
        <v>24236687.292520046</v>
      </c>
      <c r="L17" s="88">
        <f>NPV('Key Information'!$C$16,E18:E$61)*(1+'Key Information'!$C$16)</f>
        <v>1455185061.1938269</v>
      </c>
      <c r="M17" s="88">
        <f>NPV('Key Information'!$C$16,F18:F$61)*(1+'Key Information'!$C$16)</f>
        <v>106794354.12599243</v>
      </c>
      <c r="N17" s="88">
        <f>NPV('Key Information'!$C$16,G18:G$61)*(1+'Key Information'!$C$16)</f>
        <v>72759253.05969134</v>
      </c>
      <c r="O17" s="88">
        <f>NPV('Key Information'!$C$16,H18:H$61)</f>
        <v>662029987.5878247</v>
      </c>
      <c r="P17" s="88">
        <f>NPV('Key Information'!$C$16,I18:I$61)*(1+'Key Information'!$C$16)</f>
        <v>480211070.19396275</v>
      </c>
      <c r="Q17" s="86"/>
      <c r="R17" s="89">
        <f>NPV('Key Information'!$C$16,K18:K$61)</f>
        <v>231710495.65573859</v>
      </c>
      <c r="S17" s="88">
        <f t="shared" si="0"/>
        <v>-365100891.88209432</v>
      </c>
      <c r="T17" s="88">
        <f t="shared" si="2"/>
        <v>197604796.78033301</v>
      </c>
      <c r="U17" s="89">
        <f t="shared" si="1"/>
        <v>-167496095.10176131</v>
      </c>
      <c r="X17" s="8"/>
    </row>
    <row r="18" spans="1:24" x14ac:dyDescent="0.3">
      <c r="A18" s="90"/>
      <c r="B18" s="83">
        <v>2027</v>
      </c>
      <c r="C18" s="84">
        <v>8</v>
      </c>
      <c r="D18" s="89">
        <f>$D17*(1-'Key Information'!K14-'Key Information'!L14)*(1+'Key Information'!$C$21)</f>
        <v>31961265771.036079</v>
      </c>
      <c r="E18" s="88">
        <f>$E17*(1-'Key Information'!K14-'Key Information'!L14)*(1+'Key Information'!G14)*(1+'Key Information'!$C$21)</f>
        <v>130710630.56657408</v>
      </c>
      <c r="F18" s="88">
        <f>F17*(1+'Key Information'!$C$20)*(1-'Key Information'!K14-'Key Information'!L14)</f>
        <v>11199358.750541452</v>
      </c>
      <c r="G18" s="88">
        <f>E18*'Key Information'!$C$30-E18*('Key Information'!$C$5)*'Key Information'!$C$30*(C18=1)</f>
        <v>6535531.5283287046</v>
      </c>
      <c r="H18" s="88">
        <f>D18*'Key Information'!K15</f>
        <v>67118658.119175762</v>
      </c>
      <c r="I18" s="88">
        <f>E18*IF($C$6="Y",'Key Information'!$C$44,'Key Information'!$C$40)</f>
        <v>43134508.08696945</v>
      </c>
      <c r="J18" s="86"/>
      <c r="K18" s="89">
        <f>H18*IF($C$6="Y",'Key Information'!$C$45,'Key Information'!$C$41)</f>
        <v>23491530.341711514</v>
      </c>
      <c r="L18" s="88">
        <f>NPV('Key Information'!$C$16,E19:E$61)*(1+'Key Information'!$C$16)</f>
        <v>1364208663.5460696</v>
      </c>
      <c r="M18" s="88">
        <f>NPV('Key Information'!$C$16,F19:F$61)*(1+'Key Information'!$C$16)</f>
        <v>98462845.236714497</v>
      </c>
      <c r="N18" s="88">
        <f>NPV('Key Information'!$C$16,G19:G$61)*(1+'Key Information'!$C$16)</f>
        <v>68210433.177303493</v>
      </c>
      <c r="O18" s="88">
        <f>NPV('Key Information'!$C$16,H19:H$61)</f>
        <v>614772229.09628367</v>
      </c>
      <c r="P18" s="88">
        <f>NPV('Key Information'!$C$16,I19:I$61)*(1+'Key Information'!$C$16)</f>
        <v>450188858.9702031</v>
      </c>
      <c r="Q18" s="86"/>
      <c r="R18" s="89">
        <f>NPV('Key Information'!$C$16,K19:K$61)</f>
        <v>215170280.18369928</v>
      </c>
      <c r="S18" s="88">
        <f t="shared" si="0"/>
        <v>-347744577.24926424</v>
      </c>
      <c r="T18" s="88">
        <f t="shared" si="2"/>
        <v>185250785.56320074</v>
      </c>
      <c r="U18" s="89">
        <f t="shared" si="1"/>
        <v>-162493791.6860635</v>
      </c>
      <c r="X18" s="8"/>
    </row>
    <row r="19" spans="1:24" x14ac:dyDescent="0.3">
      <c r="A19" s="90"/>
      <c r="B19" s="83">
        <v>2028</v>
      </c>
      <c r="C19" s="84">
        <v>9</v>
      </c>
      <c r="D19" s="89">
        <f>$D18*(1-'Key Information'!K15-'Key Information'!L15)*(1+'Key Information'!$C$21)</f>
        <v>29467583893.048306</v>
      </c>
      <c r="E19" s="88">
        <f>$E18*(1-'Key Information'!K15-'Key Information'!L15)*(1+'Key Information'!G15)*(1+'Key Information'!$C$21)</f>
        <v>122891115.7371401</v>
      </c>
      <c r="F19" s="88">
        <f>F18*(1+'Key Information'!$C$20)*(1-'Key Information'!K15-'Key Information'!L15)</f>
        <v>10426793.385852851</v>
      </c>
      <c r="G19" s="88">
        <f>E19*'Key Information'!$C$30-E19*('Key Information'!$C$5)*'Key Information'!$C$30*(C19=1)</f>
        <v>6144555.7868570052</v>
      </c>
      <c r="H19" s="88">
        <f>D19*'Key Information'!K16</f>
        <v>61881926.175401434</v>
      </c>
      <c r="I19" s="88">
        <f>E19*IF($C$6="Y",'Key Information'!$C$44,'Key Information'!$C$40)</f>
        <v>40554068.193256237</v>
      </c>
      <c r="J19" s="86"/>
      <c r="K19" s="89">
        <f>H19*IF($C$6="Y",'Key Information'!$C$45,'Key Information'!$C$41)</f>
        <v>21658674.161390502</v>
      </c>
      <c r="L19" s="88">
        <f>NPV('Key Information'!$C$16,E20:E$61)*(1+'Key Information'!$C$16)</f>
        <v>1278557074.2431986</v>
      </c>
      <c r="M19" s="88">
        <f>NPV('Key Information'!$C$16,F20:F$61)*(1+'Key Information'!$C$16)</f>
        <v>90677133.406387582</v>
      </c>
      <c r="N19" s="88">
        <f>NPV('Key Information'!$C$16,G20:G$61)*(1+'Key Information'!$C$16)</f>
        <v>63927853.712159887</v>
      </c>
      <c r="O19" s="88">
        <f>NPV('Key Information'!$C$16,H20:H$61)</f>
        <v>571333469.79377103</v>
      </c>
      <c r="P19" s="88">
        <f>NPV('Key Information'!$C$16,I20:I$61)*(1+'Key Information'!$C$16)</f>
        <v>421923834.50025535</v>
      </c>
      <c r="Q19" s="86"/>
      <c r="R19" s="89">
        <f>NPV('Key Information'!$C$16,K20:K$61)</f>
        <v>199966714.4278197</v>
      </c>
      <c r="S19" s="88">
        <f t="shared" si="0"/>
        <v>-330661497.25844455</v>
      </c>
      <c r="T19" s="88">
        <f t="shared" si="2"/>
        <v>173619849.16242364</v>
      </c>
      <c r="U19" s="89">
        <f t="shared" si="1"/>
        <v>-157041648.09602091</v>
      </c>
      <c r="X19" s="8"/>
    </row>
    <row r="20" spans="1:24" x14ac:dyDescent="0.3">
      <c r="A20" s="90"/>
      <c r="B20" s="83">
        <v>2029</v>
      </c>
      <c r="C20" s="84">
        <v>10</v>
      </c>
      <c r="D20" s="89">
        <f>$D19*(1-'Key Information'!K16-'Key Information'!L16)*(1+'Key Information'!$C$21)</f>
        <v>27138407126.973984</v>
      </c>
      <c r="E20" s="88">
        <f>$E19*(1-'Key Information'!K16-'Key Information'!L16)*(1+'Key Information'!G16)*(1+'Key Information'!$C$21)</f>
        <v>115500925.67560592</v>
      </c>
      <c r="F20" s="88">
        <f>F19*(1+'Key Information'!$C$20)*(1-'Key Information'!K16-'Key Information'!L16)</f>
        <v>9696782.3005291354</v>
      </c>
      <c r="G20" s="88">
        <f>E20*'Key Information'!$C$30-E20*('Key Information'!$C$5)*'Key Information'!$C$30*(C20=1)</f>
        <v>5775046.2837802963</v>
      </c>
      <c r="H20" s="88">
        <f>D20*'Key Information'!K17</f>
        <v>56990654.96664536</v>
      </c>
      <c r="I20" s="88">
        <f>E20*IF($C$6="Y",'Key Information'!$C$44,'Key Information'!$C$40)</f>
        <v>38115305.472949959</v>
      </c>
      <c r="J20" s="86"/>
      <c r="K20" s="89">
        <f>H20*IF($C$6="Y",'Key Information'!$C$45,'Key Information'!$C$41)</f>
        <v>19946729.238325875</v>
      </c>
      <c r="L20" s="88">
        <f>NPV('Key Information'!$C$16,E21:E$61)*(1+'Key Information'!$C$16)</f>
        <v>1197947833.0246205</v>
      </c>
      <c r="M20" s="88">
        <f>NPV('Key Information'!$C$16,F21:F$61)*(1+'Key Information'!$C$16)</f>
        <v>83409761.639034167</v>
      </c>
      <c r="N20" s="88">
        <f>NPV('Key Information'!$C$16,G21:G$61)*(1+'Key Information'!$C$16)</f>
        <v>59897391.651230983</v>
      </c>
      <c r="O20" s="88">
        <f>NPV('Key Information'!$C$16,H21:H$61)</f>
        <v>531482818.92093867</v>
      </c>
      <c r="P20" s="88">
        <f>NPV('Key Information'!$C$16,I21:I$61)*(1+'Key Information'!$C$16)</f>
        <v>395322784.89812458</v>
      </c>
      <c r="Q20" s="86"/>
      <c r="R20" s="89">
        <f>NPV('Key Information'!$C$16,K21:K$61)</f>
        <v>186018986.62232861</v>
      </c>
      <c r="S20" s="88">
        <f t="shared" si="0"/>
        <v>-313854062.53762078</v>
      </c>
      <c r="T20" s="88">
        <f t="shared" si="2"/>
        <v>162673631.286502</v>
      </c>
      <c r="U20" s="89">
        <f t="shared" si="1"/>
        <v>-151180431.25111878</v>
      </c>
      <c r="X20" s="8"/>
    </row>
    <row r="21" spans="1:24" x14ac:dyDescent="0.3">
      <c r="A21" s="90"/>
      <c r="B21" s="83">
        <v>2030</v>
      </c>
      <c r="C21" s="84">
        <v>11</v>
      </c>
      <c r="D21" s="89">
        <f>$D20*(1-'Key Information'!K17-'Key Information'!L17)*(1+'Key Information'!$C$21)</f>
        <v>24965651975.574192</v>
      </c>
      <c r="E21" s="88">
        <f>$E20*(1-'Key Information'!K17-'Key Information'!L17)*(1+'Key Information'!G17)*(1+'Key Information'!$C$21)</f>
        <v>108522172.55756588</v>
      </c>
      <c r="F21" s="88">
        <f>F20*(1+'Key Information'!$C$20)*(1-'Key Information'!K17-'Key Information'!L17)</f>
        <v>9007893.7955526449</v>
      </c>
      <c r="G21" s="88">
        <f>E21*'Key Information'!$C$30-E21*('Key Information'!$C$5)*'Key Information'!$C$30*(C21=1)</f>
        <v>5426108.6278782943</v>
      </c>
      <c r="H21" s="88">
        <f>D21*'Key Information'!K18</f>
        <v>54924434.346263222</v>
      </c>
      <c r="I21" s="88">
        <f>E21*IF($C$6="Y",'Key Information'!$C$44,'Key Information'!$C$40)</f>
        <v>35812316.943996742</v>
      </c>
      <c r="J21" s="86"/>
      <c r="K21" s="89">
        <f>H21*IF($C$6="Y",'Key Information'!$C$45,'Key Information'!$C$41)</f>
        <v>19223552.021192126</v>
      </c>
      <c r="L21" s="88">
        <f>NPV('Key Information'!$C$16,E22:E$61)*(1+'Key Information'!$C$16)</f>
        <v>1122108430.2810655</v>
      </c>
      <c r="M21" s="88">
        <f>NPV('Key Information'!$C$16,F22:F$61)*(1+'Key Information'!$C$16)</f>
        <v>76633923.878785968</v>
      </c>
      <c r="N21" s="88">
        <f>NPV('Key Information'!$C$16,G22:G$61)*(1+'Key Information'!$C$16)</f>
        <v>56105421.514053285</v>
      </c>
      <c r="O21" s="88">
        <f>NPV('Key Information'!$C$16,H22:H$61)</f>
        <v>492502869.14230376</v>
      </c>
      <c r="P21" s="88">
        <f>NPV('Key Information'!$C$16,I22:I$61)*(1+'Key Information'!$C$16)</f>
        <v>370295781.99275154</v>
      </c>
      <c r="Q21" s="86"/>
      <c r="R21" s="89">
        <f>NPV('Key Information'!$C$16,K22:K$61)</f>
        <v>172376004.19980624</v>
      </c>
      <c r="S21" s="88">
        <f t="shared" si="0"/>
        <v>-298946437.95297706</v>
      </c>
      <c r="T21" s="88">
        <f t="shared" si="2"/>
        <v>152375126.87855583</v>
      </c>
      <c r="U21" s="89">
        <f t="shared" si="1"/>
        <v>-146571311.07442123</v>
      </c>
      <c r="X21" s="8"/>
    </row>
    <row r="22" spans="1:24" x14ac:dyDescent="0.3">
      <c r="A22" s="90"/>
      <c r="B22" s="83">
        <v>2031</v>
      </c>
      <c r="C22" s="84">
        <v>12</v>
      </c>
      <c r="D22" s="89">
        <f>$D21*(1-'Key Information'!K18-'Key Information'!L18)*(1+'Key Information'!$C$21)</f>
        <v>22938840485.589176</v>
      </c>
      <c r="E22" s="88">
        <f>$E21*(1-'Key Information'!K18-'Key Information'!L18)*(1+'Key Information'!G18)*(1+'Key Information'!$C$21)</f>
        <v>101925878.24109831</v>
      </c>
      <c r="F22" s="88">
        <f>F21*(1+'Key Information'!$C$20)*(1-'Key Information'!K18-'Key Information'!L18)</f>
        <v>8357740.0529648382</v>
      </c>
      <c r="G22" s="88">
        <f>E22*'Key Information'!$C$30-E22*('Key Information'!$C$5)*'Key Information'!$C$30*(C22=1)</f>
        <v>5096293.9120549159</v>
      </c>
      <c r="H22" s="88">
        <f>D22*'Key Information'!K19</f>
        <v>50465449.068296194</v>
      </c>
      <c r="I22" s="88">
        <f>E22*IF($C$6="Y",'Key Information'!$C$44,'Key Information'!$C$40)</f>
        <v>33635539.819562443</v>
      </c>
      <c r="J22" s="86"/>
      <c r="K22" s="89">
        <f>H22*IF($C$6="Y",'Key Information'!$C$45,'Key Information'!$C$41)</f>
        <v>17662907.173903666</v>
      </c>
      <c r="L22" s="88">
        <f>NPV('Key Information'!$C$16,E23:E$61)*(1+'Key Information'!$C$16)</f>
        <v>1050788028.6011662</v>
      </c>
      <c r="M22" s="88">
        <f>NPV('Key Information'!$C$16,F23:F$61)*(1+'Key Information'!$C$16)</f>
        <v>70324469.340595767</v>
      </c>
      <c r="N22" s="88">
        <f>NPV('Key Information'!$C$16,G23:G$61)*(1+'Key Information'!$C$16)</f>
        <v>52539401.430058315</v>
      </c>
      <c r="O22" s="88">
        <f>NPV('Key Information'!$C$16,H23:H$61)</f>
        <v>456812506.14827669</v>
      </c>
      <c r="P22" s="88">
        <f>NPV('Key Information'!$C$16,I23:I$61)*(1+'Key Information'!$C$16)</f>
        <v>346760049.43838495</v>
      </c>
      <c r="Q22" s="86"/>
      <c r="R22" s="89">
        <f>NPV('Key Information'!$C$16,K23:K$61)</f>
        <v>159884377.15189689</v>
      </c>
      <c r="S22" s="88">
        <f t="shared" si="0"/>
        <v>-284235979.39574742</v>
      </c>
      <c r="T22" s="88">
        <f t="shared" si="2"/>
        <v>142690273.82716033</v>
      </c>
      <c r="U22" s="89">
        <f t="shared" si="1"/>
        <v>-141545705.56858709</v>
      </c>
      <c r="X22" s="8"/>
    </row>
    <row r="23" spans="1:24" x14ac:dyDescent="0.3">
      <c r="A23" s="90"/>
      <c r="B23" s="83">
        <v>2032</v>
      </c>
      <c r="C23" s="84">
        <v>13</v>
      </c>
      <c r="D23" s="89">
        <f>$D22*(1-'Key Information'!K19-'Key Information'!L19)*(1+'Key Information'!$C$21)</f>
        <v>21053176042.311806</v>
      </c>
      <c r="E23" s="88">
        <f>$E22*(1-'Key Information'!K19-'Key Information'!L19)*(1+'Key Information'!G19)*(1+'Key Information'!$C$21)</f>
        <v>95707336.747217461</v>
      </c>
      <c r="F23" s="88">
        <f>F22*(1+'Key Information'!$C$20)*(1-'Key Information'!K19-'Key Information'!L19)</f>
        <v>7745903.3346474953</v>
      </c>
      <c r="G23" s="88">
        <f>E23*'Key Information'!$C$30-E23*('Key Information'!$C$5)*'Key Information'!$C$30*(C23=1)</f>
        <v>4785366.8373608729</v>
      </c>
      <c r="H23" s="88">
        <f>D23*'Key Information'!K20</f>
        <v>48422304.897317149</v>
      </c>
      <c r="I23" s="88">
        <f>E23*IF($C$6="Y",'Key Information'!$C$44,'Key Information'!$C$40)</f>
        <v>31583421.126581762</v>
      </c>
      <c r="J23" s="86"/>
      <c r="K23" s="89">
        <f>H23*IF($C$6="Y",'Key Information'!$C$45,'Key Information'!$C$41)</f>
        <v>16947806.714060999</v>
      </c>
      <c r="L23" s="88">
        <f>NPV('Key Information'!$C$16,E24:E$61)*(1+'Key Information'!$C$16)</f>
        <v>983733112.60956752</v>
      </c>
      <c r="M23" s="88">
        <f>NPV('Key Information'!$C$16,F24:F$61)*(1+'Key Information'!$C$16)</f>
        <v>64455922.986126699</v>
      </c>
      <c r="N23" s="88">
        <f>NPV('Key Information'!$C$16,G24:G$61)*(1+'Key Information'!$C$16)</f>
        <v>49186655.630478367</v>
      </c>
      <c r="O23" s="88">
        <f>NPV('Key Information'!$C$16,H24:H$61)</f>
        <v>422094576.43540776</v>
      </c>
      <c r="P23" s="88">
        <f>NPV('Key Information'!$C$16,I24:I$61)*(1+'Key Information'!$C$16)</f>
        <v>324631927.16115725</v>
      </c>
      <c r="Q23" s="86"/>
      <c r="R23" s="89">
        <f>NPV('Key Information'!$C$16,K24:K$61)</f>
        <v>147733101.75239268</v>
      </c>
      <c r="S23" s="88">
        <f t="shared" si="0"/>
        <v>-271097132.14879012</v>
      </c>
      <c r="T23" s="88">
        <f t="shared" si="2"/>
        <v>133584646.37055929</v>
      </c>
      <c r="U23" s="89">
        <f t="shared" si="1"/>
        <v>-137512485.77823085</v>
      </c>
      <c r="X23" s="8"/>
    </row>
    <row r="24" spans="1:24" x14ac:dyDescent="0.3">
      <c r="A24" s="90"/>
      <c r="B24" s="83">
        <v>2033</v>
      </c>
      <c r="C24" s="84">
        <v>14</v>
      </c>
      <c r="D24" s="89">
        <f>$D23*(1-'Key Information'!K20-'Key Information'!L20)*(1+'Key Information'!$C$21)</f>
        <v>19298899095.410133</v>
      </c>
      <c r="E24" s="88">
        <f>$E23*(1-'Key Information'!K20-'Key Information'!L20)*(1+'Key Information'!G20)*(1+'Key Information'!$C$21)</f>
        <v>89839363.843954131</v>
      </c>
      <c r="F24" s="88">
        <f>F23*(1+'Key Information'!$C$20)*(1-'Key Information'!K20-'Key Information'!L20)</f>
        <v>7170080.6266531358</v>
      </c>
      <c r="G24" s="88">
        <f>E24*'Key Information'!$C$30-E24*('Key Information'!$C$5)*'Key Information'!$C$30*(C24=1)</f>
        <v>4491968.1921977066</v>
      </c>
      <c r="H24" s="88">
        <f>D24*'Key Information'!K21</f>
        <v>44387467.919443309</v>
      </c>
      <c r="I24" s="88">
        <f>E24*IF($C$6="Y",'Key Information'!$C$44,'Key Information'!$C$40)</f>
        <v>29646990.068504866</v>
      </c>
      <c r="J24" s="86"/>
      <c r="K24" s="89">
        <f>H24*IF($C$6="Y",'Key Information'!$C$45,'Key Information'!$C$41)</f>
        <v>15535613.771805158</v>
      </c>
      <c r="L24" s="88">
        <f>NPV('Key Information'!$C$16,E25:E$61)*(1+'Key Information'!$C$16)</f>
        <v>920710561.22858155</v>
      </c>
      <c r="M24" s="88">
        <f>NPV('Key Information'!$C$16,F25:F$61)*(1+'Key Information'!$C$16)</f>
        <v>59004417.630257756</v>
      </c>
      <c r="N24" s="88">
        <f>NPV('Key Information'!$C$16,G25:G$61)*(1+'Key Information'!$C$16)</f>
        <v>46035528.061429098</v>
      </c>
      <c r="O24" s="88">
        <f>NPV('Key Information'!$C$16,H25:H$61)</f>
        <v>390369945.80902684</v>
      </c>
      <c r="P24" s="88">
        <f>NPV('Key Information'!$C$16,I25:I$61)*(1+'Key Information'!$C$16)</f>
        <v>303834485.205432</v>
      </c>
      <c r="Q24" s="86"/>
      <c r="R24" s="89">
        <f>NPV('Key Information'!$C$16,K25:K$61)</f>
        <v>136629481.03315932</v>
      </c>
      <c r="S24" s="88">
        <f t="shared" si="0"/>
        <v>-258095665.55559522</v>
      </c>
      <c r="T24" s="88">
        <f t="shared" si="2"/>
        <v>125026588.16179718</v>
      </c>
      <c r="U24" s="89">
        <f t="shared" si="1"/>
        <v>-133069077.39379804</v>
      </c>
      <c r="X24" s="8"/>
    </row>
    <row r="25" spans="1:24" x14ac:dyDescent="0.3">
      <c r="A25" s="90"/>
      <c r="B25" s="83">
        <v>2034</v>
      </c>
      <c r="C25" s="84">
        <v>15</v>
      </c>
      <c r="D25" s="89">
        <f>$D24*(1-'Key Information'!K21-'Key Information'!L21)*(1+'Key Information'!$C$21)</f>
        <v>17671114152.30867</v>
      </c>
      <c r="E25" s="88">
        <f>$E24*(1-'Key Information'!K21-'Key Information'!L21)*(1+'Key Information'!G21)*(1+'Key Information'!$C$21)</f>
        <v>84316351.341004819</v>
      </c>
      <c r="F25" s="88">
        <f>F24*(1+'Key Information'!$C$20)*(1-'Key Information'!K21-'Key Information'!L21)</f>
        <v>6629678.8199029155</v>
      </c>
      <c r="G25" s="88">
        <f>E25*'Key Information'!$C$30-E25*('Key Information'!$C$5)*'Key Information'!$C$30*(C25=1)</f>
        <v>4215817.5670502409</v>
      </c>
      <c r="H25" s="88">
        <f>D25*'Key Information'!K22</f>
        <v>42410673.965540804</v>
      </c>
      <c r="I25" s="88">
        <f>E25*IF($C$6="Y",'Key Information'!$C$44,'Key Information'!$C$40)</f>
        <v>27824395.942531593</v>
      </c>
      <c r="J25" s="86"/>
      <c r="K25" s="89">
        <f>H25*IF($C$6="Y",'Key Information'!$C$45,'Key Information'!$C$41)</f>
        <v>14843735.88793928</v>
      </c>
      <c r="L25" s="88">
        <f>NPV('Key Information'!$C$16,E26:E$61)*(1+'Key Information'!$C$16)</f>
        <v>861486036.18420398</v>
      </c>
      <c r="M25" s="88">
        <f>NPV('Key Information'!$C$16,F26:F$61)*(1+'Key Information'!$C$16)</f>
        <v>53945980.9746655</v>
      </c>
      <c r="N25" s="88">
        <f>NPV('Key Information'!$C$16,G26:G$61)*(1+'Key Information'!$C$16)</f>
        <v>43074301.809210211</v>
      </c>
      <c r="O25" s="88">
        <f>NPV('Key Information'!$C$16,H26:H$61)</f>
        <v>359670370.21775669</v>
      </c>
      <c r="P25" s="88">
        <f>NPV('Key Information'!$C$16,I26:I$61)*(1+'Key Information'!$C$16)</f>
        <v>284290391.94078732</v>
      </c>
      <c r="Q25" s="86"/>
      <c r="R25" s="89">
        <f>NPV('Key Information'!$C$16,K26:K$61)</f>
        <v>125884629.57621486</v>
      </c>
      <c r="S25" s="88">
        <f t="shared" si="0"/>
        <v>-246389620.81799906</v>
      </c>
      <c r="T25" s="88">
        <f t="shared" si="2"/>
        <v>116984277.56646654</v>
      </c>
      <c r="U25" s="89">
        <f t="shared" si="1"/>
        <v>-129405343.25153252</v>
      </c>
      <c r="X25" s="8"/>
    </row>
    <row r="26" spans="1:24" x14ac:dyDescent="0.3">
      <c r="A26" s="90"/>
      <c r="B26" s="83">
        <v>2035</v>
      </c>
      <c r="C26" s="84">
        <v>16</v>
      </c>
      <c r="D26" s="89">
        <f>$D25*(1-'Key Information'!K22-'Key Information'!L22)*(1+'Key Information'!$C$21)</f>
        <v>16160799367.939154</v>
      </c>
      <c r="E26" s="88">
        <f>$E25*(1-'Key Information'!K22-'Key Information'!L22)*(1+'Key Information'!G22)*(1+'Key Information'!$C$21)</f>
        <v>79112945.024715587</v>
      </c>
      <c r="F26" s="88">
        <f>F25*(1+'Key Information'!$C$20)*(1-'Key Information'!K22-'Key Information'!L22)</f>
        <v>6122495.1308227032</v>
      </c>
      <c r="G26" s="88">
        <f>E26*'Key Information'!$C$30-E26*('Key Information'!$C$5)*'Key Information'!$C$30*(C26=1)</f>
        <v>3955647.2512357794</v>
      </c>
      <c r="H26" s="88">
        <f>D26*'Key Information'!K23</f>
        <v>38785918.483053967</v>
      </c>
      <c r="I26" s="88">
        <f>E26*IF($C$6="Y",'Key Information'!$C$44,'Key Information'!$C$40)</f>
        <v>26107271.858156145</v>
      </c>
      <c r="J26" s="86"/>
      <c r="K26" s="89">
        <f>H26*IF($C$6="Y",'Key Information'!$C$45,'Key Information'!$C$41)</f>
        <v>13575071.469068889</v>
      </c>
      <c r="L26" s="88">
        <f>NPV('Key Information'!$C$16,E27:E$61)*(1+'Key Information'!$C$16)</f>
        <v>805844283.89427328</v>
      </c>
      <c r="M26" s="88">
        <f>NPV('Key Information'!$C$16,F27:F$61)*(1+'Key Information'!$C$16)</f>
        <v>49258190.419158079</v>
      </c>
      <c r="N26" s="88">
        <f>NPV('Key Information'!$C$16,G27:G$61)*(1+'Key Information'!$C$16)</f>
        <v>40292214.194713645</v>
      </c>
      <c r="O26" s="88">
        <f>NPV('Key Information'!$C$16,H27:H$61)</f>
        <v>331674562.84123528</v>
      </c>
      <c r="P26" s="88">
        <f>NPV('Key Information'!$C$16,I27:I$61)*(1+'Key Information'!$C$16)</f>
        <v>265928613.68511021</v>
      </c>
      <c r="Q26" s="86"/>
      <c r="R26" s="89">
        <f>NPV('Key Information'!$C$16,K27:K$61)</f>
        <v>116086096.9944324</v>
      </c>
      <c r="S26" s="88">
        <f t="shared" si="0"/>
        <v>-234776799.74848843</v>
      </c>
      <c r="T26" s="88">
        <f t="shared" si="2"/>
        <v>109428484.52889022</v>
      </c>
      <c r="U26" s="89">
        <f t="shared" si="1"/>
        <v>-125348315.2195982</v>
      </c>
      <c r="X26" s="8"/>
    </row>
    <row r="27" spans="1:24" x14ac:dyDescent="0.3">
      <c r="A27" s="90"/>
      <c r="B27" s="83">
        <v>2036</v>
      </c>
      <c r="C27" s="84">
        <v>17</v>
      </c>
      <c r="D27" s="89">
        <f>$D26*(1-'Key Information'!K23-'Key Information'!L23)*(1+'Key Information'!$C$21)</f>
        <v>14763084152.204834</v>
      </c>
      <c r="E27" s="88">
        <f>$E26*(1-'Key Information'!K23-'Key Information'!L23)*(1+'Key Information'!G23)*(1+'Key Information'!$C$21)</f>
        <v>74222954.316559255</v>
      </c>
      <c r="F27" s="88">
        <f>F26*(1+'Key Information'!$C$20)*(1-'Key Information'!K23-'Key Information'!L23)</f>
        <v>5647805.8383397581</v>
      </c>
      <c r="G27" s="88">
        <f>E27*'Key Information'!$C$30-E27*('Key Information'!$C$5)*'Key Information'!$C$30*(C27=1)</f>
        <v>3711147.7158279628</v>
      </c>
      <c r="H27" s="88">
        <f>D27*'Key Information'!K24</f>
        <v>36907710.380512089</v>
      </c>
      <c r="I27" s="88">
        <f>E27*IF($C$6="Y",'Key Information'!$C$44,'Key Information'!$C$40)</f>
        <v>24493574.924464554</v>
      </c>
      <c r="J27" s="86"/>
      <c r="K27" s="89">
        <f>H27*IF($C$6="Y",'Key Information'!$C$45,'Key Information'!$C$41)</f>
        <v>12917698.633179231</v>
      </c>
      <c r="L27" s="88">
        <f>NPV('Key Information'!$C$16,E28:E$61)*(1+'Key Information'!$C$16)</f>
        <v>753569969.46504545</v>
      </c>
      <c r="M27" s="88">
        <f>NPV('Key Information'!$C$16,F28:F$61)*(1+'Key Information'!$C$16)</f>
        <v>44918696.118242882</v>
      </c>
      <c r="N27" s="88">
        <f>NPV('Key Information'!$C$16,G28:G$61)*(1+'Key Information'!$C$16)</f>
        <v>37678498.473252274</v>
      </c>
      <c r="O27" s="88">
        <f>NPV('Key Information'!$C$16,H28:H$61)</f>
        <v>304717089.34596038</v>
      </c>
      <c r="P27" s="88">
        <f>NPV('Key Information'!$C$16,I28:I$61)*(1+'Key Information'!$C$16)</f>
        <v>248678089.92346504</v>
      </c>
      <c r="Q27" s="86"/>
      <c r="R27" s="89">
        <f>NPV('Key Information'!$C$16,K28:K$61)</f>
        <v>106650981.27108614</v>
      </c>
      <c r="S27" s="88">
        <f t="shared" si="0"/>
        <v>-224228576.875211</v>
      </c>
      <c r="T27" s="88">
        <f t="shared" si="2"/>
        <v>102329967.95179975</v>
      </c>
      <c r="U27" s="89">
        <f t="shared" si="1"/>
        <v>-121898608.92341125</v>
      </c>
      <c r="X27" s="8"/>
    </row>
    <row r="28" spans="1:24" x14ac:dyDescent="0.3">
      <c r="A28" s="90"/>
      <c r="B28" s="83">
        <v>2037</v>
      </c>
      <c r="C28" s="84">
        <v>18</v>
      </c>
      <c r="D28" s="89">
        <f>$D27*(1-'Key Information'!K24-'Key Information'!L24)*(1+'Key Information'!$C$21)</f>
        <v>13469690349.630169</v>
      </c>
      <c r="E28" s="88">
        <f>$E27*(1-'Key Information'!K24-'Key Information'!L24)*(1+'Key Information'!G24)*(1+'Key Information'!$C$21)</f>
        <v>69622863.541027293</v>
      </c>
      <c r="F28" s="88">
        <f>F27*(1+'Key Information'!$C$20)*(1-'Key Information'!K24-'Key Information'!L24)</f>
        <v>5203521.1920667617</v>
      </c>
      <c r="G28" s="88">
        <f>E28*'Key Information'!$C$30-E28*('Key Information'!$C$5)*'Key Information'!$C$30*(C28=1)</f>
        <v>3481143.1770513649</v>
      </c>
      <c r="H28" s="88">
        <f>D28*'Key Information'!K25</f>
        <v>33674225.87407542</v>
      </c>
      <c r="I28" s="88">
        <f>E28*IF($C$6="Y",'Key Information'!$C$44,'Key Information'!$C$40)</f>
        <v>22975544.968539007</v>
      </c>
      <c r="J28" s="86"/>
      <c r="K28" s="89">
        <f>H28*IF($C$6="Y",'Key Information'!$C$45,'Key Information'!$C$41)</f>
        <v>11785979.055926396</v>
      </c>
      <c r="L28" s="88">
        <f>NPV('Key Information'!$C$16,E29:E$61)*(1+'Key Information'!$C$16)</f>
        <v>704465519.10173857</v>
      </c>
      <c r="M28" s="88">
        <f>NPV('Key Information'!$C$16,F29:F$61)*(1+'Key Information'!$C$16)</f>
        <v>40906630.173961401</v>
      </c>
      <c r="N28" s="88">
        <f>NPV('Key Information'!$C$16,G29:G$61)*(1+'Key Information'!$C$16)</f>
        <v>35223275.955086954</v>
      </c>
      <c r="O28" s="88">
        <f>NPV('Key Information'!$C$16,H29:H$61)</f>
        <v>280184376.15226382</v>
      </c>
      <c r="P28" s="88">
        <f>NPV('Key Information'!$C$16,I29:I$61)*(1+'Key Information'!$C$16)</f>
        <v>232473621.30357388</v>
      </c>
      <c r="Q28" s="86"/>
      <c r="R28" s="89">
        <f>NPV('Key Information'!$C$16,K29:K$61)</f>
        <v>98064531.653292328</v>
      </c>
      <c r="S28" s="88">
        <f t="shared" si="0"/>
        <v>-213742147.17014486</v>
      </c>
      <c r="T28" s="88">
        <f t="shared" si="2"/>
        <v>95661898.581234142</v>
      </c>
      <c r="U28" s="89">
        <f t="shared" si="1"/>
        <v>-118080248.58891071</v>
      </c>
      <c r="X28" s="8"/>
    </row>
    <row r="29" spans="1:24" x14ac:dyDescent="0.3">
      <c r="A29" s="90"/>
      <c r="B29" s="83">
        <v>2038</v>
      </c>
      <c r="C29" s="84">
        <v>19</v>
      </c>
      <c r="D29" s="89">
        <f>$D28*(1-'Key Information'!K25-'Key Information'!L25)*(1+'Key Information'!$C$21)</f>
        <v>12275871693.942448</v>
      </c>
      <c r="E29" s="88">
        <f>$E28*(1-'Key Information'!K25-'Key Information'!L25)*(1+'Key Information'!G25)*(1+'Key Information'!$C$21)</f>
        <v>65306167.405592479</v>
      </c>
      <c r="F29" s="88">
        <f>F28*(1+'Key Information'!$C$20)*(1-'Key Information'!K25-'Key Information'!L25)</f>
        <v>4788826.5706650019</v>
      </c>
      <c r="G29" s="88">
        <f>E29*'Key Information'!$C$30-E29*('Key Information'!$C$5)*'Key Information'!$C$30*(C29=1)</f>
        <v>3265308.3702796241</v>
      </c>
      <c r="H29" s="88">
        <f>D29*'Key Information'!K26</f>
        <v>31917266.404250361</v>
      </c>
      <c r="I29" s="88">
        <f>E29*IF($C$6="Y",'Key Information'!$C$44,'Key Information'!$C$40)</f>
        <v>21551035.243845519</v>
      </c>
      <c r="J29" s="86"/>
      <c r="K29" s="89">
        <f>H29*IF($C$6="Y",'Key Information'!$C$45,'Key Information'!$C$41)</f>
        <v>11171043.241487626</v>
      </c>
      <c r="L29" s="88">
        <f>NPV('Key Information'!$C$16,E30:E$61)*(1+'Key Information'!$C$16)</f>
        <v>658334132.24703085</v>
      </c>
      <c r="M29" s="88">
        <f>NPV('Key Information'!$C$16,F30:F$61)*(1+'Key Information'!$C$16)</f>
        <v>37201337.711395286</v>
      </c>
      <c r="N29" s="88">
        <f>NPV('Key Information'!$C$16,G30:G$61)*(1+'Key Information'!$C$16)</f>
        <v>32916706.612351537</v>
      </c>
      <c r="O29" s="88">
        <f>NPV('Key Information'!$C$16,H30:H$61)</f>
        <v>256672641.03258142</v>
      </c>
      <c r="P29" s="88">
        <f>NPV('Key Information'!$C$16,I30:I$61)*(1+'Key Information'!$C$16)</f>
        <v>217250263.64152026</v>
      </c>
      <c r="Q29" s="86"/>
      <c r="R29" s="89">
        <f>NPV('Key Information'!$C$16,K30:K$61)</f>
        <v>89835424.361403465</v>
      </c>
      <c r="S29" s="88">
        <f t="shared" si="0"/>
        <v>-204128607.61058581</v>
      </c>
      <c r="T29" s="88">
        <f t="shared" si="2"/>
        <v>89397552.163919419</v>
      </c>
      <c r="U29" s="89">
        <f t="shared" si="1"/>
        <v>-114731055.44666639</v>
      </c>
      <c r="X29" s="8"/>
    </row>
    <row r="30" spans="1:24" x14ac:dyDescent="0.3">
      <c r="A30" s="90"/>
      <c r="B30" s="83">
        <v>2039</v>
      </c>
      <c r="C30" s="84">
        <v>20</v>
      </c>
      <c r="D30" s="89">
        <f>$D29*(1-'Key Information'!K26-'Key Information'!L26)*(1+'Key Information'!$C$21)</f>
        <v>11174087657.667725</v>
      </c>
      <c r="E30" s="88">
        <f>$E29*(1-'Key Information'!K26-'Key Information'!L26)*(1+'Key Information'!G26)*(1+'Key Information'!$C$21)</f>
        <v>61251172.38376651</v>
      </c>
      <c r="F30" s="88">
        <f>F29*(1+'Key Information'!$C$20)*(1-'Key Information'!K26-'Key Information'!L26)</f>
        <v>4401755.2966112904</v>
      </c>
      <c r="G30" s="88">
        <f>E30*'Key Information'!$C$30-E30*('Key Information'!$C$5)*'Key Information'!$C$30*(C30=1)</f>
        <v>3062558.6191883255</v>
      </c>
      <c r="H30" s="88">
        <f>D30*'Key Information'!K27</f>
        <v>29052627.909936082</v>
      </c>
      <c r="I30" s="88">
        <f>E30*IF($C$6="Y",'Key Information'!$C$44,'Key Information'!$C$40)</f>
        <v>20212886.886642948</v>
      </c>
      <c r="J30" s="86"/>
      <c r="K30" s="89">
        <f>H30*IF($C$6="Y",'Key Information'!$C$45,'Key Information'!$C$41)</f>
        <v>10168419.768477628</v>
      </c>
      <c r="L30" s="88">
        <f>NPV('Key Information'!$C$16,E31:E$61)*(1+'Key Information'!$C$16)</f>
        <v>614995448.65916204</v>
      </c>
      <c r="M30" s="88">
        <f>NPV('Key Information'!$C$16,F31:F$61)*(1+'Key Information'!$C$16)</f>
        <v>33783569.887227513</v>
      </c>
      <c r="N30" s="88">
        <f>NPV('Key Information'!$C$16,G31:G$61)*(1+'Key Information'!$C$16)</f>
        <v>30749772.432958115</v>
      </c>
      <c r="O30" s="88">
        <f>NPV('Key Information'!$C$16,H31:H$61)</f>
        <v>235320192.3536227</v>
      </c>
      <c r="P30" s="88">
        <f>NPV('Key Information'!$C$16,I31:I$61)*(1+'Key Information'!$C$16)</f>
        <v>202948498.05752358</v>
      </c>
      <c r="Q30" s="86"/>
      <c r="R30" s="89">
        <f>NPV('Key Information'!$C$16,K31:K$61)</f>
        <v>82362067.323767975</v>
      </c>
      <c r="S30" s="88">
        <f t="shared" si="0"/>
        <v>-194555483.25159812</v>
      </c>
      <c r="T30" s="88">
        <f t="shared" si="2"/>
        <v>83512436.93597573</v>
      </c>
      <c r="U30" s="89">
        <f t="shared" si="1"/>
        <v>-111043046.31562239</v>
      </c>
      <c r="X30" s="8"/>
    </row>
    <row r="31" spans="1:24" x14ac:dyDescent="0.3">
      <c r="A31" s="90"/>
      <c r="B31" s="83">
        <v>2040</v>
      </c>
      <c r="C31" s="84">
        <v>21</v>
      </c>
      <c r="D31" s="89">
        <f>$D30*(1-'Key Information'!K27-'Key Information'!L27)*(1+'Key Information'!$C$21)</f>
        <v>10159793372.80591</v>
      </c>
      <c r="E31" s="88">
        <f>$E30*(1-'Key Information'!K27-'Key Information'!L27)*(1+'Key Information'!G27)*(1+'Key Information'!$C$21)</f>
        <v>57451277.905287437</v>
      </c>
      <c r="F31" s="88">
        <f>F30*(1+'Key Information'!$C$20)*(1-'Key Information'!K27-'Key Information'!L27)</f>
        <v>4041436.4115412831</v>
      </c>
      <c r="G31" s="88">
        <f>E31*'Key Information'!$C$30-E31*('Key Information'!$C$5)*'Key Information'!$C$30*(C31=1)</f>
        <v>2872563.8952643722</v>
      </c>
      <c r="H31" s="88">
        <f>D31*'Key Information'!K28</f>
        <v>27431442.106575958</v>
      </c>
      <c r="I31" s="88">
        <f>E31*IF($C$6="Y",'Key Information'!$C$44,'Key Information'!$C$40)</f>
        <v>18958921.708744854</v>
      </c>
      <c r="J31" s="86"/>
      <c r="K31" s="89">
        <f>H31*IF($C$6="Y",'Key Information'!$C$45,'Key Information'!$C$41)</f>
        <v>9601004.7373015843</v>
      </c>
      <c r="L31" s="88">
        <f>NPV('Key Information'!$C$16,E32:E$61)*(1+'Key Information'!$C$16)</f>
        <v>574270495.87649095</v>
      </c>
      <c r="M31" s="88">
        <f>NPV('Key Information'!$C$16,F32:F$61)*(1+'Key Information'!$C$16)</f>
        <v>30634397.479956828</v>
      </c>
      <c r="N31" s="88">
        <f>NPV('Key Information'!$C$16,G32:G$61)*(1+'Key Information'!$C$16)</f>
        <v>28713524.793824553</v>
      </c>
      <c r="O31" s="88">
        <f>NPV('Key Information'!$C$16,H32:H$61)</f>
        <v>214948356.01765543</v>
      </c>
      <c r="P31" s="88">
        <f>NPV('Key Information'!$C$16,I32:I$61)*(1+'Key Information'!$C$16)</f>
        <v>189509263.63924208</v>
      </c>
      <c r="Q31" s="86"/>
      <c r="R31" s="89">
        <f>NPV('Key Information'!$C$16,K32:K$61)</f>
        <v>75231924.606179401</v>
      </c>
      <c r="S31" s="88">
        <f t="shared" si="0"/>
        <v>-185696878.55199146</v>
      </c>
      <c r="T31" s="88">
        <f t="shared" si="2"/>
        <v>77982249.585161194</v>
      </c>
      <c r="U31" s="89">
        <f t="shared" si="1"/>
        <v>-107714628.96683027</v>
      </c>
      <c r="X31" s="8"/>
    </row>
    <row r="32" spans="1:24" x14ac:dyDescent="0.3">
      <c r="A32" s="90"/>
      <c r="B32" s="83">
        <v>2041</v>
      </c>
      <c r="C32" s="84">
        <v>22</v>
      </c>
      <c r="D32" s="89">
        <f>$D31*(1-'Key Information'!K28-'Key Information'!L28)*(1+'Key Information'!$C$21)</f>
        <v>9226169320.6052837</v>
      </c>
      <c r="E32" s="88">
        <f>$E31*(1-'Key Information'!K28-'Key Information'!L28)*(1+'Key Information'!G28)*(1+'Key Information'!$C$21)</f>
        <v>53886574.398408018</v>
      </c>
      <c r="F32" s="88">
        <f>F31*(1+'Key Information'!$C$20)*(1-'Key Information'!K28-'Key Information'!L28)</f>
        <v>3706033.5623110603</v>
      </c>
      <c r="G32" s="88">
        <f>E32*'Key Information'!$C$30-E32*('Key Information'!$C$5)*'Key Information'!$C$30*(C32=1)</f>
        <v>2694328.719920401</v>
      </c>
      <c r="H32" s="88">
        <f>D32*'Key Information'!K29</f>
        <v>24910657.165634267</v>
      </c>
      <c r="I32" s="88">
        <f>E32*IF($C$6="Y",'Key Information'!$C$44,'Key Information'!$C$40)</f>
        <v>17782569.551474646</v>
      </c>
      <c r="J32" s="86"/>
      <c r="K32" s="89">
        <f>H32*IF($C$6="Y",'Key Information'!$C$45,'Key Information'!$C$41)</f>
        <v>8718730.0079719927</v>
      </c>
      <c r="L32" s="88">
        <f>NPV('Key Information'!$C$16,E33:E$61)*(1+'Key Information'!$C$16)</f>
        <v>535995439.12242538</v>
      </c>
      <c r="M32" s="88">
        <f>NPV('Key Information'!$C$16,F33:F$61)*(1+'Key Information'!$C$16)</f>
        <v>27736214.835175131</v>
      </c>
      <c r="N32" s="88">
        <f>NPV('Key Information'!$C$16,G33:G$61)*(1+'Key Information'!$C$16)</f>
        <v>26799771.956121277</v>
      </c>
      <c r="O32" s="88">
        <f>NPV('Key Information'!$C$16,H33:H$61)</f>
        <v>196486149.5325509</v>
      </c>
      <c r="P32" s="88">
        <f>NPV('Key Information'!$C$16,I33:I$61)*(1+'Key Information'!$C$16)</f>
        <v>176878494.91040039</v>
      </c>
      <c r="Q32" s="86"/>
      <c r="R32" s="89">
        <f>NPV('Key Information'!$C$16,K33:K$61)</f>
        <v>68770152.336392835</v>
      </c>
      <c r="S32" s="88">
        <f t="shared" si="0"/>
        <v>-176864960.22457051</v>
      </c>
      <c r="T32" s="88">
        <f t="shared" si="2"/>
        <v>72784742.39976038</v>
      </c>
      <c r="U32" s="89">
        <f t="shared" si="1"/>
        <v>-104080217.82481013</v>
      </c>
      <c r="X32" s="8"/>
    </row>
    <row r="33" spans="1:24" x14ac:dyDescent="0.3">
      <c r="A33" s="90"/>
      <c r="B33" s="83">
        <v>2042</v>
      </c>
      <c r="C33" s="84">
        <v>23</v>
      </c>
      <c r="D33" s="89">
        <f>$D32*(1-'Key Information'!K29-'Key Information'!L29)*(1+'Key Information'!$C$21)</f>
        <v>8368929024.350564</v>
      </c>
      <c r="E33" s="88">
        <f>$E32*(1-'Key Information'!K29-'Key Information'!L29)*(1+'Key Information'!G29)*(1+'Key Information'!$C$21)</f>
        <v>50550541.674338162</v>
      </c>
      <c r="F33" s="88">
        <f>F32*(1+'Key Information'!$C$20)*(1-'Key Information'!K29-'Key Information'!L29)</f>
        <v>3394648.9163721227</v>
      </c>
      <c r="G33" s="88">
        <f>E33*'Key Information'!$C$30-E33*('Key Information'!$C$5)*'Key Information'!$C$30*(C33=1)</f>
        <v>2527527.0837169085</v>
      </c>
      <c r="H33" s="88">
        <f>D33*'Key Information'!K30</f>
        <v>22596108.365746524</v>
      </c>
      <c r="I33" s="88">
        <f>E33*IF($C$6="Y",'Key Information'!$C$44,'Key Information'!$C$40)</f>
        <v>16681678.752531594</v>
      </c>
      <c r="J33" s="86"/>
      <c r="K33" s="89">
        <f>H33*IF($C$6="Y",'Key Information'!$C$45,'Key Information'!$C$41)</f>
        <v>7908637.9280112833</v>
      </c>
      <c r="L33" s="88">
        <f>NPV('Key Information'!$C$16,E34:E$61)*(1+'Key Information'!$C$16)</f>
        <v>500008244.37152988</v>
      </c>
      <c r="M33" s="88">
        <f>NPV('Key Information'!$C$16,F34:F$61)*(1+'Key Information'!$C$16)</f>
        <v>25071812.896367095</v>
      </c>
      <c r="N33" s="88">
        <f>NPV('Key Information'!$C$16,G34:G$61)*(1+'Key Information'!$C$16)</f>
        <v>25000412.218576502</v>
      </c>
      <c r="O33" s="88">
        <f>NPV('Key Information'!$C$16,H34:H$61)</f>
        <v>179784625.65278101</v>
      </c>
      <c r="P33" s="88">
        <f>NPV('Key Information'!$C$16,I34:I$61)*(1+'Key Information'!$C$16)</f>
        <v>165002720.64260489</v>
      </c>
      <c r="Q33" s="86"/>
      <c r="R33" s="89">
        <f>NPV('Key Information'!$C$16,K34:K$61)</f>
        <v>62924618.978473321</v>
      </c>
      <c r="S33" s="88">
        <f t="shared" si="0"/>
        <v>-168073291.93967372</v>
      </c>
      <c r="T33" s="88">
        <f t="shared" si="2"/>
        <v>67897912.198513702</v>
      </c>
      <c r="U33" s="89">
        <f t="shared" si="1"/>
        <v>-100175379.74116002</v>
      </c>
      <c r="X33" s="8"/>
    </row>
    <row r="34" spans="1:24" x14ac:dyDescent="0.3">
      <c r="A34" s="90"/>
      <c r="B34" s="83">
        <v>2043</v>
      </c>
      <c r="C34" s="84">
        <v>24</v>
      </c>
      <c r="D34" s="89">
        <f>$D33*(1-'Key Information'!K30-'Key Information'!L30)*(1+'Key Information'!$C$21)</f>
        <v>7574265737.7723808</v>
      </c>
      <c r="E34" s="88">
        <f>$E33*(1-'Key Information'!K30-'Key Information'!L30)*(1+'Key Information'!G30)*(1+'Key Information'!$C$21)</f>
        <v>47376942.415128283</v>
      </c>
      <c r="F34" s="88">
        <f>F33*(1+'Key Information'!$C$20)*(1-'Key Information'!K30-'Key Information'!L30)</f>
        <v>3102434.143001894</v>
      </c>
      <c r="G34" s="88">
        <f>E34*'Key Information'!$C$30-E34*('Key Information'!$C$5)*'Key Information'!$C$30*(C34=1)</f>
        <v>2368847.1207564143</v>
      </c>
      <c r="H34" s="88">
        <f>D34*'Key Information'!K31</f>
        <v>21207944.065762665</v>
      </c>
      <c r="I34" s="88">
        <f>E34*IF($C$6="Y",'Key Information'!$C$44,'Key Information'!$C$40)</f>
        <v>15634390.996992335</v>
      </c>
      <c r="J34" s="86"/>
      <c r="K34" s="89">
        <f>H34*IF($C$6="Y",'Key Information'!$C$45,'Key Information'!$C$41)</f>
        <v>7422780.4230169319</v>
      </c>
      <c r="L34" s="88">
        <f>NPV('Key Information'!$C$16,E35:E$61)*(1+'Key Information'!$C$16)</f>
        <v>466210241.01509374</v>
      </c>
      <c r="M34" s="88">
        <f>NPV('Key Information'!$C$16,F35:F$61)*(1+'Key Information'!$C$16)</f>
        <v>22628460.115966164</v>
      </c>
      <c r="N34" s="88">
        <f>NPV('Key Information'!$C$16,G35:G$61)*(1+'Key Information'!$C$16)</f>
        <v>23310512.050754685</v>
      </c>
      <c r="O34" s="88">
        <f>NPV('Key Information'!$C$16,H35:H$61)</f>
        <v>163970220.35660172</v>
      </c>
      <c r="P34" s="88">
        <f>NPV('Key Information'!$C$16,I35:I$61)*(1+'Key Information'!$C$16)</f>
        <v>153849379.53498098</v>
      </c>
      <c r="Q34" s="86"/>
      <c r="R34" s="89">
        <f>NPV('Key Information'!$C$16,K35:K$61)</f>
        <v>57389577.124810576</v>
      </c>
      <c r="S34" s="88">
        <f t="shared" si="0"/>
        <v>-159841246.08160076</v>
      </c>
      <c r="T34" s="88">
        <f t="shared" si="2"/>
        <v>63308360.145697519</v>
      </c>
      <c r="U34" s="89">
        <f t="shared" si="1"/>
        <v>-96532885.935903236</v>
      </c>
      <c r="X34" s="8"/>
    </row>
    <row r="35" spans="1:24" x14ac:dyDescent="0.3">
      <c r="A35" s="90"/>
      <c r="B35" s="83">
        <v>2044</v>
      </c>
      <c r="C35" s="84">
        <v>25</v>
      </c>
      <c r="D35" s="89">
        <f>$D34*(1-'Key Information'!K31-'Key Information'!L31)*(1+'Key Information'!$C$21)</f>
        <v>6846560582.7501612</v>
      </c>
      <c r="E35" s="88">
        <f>$E34*(1-'Key Information'!K31-'Key Information'!L31)*(1+'Key Information'!G31)*(1+'Key Information'!$C$21)</f>
        <v>44408432.684087254</v>
      </c>
      <c r="F35" s="88">
        <f>F34*(1+'Key Information'!$C$20)*(1-'Key Information'!K31-'Key Information'!L31)</f>
        <v>2831858.4516541269</v>
      </c>
      <c r="G35" s="88">
        <f>E35*'Key Information'!$C$30-E35*('Key Information'!$C$5)*'Key Information'!$C$30*(C35=1)</f>
        <v>2220421.634204363</v>
      </c>
      <c r="H35" s="88">
        <f>D35*'Key Information'!K32</f>
        <v>19855025.689975467</v>
      </c>
      <c r="I35" s="88">
        <f>E35*IF($C$6="Y",'Key Information'!$C$44,'Key Information'!$C$40)</f>
        <v>14654782.785748795</v>
      </c>
      <c r="J35" s="86"/>
      <c r="K35" s="89">
        <f>H35*IF($C$6="Y",'Key Information'!$C$45,'Key Information'!$C$41)</f>
        <v>6949258.9914914127</v>
      </c>
      <c r="L35" s="88">
        <f>NPV('Key Information'!$C$16,E36:E$61)*(1+'Key Information'!$C$16)</f>
        <v>434455862.58093673</v>
      </c>
      <c r="M35" s="88">
        <f>NPV('Key Information'!$C$16,F36:F$61)*(1+'Key Information'!$C$16)</f>
        <v>20390499.714241397</v>
      </c>
      <c r="N35" s="88">
        <f>NPV('Key Information'!$C$16,G36:G$61)*(1+'Key Information'!$C$16)</f>
        <v>21722793.129046835</v>
      </c>
      <c r="O35" s="88">
        <f>NPV('Key Information'!$C$16,H36:H$61)</f>
        <v>149034301.2773242</v>
      </c>
      <c r="P35" s="88">
        <f>NPV('Key Information'!$C$16,I36:I$61)*(1+'Key Information'!$C$16)</f>
        <v>143370434.65170914</v>
      </c>
      <c r="Q35" s="86"/>
      <c r="R35" s="89">
        <f>NPV('Key Information'!$C$16,K36:K$61)</f>
        <v>52162005.447063491</v>
      </c>
      <c r="S35" s="88">
        <f t="shared" si="0"/>
        <v>-152099839.25567865</v>
      </c>
      <c r="T35" s="88">
        <f t="shared" si="2"/>
        <v>58996319.248150401</v>
      </c>
      <c r="U35" s="89">
        <f t="shared" si="1"/>
        <v>-93103520.007528245</v>
      </c>
      <c r="X35" s="8"/>
    </row>
    <row r="36" spans="1:24" x14ac:dyDescent="0.3">
      <c r="A36" s="90"/>
      <c r="B36" s="83">
        <v>2045</v>
      </c>
      <c r="C36" s="84">
        <v>26</v>
      </c>
      <c r="D36" s="89">
        <f>$D35*(1-'Key Information'!K32-'Key Information'!L32)*(1+'Key Information'!$C$21)</f>
        <v>6181088587.2280111</v>
      </c>
      <c r="E36" s="88">
        <f>$E35*(1-'Key Information'!K32-'Key Information'!L32)*(1+'Key Information'!G32)*(1+'Key Information'!$C$21)</f>
        <v>41633542.542636469</v>
      </c>
      <c r="F36" s="88">
        <f>F35*(1+'Key Information'!$C$20)*(1-'Key Information'!K32-'Key Information'!L32)</f>
        <v>2581672.2530258396</v>
      </c>
      <c r="G36" s="88">
        <f>E36*'Key Information'!$C$30-E36*('Key Information'!$C$5)*'Key Information'!$C$30*(C36=1)</f>
        <v>2081677.1271318235</v>
      </c>
      <c r="H36" s="88">
        <f>D36*'Key Information'!K33</f>
        <v>18543265.761684034</v>
      </c>
      <c r="I36" s="88">
        <f>E36*IF($C$6="Y",'Key Information'!$C$44,'Key Information'!$C$40)</f>
        <v>13739069.039070036</v>
      </c>
      <c r="J36" s="86"/>
      <c r="K36" s="89">
        <f>H36*IF($C$6="Y",'Key Information'!$C$45,'Key Information'!$C$41)</f>
        <v>6490143.0165894115</v>
      </c>
      <c r="L36" s="88">
        <f>NPV('Key Information'!$C$16,E37:E$61)*(1+'Key Information'!$C$16)</f>
        <v>404606989.63944924</v>
      </c>
      <c r="M36" s="88">
        <f>NPV('Key Information'!$C$16,F37:F$61)*(1+'Key Information'!$C$16)</f>
        <v>18343092.285052024</v>
      </c>
      <c r="N36" s="88">
        <f>NPV('Key Information'!$C$16,G37:G$61)*(1+'Key Information'!$C$16)</f>
        <v>20230349.48197246</v>
      </c>
      <c r="O36" s="88">
        <f>NPV('Key Information'!$C$16,H37:H$61)</f>
        <v>134962064.55395994</v>
      </c>
      <c r="P36" s="88">
        <f>NPV('Key Information'!$C$16,I37:I$61)*(1+'Key Information'!$C$16)</f>
        <v>133520306.58101828</v>
      </c>
      <c r="Q36" s="86"/>
      <c r="R36" s="89">
        <f>NPV('Key Information'!$C$16,K37:K$61)</f>
        <v>47236722.593885973</v>
      </c>
      <c r="S36" s="88">
        <f t="shared" si="0"/>
        <v>-144787899.3313325</v>
      </c>
      <c r="T36" s="88">
        <f t="shared" si="2"/>
        <v>54943033.773321725</v>
      </c>
      <c r="U36" s="89">
        <f t="shared" si="1"/>
        <v>-89844865.558010787</v>
      </c>
      <c r="X36" s="8"/>
    </row>
    <row r="37" spans="1:24" x14ac:dyDescent="0.3">
      <c r="A37" s="90"/>
      <c r="B37" s="83">
        <v>2046</v>
      </c>
      <c r="C37" s="84">
        <v>27</v>
      </c>
      <c r="D37" s="89">
        <f>$D36*(1-'Key Information'!K33-'Key Information'!L33)*(1+'Key Information'!$C$21)</f>
        <v>5573363957.3317537</v>
      </c>
      <c r="E37" s="88">
        <f>$E36*(1-'Key Information'!K33-'Key Information'!L33)*(1+'Key Information'!G33)*(1+'Key Information'!$C$21)</f>
        <v>39041270.382046767</v>
      </c>
      <c r="F37" s="88">
        <f>F36*(1+'Key Information'!$C$20)*(1-'Key Information'!K33-'Key Information'!L33)</f>
        <v>2350664.2198250876</v>
      </c>
      <c r="G37" s="88">
        <f>E37*'Key Information'!$C$30-E37*('Key Information'!$C$5)*'Key Information'!$C$30*(C37=1)</f>
        <v>1952063.5191023385</v>
      </c>
      <c r="H37" s="88">
        <f>D37*'Key Information'!K34</f>
        <v>16720091.871995261</v>
      </c>
      <c r="I37" s="88">
        <f>E37*IF($C$6="Y",'Key Information'!$C$44,'Key Information'!$C$40)</f>
        <v>12883619.226075433</v>
      </c>
      <c r="J37" s="86"/>
      <c r="K37" s="89">
        <f>H37*IF($C$6="Y",'Key Information'!$C$45,'Key Information'!$C$41)</f>
        <v>5852032.1551983412</v>
      </c>
      <c r="L37" s="88">
        <f>NPV('Key Information'!$C$16,E38:E$61)*(1+'Key Information'!$C$16)</f>
        <v>376532690.83512461</v>
      </c>
      <c r="M37" s="88">
        <f>NPV('Key Information'!$C$16,F38:F$61)*(1+'Key Information'!$C$16)</f>
        <v>16472200.90718375</v>
      </c>
      <c r="N37" s="88">
        <f>NPV('Key Information'!$C$16,G38:G$61)*(1+'Key Information'!$C$16)</f>
        <v>18826634.541756235</v>
      </c>
      <c r="O37" s="88">
        <f>NPV('Key Information'!$C$16,H38:H$61)</f>
        <v>122290834.61858349</v>
      </c>
      <c r="P37" s="88">
        <f>NPV('Key Information'!$C$16,I38:I$61)*(1+'Key Information'!$C$16)</f>
        <v>124255787.97559112</v>
      </c>
      <c r="Q37" s="86"/>
      <c r="R37" s="89">
        <f>NPV('Key Information'!$C$16,K38:K$61)</f>
        <v>42801792.116504245</v>
      </c>
      <c r="S37" s="88">
        <f t="shared" si="0"/>
        <v>-137489024.90851426</v>
      </c>
      <c r="T37" s="88">
        <f t="shared" si="2"/>
        <v>51130724.083014928</v>
      </c>
      <c r="U37" s="89">
        <f t="shared" si="1"/>
        <v>-86358300.825499326</v>
      </c>
      <c r="X37" s="8"/>
    </row>
    <row r="38" spans="1:24" x14ac:dyDescent="0.3">
      <c r="A38" s="90"/>
      <c r="B38" s="83">
        <v>2047</v>
      </c>
      <c r="C38" s="84">
        <v>28</v>
      </c>
      <c r="D38" s="89">
        <f>$D37*(1-'Key Information'!K34-'Key Information'!L34)*(1+'Key Information'!$C$21)</f>
        <v>5019705981.8104172</v>
      </c>
      <c r="E38" s="88">
        <f>$E37*(1-'Key Information'!K34-'Key Information'!L34)*(1+'Key Information'!G34)*(1+'Key Information'!$C$21)</f>
        <v>36625232.189291768</v>
      </c>
      <c r="F38" s="88">
        <f>F37*(1+'Key Information'!$C$20)*(1-'Key Information'!K34-'Key Information'!L34)</f>
        <v>2137905.6012887191</v>
      </c>
      <c r="G38" s="88">
        <f>E38*'Key Information'!$C$30-E38*('Key Information'!$C$5)*'Key Information'!$C$30*(C38=1)</f>
        <v>1831261.6094645886</v>
      </c>
      <c r="H38" s="88">
        <f>D38*'Key Information'!K35</f>
        <v>15561088.543612292</v>
      </c>
      <c r="I38" s="88">
        <f>E38*IF($C$6="Y",'Key Information'!$C$44,'Key Information'!$C$40)</f>
        <v>12086326.622466285</v>
      </c>
      <c r="J38" s="86"/>
      <c r="K38" s="89">
        <f>H38*IF($C$6="Y",'Key Information'!$C$45,'Key Information'!$C$41)</f>
        <v>5446380.9902643021</v>
      </c>
      <c r="L38" s="88">
        <f>NPV('Key Information'!$C$16,E39:E$61)*(1+'Key Information'!$C$16)</f>
        <v>350104682.40520775</v>
      </c>
      <c r="M38" s="88">
        <f>NPV('Key Information'!$C$16,F39:F$61)*(1+'Key Information'!$C$16)</f>
        <v>14764324.165071882</v>
      </c>
      <c r="N38" s="88">
        <f>NPV('Key Information'!$C$16,G39:G$61)*(1+'Key Information'!$C$16)</f>
        <v>17505234.120260388</v>
      </c>
      <c r="O38" s="88">
        <f>NPV('Key Information'!$C$16,H39:H$61)</f>
        <v>110398471.11352873</v>
      </c>
      <c r="P38" s="88">
        <f>NPV('Key Information'!$C$16,I39:I$61)*(1+'Key Information'!$C$16)</f>
        <v>115534545.19371855</v>
      </c>
      <c r="Q38" s="86"/>
      <c r="R38" s="89">
        <f>NPV('Key Information'!$C$16,K39:K$61)</f>
        <v>38639464.889735036</v>
      </c>
      <c r="S38" s="88">
        <f t="shared" si="0"/>
        <v>-130541572.70236325</v>
      </c>
      <c r="T38" s="88">
        <f t="shared" si="2"/>
        <v>47541970.065145686</v>
      </c>
      <c r="U38" s="89">
        <f t="shared" si="1"/>
        <v>-82999602.637217566</v>
      </c>
      <c r="X38" s="8"/>
    </row>
    <row r="39" spans="1:24" x14ac:dyDescent="0.3">
      <c r="A39" s="90"/>
      <c r="B39" s="83">
        <v>2048</v>
      </c>
      <c r="C39" s="84">
        <v>29</v>
      </c>
      <c r="D39" s="89">
        <f>$D38*(1-'Key Information'!K35-'Key Information'!L35)*(1+'Key Information'!$C$21)</f>
        <v>4515416279.4657793</v>
      </c>
      <c r="E39" s="88">
        <f>$E38*(1-'Key Information'!K35-'Key Information'!L35)*(1+'Key Information'!G35)*(1+'Key Information'!$C$21)</f>
        <v>34370710.865511365</v>
      </c>
      <c r="F39" s="88">
        <f>F38*(1+'Key Information'!$C$20)*(1-'Key Information'!K35-'Key Information'!L35)</f>
        <v>1941981.5182698171</v>
      </c>
      <c r="G39" s="88">
        <f>E39*'Key Information'!$C$30-E39*('Key Information'!$C$5)*'Key Information'!$C$30*(C39=1)</f>
        <v>1718535.5432755684</v>
      </c>
      <c r="H39" s="88">
        <f>D39*'Key Information'!K36</f>
        <v>13997790.466343915</v>
      </c>
      <c r="I39" s="88">
        <f>E39*IF($C$6="Y",'Key Information'!$C$44,'Key Information'!$C$40)</f>
        <v>11342334.585618751</v>
      </c>
      <c r="J39" s="86"/>
      <c r="K39" s="89">
        <f>H39*IF($C$6="Y",'Key Information'!$C$45,'Key Information'!$C$41)</f>
        <v>4899226.6632203702</v>
      </c>
      <c r="L39" s="88">
        <f>NPV('Key Information'!$C$16,E40:E$61)*(1+'Key Information'!$C$16)</f>
        <v>325205990.68588734</v>
      </c>
      <c r="M39" s="88">
        <f>NPV('Key Information'!$C$16,F40:F$61)*(1+'Key Information'!$C$16)</f>
        <v>13207012.926206125</v>
      </c>
      <c r="N39" s="88">
        <f>NPV('Key Information'!$C$16,G40:G$61)*(1+'Key Information'!$C$16)</f>
        <v>16260299.534294369</v>
      </c>
      <c r="O39" s="88">
        <f>NPV('Key Information'!$C$16,H40:H$61)</f>
        <v>99712634.780590668</v>
      </c>
      <c r="P39" s="88">
        <f>NPV('Key Information'!$C$16,I40:I$61)*(1+'Key Information'!$C$16)</f>
        <v>107317976.92634282</v>
      </c>
      <c r="Q39" s="86"/>
      <c r="R39" s="89">
        <f>NPV('Key Information'!$C$16,K40:K$61)</f>
        <v>34899422.173206732</v>
      </c>
      <c r="S39" s="88">
        <f t="shared" si="0"/>
        <v>-123607488.69166009</v>
      </c>
      <c r="T39" s="88">
        <f t="shared" si="2"/>
        <v>44160887.446515694</v>
      </c>
      <c r="U39" s="89">
        <f t="shared" si="1"/>
        <v>-79446601.245144397</v>
      </c>
      <c r="X39" s="8"/>
    </row>
    <row r="40" spans="1:24" x14ac:dyDescent="0.3">
      <c r="A40" s="90"/>
      <c r="B40" s="83">
        <v>2049</v>
      </c>
      <c r="C40" s="84">
        <v>30</v>
      </c>
      <c r="D40" s="89">
        <f>$D39*(1-'Key Information'!K36-'Key Information'!L36)*(1+'Key Information'!$C$21)</f>
        <v>4057182804.5930333</v>
      </c>
      <c r="E40" s="88">
        <f>$E39*(1-'Key Information'!K36-'Key Information'!L36)*(1+'Key Information'!G36)*(1+'Key Information'!$C$21)</f>
        <v>32271823.317686386</v>
      </c>
      <c r="F40" s="88">
        <f>F39*(1+'Key Information'!$C$20)*(1-'Key Information'!K36-'Key Information'!L36)</f>
        <v>1762012.2650271985</v>
      </c>
      <c r="G40" s="88">
        <f>E40*'Key Information'!$C$30-E40*('Key Information'!$C$5)*'Key Information'!$C$30*(C40=1)</f>
        <v>1613591.1658843195</v>
      </c>
      <c r="H40" s="88">
        <f>D40*'Key Information'!K37</f>
        <v>12982984.974697707</v>
      </c>
      <c r="I40" s="88">
        <f>E40*IF($C$6="Y",'Key Information'!$C$44,'Key Information'!$C$40)</f>
        <v>10649701.694836508</v>
      </c>
      <c r="J40" s="86"/>
      <c r="K40" s="89">
        <f>H40*IF($C$6="Y",'Key Information'!$C$45,'Key Information'!$C$41)</f>
        <v>4544044.7411441971</v>
      </c>
      <c r="L40" s="88">
        <f>NPV('Key Information'!$C$16,E41:E$61)*(1+'Key Information'!$C$16)</f>
        <v>301722192.389247</v>
      </c>
      <c r="M40" s="88">
        <f>NPV('Key Information'!$C$16,F41:F$61)*(1+'Key Information'!$C$16)</f>
        <v>11788350.681014298</v>
      </c>
      <c r="N40" s="88">
        <f>NPV('Key Information'!$C$16,G41:G$61)*(1+'Key Information'!$C$16)</f>
        <v>15086109.619462347</v>
      </c>
      <c r="O40" s="88">
        <f>NPV('Key Information'!$C$16,H41:H$61)</f>
        <v>89721028.849310696</v>
      </c>
      <c r="P40" s="88">
        <f>NPV('Key Information'!$C$16,I41:I$61)*(1+'Key Information'!$C$16)</f>
        <v>99568323.488451496</v>
      </c>
      <c r="Q40" s="86"/>
      <c r="R40" s="89">
        <f>NPV('Key Information'!$C$16,K41:K$61)</f>
        <v>31402360.097258743</v>
      </c>
      <c r="S40" s="88">
        <f t="shared" si="0"/>
        <v>-116960739.84826691</v>
      </c>
      <c r="T40" s="88">
        <f t="shared" si="2"/>
        <v>40971938.278613374</v>
      </c>
      <c r="U40" s="89">
        <f t="shared" si="1"/>
        <v>-75988801.569653541</v>
      </c>
      <c r="X40" s="8"/>
    </row>
    <row r="41" spans="1:24" x14ac:dyDescent="0.3">
      <c r="A41" s="90"/>
      <c r="B41" s="83">
        <v>2050</v>
      </c>
      <c r="C41" s="84">
        <v>31</v>
      </c>
      <c r="D41" s="89">
        <f>$D40*(1-'Key Information'!K37-'Key Information'!L37)*(1+'Key Information'!$C$21)</f>
        <v>3640899620.11057</v>
      </c>
      <c r="E41" s="88">
        <f>$E40*(1-'Key Information'!K37-'Key Information'!L37)*(1+'Key Information'!G37)*(1+'Key Information'!$C$21)</f>
        <v>30315375.65787844</v>
      </c>
      <c r="F41" s="88">
        <f>F40*(1+'Key Information'!$C$20)*(1-'Key Information'!K37-'Key Information'!L37)</f>
        <v>1596724.9424940571</v>
      </c>
      <c r="G41" s="88">
        <f>E41*'Key Information'!$C$30-E41*('Key Information'!$C$5)*'Key Information'!$C$30*(C41=1)</f>
        <v>1515768.7828939222</v>
      </c>
      <c r="H41" s="88">
        <f>D41*'Key Information'!K38</f>
        <v>12014968.74636488</v>
      </c>
      <c r="I41" s="88">
        <f>E41*IF($C$6="Y",'Key Information'!$C$44,'Key Information'!$C$40)</f>
        <v>10004073.967099886</v>
      </c>
      <c r="J41" s="86"/>
      <c r="K41" s="89">
        <f>H41*IF($C$6="Y",'Key Information'!$C$45,'Key Information'!$C$41)</f>
        <v>4205239.0612277081</v>
      </c>
      <c r="L41" s="88">
        <f>NPV('Key Information'!$C$16,E42:E$61)*(1+'Key Information'!$C$16)</f>
        <v>279549021.23330969</v>
      </c>
      <c r="M41" s="88">
        <f>NPV('Key Information'!$C$16,F42:F$61)*(1+'Key Information'!$C$16)</f>
        <v>10497374.51067584</v>
      </c>
      <c r="N41" s="88">
        <f>NPV('Key Information'!$C$16,G42:G$61)*(1+'Key Information'!$C$16)</f>
        <v>13977451.061665483</v>
      </c>
      <c r="O41" s="88">
        <f>NPV('Key Information'!$C$16,H42:H$61)</f>
        <v>80397690.968425155</v>
      </c>
      <c r="P41" s="88">
        <f>NPV('Key Information'!$C$16,I42:I$61)*(1+'Key Information'!$C$16)</f>
        <v>92251177.006992131</v>
      </c>
      <c r="Q41" s="86"/>
      <c r="R41" s="89">
        <f>NPV('Key Information'!$C$16,K42:K$61)</f>
        <v>28139191.838948794</v>
      </c>
      <c r="S41" s="88">
        <f t="shared" si="0"/>
        <v>-110564519.52449986</v>
      </c>
      <c r="T41" s="88">
        <f t="shared" si="2"/>
        <v>37960963.869179867</v>
      </c>
      <c r="U41" s="89">
        <f t="shared" si="1"/>
        <v>-72603555.655319989</v>
      </c>
      <c r="X41" s="8"/>
    </row>
    <row r="42" spans="1:24" x14ac:dyDescent="0.3">
      <c r="A42" s="90"/>
      <c r="B42" s="83">
        <v>2051</v>
      </c>
      <c r="C42" s="84">
        <v>32</v>
      </c>
      <c r="D42" s="89">
        <f>$D41*(1-'Key Information'!K38-'Key Information'!L38)*(1+'Key Information'!$C$21)</f>
        <v>3259529948.5024681</v>
      </c>
      <c r="E42" s="88">
        <f>$E41*(1-'Key Information'!K38-'Key Information'!L38)*(1+'Key Information'!G38)*(1+'Key Information'!$C$21)</f>
        <v>28460346.563693248</v>
      </c>
      <c r="F42" s="88">
        <f>F41*(1+'Key Information'!$C$20)*(1-'Key Information'!K38-'Key Information'!L38)</f>
        <v>1443488.8464878451</v>
      </c>
      <c r="G42" s="88">
        <f>E42*'Key Information'!$C$30-E42*('Key Information'!$C$5)*'Key Information'!$C$30*(C42=1)</f>
        <v>1423017.3281846624</v>
      </c>
      <c r="H42" s="88">
        <f>D42*'Key Information'!K39</f>
        <v>10756448.830058144</v>
      </c>
      <c r="I42" s="88">
        <f>E42*IF($C$6="Y",'Key Information'!$C$44,'Key Information'!$C$40)</f>
        <v>9391914.3660187721</v>
      </c>
      <c r="J42" s="86"/>
      <c r="K42" s="89">
        <f>H42*IF($C$6="Y",'Key Information'!$C$45,'Key Information'!$C$41)</f>
        <v>3764757.0905203503</v>
      </c>
      <c r="L42" s="88">
        <f>NPV('Key Information'!$C$16,E43:E$61)*(1+'Key Information'!$C$16)</f>
        <v>258621334.90970486</v>
      </c>
      <c r="M42" s="88">
        <f>NPV('Key Information'!$C$16,F43:F$61)*(1+'Key Information'!$C$16)</f>
        <v>9325502.2341136392</v>
      </c>
      <c r="N42" s="88">
        <f>NPV('Key Information'!$C$16,G43:G$61)*(1+'Key Information'!$C$16)</f>
        <v>12931066.745485242</v>
      </c>
      <c r="O42" s="88">
        <f>NPV('Key Information'!$C$16,H43:H$61)</f>
        <v>72053172.867419764</v>
      </c>
      <c r="P42" s="88">
        <f>NPV('Key Information'!$C$16,I43:I$61)*(1+'Key Information'!$C$16)</f>
        <v>85345040.520202577</v>
      </c>
      <c r="Q42" s="86"/>
      <c r="R42" s="89">
        <f>NPV('Key Information'!$C$16,K43:K$61)</f>
        <v>25218610.503596909</v>
      </c>
      <c r="S42" s="88">
        <f t="shared" si="0"/>
        <v>-104185163.04608053</v>
      </c>
      <c r="T42" s="88">
        <f t="shared" si="2"/>
        <v>35119118.310604788</v>
      </c>
      <c r="U42" s="89">
        <f t="shared" si="1"/>
        <v>-69066044.735475749</v>
      </c>
      <c r="X42" s="8"/>
    </row>
    <row r="43" spans="1:24" x14ac:dyDescent="0.3">
      <c r="A43" s="90"/>
      <c r="B43" s="83">
        <v>2052</v>
      </c>
      <c r="C43" s="84">
        <v>33</v>
      </c>
      <c r="D43" s="89">
        <f>$D42*(1-'Key Information'!K39-'Key Information'!L39)*(1+'Key Information'!$C$21)</f>
        <v>2914782503.9691563</v>
      </c>
      <c r="E43" s="88">
        <f>$E42*(1-'Key Information'!K39-'Key Information'!L39)*(1+'Key Information'!G39)*(1+'Key Information'!$C$21)</f>
        <v>26737913.831021704</v>
      </c>
      <c r="F43" s="88">
        <f>F42*(1+'Key Information'!$C$20)*(1-'Key Information'!K39-'Key Information'!L39)</f>
        <v>1303471.8718673708</v>
      </c>
      <c r="G43" s="88">
        <f>E43*'Key Information'!$C$30-E43*('Key Information'!$C$5)*'Key Information'!$C$30*(C43=1)</f>
        <v>1336895.6915510853</v>
      </c>
      <c r="H43" s="88">
        <f>D43*'Key Information'!K40</f>
        <v>9618782.2630982157</v>
      </c>
      <c r="I43" s="88">
        <f>E43*IF($C$6="Y",'Key Information'!$C$44,'Key Information'!$C$40)</f>
        <v>8823511.5642371625</v>
      </c>
      <c r="J43" s="86"/>
      <c r="K43" s="89">
        <f>H43*IF($C$6="Y",'Key Information'!$C$45,'Key Information'!$C$41)</f>
        <v>3366573.7920843754</v>
      </c>
      <c r="L43" s="88">
        <f>NPV('Key Information'!$C$16,E44:E$61)*(1+'Key Information'!$C$16)</f>
        <v>238839923.71104366</v>
      </c>
      <c r="M43" s="88">
        <f>NPV('Key Information'!$C$16,F44:F$61)*(1+'Key Information'!$C$16)</f>
        <v>8262691.2731136587</v>
      </c>
      <c r="N43" s="88">
        <f>NPV('Key Information'!$C$16,G44:G$61)*(1+'Key Information'!$C$16)</f>
        <v>11941996.185552184</v>
      </c>
      <c r="O43" s="88">
        <f>NPV('Key Information'!$C$16,H44:H$61)</f>
        <v>64595985.790344127</v>
      </c>
      <c r="P43" s="88">
        <f>NPV('Key Information'!$C$16,I44:I$61)*(1+'Key Information'!$C$16)</f>
        <v>78817174.824644372</v>
      </c>
      <c r="Q43" s="86"/>
      <c r="R43" s="89">
        <f>NPV('Key Information'!$C$16,K44:K$61)</f>
        <v>22608595.02662044</v>
      </c>
      <c r="S43" s="88">
        <f t="shared" si="0"/>
        <v>-97830670.66400975</v>
      </c>
      <c r="T43" s="88">
        <f t="shared" si="2"/>
        <v>32432929.561022103</v>
      </c>
      <c r="U43" s="89">
        <f t="shared" si="1"/>
        <v>-65397741.102987647</v>
      </c>
      <c r="X43" s="8"/>
    </row>
    <row r="44" spans="1:24" x14ac:dyDescent="0.3">
      <c r="A44" s="90"/>
      <c r="B44" s="83">
        <v>2053</v>
      </c>
      <c r="C44" s="84">
        <v>34</v>
      </c>
      <c r="D44" s="89">
        <f>$D43*(1-'Key Information'!K40-'Key Information'!L40)*(1+'Key Information'!$C$21)</f>
        <v>2603524539.5003057</v>
      </c>
      <c r="E44" s="88">
        <f>$E43*(1-'Key Information'!K40-'Key Information'!L40)*(1+'Key Information'!G40)*(1+'Key Information'!$C$21)</f>
        <v>25139406.57726362</v>
      </c>
      <c r="F44" s="88">
        <f>F43*(1+'Key Information'!$C$20)*(1-'Key Information'!K40-'Key Information'!L40)</f>
        <v>1175693.8277400844</v>
      </c>
      <c r="G44" s="88">
        <f>E44*'Key Information'!$C$30-E44*('Key Information'!$C$5)*'Key Information'!$C$30*(C44=1)</f>
        <v>1256970.3288631809</v>
      </c>
      <c r="H44" s="88">
        <f>D44*'Key Information'!K41</f>
        <v>9112335.8882510699</v>
      </c>
      <c r="I44" s="88">
        <f>E44*IF($C$6="Y",'Key Information'!$C$44,'Key Information'!$C$40)</f>
        <v>8296004.1704969946</v>
      </c>
      <c r="J44" s="86"/>
      <c r="K44" s="89">
        <f>H44*IF($C$6="Y",'Key Information'!$C$45,'Key Information'!$C$41)</f>
        <v>3189317.5608878741</v>
      </c>
      <c r="L44" s="88">
        <f>NPV('Key Information'!$C$16,E45:E$61)*(1+'Key Information'!$C$16)</f>
        <v>220111532.64779338</v>
      </c>
      <c r="M44" s="88">
        <f>NPV('Key Information'!$C$16,F45:F$61)*(1+'Key Information'!$C$16)</f>
        <v>7299607.3687347807</v>
      </c>
      <c r="N44" s="88">
        <f>NPV('Key Information'!$C$16,G45:G$61)*(1+'Key Information'!$C$16)</f>
        <v>11005576.632389672</v>
      </c>
      <c r="O44" s="88">
        <f>NPV('Key Information'!$C$16,H45:H$61)</f>
        <v>57421529.475803368</v>
      </c>
      <c r="P44" s="88">
        <f>NPV('Key Information'!$C$16,I45:I$61)*(1+'Key Information'!$C$16)</f>
        <v>72636805.773771822</v>
      </c>
      <c r="Q44" s="86"/>
      <c r="R44" s="89">
        <f>NPV('Key Information'!$C$16,K45:K$61)</f>
        <v>20097535.316531178</v>
      </c>
      <c r="S44" s="88">
        <f t="shared" si="0"/>
        <v>-91845548.713624924</v>
      </c>
      <c r="T44" s="88">
        <f t="shared" si="2"/>
        <v>29889734.191053115</v>
      </c>
      <c r="U44" s="89">
        <f t="shared" si="1"/>
        <v>-61955814.52257181</v>
      </c>
      <c r="X44" s="8"/>
    </row>
    <row r="45" spans="1:24" x14ac:dyDescent="0.3">
      <c r="A45" s="90"/>
      <c r="B45" s="83">
        <v>2054</v>
      </c>
      <c r="C45" s="84">
        <v>35</v>
      </c>
      <c r="D45" s="89">
        <f>$D44*(1-'Key Information'!K41-'Key Information'!L41)*(1+'Key Information'!$C$21)</f>
        <v>2322317853.9888778</v>
      </c>
      <c r="E45" s="88">
        <f>$E44*(1-'Key Information'!K41-'Key Information'!L41)*(1+'Key Information'!G41)*(1+'Key Information'!$C$21)</f>
        <v>23651274.171324015</v>
      </c>
      <c r="F45" s="88">
        <f>F44*(1+'Key Information'!$C$20)*(1-'Key Information'!K41-'Key Information'!L41)</f>
        <v>1058988.579929465</v>
      </c>
      <c r="G45" s="88">
        <f>E45*'Key Information'!$C$30-E45*('Key Information'!$C$5)*'Key Information'!$C$30*(C45=1)</f>
        <v>1182563.7085662007</v>
      </c>
      <c r="H45" s="88">
        <f>D45*'Key Information'!K42</f>
        <v>8128112.4889610726</v>
      </c>
      <c r="I45" s="88">
        <f>E45*IF($C$6="Y",'Key Information'!$C$44,'Key Information'!$C$40)</f>
        <v>7804920.476536925</v>
      </c>
      <c r="J45" s="86"/>
      <c r="K45" s="89">
        <f>H45*IF($C$6="Y",'Key Information'!$C$45,'Key Information'!$C$41)</f>
        <v>2844839.3711363752</v>
      </c>
      <c r="L45" s="88">
        <f>NPV('Key Information'!$C$16,E46:E$61)*(1+'Key Information'!$C$16)</f>
        <v>202354066.23076347</v>
      </c>
      <c r="M45" s="88">
        <f>NPV('Key Information'!$C$16,F46:F$61)*(1+'Key Information'!$C$16)</f>
        <v>6427837.352469475</v>
      </c>
      <c r="N45" s="88">
        <f>NPV('Key Information'!$C$16,G46:G$61)*(1+'Key Information'!$C$16)</f>
        <v>10117703.311538173</v>
      </c>
      <c r="O45" s="88">
        <f>NPV('Key Information'!$C$16,H46:H$61)</f>
        <v>51016062.871116422</v>
      </c>
      <c r="P45" s="88">
        <f>NPV('Key Information'!$C$16,I46:I$61)*(1+'Key Information'!$C$16)</f>
        <v>66776841.856151946</v>
      </c>
      <c r="Q45" s="86"/>
      <c r="R45" s="89">
        <f>NPV('Key Information'!$C$16,K46:K$61)</f>
        <v>17855622.004890744</v>
      </c>
      <c r="S45" s="88">
        <f t="shared" si="0"/>
        <v>-85871242.844378203</v>
      </c>
      <c r="T45" s="88">
        <f t="shared" si="2"/>
        <v>27478384.1598811</v>
      </c>
      <c r="U45" s="89">
        <f t="shared" si="1"/>
        <v>-58392858.684497103</v>
      </c>
      <c r="X45" s="8"/>
    </row>
    <row r="46" spans="1:24" x14ac:dyDescent="0.3">
      <c r="A46" s="90"/>
      <c r="B46" s="83">
        <v>2055</v>
      </c>
      <c r="C46" s="84">
        <v>36</v>
      </c>
      <c r="D46" s="89">
        <f>$D45*(1-'Key Information'!K42-'Key Information'!L42)*(1+'Key Information'!$C$21)</f>
        <v>2069115538.3684704</v>
      </c>
      <c r="E46" s="88">
        <f>$E45*(1-'Key Information'!K42-'Key Information'!L42)*(1+'Key Information'!G42)*(1+'Key Information'!$C$21)</f>
        <v>22271916.025932573</v>
      </c>
      <c r="F46" s="88">
        <f>F45*(1+'Key Information'!$C$20)*(1-'Key Information'!K42-'Key Information'!L42)</f>
        <v>952777.32030543929</v>
      </c>
      <c r="G46" s="88">
        <f>E46*'Key Information'!$C$30-E46*('Key Information'!$C$5)*'Key Information'!$C$30*(C46=1)</f>
        <v>1113595.8012966288</v>
      </c>
      <c r="H46" s="88">
        <f>D46*'Key Information'!K43</f>
        <v>7448815.9381264932</v>
      </c>
      <c r="I46" s="88">
        <f>E46*IF($C$6="Y",'Key Information'!$C$44,'Key Information'!$C$40)</f>
        <v>7349732.2885577492</v>
      </c>
      <c r="J46" s="86"/>
      <c r="K46" s="89">
        <f>H46*IF($C$6="Y",'Key Information'!$C$45,'Key Information'!$C$41)</f>
        <v>2607085.5783442724</v>
      </c>
      <c r="L46" s="88">
        <f>NPV('Key Information'!$C$16,E47:E$61)*(1+'Key Information'!$C$16)</f>
        <v>185484614.71097586</v>
      </c>
      <c r="M46" s="88">
        <f>NPV('Key Information'!$C$16,F47:F$61)*(1+'Key Information'!$C$16)</f>
        <v>5639311.8331289571</v>
      </c>
      <c r="N46" s="88">
        <f>NPV('Key Information'!$C$16,G47:G$61)*(1+'Key Information'!$C$16)</f>
        <v>9274230.7355487943</v>
      </c>
      <c r="O46" s="88">
        <f>NPV('Key Information'!$C$16,H47:H$61)</f>
        <v>45097728.819123417</v>
      </c>
      <c r="P46" s="88">
        <f>NPV('Key Information'!$C$16,I47:I$61)*(1+'Key Information'!$C$16)</f>
        <v>61209922.854622029</v>
      </c>
      <c r="Q46" s="86"/>
      <c r="R46" s="89">
        <f>NPV('Key Information'!$C$16,K47:K$61)</f>
        <v>15784205.08669319</v>
      </c>
      <c r="S46" s="88">
        <f t="shared" si="0"/>
        <v>-80047625.555245847</v>
      </c>
      <c r="T46" s="88">
        <f t="shared" si="2"/>
        <v>25187620.855433393</v>
      </c>
      <c r="U46" s="89">
        <f t="shared" si="1"/>
        <v>-54860004.699812457</v>
      </c>
      <c r="X46" s="8"/>
    </row>
    <row r="47" spans="1:24" x14ac:dyDescent="0.3">
      <c r="A47" s="90"/>
      <c r="B47" s="83">
        <v>2056</v>
      </c>
      <c r="C47" s="84">
        <v>37</v>
      </c>
      <c r="D47" s="89">
        <f>$D46*(1-'Key Information'!K43-'Key Information'!L43)*(1+'Key Information'!$C$21)</f>
        <v>1839087825.7369707</v>
      </c>
      <c r="E47" s="88">
        <f>$E46*(1-'Key Information'!K43-'Key Information'!L43)*(1+'Key Information'!G43)*(1+'Key Information'!$C$21)</f>
        <v>20967648.476870921</v>
      </c>
      <c r="F47" s="88">
        <f>F46*(1+'Key Information'!$C$20)*(1-'Key Information'!K43-'Key Information'!L43)</f>
        <v>855157.66162158456</v>
      </c>
      <c r="G47" s="88">
        <f>E47*'Key Information'!$C$30-E47*('Key Information'!$C$5)*'Key Information'!$C$30*(C47=1)</f>
        <v>1048382.4238435461</v>
      </c>
      <c r="H47" s="88">
        <f>D47*'Key Information'!K44</f>
        <v>6804624.955226792</v>
      </c>
      <c r="I47" s="88">
        <f>E47*IF($C$6="Y",'Key Information'!$C$44,'Key Information'!$C$40)</f>
        <v>6919323.9973674044</v>
      </c>
      <c r="J47" s="86"/>
      <c r="K47" s="89">
        <f>H47*IF($C$6="Y",'Key Information'!$C$45,'Key Information'!$C$41)</f>
        <v>2381618.7343293768</v>
      </c>
      <c r="L47" s="88">
        <f>NPV('Key Information'!$C$16,E48:E$61)*(1+'Key Information'!$C$16)</f>
        <v>169452475.22112808</v>
      </c>
      <c r="M47" s="88">
        <f>NPV('Key Information'!$C$16,F48:F$61)*(1+'Key Information'!$C$16)</f>
        <v>4927678.7966525936</v>
      </c>
      <c r="N47" s="88">
        <f>NPV('Key Information'!$C$16,G48:G$61)*(1+'Key Information'!$C$16)</f>
        <v>8472623.7610564046</v>
      </c>
      <c r="O47" s="88">
        <f>NPV('Key Information'!$C$16,H48:H$61)</f>
        <v>39646035.728470318</v>
      </c>
      <c r="P47" s="88">
        <f>NPV('Key Information'!$C$16,I48:I$61)*(1+'Key Information'!$C$16)</f>
        <v>55919316.82297226</v>
      </c>
      <c r="Q47" s="86"/>
      <c r="R47" s="89">
        <f>NPV('Key Information'!$C$16,K48:K$61)</f>
        <v>13876112.504964611</v>
      </c>
      <c r="S47" s="88">
        <f t="shared" si="0"/>
        <v>-74362932.616941109</v>
      </c>
      <c r="T47" s="88">
        <f t="shared" si="2"/>
        <v>23010559.153572403</v>
      </c>
      <c r="U47" s="89">
        <f t="shared" si="1"/>
        <v>-51352373.463368706</v>
      </c>
      <c r="X47" s="8"/>
    </row>
    <row r="48" spans="1:24" x14ac:dyDescent="0.3">
      <c r="A48" s="90"/>
      <c r="B48" s="83">
        <v>2057</v>
      </c>
      <c r="C48" s="84">
        <v>38</v>
      </c>
      <c r="D48" s="89">
        <f>$D47*(1-'Key Information'!K44-'Key Information'!L44)*(1+'Key Information'!$C$21)</f>
        <v>1632569297.4336631</v>
      </c>
      <c r="E48" s="88">
        <f>$E47*(1-'Key Information'!K44-'Key Information'!L44)*(1+'Key Information'!G44)*(1+'Key Information'!$C$21)</f>
        <v>19758911.417117421</v>
      </c>
      <c r="F48" s="88">
        <f>F47*(1+'Key Information'!$C$20)*(1-'Key Information'!K44-'Key Information'!L44)</f>
        <v>766571.02429654298</v>
      </c>
      <c r="G48" s="88">
        <f>E48*'Key Information'!$C$30-E48*('Key Information'!$C$5)*'Key Information'!$C$30*(C48=1)</f>
        <v>987945.57085587108</v>
      </c>
      <c r="H48" s="88">
        <f>D48*'Key Information'!K45</f>
        <v>6040506.4005045537</v>
      </c>
      <c r="I48" s="88">
        <f>E48*IF($C$6="Y",'Key Information'!$C$44,'Key Information'!$C$40)</f>
        <v>6520440.7676487491</v>
      </c>
      <c r="J48" s="86"/>
      <c r="K48" s="89">
        <f>H48*IF($C$6="Y",'Key Information'!$C$45,'Key Information'!$C$41)</f>
        <v>2114177.2401765939</v>
      </c>
      <c r="L48" s="88">
        <f>NPV('Key Information'!$C$16,E49:E$61)*(1+'Key Information'!$C$16)</f>
        <v>154184370.71813095</v>
      </c>
      <c r="M48" s="88">
        <f>NPV('Key Information'!$C$16,F49:F$61)*(1+'Key Information'!$C$16)</f>
        <v>4285941.0055267317</v>
      </c>
      <c r="N48" s="88">
        <f>NPV('Key Information'!$C$16,G49:G$61)*(1+'Key Information'!$C$16)</f>
        <v>7709218.5359065495</v>
      </c>
      <c r="O48" s="88">
        <f>NPV('Key Information'!$C$16,H49:H$61)</f>
        <v>34794910.399819881</v>
      </c>
      <c r="P48" s="88">
        <f>NPV('Key Information'!$C$16,I49:I$61)*(1+'Key Information'!$C$16)</f>
        <v>50880842.336983226</v>
      </c>
      <c r="Q48" s="86"/>
      <c r="R48" s="89">
        <f>NPV('Key Information'!$C$16,K49:K$61)</f>
        <v>12178218.639936958</v>
      </c>
      <c r="S48" s="88">
        <f t="shared" si="0"/>
        <v>-68691677.079831526</v>
      </c>
      <c r="T48" s="88">
        <f t="shared" si="2"/>
        <v>20937248.50189456</v>
      </c>
      <c r="U48" s="89">
        <f t="shared" si="1"/>
        <v>-47754428.577936962</v>
      </c>
      <c r="X48" s="8"/>
    </row>
    <row r="49" spans="1:24" x14ac:dyDescent="0.3">
      <c r="A49" s="90"/>
      <c r="B49" s="83">
        <v>2058</v>
      </c>
      <c r="C49" s="84">
        <v>39</v>
      </c>
      <c r="D49" s="89">
        <f>$D48*(1-'Key Information'!K45-'Key Information'!L45)*(1+'Key Information'!$C$21)</f>
        <v>1447576340.064265</v>
      </c>
      <c r="E49" s="88">
        <f>$E48*(1-'Key Information'!K45-'Key Information'!L45)*(1+'Key Information'!G45)*(1+'Key Information'!$C$21)</f>
        <v>18641600.950170115</v>
      </c>
      <c r="F49" s="88">
        <f>F48*(1+'Key Information'!$C$20)*(1-'Key Information'!K45-'Key Information'!L45)</f>
        <v>686371.59716361435</v>
      </c>
      <c r="G49" s="88">
        <f>E49*'Key Information'!$C$30-E49*('Key Information'!$C$5)*'Key Information'!$C$30*(C49=1)</f>
        <v>932080.04750850576</v>
      </c>
      <c r="H49" s="88">
        <f>D49*'Key Information'!K46</f>
        <v>5500790.0922442069</v>
      </c>
      <c r="I49" s="88">
        <f>E49*IF($C$6="Y",'Key Information'!$C$44,'Key Information'!$C$40)</f>
        <v>6151728.3135561384</v>
      </c>
      <c r="J49" s="86"/>
      <c r="K49" s="89">
        <f>H49*IF($C$6="Y",'Key Information'!$C$45,'Key Information'!$C$41)</f>
        <v>1925276.5322854724</v>
      </c>
      <c r="L49" s="88">
        <f>NPV('Key Information'!$C$16,E50:E$61)*(1+'Key Information'!$C$16)</f>
        <v>139609052.8609997</v>
      </c>
      <c r="M49" s="88">
        <f>NPV('Key Information'!$C$16,F50:F$61)*(1+'Key Information'!$C$16)</f>
        <v>3707556.4906140114</v>
      </c>
      <c r="N49" s="88">
        <f>NPV('Key Information'!$C$16,G50:G$61)*(1+'Key Information'!$C$16)</f>
        <v>6980452.6430499833</v>
      </c>
      <c r="O49" s="88">
        <f>NPV('Key Information'!$C$16,H50:H$61)</f>
        <v>30337967.61957027</v>
      </c>
      <c r="P49" s="88">
        <f>NPV('Key Information'!$C$16,I50:I$61)*(1+'Key Information'!$C$16)</f>
        <v>46070987.444129899</v>
      </c>
      <c r="Q49" s="86"/>
      <c r="R49" s="89">
        <f>NPV('Key Information'!$C$16,K50:K$61)</f>
        <v>10618288.666849593</v>
      </c>
      <c r="S49" s="88">
        <f t="shared" si="0"/>
        <v>-63130377.330485128</v>
      </c>
      <c r="T49" s="88">
        <f t="shared" si="2"/>
        <v>18958013.832728621</v>
      </c>
      <c r="U49" s="89">
        <f t="shared" si="1"/>
        <v>-44172363.497756511</v>
      </c>
      <c r="X49" s="8"/>
    </row>
    <row r="50" spans="1:24" x14ac:dyDescent="0.3">
      <c r="A50" s="90"/>
      <c r="B50" s="83">
        <v>2059</v>
      </c>
      <c r="C50" s="84">
        <v>40</v>
      </c>
      <c r="D50" s="89">
        <f>$D49*(1-'Key Information'!K46-'Key Information'!L46)*(1+'Key Information'!$C$21)</f>
        <v>1281921494.0126708</v>
      </c>
      <c r="E50" s="88">
        <f>$E49*(1-'Key Information'!K46-'Key Information'!L46)*(1+'Key Information'!G46)*(1+'Key Information'!$C$21)</f>
        <v>17607491.709410392</v>
      </c>
      <c r="F50" s="88">
        <f>F49*(1+'Key Information'!$C$20)*(1-'Key Information'!K46-'Key Information'!L46)</f>
        <v>613785.05527717352</v>
      </c>
      <c r="G50" s="88">
        <f>E50*'Key Information'!$C$30-E50*('Key Information'!$C$5)*'Key Information'!$C$30*(C50=1)</f>
        <v>880374.58547051961</v>
      </c>
      <c r="H50" s="88">
        <f>D50*'Key Information'!K47</f>
        <v>4999493.8266494153</v>
      </c>
      <c r="I50" s="88">
        <f>E50*IF($C$6="Y",'Key Information'!$C$44,'Key Information'!$C$40)</f>
        <v>5810472.2641054299</v>
      </c>
      <c r="J50" s="86"/>
      <c r="K50" s="89">
        <f>H50*IF($C$6="Y",'Key Information'!$C$45,'Key Information'!$C$41)</f>
        <v>1749822.8393272953</v>
      </c>
      <c r="L50" s="88">
        <f>NPV('Key Information'!$C$16,E51:E$61)*(1+'Key Information'!$C$16)</f>
        <v>125661607.98613697</v>
      </c>
      <c r="M50" s="88">
        <f>NPV('Key Information'!$C$16,F51:F$61)*(1+'Key Information'!$C$16)</f>
        <v>3186584.5783969429</v>
      </c>
      <c r="N50" s="88">
        <f>NPV('Key Information'!$C$16,G51:G$61)*(1+'Key Information'!$C$16)</f>
        <v>6283080.3993068496</v>
      </c>
      <c r="O50" s="88">
        <f>NPV('Key Information'!$C$16,H51:H$61)</f>
        <v>26248612.821507968</v>
      </c>
      <c r="P50" s="88">
        <f>NPV('Key Information'!$C$16,I51:I$61)*(1+'Key Information'!$C$16)</f>
        <v>41468330.635425203</v>
      </c>
      <c r="Q50" s="86"/>
      <c r="R50" s="89">
        <f>NPV('Key Information'!$C$16,K51:K$61)</f>
        <v>9187014.4875277858</v>
      </c>
      <c r="S50" s="88">
        <f t="shared" si="0"/>
        <v>-57662014.039027788</v>
      </c>
      <c r="T50" s="88">
        <f t="shared" si="2"/>
        <v>17064040.2869577</v>
      </c>
      <c r="U50" s="89">
        <f t="shared" si="1"/>
        <v>-40597973.752070084</v>
      </c>
      <c r="X50" s="8"/>
    </row>
    <row r="51" spans="1:24" x14ac:dyDescent="0.3">
      <c r="A51" s="90"/>
      <c r="B51" s="83">
        <v>2060</v>
      </c>
      <c r="C51" s="84">
        <v>41</v>
      </c>
      <c r="D51" s="89">
        <f>$D50*(1-'Key Information'!K47-'Key Information'!L47)*(1+'Key Information'!$C$21)</f>
        <v>1132477650.0836616</v>
      </c>
      <c r="E51" s="88">
        <f>$E50*(1-'Key Information'!K47-'Key Information'!L47)*(1+'Key Information'!G47)*(1+'Key Information'!$C$21)</f>
        <v>16631948.439559031</v>
      </c>
      <c r="F51" s="88">
        <f>F50*(1+'Key Information'!$C$20)*(1-'Key Information'!K47-'Key Information'!L47)</f>
        <v>547547.21346682683</v>
      </c>
      <c r="G51" s="88">
        <f>E51*'Key Information'!$C$30-E51*('Key Information'!$C$5)*'Key Information'!$C$30*(C51=1)</f>
        <v>831597.42197795166</v>
      </c>
      <c r="H51" s="88">
        <f>D51*'Key Information'!K48</f>
        <v>4416662.8353262795</v>
      </c>
      <c r="I51" s="88">
        <f>E51*IF($C$6="Y",'Key Information'!$C$44,'Key Information'!$C$40)</f>
        <v>5488542.9850544808</v>
      </c>
      <c r="J51" s="86"/>
      <c r="K51" s="89">
        <f>H51*IF($C$6="Y",'Key Information'!$C$45,'Key Information'!$C$41)</f>
        <v>1545831.9923641977</v>
      </c>
      <c r="L51" s="88">
        <f>NPV('Key Information'!$C$16,E52:E$61)*(1+'Key Information'!$C$16)</f>
        <v>112300549.3329753</v>
      </c>
      <c r="M51" s="88">
        <f>NPV('Key Information'!$C$16,F52:F$61)*(1+'Key Information'!$C$16)</f>
        <v>2718208.4858780201</v>
      </c>
      <c r="N51" s="88">
        <f>NPV('Key Information'!$C$16,G52:G$61)*(1+'Key Information'!$C$16)</f>
        <v>5615027.466648764</v>
      </c>
      <c r="O51" s="88">
        <f>NPV('Key Information'!$C$16,H52:H$61)</f>
        <v>22619408.370826922</v>
      </c>
      <c r="P51" s="88">
        <f>NPV('Key Information'!$C$16,I52:I$61)*(1+'Key Information'!$C$16)</f>
        <v>37059181.27988185</v>
      </c>
      <c r="Q51" s="86"/>
      <c r="R51" s="89">
        <f>NPV('Key Information'!$C$16,K52:K$61)</f>
        <v>7916792.9297894221</v>
      </c>
      <c r="S51" s="88">
        <f t="shared" si="0"/>
        <v>-52205516.659529164</v>
      </c>
      <c r="T51" s="88">
        <f t="shared" si="2"/>
        <v>15249694.228620552</v>
      </c>
      <c r="U51" s="89">
        <f t="shared" si="1"/>
        <v>-36955822.430908613</v>
      </c>
      <c r="X51" s="8"/>
    </row>
    <row r="52" spans="1:24" x14ac:dyDescent="0.3">
      <c r="A52" s="90"/>
      <c r="B52" s="83">
        <v>2061</v>
      </c>
      <c r="C52" s="84">
        <v>42</v>
      </c>
      <c r="D52" s="89">
        <f>$D51*(1-'Key Information'!K48-'Key Information'!L48)*(1+'Key Information'!$C$21)</f>
        <v>999300543.3891232</v>
      </c>
      <c r="E52" s="88">
        <f>$E51*(1-'Key Information'!K48-'Key Information'!L48)*(1+'Key Information'!G48)*(1+'Key Information'!$C$21)</f>
        <v>15732965.897807619</v>
      </c>
      <c r="F52" s="88">
        <f>F51*(1+'Key Information'!$C$20)*(1-'Key Information'!K48-'Key Information'!L48)</f>
        <v>487893.58720125642</v>
      </c>
      <c r="G52" s="88">
        <f>E52*'Key Information'!$C$30-E52*('Key Information'!$C$5)*'Key Information'!$C$30*(C52=1)</f>
        <v>786648.29489038093</v>
      </c>
      <c r="H52" s="88">
        <f>D52*'Key Information'!K49</f>
        <v>4097132.2278954056</v>
      </c>
      <c r="I52" s="88">
        <f>E52*IF($C$6="Y",'Key Information'!$C$44,'Key Information'!$C$40)</f>
        <v>5191878.7462765146</v>
      </c>
      <c r="J52" s="86"/>
      <c r="K52" s="89">
        <f>H52*IF($C$6="Y",'Key Information'!$C$45,'Key Information'!$C$41)</f>
        <v>1433996.2797633919</v>
      </c>
      <c r="L52" s="88">
        <f>NPV('Key Information'!$C$16,E53:E$61)*(1+'Key Information'!$C$16)</f>
        <v>99464610.938222691</v>
      </c>
      <c r="M52" s="88">
        <f>NPV('Key Information'!$C$16,F53:F$61)*(1+'Key Information'!$C$16)</f>
        <v>2297224.3456370663</v>
      </c>
      <c r="N52" s="88">
        <f>NPV('Key Information'!$C$16,G53:G$61)*(1+'Key Information'!$C$16)</f>
        <v>4973230.5469111344</v>
      </c>
      <c r="O52" s="88">
        <f>NPV('Key Information'!$C$16,H53:H$61)</f>
        <v>19200858.394056324</v>
      </c>
      <c r="P52" s="88">
        <f>NPV('Key Information'!$C$16,I53:I$61)*(1+'Key Information'!$C$16)</f>
        <v>32823321.609613493</v>
      </c>
      <c r="Q52" s="86"/>
      <c r="R52" s="89">
        <f>NPV('Key Information'!$C$16,K53:K$61)</f>
        <v>6720300.4379197126</v>
      </c>
      <c r="S52" s="88">
        <f t="shared" si="0"/>
        <v>-46890276.479924388</v>
      </c>
      <c r="T52" s="88">
        <f t="shared" si="2"/>
        <v>13506656.132902969</v>
      </c>
      <c r="U52" s="89">
        <f t="shared" si="1"/>
        <v>-33383620.34702142</v>
      </c>
      <c r="X52" s="8"/>
    </row>
    <row r="53" spans="1:24" x14ac:dyDescent="0.3">
      <c r="A53" s="90"/>
      <c r="B53" s="83">
        <v>2062</v>
      </c>
      <c r="C53" s="84">
        <v>43</v>
      </c>
      <c r="D53" s="89">
        <f>$D52*(1-'Key Information'!K49-'Key Information'!L49)*(1+'Key Information'!$C$21)</f>
        <v>880561654.22254086</v>
      </c>
      <c r="E53" s="88">
        <f>$E52*(1-'Key Information'!K49-'Key Information'!L49)*(1+'Key Information'!G49)*(1+'Key Information'!$C$21)</f>
        <v>14901866.287987452</v>
      </c>
      <c r="F53" s="88">
        <f>F52*(1+'Key Information'!$C$20)*(1-'Key Information'!K49-'Key Information'!L49)</f>
        <v>434136.00808266044</v>
      </c>
      <c r="G53" s="88">
        <f>E53*'Key Information'!$C$30-E53*('Key Information'!$C$5)*'Key Information'!$C$30*(C53=1)</f>
        <v>745093.31439937267</v>
      </c>
      <c r="H53" s="88">
        <f>D53*'Key Information'!K50</f>
        <v>3610302.7823124179</v>
      </c>
      <c r="I53" s="88">
        <f>E53*IF($C$6="Y",'Key Information'!$C$44,'Key Information'!$C$40)</f>
        <v>4917615.8750358596</v>
      </c>
      <c r="J53" s="86"/>
      <c r="K53" s="89">
        <f>H53*IF($C$6="Y",'Key Information'!$C$45,'Key Information'!$C$41)</f>
        <v>1263605.9738093461</v>
      </c>
      <c r="L53" s="88">
        <f>NPV('Key Information'!$C$16,E54:E$61)*(1+'Key Information'!$C$16)</f>
        <v>87099626.989742309</v>
      </c>
      <c r="M53" s="88">
        <f>NPV('Key Information'!$C$16,F54:F$61)*(1+'Key Information'!$C$16)</f>
        <v>1918980.987681038</v>
      </c>
      <c r="N53" s="88">
        <f>NPV('Key Information'!$C$16,G54:G$61)*(1+'Key Information'!$C$16)</f>
        <v>4354981.3494871166</v>
      </c>
      <c r="O53" s="88">
        <f>NPV('Key Information'!$C$16,H54:H$61)</f>
        <v>16166581.363565598</v>
      </c>
      <c r="P53" s="88">
        <f>NPV('Key Information'!$C$16,I54:I$61)*(1+'Key Information'!$C$16)</f>
        <v>28742876.906614963</v>
      </c>
      <c r="Q53" s="86"/>
      <c r="R53" s="89">
        <f>NPV('Key Information'!$C$16,K54:K$61)</f>
        <v>5658303.477247959</v>
      </c>
      <c r="S53" s="88">
        <f t="shared" si="0"/>
        <v>-41574509.859641559</v>
      </c>
      <c r="T53" s="88">
        <f t="shared" si="2"/>
        <v>11827570.629972497</v>
      </c>
      <c r="U53" s="89">
        <f t="shared" si="1"/>
        <v>-29746939.229669064</v>
      </c>
      <c r="X53" s="8"/>
    </row>
    <row r="54" spans="1:24" x14ac:dyDescent="0.3">
      <c r="A54" s="90"/>
      <c r="B54" s="83">
        <v>2063</v>
      </c>
      <c r="C54" s="84">
        <v>44</v>
      </c>
      <c r="D54" s="89">
        <f>$D53*(1-'Key Information'!K50-'Key Information'!L50)*(1+'Key Information'!$C$21)</f>
        <v>774135211.5698961</v>
      </c>
      <c r="E54" s="88">
        <f>$E53*(1-'Key Information'!K50-'Key Information'!L50)*(1+'Key Information'!G50)*(1+'Key Information'!$C$21)</f>
        <v>14121241.03710038</v>
      </c>
      <c r="F54" s="88">
        <f>F53*(1+'Key Information'!$C$20)*(1-'Key Information'!K50-'Key Information'!L50)</f>
        <v>385407.28012743837</v>
      </c>
      <c r="G54" s="88">
        <f>E54*'Key Information'!$C$30-E54*('Key Information'!$C$5)*'Key Information'!$C$30*(C54=1)</f>
        <v>706062.05185501906</v>
      </c>
      <c r="H54" s="88">
        <f>D54*'Key Information'!K51</f>
        <v>3251367.8885935633</v>
      </c>
      <c r="I54" s="88">
        <f>E54*IF($C$6="Y",'Key Information'!$C$44,'Key Information'!$C$40)</f>
        <v>4660009.5422431258</v>
      </c>
      <c r="J54" s="86"/>
      <c r="K54" s="89">
        <f>H54*IF($C$6="Y",'Key Information'!$C$45,'Key Information'!$C$41)</f>
        <v>1137978.7610077471</v>
      </c>
      <c r="L54" s="88">
        <f>NPV('Key Information'!$C$16,E55:E$61)*(1+'Key Information'!$C$16)</f>
        <v>75167737.531221181</v>
      </c>
      <c r="M54" s="88">
        <f>NPV('Key Information'!$C$16,F55:F$61)*(1+'Key Information'!$C$16)</f>
        <v>1579580.9187802081</v>
      </c>
      <c r="N54" s="88">
        <f>NPV('Key Information'!$C$16,G55:G$61)*(1+'Key Information'!$C$16)</f>
        <v>3758386.8765610592</v>
      </c>
      <c r="O54" s="88">
        <f>NPV('Key Information'!$C$16,H55:H$61)</f>
        <v>13400210.915879002</v>
      </c>
      <c r="P54" s="88">
        <f>NPV('Key Information'!$C$16,I55:I$61)*(1+'Key Information'!$C$16)</f>
        <v>24805353.385302994</v>
      </c>
      <c r="Q54" s="86"/>
      <c r="R54" s="89">
        <f>NPV('Key Information'!$C$16,K55:K$61)</f>
        <v>4690073.8205576492</v>
      </c>
      <c r="S54" s="88">
        <f t="shared" si="0"/>
        <v>-36314279.255255572</v>
      </c>
      <c r="T54" s="88">
        <f t="shared" si="2"/>
        <v>10207296.580620905</v>
      </c>
      <c r="U54" s="89">
        <f t="shared" si="1"/>
        <v>-26106982.674634665</v>
      </c>
      <c r="X54" s="8"/>
    </row>
    <row r="55" spans="1:24" x14ac:dyDescent="0.3">
      <c r="A55" s="90"/>
      <c r="B55" s="83">
        <v>2064</v>
      </c>
      <c r="C55" s="84">
        <v>45</v>
      </c>
      <c r="D55" s="89">
        <f>$D54*(1-'Key Information'!K51-'Key Information'!L51)*(1+'Key Information'!$C$21)</f>
        <v>679703101.92175388</v>
      </c>
      <c r="E55" s="88">
        <f>$E54*(1-'Key Information'!K51-'Key Information'!L51)*(1+'Key Information'!G51)*(1+'Key Information'!$C$21)</f>
        <v>13403060.401574353</v>
      </c>
      <c r="F55" s="88">
        <f>F54*(1+'Key Information'!$C$20)*(1-'Key Information'!K51-'Key Information'!L51)</f>
        <v>341711.34433570993</v>
      </c>
      <c r="G55" s="88">
        <f>E55*'Key Information'!$C$30-E55*('Key Information'!$C$5)*'Key Information'!$C$30*(C55=1)</f>
        <v>670153.02007871773</v>
      </c>
      <c r="H55" s="88">
        <f>D55*'Key Information'!K52</f>
        <v>2922723.3382635419</v>
      </c>
      <c r="I55" s="88">
        <f>E55*IF($C$6="Y",'Key Information'!$C$44,'Key Information'!$C$40)</f>
        <v>4423009.9325195365</v>
      </c>
      <c r="J55" s="86"/>
      <c r="K55" s="89">
        <f>H55*IF($C$6="Y",'Key Information'!$C$45,'Key Information'!$C$41)</f>
        <v>1022953.1683922396</v>
      </c>
      <c r="L55" s="88">
        <f>NPV('Key Information'!$C$16,E56:E$61)*(1+'Key Information'!$C$16)</f>
        <v>63617617.443536237</v>
      </c>
      <c r="M55" s="88">
        <f>NPV('Key Information'!$C$16,F56:F$61)*(1+'Key Information'!$C$16)</f>
        <v>1275005.6616778327</v>
      </c>
      <c r="N55" s="88">
        <f>NPV('Key Information'!$C$16,G56:G$61)*(1+'Key Information'!$C$16)</f>
        <v>3180880.872176812</v>
      </c>
      <c r="O55" s="88">
        <f>NPV('Key Information'!$C$16,H56:H$61)</f>
        <v>10879493.90509183</v>
      </c>
      <c r="P55" s="88">
        <f>NPV('Key Information'!$C$16,I56:I$61)*(1+'Key Information'!$C$16)</f>
        <v>20993813.756366961</v>
      </c>
      <c r="Q55" s="86"/>
      <c r="R55" s="89">
        <f>NPV('Key Information'!$C$16,K56:K$61)</f>
        <v>3807822.8667821405</v>
      </c>
      <c r="S55" s="88">
        <f t="shared" si="0"/>
        <v>-31096246.115004946</v>
      </c>
      <c r="T55" s="88">
        <f t="shared" si="2"/>
        <v>8638864.3629049063</v>
      </c>
      <c r="U55" s="89">
        <f t="shared" si="1"/>
        <v>-22457381.752100039</v>
      </c>
      <c r="X55" s="8"/>
    </row>
    <row r="56" spans="1:24" x14ac:dyDescent="0.3">
      <c r="A56" s="90"/>
      <c r="B56" s="83">
        <v>2065</v>
      </c>
      <c r="C56" s="84">
        <v>46</v>
      </c>
      <c r="D56" s="89">
        <f>$D55*(1-'Key Information'!K52-'Key Information'!L52)*(1+'Key Information'!$C$21)</f>
        <v>596027571.85657454</v>
      </c>
      <c r="E56" s="88">
        <f>$E55*(1-'Key Information'!K52-'Key Information'!L52)*(1+'Key Information'!G52)*(1+'Key Information'!$C$21)</f>
        <v>12743232.10199352</v>
      </c>
      <c r="F56" s="88">
        <f>F55*(1+'Key Information'!$C$20)*(1-'Key Information'!K52-'Key Information'!L52)</f>
        <v>302582.32000717212</v>
      </c>
      <c r="G56" s="88">
        <f>E56*'Key Information'!$C$30-E56*('Key Information'!$C$5)*'Key Information'!$C$30*(C56=1)</f>
        <v>637161.60509967606</v>
      </c>
      <c r="H56" s="88">
        <f>D56*'Key Information'!K53</f>
        <v>2622521.3161689281</v>
      </c>
      <c r="I56" s="88">
        <f>E56*IF($C$6="Y",'Key Information'!$C$44,'Key Information'!$C$40)</f>
        <v>4205266.5936578615</v>
      </c>
      <c r="J56" s="86"/>
      <c r="K56" s="89">
        <f>H56*IF($C$6="Y",'Key Information'!$C$45,'Key Information'!$C$41)</f>
        <v>917882.46065912477</v>
      </c>
      <c r="L56" s="88">
        <f>NPV('Key Information'!$C$16,E57:E$61)*(1+'Key Information'!$C$16)</f>
        <v>52400616.90178901</v>
      </c>
      <c r="M56" s="88">
        <f>NPV('Key Information'!$C$16,F57:F$61)*(1+'Key Information'!$C$16)</f>
        <v>1001596.0419207807</v>
      </c>
      <c r="N56" s="88">
        <f>NPV('Key Information'!$C$16,G57:G$61)*(1+'Key Information'!$C$16)</f>
        <v>2620030.84508945</v>
      </c>
      <c r="O56" s="88">
        <f>NPV('Key Information'!$C$16,H57:H$61)</f>
        <v>8583357.4060756564</v>
      </c>
      <c r="P56" s="88">
        <f>NPV('Key Information'!$C$16,I57:I$61)*(1+'Key Information'!$C$16)</f>
        <v>17292203.577590372</v>
      </c>
      <c r="Q56" s="86"/>
      <c r="R56" s="89">
        <f>NPV('Key Information'!$C$16,K57:K$61)</f>
        <v>3004175.0921264798</v>
      </c>
      <c r="S56" s="88">
        <f t="shared" si="0"/>
        <v>-25907604.12323923</v>
      </c>
      <c r="T56" s="88">
        <f t="shared" si="2"/>
        <v>7115667.6426757881</v>
      </c>
      <c r="U56" s="89">
        <f t="shared" si="1"/>
        <v>-18791936.480563443</v>
      </c>
      <c r="X56" s="8"/>
    </row>
    <row r="57" spans="1:24" x14ac:dyDescent="0.3">
      <c r="A57" s="90"/>
      <c r="B57" s="83">
        <v>2066</v>
      </c>
      <c r="C57" s="84">
        <v>47</v>
      </c>
      <c r="D57" s="89">
        <f>$D56*(1-'Key Information'!K53-'Key Information'!L53)*(1+'Key Information'!$C$21)</f>
        <v>521376310.53668231</v>
      </c>
      <c r="E57" s="88">
        <f>$E56*(1-'Key Information'!K53-'Key Information'!L53)*(1+'Key Information'!G53)*(1+'Key Information'!$C$21)</f>
        <v>12123856.246909445</v>
      </c>
      <c r="F57" s="88">
        <f>F56*(1+'Key Information'!$C$20)*(1-'Key Information'!K53-'Key Information'!L53)</f>
        <v>267279.43556729535</v>
      </c>
      <c r="G57" s="88">
        <f>E57*'Key Information'!$C$30-E57*('Key Information'!$C$5)*'Key Information'!$C$30*(C57=1)</f>
        <v>606192.81234547228</v>
      </c>
      <c r="H57" s="88">
        <f>D57*'Key Information'!K54</f>
        <v>2346193.3974150703</v>
      </c>
      <c r="I57" s="88">
        <f>E57*IF($C$6="Y",'Key Information'!$C$44,'Key Information'!$C$40)</f>
        <v>4000872.561480117</v>
      </c>
      <c r="J57" s="86"/>
      <c r="K57" s="89">
        <f>H57*IF($C$6="Y",'Key Information'!$C$45,'Key Information'!$C$41)</f>
        <v>821167.68909527455</v>
      </c>
      <c r="L57" s="88">
        <f>NPV('Key Information'!$C$16,E58:E$61)*(1+'Key Information'!$C$16)</f>
        <v>41485063.474525943</v>
      </c>
      <c r="M57" s="88">
        <f>NPV('Key Information'!$C$16,F58:F$61)*(1+'Key Information'!$C$16)</f>
        <v>756346.10454408976</v>
      </c>
      <c r="N57" s="88">
        <f>NPV('Key Information'!$C$16,G58:G$61)*(1+'Key Information'!$C$16)</f>
        <v>2074253.1737262974</v>
      </c>
      <c r="O57" s="88">
        <f>NPV('Key Information'!$C$16,H58:H$61)</f>
        <v>6494664.7308428558</v>
      </c>
      <c r="P57" s="88">
        <f>NPV('Key Information'!$C$16,I58:I$61)*(1+'Key Information'!$C$16)</f>
        <v>13690070.946593562</v>
      </c>
      <c r="Q57" s="86"/>
      <c r="R57" s="89">
        <f>NPV('Key Information'!$C$16,K58:K$61)</f>
        <v>2273132.655795</v>
      </c>
      <c r="S57" s="88">
        <f t="shared" si="0"/>
        <v>-20742861.174614139</v>
      </c>
      <c r="T57" s="88">
        <f t="shared" si="2"/>
        <v>5633405.5069103064</v>
      </c>
      <c r="U57" s="89">
        <f t="shared" si="1"/>
        <v>-15109455.667703833</v>
      </c>
      <c r="X57" s="8"/>
    </row>
    <row r="58" spans="1:24" x14ac:dyDescent="0.3">
      <c r="A58" s="90"/>
      <c r="B58" s="83">
        <v>2067</v>
      </c>
      <c r="C58" s="84">
        <v>48</v>
      </c>
      <c r="D58" s="89">
        <f>$D57*(1-'Key Information'!K54-'Key Information'!L54)*(1+'Key Information'!$C$21)</f>
        <v>455489986.17416179</v>
      </c>
      <c r="E58" s="88">
        <f>$E57*(1-'Key Information'!K54-'Key Information'!L54)*(1+'Key Information'!G54)*(1+'Key Information'!$C$21)</f>
        <v>11556910.90864359</v>
      </c>
      <c r="F58" s="88">
        <f>F57*(1+'Key Information'!$C$20)*(1-'Key Information'!K54-'Key Information'!L54)</f>
        <v>235792.58166029016</v>
      </c>
      <c r="G58" s="88">
        <f>E58*'Key Information'!$C$30-E58*('Key Information'!$C$5)*'Key Information'!$C$30*(C58=1)</f>
        <v>577845.54543217958</v>
      </c>
      <c r="H58" s="88">
        <f>D58*'Key Information'!K55</f>
        <v>2049704.9377837279</v>
      </c>
      <c r="I58" s="88">
        <f>E58*IF($C$6="Y",'Key Information'!$C$44,'Key Information'!$C$40)</f>
        <v>3813780.599852385</v>
      </c>
      <c r="J58" s="86"/>
      <c r="K58" s="89">
        <f>H58*IF($C$6="Y",'Key Information'!$C$45,'Key Information'!$C$41)</f>
        <v>717396.72822430474</v>
      </c>
      <c r="L58" s="88">
        <f>NPV('Key Information'!$C$16,E59:E$61)*(1+'Key Information'!$C$16)</f>
        <v>30825997.142858826</v>
      </c>
      <c r="M58" s="88">
        <f>NPV('Key Information'!$C$16,F59:F$61)*(1+'Key Information'!$C$16)</f>
        <v>536170.12857031357</v>
      </c>
      <c r="N58" s="88">
        <f>NPV('Key Information'!$C$16,G59:G$61)*(1+'Key Information'!$C$16)</f>
        <v>1541299.8571429413</v>
      </c>
      <c r="O58" s="88">
        <f>NPV('Key Information'!$C$16,H59:H$61)</f>
        <v>4639799.7349844137</v>
      </c>
      <c r="P58" s="88">
        <f>NPV('Key Information'!$C$16,I59:I$61)*(1+'Key Information'!$C$16)</f>
        <v>10172579.057143413</v>
      </c>
      <c r="Q58" s="86"/>
      <c r="R58" s="89">
        <f>NPV('Key Information'!$C$16,K59:K$61)</f>
        <v>1623929.9072445452</v>
      </c>
      <c r="S58" s="88">
        <f t="shared" si="0"/>
        <v>-15560078.27226229</v>
      </c>
      <c r="T58" s="88">
        <f t="shared" si="2"/>
        <v>4185972.6734470581</v>
      </c>
      <c r="U58" s="89">
        <f t="shared" si="1"/>
        <v>-11374105.598815233</v>
      </c>
      <c r="X58" s="8"/>
    </row>
    <row r="59" spans="1:24" x14ac:dyDescent="0.3">
      <c r="A59" s="90"/>
      <c r="B59" s="83">
        <v>2068</v>
      </c>
      <c r="C59" s="84">
        <v>49</v>
      </c>
      <c r="D59" s="89">
        <f>$D58*(1-'Key Information'!K55-'Key Information'!L55)*(1+'Key Information'!$C$21)</f>
        <v>397465116.83543533</v>
      </c>
      <c r="E59" s="88">
        <f>$E58*(1-'Key Information'!K55-'Key Information'!L55)*(1+'Key Information'!G55)*(1+'Key Information'!$C$21)</f>
        <v>11040372.883532321</v>
      </c>
      <c r="F59" s="88">
        <f>F58*(1+'Key Information'!$C$20)*(1-'Key Information'!K55-'Key Information'!L55)</f>
        <v>207772.1702186896</v>
      </c>
      <c r="G59" s="88">
        <f>E59*'Key Information'!$C$30-E59*('Key Information'!$C$5)*'Key Information'!$C$30*(C59=1)</f>
        <v>552018.6441766161</v>
      </c>
      <c r="H59" s="88">
        <f>D59*'Key Information'!K56</f>
        <v>1868086.0491265461</v>
      </c>
      <c r="I59" s="88">
        <f>E59*IF($C$6="Y",'Key Information'!$C$44,'Key Information'!$C$40)</f>
        <v>3643323.0515656662</v>
      </c>
      <c r="J59" s="86"/>
      <c r="K59" s="89">
        <f>H59*IF($C$6="Y",'Key Information'!$C$45,'Key Information'!$C$41)</f>
        <v>653830.11719429109</v>
      </c>
      <c r="L59" s="88">
        <f>NPV('Key Information'!$C$16,E60:E$61)*(1+'Key Information'!$C$16)</f>
        <v>20379192.987106301</v>
      </c>
      <c r="M59" s="88">
        <f>NPV('Key Information'!$C$16,F60:F$61)*(1+'Key Information'!$C$16)</f>
        <v>338249.89710217272</v>
      </c>
      <c r="N59" s="88">
        <f>NPV('Key Information'!$C$16,G60:G$61)*(1+'Key Information'!$C$16)</f>
        <v>1018959.6493553149</v>
      </c>
      <c r="O59" s="88">
        <f>NPV('Key Information'!$C$16,H60:H$61)</f>
        <v>2910907.6779074008</v>
      </c>
      <c r="P59" s="88">
        <f>NPV('Key Information'!$C$16,I60:I$61)*(1+'Key Information'!$C$16)</f>
        <v>6725133.6857450791</v>
      </c>
      <c r="Q59" s="86"/>
      <c r="R59" s="89">
        <f>NPV('Key Information'!$C$16,K60:K$61)</f>
        <v>1018817.6872675903</v>
      </c>
      <c r="S59" s="88">
        <f t="shared" si="0"/>
        <v>-10404759.764263924</v>
      </c>
      <c r="T59" s="88">
        <f t="shared" si="2"/>
        <v>2767363.6818815162</v>
      </c>
      <c r="U59" s="89">
        <f t="shared" si="1"/>
        <v>-7637396.082382408</v>
      </c>
      <c r="X59" s="8"/>
    </row>
    <row r="60" spans="1:24" x14ac:dyDescent="0.3">
      <c r="A60" s="90"/>
      <c r="B60" s="83">
        <v>2069</v>
      </c>
      <c r="C60" s="84">
        <v>50</v>
      </c>
      <c r="D60" s="89">
        <f>$D59*(1-'Key Information'!K56-'Key Information'!L56)*(1+'Key Information'!$C$21)</f>
        <v>345940123.87959045</v>
      </c>
      <c r="E60" s="88">
        <f>$E59*(1-'Key Information'!K56-'Key Information'!L56)*(1+'Key Information'!G56)*(1+'Key Information'!$C$21)</f>
        <v>10556224.553578578</v>
      </c>
      <c r="F60" s="88">
        <f>F59*(1+'Key Information'!$C$20)*(1-'Key Information'!K56-'Key Information'!L56)</f>
        <v>182610.75263303606</v>
      </c>
      <c r="G60" s="88">
        <f>E60*'Key Information'!$C$30-E60*('Key Information'!$C$5)*'Key Information'!$C$30*(C60=1)</f>
        <v>527811.22767892887</v>
      </c>
      <c r="H60" s="88">
        <f>D60*'Key Information'!K57</f>
        <v>1625918.5822340753</v>
      </c>
      <c r="I60" s="88">
        <f>E60*IF($C$6="Y",'Key Information'!$C$44,'Key Information'!$C$40)</f>
        <v>3483554.1026809309</v>
      </c>
      <c r="J60" s="86"/>
      <c r="K60" s="89">
        <f>H60*IF($C$6="Y",'Key Information'!$C$45,'Key Information'!$C$41)</f>
        <v>569071.50378192635</v>
      </c>
      <c r="L60" s="88">
        <f>NPV('Key Information'!$C$16,E61:E$61)*(1+'Key Information'!$C$16)</f>
        <v>10117657.486533552</v>
      </c>
      <c r="M60" s="88">
        <f>NPV('Key Information'!$C$16,F61:F$61)*(1+'Key Information'!$C$16)</f>
        <v>160308.31880321074</v>
      </c>
      <c r="N60" s="88">
        <f>NPV('Key Information'!$C$16,G61:G$61)*(1+'Key Information'!$C$16)</f>
        <v>505882.87432667764</v>
      </c>
      <c r="O60" s="88">
        <f>NPV('Key Information'!$C$16,H61:H$61)</f>
        <v>1372316.3260105478</v>
      </c>
      <c r="P60" s="88">
        <f>NPV('Key Information'!$C$16,I61:I$61)*(1+'Key Information'!$C$16)</f>
        <v>3338826.9705560724</v>
      </c>
      <c r="Q60" s="86"/>
      <c r="R60" s="89">
        <f>NPV('Key Information'!$C$16,K61:K$61)</f>
        <v>480310.71410369163</v>
      </c>
      <c r="S60" s="88">
        <f t="shared" si="0"/>
        <v>-5220633.7109407354</v>
      </c>
      <c r="T60" s="88">
        <f t="shared" si="2"/>
        <v>1373912.9852523797</v>
      </c>
      <c r="U60" s="89">
        <f t="shared" si="1"/>
        <v>-3846720.725688356</v>
      </c>
      <c r="X60" s="8"/>
    </row>
    <row r="61" spans="1:24" x14ac:dyDescent="0.3">
      <c r="A61" s="90"/>
      <c r="B61" s="93">
        <v>2070</v>
      </c>
      <c r="C61" s="94">
        <v>51</v>
      </c>
      <c r="D61" s="95">
        <f>$D60*(1-'Key Information'!K57-'Key Information'!L57)*(1+'Key Information'!$C$21)</f>
        <v>300741662.93422639</v>
      </c>
      <c r="E61" s="96">
        <f>$E60*(1-'Key Information'!K57-'Key Information'!L57)*(1+'Key Information'!G57)*(1+'Key Information'!$C$21)</f>
        <v>10117657.486533552</v>
      </c>
      <c r="F61" s="96">
        <f>F60*(1+'Key Information'!$C$20)*(1-'Key Information'!K57-'Key Information'!L57)</f>
        <v>160308.31880321074</v>
      </c>
      <c r="G61" s="96">
        <f>E61*'Key Information'!$C$30-E61*('Key Information'!$C$5)*'Key Information'!$C$30*(C61=1)</f>
        <v>505882.87432667764</v>
      </c>
      <c r="H61" s="96">
        <f>D61*'Key Information'!K58</f>
        <v>1413485.8157908642</v>
      </c>
      <c r="I61" s="96">
        <f>E61*IF($C$6="Y",'Key Information'!$C$44,'Key Information'!$C$40)</f>
        <v>3338826.9705560724</v>
      </c>
      <c r="J61" s="97"/>
      <c r="K61" s="95">
        <f>H61*IF($C$6="Y",'Key Information'!$C$45,'Key Information'!$C$41)</f>
        <v>494720.03552680241</v>
      </c>
      <c r="L61" s="98"/>
      <c r="M61" s="98"/>
      <c r="N61" s="98"/>
      <c r="O61" s="98"/>
      <c r="P61" s="98"/>
      <c r="Q61" s="98"/>
      <c r="R61" s="80"/>
      <c r="S61" s="96">
        <f t="shared" si="0"/>
        <v>0</v>
      </c>
      <c r="T61" s="96">
        <f t="shared" si="2"/>
        <v>0</v>
      </c>
      <c r="U61" s="95">
        <f t="shared" si="1"/>
        <v>0</v>
      </c>
      <c r="X61" s="8"/>
    </row>
    <row r="65" spans="7:7" x14ac:dyDescent="0.3">
      <c r="G65" s="4"/>
    </row>
  </sheetData>
  <pageMargins left="0.7" right="0.7" top="0.75" bottom="0.75" header="0.3" footer="0.3"/>
  <pageSetup paperSize="9" orientation="portrait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"/>
  <sheetViews>
    <sheetView zoomScale="70" zoomScaleNormal="70" workbookViewId="0">
      <selection activeCell="H41" sqref="H41"/>
    </sheetView>
  </sheetViews>
  <sheetFormatPr defaultColWidth="9.109375" defaultRowHeight="13.8" x14ac:dyDescent="0.25"/>
  <cols>
    <col min="1" max="1" width="9.109375" style="71"/>
    <col min="2" max="2" width="35.33203125" style="71" bestFit="1" customWidth="1"/>
    <col min="3" max="3" width="16.33203125" style="71" customWidth="1"/>
    <col min="4" max="4" width="17.33203125" style="71" customWidth="1"/>
    <col min="5" max="6" width="9.109375" style="71"/>
    <col min="7" max="8" width="13.5546875" style="71" bestFit="1" customWidth="1"/>
    <col min="9" max="9" width="9.109375" style="71"/>
    <col min="10" max="10" width="13.5546875" style="71" bestFit="1" customWidth="1"/>
    <col min="11" max="16384" width="9.109375" style="71"/>
  </cols>
  <sheetData>
    <row r="1" spans="1:9" ht="14.4" thickBot="1" x14ac:dyDescent="0.3">
      <c r="A1" s="103" t="s">
        <v>75</v>
      </c>
      <c r="B1" s="66" t="s">
        <v>28</v>
      </c>
    </row>
    <row r="3" spans="1:9" x14ac:dyDescent="0.25">
      <c r="B3" s="57"/>
      <c r="C3" s="57" t="s">
        <v>15</v>
      </c>
      <c r="D3" s="57"/>
    </row>
    <row r="4" spans="1:9" x14ac:dyDescent="0.25">
      <c r="B4" s="57"/>
      <c r="C4" s="56" t="s">
        <v>16</v>
      </c>
      <c r="D4" s="56" t="s">
        <v>17</v>
      </c>
      <c r="G4" s="104">
        <f>'Projection (Before Recapture)'!$T$10</f>
        <v>268023816.8751713</v>
      </c>
      <c r="H4" s="104">
        <f>'Projection (After Recapture)'!$T$10</f>
        <v>308160845.17902416</v>
      </c>
    </row>
    <row r="5" spans="1:9" x14ac:dyDescent="0.25">
      <c r="B5" s="57" t="s">
        <v>14</v>
      </c>
      <c r="C5" s="105">
        <f>G5/G$4-1</f>
        <v>-4.2463183032119822E-2</v>
      </c>
      <c r="D5" s="105">
        <f>H5/H$4-1</f>
        <v>-0.22867067548067155</v>
      </c>
      <c r="G5" s="104">
        <v>256642672.48223352</v>
      </c>
      <c r="H5" s="104">
        <v>237693496.55524206</v>
      </c>
      <c r="I5" s="71" t="s">
        <v>79</v>
      </c>
    </row>
    <row r="6" spans="1:9" x14ac:dyDescent="0.25">
      <c r="B6" s="57" t="s">
        <v>13</v>
      </c>
      <c r="C6" s="105">
        <f>G6/G$4-1</f>
        <v>-0.11280595934239068</v>
      </c>
      <c r="D6" s="105">
        <f>H6/H$4-1</f>
        <v>-0.19238890967126598</v>
      </c>
      <c r="G6" s="104">
        <v>237789133.08595836</v>
      </c>
      <c r="H6" s="104">
        <v>248874116.17165589</v>
      </c>
      <c r="I6" s="71" t="s">
        <v>81</v>
      </c>
    </row>
    <row r="8" spans="1:9" x14ac:dyDescent="0.25">
      <c r="B8" s="57"/>
      <c r="C8" s="57" t="s">
        <v>65</v>
      </c>
      <c r="D8" s="57"/>
    </row>
    <row r="9" spans="1:9" x14ac:dyDescent="0.25">
      <c r="B9" s="57"/>
      <c r="C9" s="56" t="s">
        <v>16</v>
      </c>
      <c r="D9" s="56" t="s">
        <v>17</v>
      </c>
      <c r="G9" s="105">
        <f>'Projection (Before Recapture)'!$U$6</f>
        <v>0.11810687703223999</v>
      </c>
      <c r="H9" s="105">
        <f>'Projection (After Recapture)'!$U$6</f>
        <v>0.13579358533148972</v>
      </c>
    </row>
    <row r="10" spans="1:9" x14ac:dyDescent="0.25">
      <c r="B10" s="57" t="s">
        <v>14</v>
      </c>
      <c r="C10" s="105">
        <f>G10-G$9</f>
        <v>-4.7426065435225151E-3</v>
      </c>
      <c r="D10" s="105">
        <f>H10-H$9</f>
        <v>-3.0799549942605309E-2</v>
      </c>
      <c r="G10" s="105">
        <v>0.11336427048871747</v>
      </c>
      <c r="H10" s="105">
        <v>0.10499403538888441</v>
      </c>
      <c r="I10" s="71" t="s">
        <v>80</v>
      </c>
    </row>
    <row r="11" spans="1:9" x14ac:dyDescent="0.25">
      <c r="B11" s="57" t="s">
        <v>13</v>
      </c>
      <c r="C11" s="105">
        <f>G11-G$9</f>
        <v>-2.1743706797093809E-3</v>
      </c>
      <c r="D11" s="105">
        <f>H11-H$9</f>
        <v>-1.4456669385793347E-2</v>
      </c>
      <c r="G11" s="105">
        <v>0.11593250635253061</v>
      </c>
      <c r="H11" s="105">
        <v>0.12133691594569637</v>
      </c>
      <c r="I11" s="7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 Information</vt:lpstr>
      <vt:lpstr>Projection (Before Recapture)</vt:lpstr>
      <vt:lpstr>Projection (After Recapture)</vt:lpstr>
      <vt:lpstr>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LAWRENCE</dc:creator>
  <cp:lastModifiedBy>William Zheng</cp:lastModifiedBy>
  <cp:lastPrinted>2019-02-06T13:21:15Z</cp:lastPrinted>
  <dcterms:created xsi:type="dcterms:W3CDTF">2019-01-01T11:22:09Z</dcterms:created>
  <dcterms:modified xsi:type="dcterms:W3CDTF">2019-06-17T21:42:16Z</dcterms:modified>
</cp:coreProperties>
</file>