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/>
  <workbookPr defaultThemeVersion="124226"/>
  <mc:AlternateContent xmlns:mc="http://schemas.openxmlformats.org/markup-compatibility/2006">
    <mc:Choice Requires="x15">
      <x15ac:absPath xmlns:x15ac="http://schemas.microsoft.com/office/spreadsheetml/2010/11/ac" url="N:\EDUCATION\2018\Part III\Semester 1\Exams\Exam Questions and Solutions\C2A\FINAL\Marking Guide\"/>
    </mc:Choice>
  </mc:AlternateContent>
  <xr:revisionPtr revIDLastSave="0" documentId="13_ncr:8001_{30CBD2C9-3E8B-4EF9-A1D0-E9891127F2D5}" xr6:coauthVersionLast="34" xr6:coauthVersionMax="34" xr10:uidLastSave="{00000000-0000-0000-0000-000000000000}"/>
  <bookViews>
    <workbookView xWindow="0" yWindow="30" windowWidth="22980" windowHeight="11205" activeTab="3" xr2:uid="{00000000-000D-0000-FFFF-FFFF00000000}"/>
  </bookViews>
  <sheets>
    <sheet name="Notes" sheetId="5" r:id="rId1"/>
    <sheet name="Death Only" sheetId="1" r:id="rId2"/>
    <sheet name="Death with Rider" sheetId="2" r:id="rId3"/>
    <sheet name="TPD" sheetId="3" r:id="rId4"/>
    <sheet name="Trauma" sheetId="6" r:id="rId5"/>
    <sheet name="Q1a" sheetId="7" r:id="rId6"/>
    <sheet name="Input" sheetId="8" r:id="rId7"/>
    <sheet name="Q1b" sheetId="9" r:id="rId8"/>
  </sheets>
  <definedNames>
    <definedName name="Lapse_Y1">Input!$B$21</definedName>
    <definedName name="Lapse_Y2">Input!$B$22</definedName>
    <definedName name="Lapse_Y3">Input!$B$23</definedName>
    <definedName name="Lapse_Y4">Input!$B$24</definedName>
    <definedName name="Lapse_Y5">Input!$B$25</definedName>
    <definedName name="Morb_Y1">Input!$C$15</definedName>
    <definedName name="Morb_Y2">Input!$C$16</definedName>
    <definedName name="Morb_Y3">Input!$C$17</definedName>
    <definedName name="Mort_Y1">Input!$B$15</definedName>
    <definedName name="Mort_Y2">Input!$B$16</definedName>
    <definedName name="Mort_Y3">Input!$B$17</definedName>
    <definedName name="_xlnm.Print_Area" localSheetId="3">TPD!$A$1:$H$110</definedName>
    <definedName name="RFR">Input!$B$27</definedName>
    <definedName name="SI_Death">Input!$B$11</definedName>
    <definedName name="SI_TPD">Input!$C$11</definedName>
    <definedName name="Start_Age">Input!$B$5</definedName>
  </definedNames>
  <calcPr calcId="179017"/>
</workbook>
</file>

<file path=xl/calcChain.xml><?xml version="1.0" encoding="utf-8"?>
<calcChain xmlns="http://schemas.openxmlformats.org/spreadsheetml/2006/main">
  <c r="X8" i="9" l="1"/>
  <c r="S8" i="9"/>
  <c r="M10" i="9"/>
  <c r="M11" i="9" s="1"/>
  <c r="M12" i="9" s="1"/>
  <c r="M13" i="9" s="1"/>
  <c r="M14" i="9" s="1"/>
  <c r="M15" i="9" s="1"/>
  <c r="M16" i="9" s="1"/>
  <c r="M17" i="9" s="1"/>
  <c r="M18" i="9" s="1"/>
  <c r="M19" i="9" s="1"/>
  <c r="M20" i="9" s="1"/>
  <c r="M21" i="9" s="1"/>
  <c r="M22" i="9" s="1"/>
  <c r="M23" i="9" s="1"/>
  <c r="M24" i="9" s="1"/>
  <c r="M25" i="9" s="1"/>
  <c r="M26" i="9" s="1"/>
  <c r="M27" i="9" s="1"/>
  <c r="M9" i="9"/>
  <c r="M8" i="9"/>
  <c r="I10" i="9"/>
  <c r="I11" i="9" s="1"/>
  <c r="I12" i="9" s="1"/>
  <c r="I13" i="9"/>
  <c r="I14" i="9" s="1"/>
  <c r="I15" i="9" s="1"/>
  <c r="I16" i="9" s="1"/>
  <c r="I17" i="9" s="1"/>
  <c r="I18" i="9" s="1"/>
  <c r="I19" i="9" s="1"/>
  <c r="I20" i="9" s="1"/>
  <c r="I21" i="9" s="1"/>
  <c r="I22" i="9" s="1"/>
  <c r="I23" i="9" s="1"/>
  <c r="I24" i="9" s="1"/>
  <c r="I25" i="9" s="1"/>
  <c r="I26" i="9" s="1"/>
  <c r="I27" i="9" s="1"/>
  <c r="I9" i="9"/>
  <c r="I8" i="9"/>
  <c r="E9" i="9"/>
  <c r="E10" i="9"/>
  <c r="E11" i="9" s="1"/>
  <c r="E12" i="9" s="1"/>
  <c r="E13" i="9" s="1"/>
  <c r="E14" i="9" s="1"/>
  <c r="E15" i="9" s="1"/>
  <c r="E16" i="9" s="1"/>
  <c r="E17" i="9" s="1"/>
  <c r="E18" i="9" s="1"/>
  <c r="E19" i="9" s="1"/>
  <c r="E20" i="9" s="1"/>
  <c r="E21" i="9" s="1"/>
  <c r="E22" i="9" s="1"/>
  <c r="E23" i="9" s="1"/>
  <c r="E24" i="9" s="1"/>
  <c r="E25" i="9" s="1"/>
  <c r="E26" i="9" s="1"/>
  <c r="E27" i="9" s="1"/>
  <c r="E8" i="9"/>
  <c r="A9" i="9"/>
  <c r="AA9" i="9" s="1"/>
  <c r="AA8" i="9"/>
  <c r="B8" i="9"/>
  <c r="B9" i="9" s="1"/>
  <c r="AB9" i="9" s="1"/>
  <c r="A10" i="9"/>
  <c r="AA10" i="9" s="1"/>
  <c r="A11" i="9"/>
  <c r="AA11" i="9" s="1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2" i="7"/>
  <c r="D8" i="9" l="1"/>
  <c r="F8" i="9" s="1"/>
  <c r="Q8" i="9" s="1"/>
  <c r="L8" i="9"/>
  <c r="N8" i="9" s="1"/>
  <c r="W8" i="9" s="1"/>
  <c r="Y8" i="9" s="1"/>
  <c r="L9" i="9"/>
  <c r="N9" i="9" s="1"/>
  <c r="H8" i="9"/>
  <c r="J8" i="9" s="1"/>
  <c r="R8" i="9" s="1"/>
  <c r="H9" i="9"/>
  <c r="J9" i="9" s="1"/>
  <c r="B10" i="9"/>
  <c r="D9" i="9"/>
  <c r="F9" i="9" s="1"/>
  <c r="A12" i="9"/>
  <c r="L10" i="9"/>
  <c r="N10" i="9" s="1"/>
  <c r="AB10" i="9"/>
  <c r="H10" i="9"/>
  <c r="J10" i="9" s="1"/>
  <c r="AB8" i="9"/>
  <c r="B11" i="9" l="1"/>
  <c r="D10" i="9"/>
  <c r="F10" i="9" s="1"/>
  <c r="AC8" i="9"/>
  <c r="T8" i="9"/>
  <c r="AA12" i="9"/>
  <c r="A13" i="9"/>
  <c r="V9" i="9"/>
  <c r="L11" i="9" l="1"/>
  <c r="N11" i="9" s="1"/>
  <c r="D11" i="9"/>
  <c r="F11" i="9" s="1"/>
  <c r="AB11" i="9"/>
  <c r="B12" i="9"/>
  <c r="H11" i="9"/>
  <c r="J11" i="9" s="1"/>
  <c r="P9" i="9"/>
  <c r="X9" i="9"/>
  <c r="Y9" i="9" s="1"/>
  <c r="W9" i="9"/>
  <c r="AA13" i="9"/>
  <c r="A14" i="9"/>
  <c r="L12" i="9" l="1"/>
  <c r="N12" i="9" s="1"/>
  <c r="D12" i="9"/>
  <c r="F12" i="9" s="1"/>
  <c r="B13" i="9"/>
  <c r="H12" i="9"/>
  <c r="J12" i="9" s="1"/>
  <c r="AB12" i="9"/>
  <c r="V10" i="9"/>
  <c r="AA14" i="9"/>
  <c r="A15" i="9"/>
  <c r="S9" i="9"/>
  <c r="Q9" i="9"/>
  <c r="AC9" i="9" s="1"/>
  <c r="R9" i="9"/>
  <c r="D13" i="9" l="1"/>
  <c r="F13" i="9" s="1"/>
  <c r="AB13" i="9"/>
  <c r="H13" i="9"/>
  <c r="J13" i="9" s="1"/>
  <c r="B14" i="9"/>
  <c r="L13" i="9"/>
  <c r="N13" i="9" s="1"/>
  <c r="T9" i="9"/>
  <c r="A16" i="9"/>
  <c r="AA15" i="9"/>
  <c r="X10" i="9"/>
  <c r="Y10" i="9" s="1"/>
  <c r="W10" i="9"/>
  <c r="AB14" i="9" l="1"/>
  <c r="L14" i="9"/>
  <c r="N14" i="9" s="1"/>
  <c r="H14" i="9"/>
  <c r="J14" i="9" s="1"/>
  <c r="D14" i="9"/>
  <c r="F14" i="9" s="1"/>
  <c r="B15" i="9"/>
  <c r="P10" i="9"/>
  <c r="A17" i="9"/>
  <c r="AA16" i="9"/>
  <c r="V11" i="9"/>
  <c r="B16" i="9" l="1"/>
  <c r="H15" i="9"/>
  <c r="J15" i="9" s="1"/>
  <c r="L15" i="9"/>
  <c r="N15" i="9" s="1"/>
  <c r="AB15" i="9"/>
  <c r="D15" i="9"/>
  <c r="F15" i="9" s="1"/>
  <c r="S10" i="9"/>
  <c r="Q10" i="9"/>
  <c r="T10" i="9"/>
  <c r="R10" i="9"/>
  <c r="X11" i="9"/>
  <c r="Y11" i="9" s="1"/>
  <c r="W11" i="9"/>
  <c r="AA17" i="9"/>
  <c r="A18" i="9"/>
  <c r="AC10" i="9" l="1"/>
  <c r="L16" i="9"/>
  <c r="N16" i="9" s="1"/>
  <c r="AB16" i="9"/>
  <c r="D16" i="9"/>
  <c r="F16" i="9" s="1"/>
  <c r="B17" i="9"/>
  <c r="H16" i="9"/>
  <c r="J16" i="9" s="1"/>
  <c r="V12" i="9"/>
  <c r="P11" i="9"/>
  <c r="AA18" i="9"/>
  <c r="A19" i="9"/>
  <c r="AB17" i="9" l="1"/>
  <c r="L17" i="9"/>
  <c r="N17" i="9" s="1"/>
  <c r="H17" i="9"/>
  <c r="J17" i="9" s="1"/>
  <c r="B18" i="9"/>
  <c r="D17" i="9"/>
  <c r="F17" i="9" s="1"/>
  <c r="S11" i="9"/>
  <c r="Q11" i="9"/>
  <c r="R11" i="9"/>
  <c r="AA19" i="9"/>
  <c r="A20" i="9"/>
  <c r="X12" i="9"/>
  <c r="Y12" i="9" s="1"/>
  <c r="W12" i="9"/>
  <c r="AB18" i="9" l="1"/>
  <c r="L18" i="9"/>
  <c r="N18" i="9" s="1"/>
  <c r="D18" i="9"/>
  <c r="F18" i="9" s="1"/>
  <c r="H18" i="9"/>
  <c r="J18" i="9" s="1"/>
  <c r="B19" i="9"/>
  <c r="AC11" i="9"/>
  <c r="A21" i="9"/>
  <c r="AA20" i="9"/>
  <c r="T11" i="9"/>
  <c r="V13" i="9"/>
  <c r="AB19" i="9" l="1"/>
  <c r="L19" i="9"/>
  <c r="N19" i="9" s="1"/>
  <c r="H19" i="9"/>
  <c r="J19" i="9" s="1"/>
  <c r="D19" i="9"/>
  <c r="F19" i="9" s="1"/>
  <c r="B20" i="9"/>
  <c r="P12" i="9"/>
  <c r="AA21" i="9"/>
  <c r="A22" i="9"/>
  <c r="X13" i="9"/>
  <c r="W13" i="9"/>
  <c r="H20" i="9" l="1"/>
  <c r="J20" i="9" s="1"/>
  <c r="D20" i="9"/>
  <c r="F20" i="9" s="1"/>
  <c r="AB20" i="9"/>
  <c r="L20" i="9"/>
  <c r="N20" i="9" s="1"/>
  <c r="B21" i="9"/>
  <c r="Y13" i="9"/>
  <c r="V14" i="9" s="1"/>
  <c r="X14" i="9"/>
  <c r="Y14" i="9" s="1"/>
  <c r="V15" i="9" s="1"/>
  <c r="W14" i="9"/>
  <c r="S12" i="9"/>
  <c r="Q12" i="9"/>
  <c r="AC12" i="9" s="1"/>
  <c r="R12" i="9"/>
  <c r="AA22" i="9"/>
  <c r="A23" i="9"/>
  <c r="T12" i="9" l="1"/>
  <c r="B22" i="9"/>
  <c r="L21" i="9"/>
  <c r="N21" i="9" s="1"/>
  <c r="H21" i="9"/>
  <c r="J21" i="9" s="1"/>
  <c r="D21" i="9"/>
  <c r="F21" i="9" s="1"/>
  <c r="AB21" i="9"/>
  <c r="X15" i="9"/>
  <c r="Y15" i="9" s="1"/>
  <c r="V16" i="9" s="1"/>
  <c r="W15" i="9"/>
  <c r="A24" i="9"/>
  <c r="AA23" i="9"/>
  <c r="P13" i="9"/>
  <c r="AB22" i="9" l="1"/>
  <c r="D22" i="9"/>
  <c r="F22" i="9" s="1"/>
  <c r="B23" i="9"/>
  <c r="H22" i="9"/>
  <c r="J22" i="9" s="1"/>
  <c r="L22" i="9"/>
  <c r="N22" i="9" s="1"/>
  <c r="X16" i="9"/>
  <c r="W16" i="9"/>
  <c r="Y16" i="9" s="1"/>
  <c r="V17" i="9" s="1"/>
  <c r="A25" i="9"/>
  <c r="AA24" i="9"/>
  <c r="S13" i="9"/>
  <c r="T13" i="9"/>
  <c r="P14" i="9" s="1"/>
  <c r="R13" i="9"/>
  <c r="Q13" i="9"/>
  <c r="D23" i="9" l="1"/>
  <c r="F23" i="9" s="1"/>
  <c r="AB23" i="9"/>
  <c r="L23" i="9"/>
  <c r="N23" i="9" s="1"/>
  <c r="B24" i="9"/>
  <c r="H23" i="9"/>
  <c r="J23" i="9" s="1"/>
  <c r="X17" i="9"/>
  <c r="W17" i="9"/>
  <c r="S14" i="9"/>
  <c r="R14" i="9"/>
  <c r="Q14" i="9"/>
  <c r="AA25" i="9"/>
  <c r="A26" i="9"/>
  <c r="AC13" i="9"/>
  <c r="Y17" i="9" l="1"/>
  <c r="V18" i="9" s="1"/>
  <c r="B25" i="9"/>
  <c r="H24" i="9"/>
  <c r="J24" i="9" s="1"/>
  <c r="AB24" i="9"/>
  <c r="L24" i="9"/>
  <c r="N24" i="9" s="1"/>
  <c r="D24" i="9"/>
  <c r="F24" i="9" s="1"/>
  <c r="AC14" i="9"/>
  <c r="X18" i="9"/>
  <c r="Y18" i="9" s="1"/>
  <c r="V19" i="9" s="1"/>
  <c r="W18" i="9"/>
  <c r="A27" i="9"/>
  <c r="AA27" i="9" s="1"/>
  <c r="AA26" i="9"/>
  <c r="T14" i="9"/>
  <c r="P15" i="9" s="1"/>
  <c r="B26" i="9" l="1"/>
  <c r="L25" i="9"/>
  <c r="N25" i="9" s="1"/>
  <c r="H25" i="9"/>
  <c r="J25" i="9" s="1"/>
  <c r="AB25" i="9"/>
  <c r="D25" i="9"/>
  <c r="F25" i="9" s="1"/>
  <c r="X19" i="9"/>
  <c r="W19" i="9"/>
  <c r="Y19" i="9" s="1"/>
  <c r="V20" i="9" s="1"/>
  <c r="S15" i="9"/>
  <c r="R15" i="9"/>
  <c r="Q15" i="9"/>
  <c r="AC15" i="9" s="1"/>
  <c r="D26" i="9" l="1"/>
  <c r="F26" i="9" s="1"/>
  <c r="B27" i="9"/>
  <c r="H26" i="9"/>
  <c r="J26" i="9" s="1"/>
  <c r="AB26" i="9"/>
  <c r="L26" i="9"/>
  <c r="N26" i="9" s="1"/>
  <c r="X20" i="9"/>
  <c r="Y20" i="9" s="1"/>
  <c r="V21" i="9" s="1"/>
  <c r="W20" i="9"/>
  <c r="T15" i="9"/>
  <c r="P16" i="9" s="1"/>
  <c r="H27" i="9" l="1"/>
  <c r="J27" i="9" s="1"/>
  <c r="J29" i="9" s="1"/>
  <c r="L27" i="9"/>
  <c r="N27" i="9" s="1"/>
  <c r="N29" i="9" s="1"/>
  <c r="D27" i="9"/>
  <c r="F27" i="9" s="1"/>
  <c r="F29" i="9" s="1"/>
  <c r="AB27" i="9"/>
  <c r="T27" i="9"/>
  <c r="X21" i="9"/>
  <c r="W21" i="9"/>
  <c r="S16" i="9"/>
  <c r="Q16" i="9"/>
  <c r="R16" i="9"/>
  <c r="Y21" i="9" l="1"/>
  <c r="V22" i="9" s="1"/>
  <c r="X22" i="9"/>
  <c r="Y22" i="9" s="1"/>
  <c r="V23" i="9" s="1"/>
  <c r="W22" i="9"/>
  <c r="AC16" i="9"/>
  <c r="T16" i="9"/>
  <c r="X23" i="9" l="1"/>
  <c r="Y23" i="9"/>
  <c r="V24" i="9" s="1"/>
  <c r="W23" i="9"/>
  <c r="P17" i="9"/>
  <c r="S17" i="9" l="1"/>
  <c r="Q17" i="9"/>
  <c r="R17" i="9"/>
  <c r="X24" i="9"/>
  <c r="W24" i="9"/>
  <c r="Y24" i="9" s="1"/>
  <c r="V25" i="9" s="1"/>
  <c r="X25" i="9" l="1"/>
  <c r="W25" i="9"/>
  <c r="Y25" i="9" s="1"/>
  <c r="V26" i="9" s="1"/>
  <c r="AC17" i="9"/>
  <c r="T17" i="9"/>
  <c r="X26" i="9" l="1"/>
  <c r="Y26" i="9" s="1"/>
  <c r="V27" i="9" s="1"/>
  <c r="W26" i="9"/>
  <c r="P18" i="9"/>
  <c r="X27" i="9" l="1"/>
  <c r="W27" i="9"/>
  <c r="S18" i="9"/>
  <c r="R18" i="9"/>
  <c r="Q18" i="9"/>
  <c r="AC18" i="9" s="1"/>
  <c r="T18" i="9" l="1"/>
  <c r="P19" i="9" s="1"/>
  <c r="Y27" i="9"/>
  <c r="Y29" i="9" s="1"/>
  <c r="S19" i="9"/>
  <c r="Q19" i="9"/>
  <c r="AC19" i="9" s="1"/>
  <c r="R19" i="9"/>
  <c r="T19" i="9" l="1"/>
  <c r="P20" i="9" s="1"/>
  <c r="S20" i="9" l="1"/>
  <c r="Q20" i="9"/>
  <c r="R20" i="9"/>
  <c r="AC20" i="9" l="1"/>
  <c r="T20" i="9"/>
  <c r="P21" i="9" s="1"/>
  <c r="S21" i="9" l="1"/>
  <c r="R21" i="9"/>
  <c r="Q21" i="9"/>
  <c r="AC21" i="9" s="1"/>
  <c r="T21" i="9" l="1"/>
  <c r="P22" i="9" s="1"/>
  <c r="S22" i="9" l="1"/>
  <c r="R22" i="9"/>
  <c r="Q22" i="9"/>
  <c r="AC22" i="9" s="1"/>
  <c r="T22" i="9" l="1"/>
  <c r="P23" i="9" s="1"/>
  <c r="S23" i="9" l="1"/>
  <c r="Q23" i="9"/>
  <c r="R23" i="9"/>
  <c r="AC23" i="9" l="1"/>
  <c r="T23" i="9"/>
  <c r="P24" i="9" s="1"/>
  <c r="S24" i="9" l="1"/>
  <c r="Q24" i="9"/>
  <c r="R24" i="9"/>
  <c r="AC24" i="9" l="1"/>
  <c r="T24" i="9"/>
  <c r="P25" i="9" s="1"/>
  <c r="S25" i="9" l="1"/>
  <c r="Q25" i="9"/>
  <c r="R25" i="9"/>
  <c r="AC25" i="9" l="1"/>
  <c r="T25" i="9"/>
  <c r="P26" i="9" s="1"/>
  <c r="S26" i="9" l="1"/>
  <c r="Q26" i="9"/>
  <c r="R26" i="9"/>
  <c r="AC26" i="9" l="1"/>
  <c r="T26" i="9"/>
  <c r="P27" i="9" l="1"/>
  <c r="T29" i="9"/>
  <c r="S27" i="9" l="1"/>
  <c r="P29" i="9"/>
  <c r="R27" i="9"/>
  <c r="Q27" i="9"/>
  <c r="AC27" i="9" s="1"/>
  <c r="AC29" i="9" l="1"/>
  <c r="AC4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Hemmings, Georgina</author>
  </authors>
  <commentList>
    <comment ref="S7" authorId="0" shapeId="0" xr:uid="{00000000-0006-0000-0700-000001000000}">
      <text>
        <r>
          <rPr>
            <b/>
            <sz val="9"/>
            <color indexed="81"/>
            <rFont val="Tahoma"/>
            <charset val="1"/>
          </rPr>
          <t>Hemmings, Georgina:</t>
        </r>
        <r>
          <rPr>
            <sz val="9"/>
            <color indexed="81"/>
            <rFont val="Tahoma"/>
            <charset val="1"/>
          </rPr>
          <t xml:space="preserve">
See Example 4, Ch18</t>
        </r>
      </text>
    </comment>
    <comment ref="F29" authorId="0" shapeId="0" xr:uid="{00000000-0006-0000-0700-000002000000}">
      <text>
        <r>
          <rPr>
            <sz val="9"/>
            <color indexed="81"/>
            <rFont val="Tahoma"/>
            <charset val="1"/>
          </rPr>
          <t>Summing the data columns can be a convenient / quick way to check the table of calculations as it can quickly show where discrepancies arise</t>
        </r>
      </text>
    </comment>
  </commentList>
</comments>
</file>

<file path=xl/sharedStrings.xml><?xml version="1.0" encoding="utf-8"?>
<sst xmlns="http://schemas.openxmlformats.org/spreadsheetml/2006/main" count="124" uniqueCount="66">
  <si>
    <t>Nonsmoker</t>
  </si>
  <si>
    <t>Smoker</t>
  </si>
  <si>
    <t>Aggregate</t>
  </si>
  <si>
    <t>Males</t>
  </si>
  <si>
    <t>Females</t>
  </si>
  <si>
    <t>Graduated Rates 2004-2008</t>
  </si>
  <si>
    <t>Death Only</t>
  </si>
  <si>
    <t>last pol anniversary</t>
  </si>
  <si>
    <t>Age last at</t>
  </si>
  <si>
    <t>Death With Rider</t>
  </si>
  <si>
    <t>Selection Effect</t>
  </si>
  <si>
    <t>Year 0</t>
  </si>
  <si>
    <t>Year 1</t>
  </si>
  <si>
    <t>Year 2+</t>
  </si>
  <si>
    <t>Trauma</t>
  </si>
  <si>
    <t>TPD</t>
  </si>
  <si>
    <t>Age Definition</t>
  </si>
  <si>
    <t>Age is defined at age last at previous policy anniversary</t>
  </si>
  <si>
    <t>This follows same structure as used by companies in premium rating</t>
  </si>
  <si>
    <t>Caution</t>
  </si>
  <si>
    <t>The graduation of the experience results in the Death with Rider rate + TPD rate being lower than the Death Only Rate</t>
  </si>
  <si>
    <t>Users of the tables are advised to use their own professional judgement when adapting the standard tables for pricing or reserving</t>
  </si>
  <si>
    <t>Note</t>
  </si>
  <si>
    <t>Graduated tables are not "best estimates" for either pricing or reserving</t>
  </si>
  <si>
    <t>Users of the tables should undertake their own analysis with respect to making appropriate adjustments</t>
  </si>
  <si>
    <t>Older / Younger Ages</t>
  </si>
  <si>
    <t>Rates at the younger and older ages are not based on statistically significant data.</t>
  </si>
  <si>
    <t>Model point</t>
  </si>
  <si>
    <t>Death with Rider</t>
  </si>
  <si>
    <t xml:space="preserve">  Age</t>
  </si>
  <si>
    <t xml:space="preserve">  Sex</t>
  </si>
  <si>
    <t>M</t>
  </si>
  <si>
    <t xml:space="preserve">  Smoker</t>
  </si>
  <si>
    <t>NS</t>
  </si>
  <si>
    <t>Maxium Age</t>
  </si>
  <si>
    <t>Sum Insured</t>
  </si>
  <si>
    <t>Selection</t>
  </si>
  <si>
    <t>Mortality</t>
  </si>
  <si>
    <t>Morbidty</t>
  </si>
  <si>
    <t xml:space="preserve">      Year 1</t>
  </si>
  <si>
    <t xml:space="preserve">      Year 2</t>
  </si>
  <si>
    <t xml:space="preserve">      Year 3+</t>
  </si>
  <si>
    <t>Lapses</t>
  </si>
  <si>
    <t>Year</t>
  </si>
  <si>
    <t>PV</t>
  </si>
  <si>
    <t>Age</t>
  </si>
  <si>
    <t>base ix</t>
  </si>
  <si>
    <t>Mult</t>
  </si>
  <si>
    <t>Eff ix</t>
  </si>
  <si>
    <t>base qx</t>
  </si>
  <si>
    <t>Eff qx</t>
  </si>
  <si>
    <t>lx</t>
  </si>
  <si>
    <t>ix</t>
  </si>
  <si>
    <t>qx</t>
  </si>
  <si>
    <t>wx</t>
  </si>
  <si>
    <t>lx+1</t>
  </si>
  <si>
    <t>Morbidity (TPD)</t>
  </si>
  <si>
    <t>Mortality (Dealth with rider)</t>
  </si>
  <si>
    <t>Mortality (Death only)</t>
  </si>
  <si>
    <t>Decrement table (Death with Rider)</t>
  </si>
  <si>
    <t>Decrement table (Death Only)</t>
  </si>
  <si>
    <t>Claims
eoy</t>
  </si>
  <si>
    <t>kx</t>
  </si>
  <si>
    <t>base kx</t>
  </si>
  <si>
    <t>Eff kx</t>
  </si>
  <si>
    <t>Risk free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</si>
</sst>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2" x14ac:knownFonts="1">
    <font>
      <sz val="11"/>
      <color theme="1"/>
      <name val="Arial"/>
      <family val="2"/>
    </font>
    <font>
      <sz val="10"/>
      <color theme="1"/>
      <name val="Century Gothic"/>
      <family val="2"/>
    </font>
    <font>
      <sz val="20"/>
      <color rgb="FF0079A7"/>
      <name val="Century Gothic"/>
      <family val="2"/>
    </font>
    <font>
      <b/>
      <sz val="10"/>
      <color rgb="FF5F5F5F"/>
      <name val="Century Gothic"/>
      <family val="2"/>
    </font>
    <font>
      <sz val="10"/>
      <color rgb="FF5F5F5F"/>
      <name val="Century Gothic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5F5F5F"/>
      </left>
      <right/>
      <top style="thin">
        <color rgb="FF5F5F5F"/>
      </top>
      <bottom/>
      <diagonal/>
    </border>
    <border>
      <left/>
      <right/>
      <top style="thin">
        <color rgb="FF5F5F5F"/>
      </top>
      <bottom/>
      <diagonal/>
    </border>
    <border>
      <left/>
      <right style="thin">
        <color rgb="FF5F5F5F"/>
      </right>
      <top style="thin">
        <color rgb="FF5F5F5F"/>
      </top>
      <bottom/>
      <diagonal/>
    </border>
    <border>
      <left style="thin">
        <color rgb="FF5F5F5F"/>
      </left>
      <right/>
      <top/>
      <bottom/>
      <diagonal/>
    </border>
    <border>
      <left/>
      <right style="thin">
        <color rgb="FF5F5F5F"/>
      </right>
      <top/>
      <bottom/>
      <diagonal/>
    </border>
    <border>
      <left style="thin">
        <color rgb="FF5F5F5F"/>
      </left>
      <right/>
      <top/>
      <bottom style="thin">
        <color auto="1"/>
      </bottom>
      <diagonal/>
    </border>
    <border>
      <left style="thin">
        <color auto="1"/>
      </left>
      <right style="thin">
        <color rgb="FF5F5F5F"/>
      </right>
      <top style="thin">
        <color auto="1"/>
      </top>
      <bottom/>
      <diagonal/>
    </border>
    <border>
      <left style="thin">
        <color auto="1"/>
      </left>
      <right style="thin">
        <color rgb="FF5F5F5F"/>
      </right>
      <top/>
      <bottom/>
      <diagonal/>
    </border>
    <border>
      <left style="thin">
        <color auto="1"/>
      </left>
      <right style="thin">
        <color rgb="FF5F5F5F"/>
      </right>
      <top style="thin">
        <color auto="1"/>
      </top>
      <bottom style="thin">
        <color auto="1"/>
      </bottom>
      <diagonal/>
    </border>
    <border>
      <left style="thin">
        <color rgb="FF5F5F5F"/>
      </left>
      <right style="thin">
        <color rgb="FF5F5F5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5F5F5F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8" fillId="0" borderId="0"/>
  </cellStyleXfs>
  <cellXfs count="8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2" xfId="0" applyFont="1" applyBorder="1"/>
    <xf numFmtId="0" fontId="3" fillId="0" borderId="13" xfId="0" applyFont="1" applyBorder="1"/>
    <xf numFmtId="9" fontId="3" fillId="0" borderId="14" xfId="0" applyNumberFormat="1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15" xfId="0" applyFont="1" applyBorder="1"/>
    <xf numFmtId="0" fontId="3" fillId="0" borderId="0" xfId="0" applyFont="1" applyBorder="1"/>
    <xf numFmtId="9" fontId="3" fillId="0" borderId="16" xfId="0" applyNumberFormat="1" applyFont="1" applyBorder="1"/>
    <xf numFmtId="0" fontId="3" fillId="0" borderId="8" xfId="0" applyFont="1" applyBorder="1"/>
    <xf numFmtId="0" fontId="3" fillId="0" borderId="17" xfId="0" applyFont="1" applyBorder="1"/>
    <xf numFmtId="0" fontId="3" fillId="0" borderId="4" xfId="0" applyFont="1" applyBorder="1"/>
    <xf numFmtId="0" fontId="3" fillId="0" borderId="18" xfId="0" applyFont="1" applyBorder="1"/>
    <xf numFmtId="0" fontId="3" fillId="0" borderId="7" xfId="0" applyFont="1" applyBorder="1"/>
    <xf numFmtId="0" fontId="3" fillId="0" borderId="19" xfId="0" applyFont="1" applyBorder="1"/>
    <xf numFmtId="0" fontId="3" fillId="0" borderId="10" xfId="0" applyFont="1" applyBorder="1"/>
    <xf numFmtId="0" fontId="3" fillId="0" borderId="1" xfId="0" applyFont="1" applyBorder="1"/>
    <xf numFmtId="0" fontId="3" fillId="0" borderId="20" xfId="0" applyFont="1" applyBorder="1"/>
    <xf numFmtId="0" fontId="3" fillId="0" borderId="11" xfId="0" applyFont="1" applyBorder="1"/>
    <xf numFmtId="0" fontId="4" fillId="0" borderId="8" xfId="0" applyFont="1" applyBorder="1"/>
    <xf numFmtId="0" fontId="4" fillId="0" borderId="2" xfId="0" applyFont="1" applyBorder="1"/>
    <xf numFmtId="0" fontId="4" fillId="0" borderId="7" xfId="0" applyFont="1" applyBorder="1"/>
    <xf numFmtId="164" fontId="4" fillId="0" borderId="2" xfId="0" applyNumberFormat="1" applyFont="1" applyBorder="1"/>
    <xf numFmtId="0" fontId="4" fillId="0" borderId="9" xfId="0" applyFont="1" applyBorder="1"/>
    <xf numFmtId="0" fontId="3" fillId="0" borderId="9" xfId="0" applyFont="1" applyBorder="1"/>
    <xf numFmtId="9" fontId="3" fillId="0" borderId="5" xfId="0" applyNumberFormat="1" applyFont="1" applyBorder="1"/>
    <xf numFmtId="9" fontId="3" fillId="0" borderId="0" xfId="0" applyNumberFormat="1" applyFont="1" applyBorder="1"/>
    <xf numFmtId="0" fontId="4" fillId="0" borderId="0" xfId="0" applyFont="1" applyBorder="1"/>
    <xf numFmtId="164" fontId="4" fillId="0" borderId="15" xfId="0" applyNumberFormat="1" applyFont="1" applyBorder="1"/>
    <xf numFmtId="164" fontId="4" fillId="0" borderId="16" xfId="0" applyNumberFormat="1" applyFont="1" applyBorder="1"/>
    <xf numFmtId="164" fontId="4" fillId="0" borderId="21" xfId="0" applyNumberFormat="1" applyFont="1" applyBorder="1"/>
    <xf numFmtId="0" fontId="4" fillId="0" borderId="10" xfId="0" applyFont="1" applyBorder="1"/>
    <xf numFmtId="164" fontId="4" fillId="0" borderId="3" xfId="0" applyNumberFormat="1" applyFont="1" applyBorder="1"/>
    <xf numFmtId="164" fontId="4" fillId="0" borderId="0" xfId="0" applyNumberFormat="1" applyFont="1" applyBorder="1"/>
    <xf numFmtId="164" fontId="4" fillId="0" borderId="8" xfId="0" applyNumberFormat="1" applyFont="1" applyBorder="1"/>
    <xf numFmtId="0" fontId="4" fillId="0" borderId="16" xfId="0" applyFont="1" applyBorder="1"/>
    <xf numFmtId="0" fontId="4" fillId="0" borderId="0" xfId="0" applyFont="1"/>
    <xf numFmtId="0" fontId="4" fillId="0" borderId="15" xfId="0" applyFont="1" applyBorder="1"/>
    <xf numFmtId="0" fontId="4" fillId="0" borderId="4" xfId="0" applyFont="1" applyBorder="1"/>
    <xf numFmtId="0" fontId="4" fillId="0" borderId="6" xfId="0" applyFont="1" applyBorder="1"/>
    <xf numFmtId="0" fontId="4" fillId="0" borderId="22" xfId="0" applyFont="1" applyBorder="1"/>
    <xf numFmtId="164" fontId="4" fillId="0" borderId="23" xfId="0" applyNumberFormat="1" applyFont="1" applyBorder="1"/>
    <xf numFmtId="0" fontId="4" fillId="0" borderId="19" xfId="0" applyFont="1" applyBorder="1"/>
    <xf numFmtId="164" fontId="4" fillId="0" borderId="22" xfId="0" applyNumberFormat="1" applyFont="1" applyBorder="1"/>
    <xf numFmtId="9" fontId="0" fillId="0" borderId="0" xfId="1" applyFont="1"/>
    <xf numFmtId="0" fontId="0" fillId="0" borderId="0" xfId="0" applyFont="1"/>
    <xf numFmtId="0" fontId="6" fillId="0" borderId="0" xfId="0" applyFont="1" applyFill="1" applyAlignment="1">
      <alignment horizontal="center" wrapText="1"/>
    </xf>
    <xf numFmtId="0" fontId="6" fillId="0" borderId="0" xfId="0" applyFont="1"/>
    <xf numFmtId="0" fontId="0" fillId="0" borderId="0" xfId="0" applyAlignment="1">
      <alignment wrapText="1"/>
    </xf>
    <xf numFmtId="0" fontId="6" fillId="0" borderId="0" xfId="0" applyFont="1" applyAlignment="1">
      <alignment wrapText="1"/>
    </xf>
    <xf numFmtId="0" fontId="6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0" fontId="7" fillId="0" borderId="0" xfId="0" applyFont="1"/>
    <xf numFmtId="0" fontId="0" fillId="0" borderId="0" xfId="0" applyAlignment="1">
      <alignment horizontal="center" wrapText="1"/>
    </xf>
    <xf numFmtId="0" fontId="6" fillId="0" borderId="0" xfId="0" applyFont="1" applyFill="1" applyBorder="1" applyAlignment="1">
      <alignment horizontal="center"/>
    </xf>
    <xf numFmtId="9" fontId="0" fillId="0" borderId="0" xfId="0" applyNumberFormat="1" applyFill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Alignment="1">
      <alignment horizontal="center"/>
    </xf>
    <xf numFmtId="3" fontId="0" fillId="0" borderId="3" xfId="0" applyNumberForma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3" fontId="6" fillId="0" borderId="1" xfId="0" applyNumberFormat="1" applyFont="1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8" fillId="0" borderId="1" xfId="2" applyBorder="1" applyAlignment="1">
      <alignment horizontal="center"/>
    </xf>
    <xf numFmtId="0" fontId="8" fillId="0" borderId="1" xfId="2" quotePrefix="1" applyBorder="1" applyAlignment="1">
      <alignment horizontal="center"/>
    </xf>
    <xf numFmtId="0" fontId="0" fillId="0" borderId="1" xfId="0" applyFill="1" applyBorder="1" applyAlignment="1">
      <alignment horizontal="center"/>
    </xf>
    <xf numFmtId="3" fontId="0" fillId="0" borderId="1" xfId="0" applyNumberFormat="1" applyFill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0" fontId="0" fillId="0" borderId="0" xfId="0" quotePrefix="1" applyAlignment="1">
      <alignment horizontal="left"/>
    </xf>
    <xf numFmtId="0" fontId="6" fillId="0" borderId="24" xfId="0" applyFont="1" applyFill="1" applyBorder="1" applyAlignment="1">
      <alignment horizontal="center"/>
    </xf>
    <xf numFmtId="2" fontId="6" fillId="0" borderId="25" xfId="0" applyNumberFormat="1" applyFont="1" applyFill="1" applyBorder="1"/>
    <xf numFmtId="0" fontId="9" fillId="0" borderId="26" xfId="0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6" fillId="0" borderId="1" xfId="0" applyFont="1" applyBorder="1" applyAlignment="1">
      <alignment horizontal="center"/>
    </xf>
  </cellXfs>
  <cellStyles count="3">
    <cellStyle name="Normal" xfId="0" builtinId="0"/>
    <cellStyle name="Normal 3" xfId="2" xr:uid="{00000000-0005-0000-0000-000001000000}"/>
    <cellStyle name="Percent" xfId="1" builtinId="5"/>
  </cellStyles>
  <dxfs count="0"/>
  <tableStyles count="0" defaultTableStyle="TableStyleMedium9" defaultPivotStyle="PivotStyleLight16"/>
  <colors>
    <mruColors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Death</a:t>
            </a:r>
            <a:r>
              <a:rPr lang="en-AU" baseline="0"/>
              <a:t> with Rider as ratio of Death Only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Q1a!$B$2:$B$102</c:f>
              <c:numCache>
                <c:formatCode>0%</c:formatCode>
                <c:ptCount val="101"/>
                <c:pt idx="0">
                  <c:v>1</c:v>
                </c:pt>
                <c:pt idx="1">
                  <c:v>0.95035460992907805</c:v>
                </c:pt>
                <c:pt idx="2">
                  <c:v>0.91176470588235292</c:v>
                </c:pt>
                <c:pt idx="3">
                  <c:v>0.86956521739130432</c:v>
                </c:pt>
                <c:pt idx="4">
                  <c:v>0.81249999999999989</c:v>
                </c:pt>
                <c:pt idx="5">
                  <c:v>0.78571428571428581</c:v>
                </c:pt>
                <c:pt idx="6">
                  <c:v>0.6923076923076924</c:v>
                </c:pt>
                <c:pt idx="7">
                  <c:v>0.66666666666666674</c:v>
                </c:pt>
                <c:pt idx="8">
                  <c:v>0.63636363636363624</c:v>
                </c:pt>
                <c:pt idx="9">
                  <c:v>0.7</c:v>
                </c:pt>
                <c:pt idx="10">
                  <c:v>0.7</c:v>
                </c:pt>
                <c:pt idx="11">
                  <c:v>0.63636363636363624</c:v>
                </c:pt>
                <c:pt idx="12">
                  <c:v>0.66666666666666674</c:v>
                </c:pt>
                <c:pt idx="13">
                  <c:v>0.61538461538461553</c:v>
                </c:pt>
                <c:pt idx="14">
                  <c:v>0.60000000000000009</c:v>
                </c:pt>
                <c:pt idx="15">
                  <c:v>0.63157894736842102</c:v>
                </c:pt>
                <c:pt idx="16">
                  <c:v>0.60714285714285721</c:v>
                </c:pt>
                <c:pt idx="17">
                  <c:v>0.51219512195121952</c:v>
                </c:pt>
                <c:pt idx="18">
                  <c:v>0.51111111111111118</c:v>
                </c:pt>
                <c:pt idx="19">
                  <c:v>0.47169811320754718</c:v>
                </c:pt>
                <c:pt idx="20">
                  <c:v>0.41666666666666669</c:v>
                </c:pt>
                <c:pt idx="21">
                  <c:v>0.4098360655737705</c:v>
                </c:pt>
                <c:pt idx="22">
                  <c:v>0.4</c:v>
                </c:pt>
                <c:pt idx="23">
                  <c:v>0.38596491228070179</c:v>
                </c:pt>
                <c:pt idx="24">
                  <c:v>0.38181818181818183</c:v>
                </c:pt>
                <c:pt idx="25">
                  <c:v>0.35849056603773588</c:v>
                </c:pt>
                <c:pt idx="26">
                  <c:v>0.38</c:v>
                </c:pt>
                <c:pt idx="27">
                  <c:v>0.375</c:v>
                </c:pt>
                <c:pt idx="28">
                  <c:v>0.39130434782608697</c:v>
                </c:pt>
                <c:pt idx="29">
                  <c:v>0.42222222222222228</c:v>
                </c:pt>
                <c:pt idx="30">
                  <c:v>0.48837209302325585</c:v>
                </c:pt>
                <c:pt idx="31">
                  <c:v>0.54761904761904756</c:v>
                </c:pt>
                <c:pt idx="32">
                  <c:v>0.58536585365853666</c:v>
                </c:pt>
                <c:pt idx="33">
                  <c:v>0.64999999999999991</c:v>
                </c:pt>
                <c:pt idx="34">
                  <c:v>0.65853658536585369</c:v>
                </c:pt>
                <c:pt idx="35">
                  <c:v>0.66666666666666663</c:v>
                </c:pt>
                <c:pt idx="36">
                  <c:v>0.67441860465116277</c:v>
                </c:pt>
                <c:pt idx="37">
                  <c:v>0.66666666666666663</c:v>
                </c:pt>
                <c:pt idx="38">
                  <c:v>0.63265306122448983</c:v>
                </c:pt>
                <c:pt idx="39">
                  <c:v>0.60377358490566047</c:v>
                </c:pt>
                <c:pt idx="40">
                  <c:v>0.5862068965517242</c:v>
                </c:pt>
                <c:pt idx="41">
                  <c:v>0.5714285714285714</c:v>
                </c:pt>
                <c:pt idx="42">
                  <c:v>0.58823529411764708</c:v>
                </c:pt>
                <c:pt idx="43">
                  <c:v>0.59459459459459463</c:v>
                </c:pt>
                <c:pt idx="44">
                  <c:v>0.620253164556962</c:v>
                </c:pt>
                <c:pt idx="45">
                  <c:v>0.62790697674418605</c:v>
                </c:pt>
                <c:pt idx="46">
                  <c:v>0.63440860215053763</c:v>
                </c:pt>
                <c:pt idx="47">
                  <c:v>0.64077669902912615</c:v>
                </c:pt>
                <c:pt idx="48">
                  <c:v>0.61739130434782608</c:v>
                </c:pt>
                <c:pt idx="49">
                  <c:v>0.6171875</c:v>
                </c:pt>
                <c:pt idx="50">
                  <c:v>0.60563380281690138</c:v>
                </c:pt>
                <c:pt idx="51">
                  <c:v>0.61538461538461542</c:v>
                </c:pt>
                <c:pt idx="52">
                  <c:v>0.61627906976744184</c:v>
                </c:pt>
                <c:pt idx="53">
                  <c:v>0.62433862433862441</c:v>
                </c:pt>
                <c:pt idx="54">
                  <c:v>0.625</c:v>
                </c:pt>
                <c:pt idx="55">
                  <c:v>0.61739130434782608</c:v>
                </c:pt>
                <c:pt idx="56">
                  <c:v>0.59215686274509804</c:v>
                </c:pt>
                <c:pt idx="57">
                  <c:v>0.55944055944055948</c:v>
                </c:pt>
                <c:pt idx="58">
                  <c:v>0.52812499999999996</c:v>
                </c:pt>
                <c:pt idx="59">
                  <c:v>0.4972067039106145</c:v>
                </c:pt>
                <c:pt idx="60">
                  <c:v>0.47103274559193958</c:v>
                </c:pt>
                <c:pt idx="61">
                  <c:v>0.46118721461187212</c:v>
                </c:pt>
                <c:pt idx="62">
                  <c:v>0.46346555323590816</c:v>
                </c:pt>
                <c:pt idx="63">
                  <c:v>0.47238095238095235</c:v>
                </c:pt>
                <c:pt idx="64">
                  <c:v>0.49050086355785838</c:v>
                </c:pt>
                <c:pt idx="65">
                  <c:v>0.50928792569659442</c:v>
                </c:pt>
                <c:pt idx="66">
                  <c:v>0.51775956284153002</c:v>
                </c:pt>
                <c:pt idx="67">
                  <c:v>0.51543942992874103</c:v>
                </c:pt>
                <c:pt idx="68">
                  <c:v>0.51381780962128976</c:v>
                </c:pt>
                <c:pt idx="69">
                  <c:v>0.511443661971831</c:v>
                </c:pt>
                <c:pt idx="70">
                  <c:v>0.51021953065859205</c:v>
                </c:pt>
                <c:pt idx="71">
                  <c:v>0.50879478827361557</c:v>
                </c:pt>
                <c:pt idx="72">
                  <c:v>0.50786516853932584</c:v>
                </c:pt>
                <c:pt idx="73">
                  <c:v>0.50634765625</c:v>
                </c:pt>
                <c:pt idx="74">
                  <c:v>0.50576676633917128</c:v>
                </c:pt>
                <c:pt idx="75">
                  <c:v>0.50486163051608079</c:v>
                </c:pt>
                <c:pt idx="76">
                  <c:v>0.50440744368266399</c:v>
                </c:pt>
                <c:pt idx="77">
                  <c:v>0.5038494439692045</c:v>
                </c:pt>
                <c:pt idx="78">
                  <c:v>0.50374064837905241</c:v>
                </c:pt>
                <c:pt idx="79">
                  <c:v>0.50360655737704918</c:v>
                </c:pt>
                <c:pt idx="80">
                  <c:v>0.50384172109104874</c:v>
                </c:pt>
                <c:pt idx="81">
                  <c:v>0.5038969840731955</c:v>
                </c:pt>
                <c:pt idx="82">
                  <c:v>0.50385720768416276</c:v>
                </c:pt>
                <c:pt idx="83">
                  <c:v>0.50379095586244249</c:v>
                </c:pt>
                <c:pt idx="84">
                  <c:v>0.50363636363636355</c:v>
                </c:pt>
                <c:pt idx="85">
                  <c:v>0.50342056683679004</c:v>
                </c:pt>
                <c:pt idx="86">
                  <c:v>0.50316486512805525</c:v>
                </c:pt>
                <c:pt idx="87">
                  <c:v>0.50279867063145012</c:v>
                </c:pt>
                <c:pt idx="88">
                  <c:v>0.50232374950768011</c:v>
                </c:pt>
                <c:pt idx="89">
                  <c:v>0.50188894432960296</c:v>
                </c:pt>
                <c:pt idx="90">
                  <c:v>0.50145961725591948</c:v>
                </c:pt>
                <c:pt idx="91">
                  <c:v>0.50103987165012775</c:v>
                </c:pt>
                <c:pt idx="92">
                  <c:v>0.50068481893387384</c:v>
                </c:pt>
                <c:pt idx="93">
                  <c:v>0.50040683482506099</c:v>
                </c:pt>
                <c:pt idx="94">
                  <c:v>0.50011879306248519</c:v>
                </c:pt>
                <c:pt idx="95">
                  <c:v>0.50002234636871501</c:v>
                </c:pt>
                <c:pt idx="96">
                  <c:v>0.49997885030244066</c:v>
                </c:pt>
                <c:pt idx="97">
                  <c:v>0.49991943929751065</c:v>
                </c:pt>
                <c:pt idx="98">
                  <c:v>0.49992282759685142</c:v>
                </c:pt>
                <c:pt idx="99">
                  <c:v>0.49998141056623413</c:v>
                </c:pt>
                <c:pt idx="100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F-4158-BC67-7DB0E8448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883976"/>
        <c:axId val="447593408"/>
      </c:lineChart>
      <c:catAx>
        <c:axId val="449883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93408"/>
        <c:crosses val="autoZero"/>
        <c:auto val="1"/>
        <c:lblAlgn val="ctr"/>
        <c:lblOffset val="100"/>
        <c:noMultiLvlLbl val="0"/>
      </c:catAx>
      <c:valAx>
        <c:axId val="44759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88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Death</a:t>
            </a:r>
            <a:r>
              <a:rPr lang="en-AU" baseline="0"/>
              <a:t> only and death with rider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Death only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'Death Only'!$C$10:$C$110</c:f>
              <c:numCache>
                <c:formatCode>0.00000</c:formatCode>
                <c:ptCount val="101"/>
                <c:pt idx="0">
                  <c:v>5.2300000000000003E-3</c:v>
                </c:pt>
                <c:pt idx="1">
                  <c:v>2.82E-3</c:v>
                </c:pt>
                <c:pt idx="2">
                  <c:v>3.4000000000000002E-4</c:v>
                </c:pt>
                <c:pt idx="3">
                  <c:v>2.3000000000000001E-4</c:v>
                </c:pt>
                <c:pt idx="4">
                  <c:v>1.6000000000000001E-4</c:v>
                </c:pt>
                <c:pt idx="5">
                  <c:v>1.3999999999999999E-4</c:v>
                </c:pt>
                <c:pt idx="6">
                  <c:v>1.2999999999999999E-4</c:v>
                </c:pt>
                <c:pt idx="7">
                  <c:v>1.2E-4</c:v>
                </c:pt>
                <c:pt idx="8">
                  <c:v>1.1E-4</c:v>
                </c:pt>
                <c:pt idx="9">
                  <c:v>1E-4</c:v>
                </c:pt>
                <c:pt idx="10">
                  <c:v>1E-4</c:v>
                </c:pt>
                <c:pt idx="11">
                  <c:v>1.1E-4</c:v>
                </c:pt>
                <c:pt idx="12">
                  <c:v>1.2E-4</c:v>
                </c:pt>
                <c:pt idx="13">
                  <c:v>1.2999999999999999E-4</c:v>
                </c:pt>
                <c:pt idx="14">
                  <c:v>1.4999999999999999E-4</c:v>
                </c:pt>
                <c:pt idx="15">
                  <c:v>1.9000000000000001E-4</c:v>
                </c:pt>
                <c:pt idx="16">
                  <c:v>2.7999999999999998E-4</c:v>
                </c:pt>
                <c:pt idx="17">
                  <c:v>4.0999999999999999E-4</c:v>
                </c:pt>
                <c:pt idx="18">
                  <c:v>4.4999999999999999E-4</c:v>
                </c:pt>
                <c:pt idx="19">
                  <c:v>5.2999999999999998E-4</c:v>
                </c:pt>
                <c:pt idx="20">
                  <c:v>5.9999999999999995E-4</c:v>
                </c:pt>
                <c:pt idx="21">
                  <c:v>6.0999999999999997E-4</c:v>
                </c:pt>
                <c:pt idx="22">
                  <c:v>5.9999999999999995E-4</c:v>
                </c:pt>
                <c:pt idx="23">
                  <c:v>5.6999999999999998E-4</c:v>
                </c:pt>
                <c:pt idx="24">
                  <c:v>5.5000000000000003E-4</c:v>
                </c:pt>
                <c:pt idx="25">
                  <c:v>5.2999999999999998E-4</c:v>
                </c:pt>
                <c:pt idx="26">
                  <c:v>5.0000000000000001E-4</c:v>
                </c:pt>
                <c:pt idx="27">
                  <c:v>4.8000000000000001E-4</c:v>
                </c:pt>
                <c:pt idx="28">
                  <c:v>4.6000000000000001E-4</c:v>
                </c:pt>
                <c:pt idx="29">
                  <c:v>4.4999999999999999E-4</c:v>
                </c:pt>
                <c:pt idx="30">
                  <c:v>4.2999999999999999E-4</c:v>
                </c:pt>
                <c:pt idx="31">
                  <c:v>4.2000000000000002E-4</c:v>
                </c:pt>
                <c:pt idx="32">
                  <c:v>4.0999999999999999E-4</c:v>
                </c:pt>
                <c:pt idx="33">
                  <c:v>4.0000000000000002E-4</c:v>
                </c:pt>
                <c:pt idx="34">
                  <c:v>4.0999999999999999E-4</c:v>
                </c:pt>
                <c:pt idx="35">
                  <c:v>4.2000000000000002E-4</c:v>
                </c:pt>
                <c:pt idx="36">
                  <c:v>4.2999999999999999E-4</c:v>
                </c:pt>
                <c:pt idx="37">
                  <c:v>4.4999999999999999E-4</c:v>
                </c:pt>
                <c:pt idx="38">
                  <c:v>4.8999999999999998E-4</c:v>
                </c:pt>
                <c:pt idx="39">
                  <c:v>5.2999999999999998E-4</c:v>
                </c:pt>
                <c:pt idx="40">
                  <c:v>5.8E-4</c:v>
                </c:pt>
                <c:pt idx="41">
                  <c:v>6.3000000000000003E-4</c:v>
                </c:pt>
                <c:pt idx="42">
                  <c:v>6.8000000000000005E-4</c:v>
                </c:pt>
                <c:pt idx="43">
                  <c:v>7.3999999999999999E-4</c:v>
                </c:pt>
                <c:pt idx="44">
                  <c:v>7.9000000000000001E-4</c:v>
                </c:pt>
                <c:pt idx="45">
                  <c:v>8.5999999999999998E-4</c:v>
                </c:pt>
                <c:pt idx="46">
                  <c:v>9.3000000000000005E-4</c:v>
                </c:pt>
                <c:pt idx="47">
                  <c:v>1.0300000000000001E-3</c:v>
                </c:pt>
                <c:pt idx="48">
                  <c:v>1.15E-3</c:v>
                </c:pt>
                <c:pt idx="49">
                  <c:v>1.2800000000000001E-3</c:v>
                </c:pt>
                <c:pt idx="50">
                  <c:v>1.42E-3</c:v>
                </c:pt>
                <c:pt idx="51">
                  <c:v>1.56E-3</c:v>
                </c:pt>
                <c:pt idx="52">
                  <c:v>1.72E-3</c:v>
                </c:pt>
                <c:pt idx="53">
                  <c:v>1.89E-3</c:v>
                </c:pt>
                <c:pt idx="54">
                  <c:v>2.0799999999999998E-3</c:v>
                </c:pt>
                <c:pt idx="55">
                  <c:v>2.3E-3</c:v>
                </c:pt>
                <c:pt idx="56">
                  <c:v>2.5500000000000002E-3</c:v>
                </c:pt>
                <c:pt idx="57">
                  <c:v>2.8600000000000001E-3</c:v>
                </c:pt>
                <c:pt idx="58">
                  <c:v>3.2000000000000002E-3</c:v>
                </c:pt>
                <c:pt idx="59">
                  <c:v>3.5799999999999998E-3</c:v>
                </c:pt>
                <c:pt idx="60">
                  <c:v>3.9699999999999996E-3</c:v>
                </c:pt>
                <c:pt idx="61">
                  <c:v>4.3800000000000002E-3</c:v>
                </c:pt>
                <c:pt idx="62">
                  <c:v>4.79E-3</c:v>
                </c:pt>
                <c:pt idx="63">
                  <c:v>5.2500000000000003E-3</c:v>
                </c:pt>
                <c:pt idx="64">
                  <c:v>5.79E-3</c:v>
                </c:pt>
                <c:pt idx="65">
                  <c:v>6.4599999999999996E-3</c:v>
                </c:pt>
                <c:pt idx="66">
                  <c:v>7.3200000000000001E-3</c:v>
                </c:pt>
                <c:pt idx="67">
                  <c:v>8.4200000000000004E-3</c:v>
                </c:pt>
                <c:pt idx="68">
                  <c:v>9.7699999999999992E-3</c:v>
                </c:pt>
                <c:pt idx="69">
                  <c:v>1.136E-2</c:v>
                </c:pt>
                <c:pt idx="70">
                  <c:v>1.321E-2</c:v>
                </c:pt>
                <c:pt idx="71">
                  <c:v>1.5350000000000001E-2</c:v>
                </c:pt>
                <c:pt idx="72">
                  <c:v>1.78E-2</c:v>
                </c:pt>
                <c:pt idx="73">
                  <c:v>2.0480000000000002E-2</c:v>
                </c:pt>
                <c:pt idx="74">
                  <c:v>2.341E-2</c:v>
                </c:pt>
                <c:pt idx="75">
                  <c:v>2.674E-2</c:v>
                </c:pt>
                <c:pt idx="76">
                  <c:v>3.0630000000000001E-2</c:v>
                </c:pt>
                <c:pt idx="77">
                  <c:v>3.5069999999999997E-2</c:v>
                </c:pt>
                <c:pt idx="78">
                  <c:v>4.0099999999999997E-2</c:v>
                </c:pt>
                <c:pt idx="79">
                  <c:v>4.5749999999999999E-2</c:v>
                </c:pt>
                <c:pt idx="80">
                  <c:v>5.2060000000000002E-2</c:v>
                </c:pt>
                <c:pt idx="81">
                  <c:v>5.9020000000000003E-2</c:v>
                </c:pt>
                <c:pt idx="82">
                  <c:v>6.6110000000000002E-2</c:v>
                </c:pt>
                <c:pt idx="83">
                  <c:v>7.3859999999999995E-2</c:v>
                </c:pt>
                <c:pt idx="84">
                  <c:v>8.2500000000000004E-2</c:v>
                </c:pt>
                <c:pt idx="85">
                  <c:v>9.2090000000000005E-2</c:v>
                </c:pt>
                <c:pt idx="86">
                  <c:v>0.10269</c:v>
                </c:pt>
                <c:pt idx="87">
                  <c:v>0.11434</c:v>
                </c:pt>
                <c:pt idx="88">
                  <c:v>0.12695000000000001</c:v>
                </c:pt>
                <c:pt idx="89">
                  <c:v>0.14029</c:v>
                </c:pt>
                <c:pt idx="90">
                  <c:v>0.15415000000000001</c:v>
                </c:pt>
                <c:pt idx="91">
                  <c:v>0.16829</c:v>
                </c:pt>
                <c:pt idx="92">
                  <c:v>0.18253</c:v>
                </c:pt>
                <c:pt idx="93">
                  <c:v>0.19664000000000001</c:v>
                </c:pt>
                <c:pt idx="94">
                  <c:v>0.21045</c:v>
                </c:pt>
                <c:pt idx="95">
                  <c:v>0.22375</c:v>
                </c:pt>
                <c:pt idx="96">
                  <c:v>0.23641000000000001</c:v>
                </c:pt>
                <c:pt idx="97">
                  <c:v>0.24826000000000001</c:v>
                </c:pt>
                <c:pt idx="98">
                  <c:v>0.25916</c:v>
                </c:pt>
                <c:pt idx="99">
                  <c:v>0.26896999999999999</c:v>
                </c:pt>
                <c:pt idx="100">
                  <c:v>0.27786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C9-4B38-B8E6-0D0DF3D6FB41}"/>
            </c:ext>
          </c:extLst>
        </c:ser>
        <c:ser>
          <c:idx val="0"/>
          <c:order val="1"/>
          <c:tx>
            <c:v>Death with rider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'Death with Rider'!$C$10:$C$110</c:f>
              <c:numCache>
                <c:formatCode>0.00000</c:formatCode>
                <c:ptCount val="101"/>
                <c:pt idx="0">
                  <c:v>5.2300000000000003E-3</c:v>
                </c:pt>
                <c:pt idx="1">
                  <c:v>2.6800000000000001E-3</c:v>
                </c:pt>
                <c:pt idx="2">
                  <c:v>3.1E-4</c:v>
                </c:pt>
                <c:pt idx="3">
                  <c:v>2.0000000000000001E-4</c:v>
                </c:pt>
                <c:pt idx="4">
                  <c:v>1.2999999999999999E-4</c:v>
                </c:pt>
                <c:pt idx="5">
                  <c:v>1.1E-4</c:v>
                </c:pt>
                <c:pt idx="6">
                  <c:v>9.0000000000000006E-5</c:v>
                </c:pt>
                <c:pt idx="7">
                  <c:v>8.0000000000000007E-5</c:v>
                </c:pt>
                <c:pt idx="8">
                  <c:v>6.9999999999999994E-5</c:v>
                </c:pt>
                <c:pt idx="9">
                  <c:v>6.9999999999999994E-5</c:v>
                </c:pt>
                <c:pt idx="10">
                  <c:v>6.9999999999999994E-5</c:v>
                </c:pt>
                <c:pt idx="11">
                  <c:v>6.9999999999999994E-5</c:v>
                </c:pt>
                <c:pt idx="12">
                  <c:v>8.0000000000000007E-5</c:v>
                </c:pt>
                <c:pt idx="13">
                  <c:v>8.0000000000000007E-5</c:v>
                </c:pt>
                <c:pt idx="14">
                  <c:v>9.0000000000000006E-5</c:v>
                </c:pt>
                <c:pt idx="15">
                  <c:v>1.2E-4</c:v>
                </c:pt>
                <c:pt idx="16">
                  <c:v>1.7000000000000001E-4</c:v>
                </c:pt>
                <c:pt idx="17">
                  <c:v>2.1000000000000001E-4</c:v>
                </c:pt>
                <c:pt idx="18">
                  <c:v>2.3000000000000001E-4</c:v>
                </c:pt>
                <c:pt idx="19">
                  <c:v>2.5000000000000001E-4</c:v>
                </c:pt>
                <c:pt idx="20">
                  <c:v>2.5000000000000001E-4</c:v>
                </c:pt>
                <c:pt idx="21">
                  <c:v>2.5000000000000001E-4</c:v>
                </c:pt>
                <c:pt idx="22">
                  <c:v>2.4000000000000001E-4</c:v>
                </c:pt>
                <c:pt idx="23">
                  <c:v>2.2000000000000001E-4</c:v>
                </c:pt>
                <c:pt idx="24">
                  <c:v>2.1000000000000001E-4</c:v>
                </c:pt>
                <c:pt idx="25">
                  <c:v>1.9000000000000001E-4</c:v>
                </c:pt>
                <c:pt idx="26">
                  <c:v>1.9000000000000001E-4</c:v>
                </c:pt>
                <c:pt idx="27">
                  <c:v>1.8000000000000001E-4</c:v>
                </c:pt>
                <c:pt idx="28">
                  <c:v>1.8000000000000001E-4</c:v>
                </c:pt>
                <c:pt idx="29">
                  <c:v>1.9000000000000001E-4</c:v>
                </c:pt>
                <c:pt idx="30">
                  <c:v>2.1000000000000001E-4</c:v>
                </c:pt>
                <c:pt idx="31">
                  <c:v>2.3000000000000001E-4</c:v>
                </c:pt>
                <c:pt idx="32">
                  <c:v>2.4000000000000001E-4</c:v>
                </c:pt>
                <c:pt idx="33">
                  <c:v>2.5999999999999998E-4</c:v>
                </c:pt>
                <c:pt idx="34">
                  <c:v>2.7E-4</c:v>
                </c:pt>
                <c:pt idx="35">
                  <c:v>2.7999999999999998E-4</c:v>
                </c:pt>
                <c:pt idx="36">
                  <c:v>2.9E-4</c:v>
                </c:pt>
                <c:pt idx="37">
                  <c:v>2.9999999999999997E-4</c:v>
                </c:pt>
                <c:pt idx="38">
                  <c:v>3.1E-4</c:v>
                </c:pt>
                <c:pt idx="39">
                  <c:v>3.2000000000000003E-4</c:v>
                </c:pt>
                <c:pt idx="40">
                  <c:v>3.4000000000000002E-4</c:v>
                </c:pt>
                <c:pt idx="41">
                  <c:v>3.6000000000000002E-4</c:v>
                </c:pt>
                <c:pt idx="42">
                  <c:v>4.0000000000000002E-4</c:v>
                </c:pt>
                <c:pt idx="43">
                  <c:v>4.4000000000000002E-4</c:v>
                </c:pt>
                <c:pt idx="44">
                  <c:v>4.8999999999999998E-4</c:v>
                </c:pt>
                <c:pt idx="45">
                  <c:v>5.4000000000000001E-4</c:v>
                </c:pt>
                <c:pt idx="46">
                  <c:v>5.9000000000000003E-4</c:v>
                </c:pt>
                <c:pt idx="47">
                  <c:v>6.6E-4</c:v>
                </c:pt>
                <c:pt idx="48">
                  <c:v>7.1000000000000002E-4</c:v>
                </c:pt>
                <c:pt idx="49">
                  <c:v>7.9000000000000001E-4</c:v>
                </c:pt>
                <c:pt idx="50">
                  <c:v>8.5999999999999998E-4</c:v>
                </c:pt>
                <c:pt idx="51">
                  <c:v>9.6000000000000002E-4</c:v>
                </c:pt>
                <c:pt idx="52">
                  <c:v>1.06E-3</c:v>
                </c:pt>
                <c:pt idx="53">
                  <c:v>1.1800000000000001E-3</c:v>
                </c:pt>
                <c:pt idx="54">
                  <c:v>1.2999999999999999E-3</c:v>
                </c:pt>
                <c:pt idx="55">
                  <c:v>1.42E-3</c:v>
                </c:pt>
                <c:pt idx="56">
                  <c:v>1.5100000000000001E-3</c:v>
                </c:pt>
                <c:pt idx="57">
                  <c:v>1.6000000000000001E-3</c:v>
                </c:pt>
                <c:pt idx="58">
                  <c:v>1.6900000000000001E-3</c:v>
                </c:pt>
                <c:pt idx="59">
                  <c:v>1.7799999999999999E-3</c:v>
                </c:pt>
                <c:pt idx="60">
                  <c:v>1.8699999999999999E-3</c:v>
                </c:pt>
                <c:pt idx="61">
                  <c:v>2.0200000000000001E-3</c:v>
                </c:pt>
                <c:pt idx="62">
                  <c:v>2.2200000000000002E-3</c:v>
                </c:pt>
                <c:pt idx="63">
                  <c:v>2.48E-3</c:v>
                </c:pt>
                <c:pt idx="64">
                  <c:v>2.8400000000000001E-3</c:v>
                </c:pt>
                <c:pt idx="65">
                  <c:v>3.29E-3</c:v>
                </c:pt>
                <c:pt idx="66">
                  <c:v>3.79E-3</c:v>
                </c:pt>
                <c:pt idx="67">
                  <c:v>4.3400000000000001E-3</c:v>
                </c:pt>
                <c:pt idx="68">
                  <c:v>5.0200000000000002E-3</c:v>
                </c:pt>
                <c:pt idx="69">
                  <c:v>5.8100000000000001E-3</c:v>
                </c:pt>
                <c:pt idx="70">
                  <c:v>6.7400000000000003E-3</c:v>
                </c:pt>
                <c:pt idx="71">
                  <c:v>7.8100000000000001E-3</c:v>
                </c:pt>
                <c:pt idx="72">
                  <c:v>9.0399999999999994E-3</c:v>
                </c:pt>
                <c:pt idx="73">
                  <c:v>1.0370000000000001E-2</c:v>
                </c:pt>
                <c:pt idx="74">
                  <c:v>1.184E-2</c:v>
                </c:pt>
                <c:pt idx="75">
                  <c:v>1.35E-2</c:v>
                </c:pt>
                <c:pt idx="76">
                  <c:v>1.545E-2</c:v>
                </c:pt>
                <c:pt idx="77">
                  <c:v>1.7670000000000002E-2</c:v>
                </c:pt>
                <c:pt idx="78">
                  <c:v>2.0199999999999999E-2</c:v>
                </c:pt>
                <c:pt idx="79">
                  <c:v>2.3040000000000001E-2</c:v>
                </c:pt>
                <c:pt idx="80">
                  <c:v>2.623E-2</c:v>
                </c:pt>
                <c:pt idx="81">
                  <c:v>2.9739999999999999E-2</c:v>
                </c:pt>
                <c:pt idx="82">
                  <c:v>3.3309999999999999E-2</c:v>
                </c:pt>
                <c:pt idx="83">
                  <c:v>3.721E-2</c:v>
                </c:pt>
                <c:pt idx="84">
                  <c:v>4.1549999999999997E-2</c:v>
                </c:pt>
                <c:pt idx="85">
                  <c:v>4.6359999999999998E-2</c:v>
                </c:pt>
                <c:pt idx="86">
                  <c:v>5.1670000000000001E-2</c:v>
                </c:pt>
                <c:pt idx="87">
                  <c:v>5.7489999999999999E-2</c:v>
                </c:pt>
                <c:pt idx="88">
                  <c:v>6.3769999999999993E-2</c:v>
                </c:pt>
                <c:pt idx="89">
                  <c:v>7.041E-2</c:v>
                </c:pt>
                <c:pt idx="90">
                  <c:v>7.7299999999999994E-2</c:v>
                </c:pt>
                <c:pt idx="91">
                  <c:v>8.4320000000000006E-2</c:v>
                </c:pt>
                <c:pt idx="92">
                  <c:v>9.1389999999999999E-2</c:v>
                </c:pt>
                <c:pt idx="93">
                  <c:v>9.8400000000000001E-2</c:v>
                </c:pt>
                <c:pt idx="94">
                  <c:v>0.10525</c:v>
                </c:pt>
                <c:pt idx="95">
                  <c:v>0.11187999999999999</c:v>
                </c:pt>
                <c:pt idx="96">
                  <c:v>0.1182</c:v>
                </c:pt>
                <c:pt idx="97">
                  <c:v>0.12411</c:v>
                </c:pt>
                <c:pt idx="98">
                  <c:v>0.12956000000000001</c:v>
                </c:pt>
                <c:pt idx="99">
                  <c:v>0.13447999999999999</c:v>
                </c:pt>
                <c:pt idx="100">
                  <c:v>0.13893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C9-4B38-B8E6-0D0DF3D6F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2157296"/>
        <c:axId val="452158472"/>
      </c:lineChart>
      <c:catAx>
        <c:axId val="45215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158472"/>
        <c:crosses val="autoZero"/>
        <c:auto val="1"/>
        <c:lblAlgn val="ctr"/>
        <c:lblOffset val="100"/>
        <c:noMultiLvlLbl val="0"/>
      </c:catAx>
      <c:valAx>
        <c:axId val="452158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157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Death</a:t>
            </a:r>
            <a:r>
              <a:rPr lang="en-AU" baseline="0"/>
              <a:t> only and death with rider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Death only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'Death Only'!$C$10:$C$110</c:f>
              <c:numCache>
                <c:formatCode>0.00000</c:formatCode>
                <c:ptCount val="101"/>
                <c:pt idx="0">
                  <c:v>5.2300000000000003E-3</c:v>
                </c:pt>
                <c:pt idx="1">
                  <c:v>2.82E-3</c:v>
                </c:pt>
                <c:pt idx="2">
                  <c:v>3.4000000000000002E-4</c:v>
                </c:pt>
                <c:pt idx="3">
                  <c:v>2.3000000000000001E-4</c:v>
                </c:pt>
                <c:pt idx="4">
                  <c:v>1.6000000000000001E-4</c:v>
                </c:pt>
                <c:pt idx="5">
                  <c:v>1.3999999999999999E-4</c:v>
                </c:pt>
                <c:pt idx="6">
                  <c:v>1.2999999999999999E-4</c:v>
                </c:pt>
                <c:pt idx="7">
                  <c:v>1.2E-4</c:v>
                </c:pt>
                <c:pt idx="8">
                  <c:v>1.1E-4</c:v>
                </c:pt>
                <c:pt idx="9">
                  <c:v>1E-4</c:v>
                </c:pt>
                <c:pt idx="10">
                  <c:v>1E-4</c:v>
                </c:pt>
                <c:pt idx="11">
                  <c:v>1.1E-4</c:v>
                </c:pt>
                <c:pt idx="12">
                  <c:v>1.2E-4</c:v>
                </c:pt>
                <c:pt idx="13">
                  <c:v>1.2999999999999999E-4</c:v>
                </c:pt>
                <c:pt idx="14">
                  <c:v>1.4999999999999999E-4</c:v>
                </c:pt>
                <c:pt idx="15">
                  <c:v>1.9000000000000001E-4</c:v>
                </c:pt>
                <c:pt idx="16">
                  <c:v>2.7999999999999998E-4</c:v>
                </c:pt>
                <c:pt idx="17">
                  <c:v>4.0999999999999999E-4</c:v>
                </c:pt>
                <c:pt idx="18">
                  <c:v>4.4999999999999999E-4</c:v>
                </c:pt>
                <c:pt idx="19">
                  <c:v>5.2999999999999998E-4</c:v>
                </c:pt>
                <c:pt idx="20">
                  <c:v>5.9999999999999995E-4</c:v>
                </c:pt>
                <c:pt idx="21">
                  <c:v>6.0999999999999997E-4</c:v>
                </c:pt>
                <c:pt idx="22">
                  <c:v>5.9999999999999995E-4</c:v>
                </c:pt>
                <c:pt idx="23">
                  <c:v>5.6999999999999998E-4</c:v>
                </c:pt>
                <c:pt idx="24">
                  <c:v>5.5000000000000003E-4</c:v>
                </c:pt>
                <c:pt idx="25">
                  <c:v>5.2999999999999998E-4</c:v>
                </c:pt>
                <c:pt idx="26">
                  <c:v>5.0000000000000001E-4</c:v>
                </c:pt>
                <c:pt idx="27">
                  <c:v>4.8000000000000001E-4</c:v>
                </c:pt>
                <c:pt idx="28">
                  <c:v>4.6000000000000001E-4</c:v>
                </c:pt>
                <c:pt idx="29">
                  <c:v>4.4999999999999999E-4</c:v>
                </c:pt>
                <c:pt idx="30">
                  <c:v>4.2999999999999999E-4</c:v>
                </c:pt>
                <c:pt idx="31">
                  <c:v>4.2000000000000002E-4</c:v>
                </c:pt>
                <c:pt idx="32">
                  <c:v>4.0999999999999999E-4</c:v>
                </c:pt>
                <c:pt idx="33">
                  <c:v>4.0000000000000002E-4</c:v>
                </c:pt>
                <c:pt idx="34">
                  <c:v>4.0999999999999999E-4</c:v>
                </c:pt>
                <c:pt idx="35">
                  <c:v>4.2000000000000002E-4</c:v>
                </c:pt>
                <c:pt idx="36">
                  <c:v>4.2999999999999999E-4</c:v>
                </c:pt>
                <c:pt idx="37">
                  <c:v>4.4999999999999999E-4</c:v>
                </c:pt>
                <c:pt idx="38">
                  <c:v>4.8999999999999998E-4</c:v>
                </c:pt>
                <c:pt idx="39">
                  <c:v>5.2999999999999998E-4</c:v>
                </c:pt>
                <c:pt idx="40">
                  <c:v>5.8E-4</c:v>
                </c:pt>
                <c:pt idx="41">
                  <c:v>6.3000000000000003E-4</c:v>
                </c:pt>
                <c:pt idx="42">
                  <c:v>6.8000000000000005E-4</c:v>
                </c:pt>
                <c:pt idx="43">
                  <c:v>7.3999999999999999E-4</c:v>
                </c:pt>
                <c:pt idx="44">
                  <c:v>7.9000000000000001E-4</c:v>
                </c:pt>
                <c:pt idx="45">
                  <c:v>8.5999999999999998E-4</c:v>
                </c:pt>
                <c:pt idx="46">
                  <c:v>9.3000000000000005E-4</c:v>
                </c:pt>
                <c:pt idx="47">
                  <c:v>1.0300000000000001E-3</c:v>
                </c:pt>
                <c:pt idx="48">
                  <c:v>1.15E-3</c:v>
                </c:pt>
                <c:pt idx="49">
                  <c:v>1.2800000000000001E-3</c:v>
                </c:pt>
                <c:pt idx="50">
                  <c:v>1.42E-3</c:v>
                </c:pt>
                <c:pt idx="51">
                  <c:v>1.56E-3</c:v>
                </c:pt>
                <c:pt idx="52">
                  <c:v>1.72E-3</c:v>
                </c:pt>
                <c:pt idx="53">
                  <c:v>1.89E-3</c:v>
                </c:pt>
                <c:pt idx="54">
                  <c:v>2.0799999999999998E-3</c:v>
                </c:pt>
                <c:pt idx="55">
                  <c:v>2.3E-3</c:v>
                </c:pt>
                <c:pt idx="56">
                  <c:v>2.5500000000000002E-3</c:v>
                </c:pt>
                <c:pt idx="57">
                  <c:v>2.8600000000000001E-3</c:v>
                </c:pt>
                <c:pt idx="58">
                  <c:v>3.2000000000000002E-3</c:v>
                </c:pt>
                <c:pt idx="59">
                  <c:v>3.5799999999999998E-3</c:v>
                </c:pt>
                <c:pt idx="60">
                  <c:v>3.9699999999999996E-3</c:v>
                </c:pt>
                <c:pt idx="61">
                  <c:v>4.3800000000000002E-3</c:v>
                </c:pt>
                <c:pt idx="62">
                  <c:v>4.79E-3</c:v>
                </c:pt>
                <c:pt idx="63">
                  <c:v>5.2500000000000003E-3</c:v>
                </c:pt>
                <c:pt idx="64">
                  <c:v>5.79E-3</c:v>
                </c:pt>
                <c:pt idx="65">
                  <c:v>6.4599999999999996E-3</c:v>
                </c:pt>
                <c:pt idx="66">
                  <c:v>7.3200000000000001E-3</c:v>
                </c:pt>
                <c:pt idx="67">
                  <c:v>8.4200000000000004E-3</c:v>
                </c:pt>
                <c:pt idx="68">
                  <c:v>9.7699999999999992E-3</c:v>
                </c:pt>
                <c:pt idx="69">
                  <c:v>1.136E-2</c:v>
                </c:pt>
                <c:pt idx="70">
                  <c:v>1.321E-2</c:v>
                </c:pt>
                <c:pt idx="71">
                  <c:v>1.5350000000000001E-2</c:v>
                </c:pt>
                <c:pt idx="72">
                  <c:v>1.78E-2</c:v>
                </c:pt>
                <c:pt idx="73">
                  <c:v>2.0480000000000002E-2</c:v>
                </c:pt>
                <c:pt idx="74">
                  <c:v>2.341E-2</c:v>
                </c:pt>
                <c:pt idx="75">
                  <c:v>2.674E-2</c:v>
                </c:pt>
                <c:pt idx="76">
                  <c:v>3.0630000000000001E-2</c:v>
                </c:pt>
                <c:pt idx="77">
                  <c:v>3.5069999999999997E-2</c:v>
                </c:pt>
                <c:pt idx="78">
                  <c:v>4.0099999999999997E-2</c:v>
                </c:pt>
                <c:pt idx="79">
                  <c:v>4.5749999999999999E-2</c:v>
                </c:pt>
                <c:pt idx="80">
                  <c:v>5.2060000000000002E-2</c:v>
                </c:pt>
                <c:pt idx="81">
                  <c:v>5.9020000000000003E-2</c:v>
                </c:pt>
                <c:pt idx="82">
                  <c:v>6.6110000000000002E-2</c:v>
                </c:pt>
                <c:pt idx="83">
                  <c:v>7.3859999999999995E-2</c:v>
                </c:pt>
                <c:pt idx="84">
                  <c:v>8.2500000000000004E-2</c:v>
                </c:pt>
                <c:pt idx="85">
                  <c:v>9.2090000000000005E-2</c:v>
                </c:pt>
                <c:pt idx="86">
                  <c:v>0.10269</c:v>
                </c:pt>
                <c:pt idx="87">
                  <c:v>0.11434</c:v>
                </c:pt>
                <c:pt idx="88">
                  <c:v>0.12695000000000001</c:v>
                </c:pt>
                <c:pt idx="89">
                  <c:v>0.14029</c:v>
                </c:pt>
                <c:pt idx="90">
                  <c:v>0.15415000000000001</c:v>
                </c:pt>
                <c:pt idx="91">
                  <c:v>0.16829</c:v>
                </c:pt>
                <c:pt idx="92">
                  <c:v>0.18253</c:v>
                </c:pt>
                <c:pt idx="93">
                  <c:v>0.19664000000000001</c:v>
                </c:pt>
                <c:pt idx="94">
                  <c:v>0.21045</c:v>
                </c:pt>
                <c:pt idx="95">
                  <c:v>0.22375</c:v>
                </c:pt>
                <c:pt idx="96">
                  <c:v>0.23641000000000001</c:v>
                </c:pt>
                <c:pt idx="97">
                  <c:v>0.24826000000000001</c:v>
                </c:pt>
                <c:pt idx="98">
                  <c:v>0.25916</c:v>
                </c:pt>
                <c:pt idx="99">
                  <c:v>0.26896999999999999</c:v>
                </c:pt>
                <c:pt idx="100">
                  <c:v>0.27786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3-4338-ABAD-C24F064C2173}"/>
            </c:ext>
          </c:extLst>
        </c:ser>
        <c:ser>
          <c:idx val="0"/>
          <c:order val="1"/>
          <c:tx>
            <c:v>Death with rider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'Death with Rider'!$C$10:$C$110</c:f>
              <c:numCache>
                <c:formatCode>0.00000</c:formatCode>
                <c:ptCount val="101"/>
                <c:pt idx="0">
                  <c:v>5.2300000000000003E-3</c:v>
                </c:pt>
                <c:pt idx="1">
                  <c:v>2.6800000000000001E-3</c:v>
                </c:pt>
                <c:pt idx="2">
                  <c:v>3.1E-4</c:v>
                </c:pt>
                <c:pt idx="3">
                  <c:v>2.0000000000000001E-4</c:v>
                </c:pt>
                <c:pt idx="4">
                  <c:v>1.2999999999999999E-4</c:v>
                </c:pt>
                <c:pt idx="5">
                  <c:v>1.1E-4</c:v>
                </c:pt>
                <c:pt idx="6">
                  <c:v>9.0000000000000006E-5</c:v>
                </c:pt>
                <c:pt idx="7">
                  <c:v>8.0000000000000007E-5</c:v>
                </c:pt>
                <c:pt idx="8">
                  <c:v>6.9999999999999994E-5</c:v>
                </c:pt>
                <c:pt idx="9">
                  <c:v>6.9999999999999994E-5</c:v>
                </c:pt>
                <c:pt idx="10">
                  <c:v>6.9999999999999994E-5</c:v>
                </c:pt>
                <c:pt idx="11">
                  <c:v>6.9999999999999994E-5</c:v>
                </c:pt>
                <c:pt idx="12">
                  <c:v>8.0000000000000007E-5</c:v>
                </c:pt>
                <c:pt idx="13">
                  <c:v>8.0000000000000007E-5</c:v>
                </c:pt>
                <c:pt idx="14">
                  <c:v>9.0000000000000006E-5</c:v>
                </c:pt>
                <c:pt idx="15">
                  <c:v>1.2E-4</c:v>
                </c:pt>
                <c:pt idx="16">
                  <c:v>1.7000000000000001E-4</c:v>
                </c:pt>
                <c:pt idx="17">
                  <c:v>2.1000000000000001E-4</c:v>
                </c:pt>
                <c:pt idx="18">
                  <c:v>2.3000000000000001E-4</c:v>
                </c:pt>
                <c:pt idx="19">
                  <c:v>2.5000000000000001E-4</c:v>
                </c:pt>
                <c:pt idx="20">
                  <c:v>2.5000000000000001E-4</c:v>
                </c:pt>
                <c:pt idx="21">
                  <c:v>2.5000000000000001E-4</c:v>
                </c:pt>
                <c:pt idx="22">
                  <c:v>2.4000000000000001E-4</c:v>
                </c:pt>
                <c:pt idx="23">
                  <c:v>2.2000000000000001E-4</c:v>
                </c:pt>
                <c:pt idx="24">
                  <c:v>2.1000000000000001E-4</c:v>
                </c:pt>
                <c:pt idx="25">
                  <c:v>1.9000000000000001E-4</c:v>
                </c:pt>
                <c:pt idx="26">
                  <c:v>1.9000000000000001E-4</c:v>
                </c:pt>
                <c:pt idx="27">
                  <c:v>1.8000000000000001E-4</c:v>
                </c:pt>
                <c:pt idx="28">
                  <c:v>1.8000000000000001E-4</c:v>
                </c:pt>
                <c:pt idx="29">
                  <c:v>1.9000000000000001E-4</c:v>
                </c:pt>
                <c:pt idx="30">
                  <c:v>2.1000000000000001E-4</c:v>
                </c:pt>
                <c:pt idx="31">
                  <c:v>2.3000000000000001E-4</c:v>
                </c:pt>
                <c:pt idx="32">
                  <c:v>2.4000000000000001E-4</c:v>
                </c:pt>
                <c:pt idx="33">
                  <c:v>2.5999999999999998E-4</c:v>
                </c:pt>
                <c:pt idx="34">
                  <c:v>2.7E-4</c:v>
                </c:pt>
                <c:pt idx="35">
                  <c:v>2.7999999999999998E-4</c:v>
                </c:pt>
                <c:pt idx="36">
                  <c:v>2.9E-4</c:v>
                </c:pt>
                <c:pt idx="37">
                  <c:v>2.9999999999999997E-4</c:v>
                </c:pt>
                <c:pt idx="38">
                  <c:v>3.1E-4</c:v>
                </c:pt>
                <c:pt idx="39">
                  <c:v>3.2000000000000003E-4</c:v>
                </c:pt>
                <c:pt idx="40">
                  <c:v>3.4000000000000002E-4</c:v>
                </c:pt>
                <c:pt idx="41">
                  <c:v>3.6000000000000002E-4</c:v>
                </c:pt>
                <c:pt idx="42">
                  <c:v>4.0000000000000002E-4</c:v>
                </c:pt>
                <c:pt idx="43">
                  <c:v>4.4000000000000002E-4</c:v>
                </c:pt>
                <c:pt idx="44">
                  <c:v>4.8999999999999998E-4</c:v>
                </c:pt>
                <c:pt idx="45">
                  <c:v>5.4000000000000001E-4</c:v>
                </c:pt>
                <c:pt idx="46">
                  <c:v>5.9000000000000003E-4</c:v>
                </c:pt>
                <c:pt idx="47">
                  <c:v>6.6E-4</c:v>
                </c:pt>
                <c:pt idx="48">
                  <c:v>7.1000000000000002E-4</c:v>
                </c:pt>
                <c:pt idx="49">
                  <c:v>7.9000000000000001E-4</c:v>
                </c:pt>
                <c:pt idx="50">
                  <c:v>8.5999999999999998E-4</c:v>
                </c:pt>
                <c:pt idx="51">
                  <c:v>9.6000000000000002E-4</c:v>
                </c:pt>
                <c:pt idx="52">
                  <c:v>1.06E-3</c:v>
                </c:pt>
                <c:pt idx="53">
                  <c:v>1.1800000000000001E-3</c:v>
                </c:pt>
                <c:pt idx="54">
                  <c:v>1.2999999999999999E-3</c:v>
                </c:pt>
                <c:pt idx="55">
                  <c:v>1.42E-3</c:v>
                </c:pt>
                <c:pt idx="56">
                  <c:v>1.5100000000000001E-3</c:v>
                </c:pt>
                <c:pt idx="57">
                  <c:v>1.6000000000000001E-3</c:v>
                </c:pt>
                <c:pt idx="58">
                  <c:v>1.6900000000000001E-3</c:v>
                </c:pt>
                <c:pt idx="59">
                  <c:v>1.7799999999999999E-3</c:v>
                </c:pt>
                <c:pt idx="60">
                  <c:v>1.8699999999999999E-3</c:v>
                </c:pt>
                <c:pt idx="61">
                  <c:v>2.0200000000000001E-3</c:v>
                </c:pt>
                <c:pt idx="62">
                  <c:v>2.2200000000000002E-3</c:v>
                </c:pt>
                <c:pt idx="63">
                  <c:v>2.48E-3</c:v>
                </c:pt>
                <c:pt idx="64">
                  <c:v>2.8400000000000001E-3</c:v>
                </c:pt>
                <c:pt idx="65">
                  <c:v>3.29E-3</c:v>
                </c:pt>
                <c:pt idx="66">
                  <c:v>3.79E-3</c:v>
                </c:pt>
                <c:pt idx="67">
                  <c:v>4.3400000000000001E-3</c:v>
                </c:pt>
                <c:pt idx="68">
                  <c:v>5.0200000000000002E-3</c:v>
                </c:pt>
                <c:pt idx="69">
                  <c:v>5.8100000000000001E-3</c:v>
                </c:pt>
                <c:pt idx="70">
                  <c:v>6.7400000000000003E-3</c:v>
                </c:pt>
                <c:pt idx="71">
                  <c:v>7.8100000000000001E-3</c:v>
                </c:pt>
                <c:pt idx="72">
                  <c:v>9.0399999999999994E-3</c:v>
                </c:pt>
                <c:pt idx="73">
                  <c:v>1.0370000000000001E-2</c:v>
                </c:pt>
                <c:pt idx="74">
                  <c:v>1.184E-2</c:v>
                </c:pt>
                <c:pt idx="75">
                  <c:v>1.35E-2</c:v>
                </c:pt>
                <c:pt idx="76">
                  <c:v>1.545E-2</c:v>
                </c:pt>
                <c:pt idx="77">
                  <c:v>1.7670000000000002E-2</c:v>
                </c:pt>
                <c:pt idx="78">
                  <c:v>2.0199999999999999E-2</c:v>
                </c:pt>
                <c:pt idx="79">
                  <c:v>2.3040000000000001E-2</c:v>
                </c:pt>
                <c:pt idx="80">
                  <c:v>2.623E-2</c:v>
                </c:pt>
                <c:pt idx="81">
                  <c:v>2.9739999999999999E-2</c:v>
                </c:pt>
                <c:pt idx="82">
                  <c:v>3.3309999999999999E-2</c:v>
                </c:pt>
                <c:pt idx="83">
                  <c:v>3.721E-2</c:v>
                </c:pt>
                <c:pt idx="84">
                  <c:v>4.1549999999999997E-2</c:v>
                </c:pt>
                <c:pt idx="85">
                  <c:v>4.6359999999999998E-2</c:v>
                </c:pt>
                <c:pt idx="86">
                  <c:v>5.1670000000000001E-2</c:v>
                </c:pt>
                <c:pt idx="87">
                  <c:v>5.7489999999999999E-2</c:v>
                </c:pt>
                <c:pt idx="88">
                  <c:v>6.3769999999999993E-2</c:v>
                </c:pt>
                <c:pt idx="89">
                  <c:v>7.041E-2</c:v>
                </c:pt>
                <c:pt idx="90">
                  <c:v>7.7299999999999994E-2</c:v>
                </c:pt>
                <c:pt idx="91">
                  <c:v>8.4320000000000006E-2</c:v>
                </c:pt>
                <c:pt idx="92">
                  <c:v>9.1389999999999999E-2</c:v>
                </c:pt>
                <c:pt idx="93">
                  <c:v>9.8400000000000001E-2</c:v>
                </c:pt>
                <c:pt idx="94">
                  <c:v>0.10525</c:v>
                </c:pt>
                <c:pt idx="95">
                  <c:v>0.11187999999999999</c:v>
                </c:pt>
                <c:pt idx="96">
                  <c:v>0.1182</c:v>
                </c:pt>
                <c:pt idx="97">
                  <c:v>0.12411</c:v>
                </c:pt>
                <c:pt idx="98">
                  <c:v>0.12956000000000001</c:v>
                </c:pt>
                <c:pt idx="99">
                  <c:v>0.13447999999999999</c:v>
                </c:pt>
                <c:pt idx="100">
                  <c:v>0.13893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3-4338-ABAD-C24F064C2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2160432"/>
        <c:axId val="452156120"/>
      </c:lineChart>
      <c:catAx>
        <c:axId val="452160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156120"/>
        <c:crosses val="autoZero"/>
        <c:auto val="1"/>
        <c:lblAlgn val="ctr"/>
        <c:lblOffset val="100"/>
        <c:noMultiLvlLbl val="0"/>
      </c:catAx>
      <c:valAx>
        <c:axId val="45215612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16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541020</xdr:colOff>
      <xdr:row>1</xdr:row>
      <xdr:rowOff>92392</xdr:rowOff>
    </xdr:from>
    <xdr:to>
      <xdr:col>9</xdr:col>
      <xdr:colOff>327660</xdr:colOff>
      <xdr:row>15</xdr:row>
      <xdr:rowOff>153352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434340</xdr:colOff>
      <xdr:row>17</xdr:row>
      <xdr:rowOff>22860</xdr:rowOff>
    </xdr:from>
    <xdr:to>
      <xdr:col>9</xdr:col>
      <xdr:colOff>220980</xdr:colOff>
      <xdr:row>31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464820</xdr:colOff>
      <xdr:row>1</xdr:row>
      <xdr:rowOff>30480</xdr:rowOff>
    </xdr:from>
    <xdr:to>
      <xdr:col>17</xdr:col>
      <xdr:colOff>251460</xdr:colOff>
      <xdr:row>15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0"/>
  <sheetViews>
    <sheetView view="pageLayout" zoomScaleNormal="100" workbookViewId="0">
      <selection activeCell="F29" sqref="F29"/>
    </sheetView>
  </sheetViews>
  <sheetFormatPr defaultColWidth="10.75" defaultRowHeight="13.5" x14ac:dyDescent="0.25"/>
  <cols>
    <col min="1" max="16384" width="10.75" style="1"/>
  </cols>
  <sheetData>
    <row r="1" spans="1:3" ht="26.25" x14ac:dyDescent="0.35">
      <c r="A1" s="2" t="s">
        <v>5</v>
      </c>
    </row>
    <row r="8" spans="1:3" x14ac:dyDescent="0.25">
      <c r="A8" s="1" t="s">
        <v>22</v>
      </c>
      <c r="C8" s="1" t="s">
        <v>23</v>
      </c>
    </row>
    <row r="9" spans="1:3" x14ac:dyDescent="0.25">
      <c r="C9" s="1" t="s">
        <v>24</v>
      </c>
    </row>
    <row r="12" spans="1:3" x14ac:dyDescent="0.25">
      <c r="A12" s="1" t="s">
        <v>16</v>
      </c>
      <c r="C12" s="1" t="s">
        <v>17</v>
      </c>
    </row>
    <row r="13" spans="1:3" x14ac:dyDescent="0.25">
      <c r="C13" s="1" t="s">
        <v>18</v>
      </c>
    </row>
    <row r="16" spans="1:3" x14ac:dyDescent="0.25">
      <c r="A16" s="1" t="s">
        <v>19</v>
      </c>
      <c r="C16" s="1" t="s">
        <v>20</v>
      </c>
    </row>
    <row r="17" spans="1:3" x14ac:dyDescent="0.25">
      <c r="C17" s="1" t="s">
        <v>21</v>
      </c>
    </row>
    <row r="20" spans="1:3" x14ac:dyDescent="0.25">
      <c r="A20" s="1" t="s">
        <v>25</v>
      </c>
      <c r="C20" s="1" t="s">
        <v>26</v>
      </c>
    </row>
  </sheetData>
  <pageMargins left="0.7" right="0.7" top="0.75" bottom="0.75" header="0.3" footer="0.3"/>
  <pageSetup paperSize="9" scale="59" orientation="portrait" horizontalDpi="300" verticalDpi="300" r:id="rId1"/>
  <headerFooter>
    <oddFooter>&amp;C&amp;"Arial,Bold"&amp;9&amp;K5F5F5FGraduation of the 2004 - 2008 Lump Sum Investigation Data&amp;"Arial,Regular"&amp;11
&amp;"Century Gothic,Regular"&amp;9&amp;K5F5F5FPublished jointly by the Actuaries Institute and the Financial Services Council - November 2012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10"/>
  <sheetViews>
    <sheetView showGridLines="0" topLeftCell="A10" zoomScaleNormal="100" workbookViewId="0">
      <selection activeCell="C10" sqref="C10:C110"/>
    </sheetView>
  </sheetViews>
  <sheetFormatPr defaultColWidth="10.75" defaultRowHeight="13.5" x14ac:dyDescent="0.25"/>
  <cols>
    <col min="1" max="16384" width="10.75" style="1"/>
  </cols>
  <sheetData>
    <row r="1" spans="1:8" ht="26.25" x14ac:dyDescent="0.35">
      <c r="A1" s="2" t="s">
        <v>5</v>
      </c>
    </row>
    <row r="3" spans="1:8" x14ac:dyDescent="0.25">
      <c r="A3" s="13" t="s">
        <v>6</v>
      </c>
      <c r="B3" s="6"/>
      <c r="C3" s="6" t="s">
        <v>10</v>
      </c>
      <c r="D3" s="6"/>
      <c r="E3" s="6" t="s">
        <v>11</v>
      </c>
      <c r="F3" s="27">
        <v>0.6</v>
      </c>
      <c r="G3" s="6"/>
      <c r="H3" s="7"/>
    </row>
    <row r="4" spans="1:8" x14ac:dyDescent="0.25">
      <c r="A4" s="15"/>
      <c r="B4" s="9"/>
      <c r="C4" s="9"/>
      <c r="D4" s="9"/>
      <c r="E4" s="9" t="s">
        <v>12</v>
      </c>
      <c r="F4" s="28">
        <v>0.8</v>
      </c>
      <c r="G4" s="9"/>
      <c r="H4" s="11"/>
    </row>
    <row r="5" spans="1:8" x14ac:dyDescent="0.25">
      <c r="A5" s="26"/>
      <c r="B5" s="9"/>
      <c r="C5" s="9"/>
      <c r="D5" s="9"/>
      <c r="E5" s="9" t="s">
        <v>13</v>
      </c>
      <c r="F5" s="28">
        <v>1</v>
      </c>
      <c r="G5" s="9"/>
      <c r="H5" s="11"/>
    </row>
    <row r="6" spans="1:8" x14ac:dyDescent="0.25">
      <c r="A6" s="15"/>
      <c r="B6" s="7"/>
      <c r="C6" s="13"/>
      <c r="D6" s="6"/>
      <c r="E6" s="7"/>
      <c r="F6" s="13"/>
      <c r="G6" s="6"/>
      <c r="H6" s="7"/>
    </row>
    <row r="7" spans="1:8" x14ac:dyDescent="0.25">
      <c r="A7" s="15" t="s">
        <v>8</v>
      </c>
      <c r="B7" s="11"/>
      <c r="C7" s="15" t="s">
        <v>3</v>
      </c>
      <c r="D7" s="9"/>
      <c r="E7" s="11"/>
      <c r="F7" s="15" t="s">
        <v>4</v>
      </c>
      <c r="G7" s="9"/>
      <c r="H7" s="11"/>
    </row>
    <row r="8" spans="1:8" x14ac:dyDescent="0.25">
      <c r="A8" s="26" t="s">
        <v>7</v>
      </c>
      <c r="B8" s="17"/>
      <c r="C8" s="18" t="s">
        <v>0</v>
      </c>
      <c r="D8" s="18" t="s">
        <v>1</v>
      </c>
      <c r="E8" s="18" t="s">
        <v>2</v>
      </c>
      <c r="F8" s="18" t="s">
        <v>0</v>
      </c>
      <c r="G8" s="18" t="s">
        <v>1</v>
      </c>
      <c r="H8" s="18" t="s">
        <v>2</v>
      </c>
    </row>
    <row r="9" spans="1:8" x14ac:dyDescent="0.25">
      <c r="A9" s="40"/>
      <c r="B9" s="41"/>
      <c r="C9" s="42"/>
      <c r="D9" s="42"/>
      <c r="E9" s="42"/>
      <c r="F9" s="42"/>
      <c r="G9" s="42"/>
      <c r="H9" s="42"/>
    </row>
    <row r="10" spans="1:8" x14ac:dyDescent="0.25">
      <c r="A10" s="23">
        <v>0</v>
      </c>
      <c r="B10" s="21"/>
      <c r="C10" s="24">
        <v>5.2300000000000003E-3</v>
      </c>
      <c r="D10" s="24">
        <v>1.0460000000000001E-2</v>
      </c>
      <c r="E10" s="24">
        <v>5.2300000000000003E-3</v>
      </c>
      <c r="F10" s="24">
        <v>4.4000000000000003E-3</v>
      </c>
      <c r="G10" s="24">
        <v>7.4799999999999997E-3</v>
      </c>
      <c r="H10" s="24">
        <v>4.4000000000000003E-3</v>
      </c>
    </row>
    <row r="11" spans="1:8" x14ac:dyDescent="0.25">
      <c r="A11" s="23">
        <v>1</v>
      </c>
      <c r="B11" s="21"/>
      <c r="C11" s="24">
        <v>2.82E-3</v>
      </c>
      <c r="D11" s="24">
        <v>5.64E-3</v>
      </c>
      <c r="E11" s="24">
        <v>2.82E-3</v>
      </c>
      <c r="F11" s="24">
        <v>2.3600000000000001E-3</v>
      </c>
      <c r="G11" s="24">
        <v>4.0099999999999997E-3</v>
      </c>
      <c r="H11" s="24">
        <v>2.3600000000000001E-3</v>
      </c>
    </row>
    <row r="12" spans="1:8" x14ac:dyDescent="0.25">
      <c r="A12" s="23">
        <v>2</v>
      </c>
      <c r="B12" s="21"/>
      <c r="C12" s="24">
        <v>3.4000000000000002E-4</v>
      </c>
      <c r="D12" s="24">
        <v>6.8000000000000005E-4</v>
      </c>
      <c r="E12" s="24">
        <v>3.4000000000000002E-4</v>
      </c>
      <c r="F12" s="24">
        <v>2.5999999999999998E-4</v>
      </c>
      <c r="G12" s="24">
        <v>4.4000000000000002E-4</v>
      </c>
      <c r="H12" s="24">
        <v>2.5999999999999998E-4</v>
      </c>
    </row>
    <row r="13" spans="1:8" x14ac:dyDescent="0.25">
      <c r="A13" s="23">
        <v>3</v>
      </c>
      <c r="B13" s="21"/>
      <c r="C13" s="24">
        <v>2.3000000000000001E-4</v>
      </c>
      <c r="D13" s="24">
        <v>4.6000000000000001E-4</v>
      </c>
      <c r="E13" s="24">
        <v>2.3000000000000001E-4</v>
      </c>
      <c r="F13" s="24">
        <v>1.7000000000000001E-4</v>
      </c>
      <c r="G13" s="24">
        <v>2.9E-4</v>
      </c>
      <c r="H13" s="24">
        <v>1.7000000000000001E-4</v>
      </c>
    </row>
    <row r="14" spans="1:8" x14ac:dyDescent="0.25">
      <c r="A14" s="23">
        <v>4</v>
      </c>
      <c r="B14" s="21"/>
      <c r="C14" s="24">
        <v>1.6000000000000001E-4</v>
      </c>
      <c r="D14" s="24">
        <v>3.2000000000000003E-4</v>
      </c>
      <c r="E14" s="24">
        <v>1.6000000000000001E-4</v>
      </c>
      <c r="F14" s="24">
        <v>1.3999999999999999E-4</v>
      </c>
      <c r="G14" s="24">
        <v>2.4000000000000001E-4</v>
      </c>
      <c r="H14" s="24">
        <v>1.3999999999999999E-4</v>
      </c>
    </row>
    <row r="15" spans="1:8" x14ac:dyDescent="0.25">
      <c r="A15" s="23">
        <v>5</v>
      </c>
      <c r="B15" s="21"/>
      <c r="C15" s="24">
        <v>1.3999999999999999E-4</v>
      </c>
      <c r="D15" s="24">
        <v>2.7999999999999998E-4</v>
      </c>
      <c r="E15" s="24">
        <v>1.3999999999999999E-4</v>
      </c>
      <c r="F15" s="24">
        <v>1.2E-4</v>
      </c>
      <c r="G15" s="24">
        <v>2.0000000000000001E-4</v>
      </c>
      <c r="H15" s="24">
        <v>1.2E-4</v>
      </c>
    </row>
    <row r="16" spans="1:8" x14ac:dyDescent="0.25">
      <c r="A16" s="23">
        <v>6</v>
      </c>
      <c r="B16" s="21"/>
      <c r="C16" s="24">
        <v>1.2999999999999999E-4</v>
      </c>
      <c r="D16" s="24">
        <v>2.5999999999999998E-4</v>
      </c>
      <c r="E16" s="24">
        <v>1.2999999999999999E-4</v>
      </c>
      <c r="F16" s="24">
        <v>1.1E-4</v>
      </c>
      <c r="G16" s="24">
        <v>1.9000000000000001E-4</v>
      </c>
      <c r="H16" s="24">
        <v>1.1E-4</v>
      </c>
    </row>
    <row r="17" spans="1:8" x14ac:dyDescent="0.25">
      <c r="A17" s="23">
        <v>7</v>
      </c>
      <c r="B17" s="21"/>
      <c r="C17" s="24">
        <v>1.2E-4</v>
      </c>
      <c r="D17" s="24">
        <v>2.4000000000000001E-4</v>
      </c>
      <c r="E17" s="24">
        <v>1.2E-4</v>
      </c>
      <c r="F17" s="24">
        <v>1E-4</v>
      </c>
      <c r="G17" s="24">
        <v>1.7000000000000001E-4</v>
      </c>
      <c r="H17" s="24">
        <v>1E-4</v>
      </c>
    </row>
    <row r="18" spans="1:8" x14ac:dyDescent="0.25">
      <c r="A18" s="23">
        <v>8</v>
      </c>
      <c r="B18" s="21"/>
      <c r="C18" s="24">
        <v>1.1E-4</v>
      </c>
      <c r="D18" s="24">
        <v>2.2000000000000001E-4</v>
      </c>
      <c r="E18" s="24">
        <v>1.1E-4</v>
      </c>
      <c r="F18" s="24">
        <v>9.0000000000000006E-5</v>
      </c>
      <c r="G18" s="24">
        <v>1.4999999999999999E-4</v>
      </c>
      <c r="H18" s="24">
        <v>9.0000000000000006E-5</v>
      </c>
    </row>
    <row r="19" spans="1:8" x14ac:dyDescent="0.25">
      <c r="A19" s="23">
        <v>9</v>
      </c>
      <c r="B19" s="21"/>
      <c r="C19" s="24">
        <v>1E-4</v>
      </c>
      <c r="D19" s="24">
        <v>2.0000000000000001E-4</v>
      </c>
      <c r="E19" s="24">
        <v>1E-4</v>
      </c>
      <c r="F19" s="24">
        <v>8.0000000000000007E-5</v>
      </c>
      <c r="G19" s="24">
        <v>1.3999999999999999E-4</v>
      </c>
      <c r="H19" s="24">
        <v>8.0000000000000007E-5</v>
      </c>
    </row>
    <row r="20" spans="1:8" x14ac:dyDescent="0.25">
      <c r="A20" s="23">
        <v>10</v>
      </c>
      <c r="B20" s="21"/>
      <c r="C20" s="24">
        <v>1E-4</v>
      </c>
      <c r="D20" s="24">
        <v>2.0000000000000001E-4</v>
      </c>
      <c r="E20" s="24">
        <v>1E-4</v>
      </c>
      <c r="F20" s="24">
        <v>6.9999999999999994E-5</v>
      </c>
      <c r="G20" s="24">
        <v>1.2E-4</v>
      </c>
      <c r="H20" s="24">
        <v>6.9999999999999994E-5</v>
      </c>
    </row>
    <row r="21" spans="1:8" x14ac:dyDescent="0.25">
      <c r="A21" s="23">
        <v>11</v>
      </c>
      <c r="B21" s="21"/>
      <c r="C21" s="24">
        <v>1.1E-4</v>
      </c>
      <c r="D21" s="24">
        <v>2.2000000000000001E-4</v>
      </c>
      <c r="E21" s="24">
        <v>1.1E-4</v>
      </c>
      <c r="F21" s="24">
        <v>6.9999999999999994E-5</v>
      </c>
      <c r="G21" s="24">
        <v>1.2E-4</v>
      </c>
      <c r="H21" s="24">
        <v>6.9999999999999994E-5</v>
      </c>
    </row>
    <row r="22" spans="1:8" x14ac:dyDescent="0.25">
      <c r="A22" s="23">
        <v>12</v>
      </c>
      <c r="B22" s="21"/>
      <c r="C22" s="24">
        <v>1.2E-4</v>
      </c>
      <c r="D22" s="24">
        <v>2.4000000000000001E-4</v>
      </c>
      <c r="E22" s="24">
        <v>1.2E-4</v>
      </c>
      <c r="F22" s="24">
        <v>8.0000000000000007E-5</v>
      </c>
      <c r="G22" s="24">
        <v>1.3999999999999999E-4</v>
      </c>
      <c r="H22" s="24">
        <v>8.0000000000000007E-5</v>
      </c>
    </row>
    <row r="23" spans="1:8" x14ac:dyDescent="0.25">
      <c r="A23" s="23">
        <v>13</v>
      </c>
      <c r="B23" s="21"/>
      <c r="C23" s="24">
        <v>1.2999999999999999E-4</v>
      </c>
      <c r="D23" s="24">
        <v>2.5999999999999998E-4</v>
      </c>
      <c r="E23" s="24">
        <v>1.2999999999999999E-4</v>
      </c>
      <c r="F23" s="24">
        <v>9.0000000000000006E-5</v>
      </c>
      <c r="G23" s="24">
        <v>1.4999999999999999E-4</v>
      </c>
      <c r="H23" s="24">
        <v>9.0000000000000006E-5</v>
      </c>
    </row>
    <row r="24" spans="1:8" x14ac:dyDescent="0.25">
      <c r="A24" s="23">
        <v>14</v>
      </c>
      <c r="B24" s="21"/>
      <c r="C24" s="24">
        <v>1.4999999999999999E-4</v>
      </c>
      <c r="D24" s="24">
        <v>2.9999999999999997E-4</v>
      </c>
      <c r="E24" s="24">
        <v>1.4999999999999999E-4</v>
      </c>
      <c r="F24" s="24">
        <v>1.2E-4</v>
      </c>
      <c r="G24" s="24">
        <v>2.0000000000000001E-4</v>
      </c>
      <c r="H24" s="24">
        <v>1.2E-4</v>
      </c>
    </row>
    <row r="25" spans="1:8" x14ac:dyDescent="0.25">
      <c r="A25" s="23">
        <v>15</v>
      </c>
      <c r="B25" s="21"/>
      <c r="C25" s="24">
        <v>1.9000000000000001E-4</v>
      </c>
      <c r="D25" s="24">
        <v>3.8000000000000002E-4</v>
      </c>
      <c r="E25" s="24">
        <v>1.9000000000000001E-4</v>
      </c>
      <c r="F25" s="24">
        <v>1.6000000000000001E-4</v>
      </c>
      <c r="G25" s="24">
        <v>2.7E-4</v>
      </c>
      <c r="H25" s="24">
        <v>1.6000000000000001E-4</v>
      </c>
    </row>
    <row r="26" spans="1:8" x14ac:dyDescent="0.25">
      <c r="A26" s="23">
        <v>16</v>
      </c>
      <c r="B26" s="21"/>
      <c r="C26" s="24">
        <v>2.7999999999999998E-4</v>
      </c>
      <c r="D26" s="24">
        <v>5.5999999999999995E-4</v>
      </c>
      <c r="E26" s="24">
        <v>2.9E-4</v>
      </c>
      <c r="F26" s="24">
        <v>2.0000000000000001E-4</v>
      </c>
      <c r="G26" s="24">
        <v>3.4000000000000002E-4</v>
      </c>
      <c r="H26" s="24">
        <v>2.0000000000000001E-4</v>
      </c>
    </row>
    <row r="27" spans="1:8" x14ac:dyDescent="0.25">
      <c r="A27" s="23">
        <v>17</v>
      </c>
      <c r="B27" s="21"/>
      <c r="C27" s="24">
        <v>4.0999999999999999E-4</v>
      </c>
      <c r="D27" s="24">
        <v>8.1999999999999998E-4</v>
      </c>
      <c r="E27" s="24">
        <v>4.2999999999999999E-4</v>
      </c>
      <c r="F27" s="24">
        <v>2.3000000000000001E-4</v>
      </c>
      <c r="G27" s="24">
        <v>3.8999999999999999E-4</v>
      </c>
      <c r="H27" s="24">
        <v>2.4000000000000001E-4</v>
      </c>
    </row>
    <row r="28" spans="1:8" x14ac:dyDescent="0.25">
      <c r="A28" s="23">
        <v>18</v>
      </c>
      <c r="B28" s="21"/>
      <c r="C28" s="24">
        <v>4.4999999999999999E-4</v>
      </c>
      <c r="D28" s="24">
        <v>8.9999999999999998E-4</v>
      </c>
      <c r="E28" s="24">
        <v>4.8000000000000001E-4</v>
      </c>
      <c r="F28" s="24">
        <v>2.5000000000000001E-4</v>
      </c>
      <c r="G28" s="24">
        <v>4.2999999999999999E-4</v>
      </c>
      <c r="H28" s="24">
        <v>2.7E-4</v>
      </c>
    </row>
    <row r="29" spans="1:8" x14ac:dyDescent="0.25">
      <c r="A29" s="23">
        <v>19</v>
      </c>
      <c r="B29" s="21"/>
      <c r="C29" s="24">
        <v>5.2999999999999998E-4</v>
      </c>
      <c r="D29" s="24">
        <v>1.06E-3</v>
      </c>
      <c r="E29" s="24">
        <v>5.8E-4</v>
      </c>
      <c r="F29" s="24">
        <v>2.5000000000000001E-4</v>
      </c>
      <c r="G29" s="24">
        <v>4.2999999999999999E-4</v>
      </c>
      <c r="H29" s="24">
        <v>2.7999999999999998E-4</v>
      </c>
    </row>
    <row r="30" spans="1:8" x14ac:dyDescent="0.25">
      <c r="A30" s="23">
        <v>20</v>
      </c>
      <c r="B30" s="21"/>
      <c r="C30" s="24">
        <v>5.9999999999999995E-4</v>
      </c>
      <c r="D30" s="24">
        <v>1.1999999999999999E-3</v>
      </c>
      <c r="E30" s="24">
        <v>6.7000000000000002E-4</v>
      </c>
      <c r="F30" s="24">
        <v>2.4000000000000001E-4</v>
      </c>
      <c r="G30" s="24">
        <v>4.0999999999999999E-4</v>
      </c>
      <c r="H30" s="24">
        <v>2.7999999999999998E-4</v>
      </c>
    </row>
    <row r="31" spans="1:8" x14ac:dyDescent="0.25">
      <c r="A31" s="23">
        <v>21</v>
      </c>
      <c r="B31" s="21"/>
      <c r="C31" s="24">
        <v>6.0999999999999997E-4</v>
      </c>
      <c r="D31" s="24">
        <v>1.2199999999999999E-3</v>
      </c>
      <c r="E31" s="24">
        <v>6.9999999999999999E-4</v>
      </c>
      <c r="F31" s="24">
        <v>2.4000000000000001E-4</v>
      </c>
      <c r="G31" s="24">
        <v>4.0999999999999999E-4</v>
      </c>
      <c r="H31" s="24">
        <v>2.7999999999999998E-4</v>
      </c>
    </row>
    <row r="32" spans="1:8" x14ac:dyDescent="0.25">
      <c r="A32" s="23">
        <v>22</v>
      </c>
      <c r="B32" s="21"/>
      <c r="C32" s="24">
        <v>5.9999999999999995E-4</v>
      </c>
      <c r="D32" s="24">
        <v>1.1999999999999999E-3</v>
      </c>
      <c r="E32" s="24">
        <v>6.9999999999999999E-4</v>
      </c>
      <c r="F32" s="24">
        <v>2.2000000000000001E-4</v>
      </c>
      <c r="G32" s="24">
        <v>3.6999999999999999E-4</v>
      </c>
      <c r="H32" s="24">
        <v>2.7E-4</v>
      </c>
    </row>
    <row r="33" spans="1:8" x14ac:dyDescent="0.25">
      <c r="A33" s="23">
        <v>23</v>
      </c>
      <c r="B33" s="21"/>
      <c r="C33" s="24">
        <v>5.6999999999999998E-4</v>
      </c>
      <c r="D33" s="24">
        <v>1.14E-3</v>
      </c>
      <c r="E33" s="24">
        <v>6.8999999999999997E-4</v>
      </c>
      <c r="F33" s="24">
        <v>2.1000000000000001E-4</v>
      </c>
      <c r="G33" s="24">
        <v>3.6000000000000002E-4</v>
      </c>
      <c r="H33" s="24">
        <v>2.5999999999999998E-4</v>
      </c>
    </row>
    <row r="34" spans="1:8" x14ac:dyDescent="0.25">
      <c r="A34" s="23">
        <v>24</v>
      </c>
      <c r="B34" s="21"/>
      <c r="C34" s="24">
        <v>5.5000000000000003E-4</v>
      </c>
      <c r="D34" s="24">
        <v>1.1000000000000001E-3</v>
      </c>
      <c r="E34" s="24">
        <v>6.8000000000000005E-4</v>
      </c>
      <c r="F34" s="24">
        <v>1.9000000000000001E-4</v>
      </c>
      <c r="G34" s="24">
        <v>3.2000000000000003E-4</v>
      </c>
      <c r="H34" s="24">
        <v>2.4000000000000001E-4</v>
      </c>
    </row>
    <row r="35" spans="1:8" x14ac:dyDescent="0.25">
      <c r="A35" s="23">
        <v>25</v>
      </c>
      <c r="B35" s="21"/>
      <c r="C35" s="24">
        <v>5.2999999999999998E-4</v>
      </c>
      <c r="D35" s="24">
        <v>1.06E-3</v>
      </c>
      <c r="E35" s="24">
        <v>6.6E-4</v>
      </c>
      <c r="F35" s="24">
        <v>1.7000000000000001E-4</v>
      </c>
      <c r="G35" s="24">
        <v>2.9E-4</v>
      </c>
      <c r="H35" s="24">
        <v>2.2000000000000001E-4</v>
      </c>
    </row>
    <row r="36" spans="1:8" x14ac:dyDescent="0.25">
      <c r="A36" s="23">
        <v>26</v>
      </c>
      <c r="B36" s="21"/>
      <c r="C36" s="24">
        <v>5.0000000000000001E-4</v>
      </c>
      <c r="D36" s="24">
        <v>1E-3</v>
      </c>
      <c r="E36" s="24">
        <v>6.4000000000000005E-4</v>
      </c>
      <c r="F36" s="24">
        <v>1.6000000000000001E-4</v>
      </c>
      <c r="G36" s="24">
        <v>2.7E-4</v>
      </c>
      <c r="H36" s="24">
        <v>2.1000000000000001E-4</v>
      </c>
    </row>
    <row r="37" spans="1:8" x14ac:dyDescent="0.25">
      <c r="A37" s="23">
        <v>27</v>
      </c>
      <c r="B37" s="21"/>
      <c r="C37" s="24">
        <v>4.8000000000000001E-4</v>
      </c>
      <c r="D37" s="24">
        <v>9.6000000000000002E-4</v>
      </c>
      <c r="E37" s="24">
        <v>6.2E-4</v>
      </c>
      <c r="F37" s="24">
        <v>1.6000000000000001E-4</v>
      </c>
      <c r="G37" s="24">
        <v>2.7E-4</v>
      </c>
      <c r="H37" s="24">
        <v>2.1000000000000001E-4</v>
      </c>
    </row>
    <row r="38" spans="1:8" x14ac:dyDescent="0.25">
      <c r="A38" s="23">
        <v>28</v>
      </c>
      <c r="B38" s="21"/>
      <c r="C38" s="24">
        <v>4.6000000000000001E-4</v>
      </c>
      <c r="D38" s="24">
        <v>9.2000000000000003E-4</v>
      </c>
      <c r="E38" s="24">
        <v>5.9999999999999995E-4</v>
      </c>
      <c r="F38" s="24">
        <v>1.7000000000000001E-4</v>
      </c>
      <c r="G38" s="24">
        <v>2.9E-4</v>
      </c>
      <c r="H38" s="24">
        <v>2.2000000000000001E-4</v>
      </c>
    </row>
    <row r="39" spans="1:8" x14ac:dyDescent="0.25">
      <c r="A39" s="23">
        <v>29</v>
      </c>
      <c r="B39" s="21"/>
      <c r="C39" s="24">
        <v>4.4999999999999999E-4</v>
      </c>
      <c r="D39" s="24">
        <v>8.9999999999999998E-4</v>
      </c>
      <c r="E39" s="24">
        <v>5.8E-4</v>
      </c>
      <c r="F39" s="24">
        <v>1.9000000000000001E-4</v>
      </c>
      <c r="G39" s="24">
        <v>3.2000000000000003E-4</v>
      </c>
      <c r="H39" s="24">
        <v>2.4000000000000001E-4</v>
      </c>
    </row>
    <row r="40" spans="1:8" x14ac:dyDescent="0.25">
      <c r="A40" s="23">
        <v>30</v>
      </c>
      <c r="B40" s="21"/>
      <c r="C40" s="24">
        <v>4.2999999999999999E-4</v>
      </c>
      <c r="D40" s="24">
        <v>8.5999999999999998E-4</v>
      </c>
      <c r="E40" s="24">
        <v>5.5999999999999995E-4</v>
      </c>
      <c r="F40" s="24">
        <v>2.1000000000000001E-4</v>
      </c>
      <c r="G40" s="24">
        <v>3.6000000000000002E-4</v>
      </c>
      <c r="H40" s="24">
        <v>2.5999999999999998E-4</v>
      </c>
    </row>
    <row r="41" spans="1:8" x14ac:dyDescent="0.25">
      <c r="A41" s="23">
        <v>31</v>
      </c>
      <c r="B41" s="21"/>
      <c r="C41" s="24">
        <v>4.2000000000000002E-4</v>
      </c>
      <c r="D41" s="24">
        <v>8.4000000000000003E-4</v>
      </c>
      <c r="E41" s="24">
        <v>5.5000000000000003E-4</v>
      </c>
      <c r="F41" s="24">
        <v>2.3000000000000001E-4</v>
      </c>
      <c r="G41" s="24">
        <v>3.8999999999999999E-4</v>
      </c>
      <c r="H41" s="24">
        <v>2.9E-4</v>
      </c>
    </row>
    <row r="42" spans="1:8" x14ac:dyDescent="0.25">
      <c r="A42" s="23">
        <v>32</v>
      </c>
      <c r="B42" s="21"/>
      <c r="C42" s="24">
        <v>4.0999999999999999E-4</v>
      </c>
      <c r="D42" s="24">
        <v>8.1999999999999998E-4</v>
      </c>
      <c r="E42" s="24">
        <v>5.4000000000000001E-4</v>
      </c>
      <c r="F42" s="24">
        <v>2.5000000000000001E-4</v>
      </c>
      <c r="G42" s="24">
        <v>4.2999999999999999E-4</v>
      </c>
      <c r="H42" s="24">
        <v>3.1E-4</v>
      </c>
    </row>
    <row r="43" spans="1:8" x14ac:dyDescent="0.25">
      <c r="A43" s="23">
        <v>33</v>
      </c>
      <c r="B43" s="21"/>
      <c r="C43" s="24">
        <v>4.0000000000000002E-4</v>
      </c>
      <c r="D43" s="24">
        <v>8.0000000000000004E-4</v>
      </c>
      <c r="E43" s="24">
        <v>5.2999999999999998E-4</v>
      </c>
      <c r="F43" s="24">
        <v>2.7E-4</v>
      </c>
      <c r="G43" s="24">
        <v>4.6000000000000001E-4</v>
      </c>
      <c r="H43" s="24">
        <v>3.3E-4</v>
      </c>
    </row>
    <row r="44" spans="1:8" x14ac:dyDescent="0.25">
      <c r="A44" s="23">
        <v>34</v>
      </c>
      <c r="B44" s="21"/>
      <c r="C44" s="24">
        <v>4.0999999999999999E-4</v>
      </c>
      <c r="D44" s="24">
        <v>8.1999999999999998E-4</v>
      </c>
      <c r="E44" s="24">
        <v>5.2999999999999998E-4</v>
      </c>
      <c r="F44" s="24">
        <v>2.9999999999999997E-4</v>
      </c>
      <c r="G44" s="24">
        <v>5.1000000000000004E-4</v>
      </c>
      <c r="H44" s="24">
        <v>3.6000000000000002E-4</v>
      </c>
    </row>
    <row r="45" spans="1:8" x14ac:dyDescent="0.25">
      <c r="A45" s="23">
        <v>35</v>
      </c>
      <c r="B45" s="21"/>
      <c r="C45" s="24">
        <v>4.2000000000000002E-4</v>
      </c>
      <c r="D45" s="24">
        <v>8.4000000000000003E-4</v>
      </c>
      <c r="E45" s="24">
        <v>5.4000000000000001E-4</v>
      </c>
      <c r="F45" s="24">
        <v>3.2000000000000003E-4</v>
      </c>
      <c r="G45" s="24">
        <v>5.4000000000000001E-4</v>
      </c>
      <c r="H45" s="24">
        <v>3.8000000000000002E-4</v>
      </c>
    </row>
    <row r="46" spans="1:8" x14ac:dyDescent="0.25">
      <c r="A46" s="23">
        <v>36</v>
      </c>
      <c r="B46" s="21"/>
      <c r="C46" s="24">
        <v>4.2999999999999999E-4</v>
      </c>
      <c r="D46" s="24">
        <v>8.5999999999999998E-4</v>
      </c>
      <c r="E46" s="24">
        <v>5.5000000000000003E-4</v>
      </c>
      <c r="F46" s="24">
        <v>3.4000000000000002E-4</v>
      </c>
      <c r="G46" s="24">
        <v>5.8E-4</v>
      </c>
      <c r="H46" s="24">
        <v>4.0000000000000002E-4</v>
      </c>
    </row>
    <row r="47" spans="1:8" x14ac:dyDescent="0.25">
      <c r="A47" s="23">
        <v>37</v>
      </c>
      <c r="B47" s="21"/>
      <c r="C47" s="24">
        <v>4.4999999999999999E-4</v>
      </c>
      <c r="D47" s="24">
        <v>8.9999999999999998E-4</v>
      </c>
      <c r="E47" s="24">
        <v>5.8E-4</v>
      </c>
      <c r="F47" s="24">
        <v>3.6999999999999999E-4</v>
      </c>
      <c r="G47" s="24">
        <v>6.3000000000000003E-4</v>
      </c>
      <c r="H47" s="24">
        <v>4.2000000000000002E-4</v>
      </c>
    </row>
    <row r="48" spans="1:8" x14ac:dyDescent="0.25">
      <c r="A48" s="23">
        <v>38</v>
      </c>
      <c r="B48" s="21"/>
      <c r="C48" s="24">
        <v>4.8999999999999998E-4</v>
      </c>
      <c r="D48" s="24">
        <v>9.7999999999999997E-4</v>
      </c>
      <c r="E48" s="24">
        <v>6.2E-4</v>
      </c>
      <c r="F48" s="24">
        <v>4.0000000000000002E-4</v>
      </c>
      <c r="G48" s="24">
        <v>6.8000000000000005E-4</v>
      </c>
      <c r="H48" s="24">
        <v>4.4999999999999999E-4</v>
      </c>
    </row>
    <row r="49" spans="1:8" x14ac:dyDescent="0.25">
      <c r="A49" s="23">
        <v>39</v>
      </c>
      <c r="B49" s="21"/>
      <c r="C49" s="24">
        <v>5.2999999999999998E-4</v>
      </c>
      <c r="D49" s="24">
        <v>1.06E-3</v>
      </c>
      <c r="E49" s="24">
        <v>6.7000000000000002E-4</v>
      </c>
      <c r="F49" s="24">
        <v>4.2999999999999999E-4</v>
      </c>
      <c r="G49" s="24">
        <v>7.2999999999999996E-4</v>
      </c>
      <c r="H49" s="24">
        <v>4.8999999999999998E-4</v>
      </c>
    </row>
    <row r="50" spans="1:8" x14ac:dyDescent="0.25">
      <c r="A50" s="23">
        <v>40</v>
      </c>
      <c r="B50" s="21"/>
      <c r="C50" s="24">
        <v>5.8E-4</v>
      </c>
      <c r="D50" s="24">
        <v>1.16E-3</v>
      </c>
      <c r="E50" s="24">
        <v>7.2999999999999996E-4</v>
      </c>
      <c r="F50" s="24">
        <v>4.6999999999999999E-4</v>
      </c>
      <c r="G50" s="24">
        <v>8.0000000000000004E-4</v>
      </c>
      <c r="H50" s="24">
        <v>5.2999999999999998E-4</v>
      </c>
    </row>
    <row r="51" spans="1:8" x14ac:dyDescent="0.25">
      <c r="A51" s="23">
        <v>41</v>
      </c>
      <c r="B51" s="21"/>
      <c r="C51" s="24">
        <v>6.3000000000000003E-4</v>
      </c>
      <c r="D51" s="24">
        <v>1.2600000000000001E-3</v>
      </c>
      <c r="E51" s="24">
        <v>7.7999999999999999E-4</v>
      </c>
      <c r="F51" s="24">
        <v>5.1000000000000004E-4</v>
      </c>
      <c r="G51" s="24">
        <v>8.7000000000000001E-4</v>
      </c>
      <c r="H51" s="24">
        <v>5.6999999999999998E-4</v>
      </c>
    </row>
    <row r="52" spans="1:8" x14ac:dyDescent="0.25">
      <c r="A52" s="23">
        <v>42</v>
      </c>
      <c r="B52" s="21"/>
      <c r="C52" s="24">
        <v>6.8000000000000005E-4</v>
      </c>
      <c r="D52" s="24">
        <v>1.3600000000000001E-3</v>
      </c>
      <c r="E52" s="24">
        <v>8.4000000000000003E-4</v>
      </c>
      <c r="F52" s="24">
        <v>5.5000000000000003E-4</v>
      </c>
      <c r="G52" s="24">
        <v>9.3999999999999997E-4</v>
      </c>
      <c r="H52" s="24">
        <v>6.0999999999999997E-4</v>
      </c>
    </row>
    <row r="53" spans="1:8" x14ac:dyDescent="0.25">
      <c r="A53" s="23">
        <v>43</v>
      </c>
      <c r="B53" s="21"/>
      <c r="C53" s="24">
        <v>7.3999999999999999E-4</v>
      </c>
      <c r="D53" s="24">
        <v>1.48E-3</v>
      </c>
      <c r="E53" s="24">
        <v>8.9999999999999998E-4</v>
      </c>
      <c r="F53" s="24">
        <v>5.9000000000000003E-4</v>
      </c>
      <c r="G53" s="24">
        <v>1E-3</v>
      </c>
      <c r="H53" s="24">
        <v>6.4999999999999997E-4</v>
      </c>
    </row>
    <row r="54" spans="1:8" x14ac:dyDescent="0.25">
      <c r="A54" s="23">
        <v>44</v>
      </c>
      <c r="B54" s="21"/>
      <c r="C54" s="24">
        <v>7.9000000000000001E-4</v>
      </c>
      <c r="D54" s="24">
        <v>1.58E-3</v>
      </c>
      <c r="E54" s="24">
        <v>9.6000000000000002E-4</v>
      </c>
      <c r="F54" s="24">
        <v>6.3000000000000003E-4</v>
      </c>
      <c r="G54" s="24">
        <v>1.07E-3</v>
      </c>
      <c r="H54" s="24">
        <v>6.9999999999999999E-4</v>
      </c>
    </row>
    <row r="55" spans="1:8" x14ac:dyDescent="0.25">
      <c r="A55" s="23">
        <v>45</v>
      </c>
      <c r="B55" s="21"/>
      <c r="C55" s="24">
        <v>8.5999999999999998E-4</v>
      </c>
      <c r="D55" s="24">
        <v>1.72E-3</v>
      </c>
      <c r="E55" s="24">
        <v>1.0300000000000001E-3</v>
      </c>
      <c r="F55" s="24">
        <v>6.8999999999999997E-4</v>
      </c>
      <c r="G55" s="24">
        <v>1.17E-3</v>
      </c>
      <c r="H55" s="24">
        <v>7.6000000000000004E-4</v>
      </c>
    </row>
    <row r="56" spans="1:8" x14ac:dyDescent="0.25">
      <c r="A56" s="23">
        <v>46</v>
      </c>
      <c r="B56" s="21"/>
      <c r="C56" s="24">
        <v>9.3000000000000005E-4</v>
      </c>
      <c r="D56" s="24">
        <v>1.8600000000000001E-3</v>
      </c>
      <c r="E56" s="24">
        <v>1.1100000000000001E-3</v>
      </c>
      <c r="F56" s="24">
        <v>7.5000000000000002E-4</v>
      </c>
      <c r="G56" s="24">
        <v>1.2800000000000001E-3</v>
      </c>
      <c r="H56" s="24">
        <v>8.3000000000000001E-4</v>
      </c>
    </row>
    <row r="57" spans="1:8" x14ac:dyDescent="0.25">
      <c r="A57" s="23">
        <v>47</v>
      </c>
      <c r="B57" s="21"/>
      <c r="C57" s="24">
        <v>1.0300000000000001E-3</v>
      </c>
      <c r="D57" s="24">
        <v>2.0600000000000002E-3</v>
      </c>
      <c r="E57" s="24">
        <v>1.2199999999999999E-3</v>
      </c>
      <c r="F57" s="24">
        <v>8.4000000000000003E-4</v>
      </c>
      <c r="G57" s="24">
        <v>1.4300000000000001E-3</v>
      </c>
      <c r="H57" s="24">
        <v>9.2000000000000003E-4</v>
      </c>
    </row>
    <row r="58" spans="1:8" x14ac:dyDescent="0.25">
      <c r="A58" s="23">
        <v>48</v>
      </c>
      <c r="B58" s="21"/>
      <c r="C58" s="24">
        <v>1.15E-3</v>
      </c>
      <c r="D58" s="24">
        <v>2.3E-3</v>
      </c>
      <c r="E58" s="24">
        <v>1.3500000000000001E-3</v>
      </c>
      <c r="F58" s="24">
        <v>9.3000000000000005E-4</v>
      </c>
      <c r="G58" s="24">
        <v>1.58E-3</v>
      </c>
      <c r="H58" s="24">
        <v>1.0200000000000001E-3</v>
      </c>
    </row>
    <row r="59" spans="1:8" x14ac:dyDescent="0.25">
      <c r="A59" s="23">
        <v>49</v>
      </c>
      <c r="B59" s="21"/>
      <c r="C59" s="24">
        <v>1.2800000000000001E-3</v>
      </c>
      <c r="D59" s="24">
        <v>2.5600000000000002E-3</v>
      </c>
      <c r="E59" s="24">
        <v>1.5E-3</v>
      </c>
      <c r="F59" s="24">
        <v>1.0499999999999999E-3</v>
      </c>
      <c r="G59" s="24">
        <v>1.7899999999999999E-3</v>
      </c>
      <c r="H59" s="24">
        <v>1.15E-3</v>
      </c>
    </row>
    <row r="60" spans="1:8" x14ac:dyDescent="0.25">
      <c r="A60" s="23">
        <v>50</v>
      </c>
      <c r="B60" s="29"/>
      <c r="C60" s="32">
        <v>1.42E-3</v>
      </c>
      <c r="D60" s="31">
        <v>2.8400000000000001E-3</v>
      </c>
      <c r="E60" s="32">
        <v>1.66E-3</v>
      </c>
      <c r="F60" s="32">
        <v>1.17E-3</v>
      </c>
      <c r="G60" s="32">
        <v>1.99E-3</v>
      </c>
      <c r="H60" s="36">
        <v>1.2800000000000001E-3</v>
      </c>
    </row>
    <row r="61" spans="1:8" x14ac:dyDescent="0.25">
      <c r="A61" s="23">
        <v>51</v>
      </c>
      <c r="B61" s="21"/>
      <c r="C61" s="24">
        <v>1.56E-3</v>
      </c>
      <c r="D61" s="24">
        <v>3.1199999999999999E-3</v>
      </c>
      <c r="E61" s="24">
        <v>1.82E-3</v>
      </c>
      <c r="F61" s="24">
        <v>1.2899999999999999E-3</v>
      </c>
      <c r="G61" s="24">
        <v>2.1900000000000001E-3</v>
      </c>
      <c r="H61" s="24">
        <v>1.41E-3</v>
      </c>
    </row>
    <row r="62" spans="1:8" x14ac:dyDescent="0.25">
      <c r="A62" s="23">
        <v>52</v>
      </c>
      <c r="B62" s="21"/>
      <c r="C62" s="24">
        <v>1.72E-3</v>
      </c>
      <c r="D62" s="24">
        <v>3.4399999999999999E-3</v>
      </c>
      <c r="E62" s="24">
        <v>2E-3</v>
      </c>
      <c r="F62" s="24">
        <v>1.39E-3</v>
      </c>
      <c r="G62" s="24">
        <v>2.3600000000000001E-3</v>
      </c>
      <c r="H62" s="24">
        <v>1.5200000000000001E-3</v>
      </c>
    </row>
    <row r="63" spans="1:8" x14ac:dyDescent="0.25">
      <c r="A63" s="23">
        <v>53</v>
      </c>
      <c r="B63" s="21"/>
      <c r="C63" s="24">
        <v>1.89E-3</v>
      </c>
      <c r="D63" s="24">
        <v>3.7799999999999999E-3</v>
      </c>
      <c r="E63" s="24">
        <v>2.1900000000000001E-3</v>
      </c>
      <c r="F63" s="24">
        <v>1.49E-3</v>
      </c>
      <c r="G63" s="24">
        <v>2.5300000000000001E-3</v>
      </c>
      <c r="H63" s="24">
        <v>1.6299999999999999E-3</v>
      </c>
    </row>
    <row r="64" spans="1:8" x14ac:dyDescent="0.25">
      <c r="A64" s="23">
        <v>54</v>
      </c>
      <c r="B64" s="21"/>
      <c r="C64" s="24">
        <v>2.0799999999999998E-3</v>
      </c>
      <c r="D64" s="24">
        <v>4.1599999999999996E-3</v>
      </c>
      <c r="E64" s="24">
        <v>2.3999999999999998E-3</v>
      </c>
      <c r="F64" s="24">
        <v>1.57E-3</v>
      </c>
      <c r="G64" s="24">
        <v>2.6700000000000001E-3</v>
      </c>
      <c r="H64" s="24">
        <v>1.72E-3</v>
      </c>
    </row>
    <row r="65" spans="1:8" x14ac:dyDescent="0.25">
      <c r="A65" s="23">
        <v>55</v>
      </c>
      <c r="B65" s="21"/>
      <c r="C65" s="24">
        <v>2.3E-3</v>
      </c>
      <c r="D65" s="24">
        <v>4.5999999999999999E-3</v>
      </c>
      <c r="E65" s="24">
        <v>2.64E-3</v>
      </c>
      <c r="F65" s="24">
        <v>1.66E-3</v>
      </c>
      <c r="G65" s="24">
        <v>2.82E-3</v>
      </c>
      <c r="H65" s="24">
        <v>1.81E-3</v>
      </c>
    </row>
    <row r="66" spans="1:8" x14ac:dyDescent="0.25">
      <c r="A66" s="23">
        <v>56</v>
      </c>
      <c r="B66" s="21"/>
      <c r="C66" s="24">
        <v>2.5500000000000002E-3</v>
      </c>
      <c r="D66" s="24">
        <v>5.1000000000000004E-3</v>
      </c>
      <c r="E66" s="24">
        <v>2.9199999999999999E-3</v>
      </c>
      <c r="F66" s="24">
        <v>1.7899999999999999E-3</v>
      </c>
      <c r="G66" s="24">
        <v>3.0400000000000002E-3</v>
      </c>
      <c r="H66" s="24">
        <v>1.9499999999999999E-3</v>
      </c>
    </row>
    <row r="67" spans="1:8" x14ac:dyDescent="0.25">
      <c r="A67" s="23">
        <v>57</v>
      </c>
      <c r="B67" s="21"/>
      <c r="C67" s="24">
        <v>2.8600000000000001E-3</v>
      </c>
      <c r="D67" s="24">
        <v>5.7200000000000003E-3</v>
      </c>
      <c r="E67" s="24">
        <v>3.2599999999999999E-3</v>
      </c>
      <c r="F67" s="24">
        <v>1.9599999999999999E-3</v>
      </c>
      <c r="G67" s="24">
        <v>3.3300000000000001E-3</v>
      </c>
      <c r="H67" s="24">
        <v>2.1299999999999999E-3</v>
      </c>
    </row>
    <row r="68" spans="1:8" x14ac:dyDescent="0.25">
      <c r="A68" s="23">
        <v>58</v>
      </c>
      <c r="B68" s="21"/>
      <c r="C68" s="24">
        <v>3.2000000000000002E-3</v>
      </c>
      <c r="D68" s="24">
        <v>6.4000000000000003E-3</v>
      </c>
      <c r="E68" s="24">
        <v>3.64E-3</v>
      </c>
      <c r="F68" s="24">
        <v>2.1900000000000001E-3</v>
      </c>
      <c r="G68" s="24">
        <v>3.7200000000000002E-3</v>
      </c>
      <c r="H68" s="24">
        <v>2.3800000000000002E-3</v>
      </c>
    </row>
    <row r="69" spans="1:8" x14ac:dyDescent="0.25">
      <c r="A69" s="23">
        <v>59</v>
      </c>
      <c r="B69" s="21"/>
      <c r="C69" s="24">
        <v>3.5799999999999998E-3</v>
      </c>
      <c r="D69" s="24">
        <v>7.1599999999999997E-3</v>
      </c>
      <c r="E69" s="24">
        <v>4.0499999999999998E-3</v>
      </c>
      <c r="F69" s="24">
        <v>2.48E-3</v>
      </c>
      <c r="G69" s="24">
        <v>4.2199999999999998E-3</v>
      </c>
      <c r="H69" s="24">
        <v>2.6900000000000001E-3</v>
      </c>
    </row>
    <row r="70" spans="1:8" x14ac:dyDescent="0.25">
      <c r="A70" s="23">
        <v>60</v>
      </c>
      <c r="B70" s="21"/>
      <c r="C70" s="24">
        <v>3.9699999999999996E-3</v>
      </c>
      <c r="D70" s="24">
        <v>7.9399999999999991E-3</v>
      </c>
      <c r="E70" s="24">
        <v>4.47E-3</v>
      </c>
      <c r="F70" s="24">
        <v>2.8400000000000001E-3</v>
      </c>
      <c r="G70" s="24">
        <v>4.8300000000000001E-3</v>
      </c>
      <c r="H70" s="24">
        <v>3.0799999999999998E-3</v>
      </c>
    </row>
    <row r="71" spans="1:8" x14ac:dyDescent="0.25">
      <c r="A71" s="23">
        <v>61</v>
      </c>
      <c r="B71" s="21"/>
      <c r="C71" s="24">
        <v>4.3800000000000002E-3</v>
      </c>
      <c r="D71" s="24">
        <v>8.7600000000000004E-3</v>
      </c>
      <c r="E71" s="24">
        <v>4.9100000000000003E-3</v>
      </c>
      <c r="F71" s="24">
        <v>3.2699999999999999E-3</v>
      </c>
      <c r="G71" s="24">
        <v>5.5599999999999998E-3</v>
      </c>
      <c r="H71" s="24">
        <v>3.5300000000000002E-3</v>
      </c>
    </row>
    <row r="72" spans="1:8" x14ac:dyDescent="0.25">
      <c r="A72" s="23">
        <v>62</v>
      </c>
      <c r="B72" s="21"/>
      <c r="C72" s="24">
        <v>4.79E-3</v>
      </c>
      <c r="D72" s="24">
        <v>9.58E-3</v>
      </c>
      <c r="E72" s="24">
        <v>5.3499999999999997E-3</v>
      </c>
      <c r="F72" s="24">
        <v>3.7499999999999999E-3</v>
      </c>
      <c r="G72" s="24">
        <v>6.3800000000000003E-3</v>
      </c>
      <c r="H72" s="24">
        <v>4.0400000000000002E-3</v>
      </c>
    </row>
    <row r="73" spans="1:8" x14ac:dyDescent="0.25">
      <c r="A73" s="23">
        <v>63</v>
      </c>
      <c r="B73" s="21"/>
      <c r="C73" s="24">
        <v>5.2500000000000003E-3</v>
      </c>
      <c r="D73" s="24">
        <v>1.0500000000000001E-2</v>
      </c>
      <c r="E73" s="24">
        <v>5.8300000000000001E-3</v>
      </c>
      <c r="F73" s="24">
        <v>4.28E-3</v>
      </c>
      <c r="G73" s="24">
        <v>7.28E-3</v>
      </c>
      <c r="H73" s="24">
        <v>4.5999999999999999E-3</v>
      </c>
    </row>
    <row r="74" spans="1:8" x14ac:dyDescent="0.25">
      <c r="A74" s="23">
        <v>64</v>
      </c>
      <c r="B74" s="21"/>
      <c r="C74" s="24">
        <v>5.79E-3</v>
      </c>
      <c r="D74" s="24">
        <v>1.158E-2</v>
      </c>
      <c r="E74" s="24">
        <v>6.4000000000000003E-3</v>
      </c>
      <c r="F74" s="24">
        <v>4.8599999999999997E-3</v>
      </c>
      <c r="G74" s="24">
        <v>8.26E-3</v>
      </c>
      <c r="H74" s="24">
        <v>5.2100000000000002E-3</v>
      </c>
    </row>
    <row r="75" spans="1:8" x14ac:dyDescent="0.25">
      <c r="A75" s="23">
        <v>65</v>
      </c>
      <c r="B75" s="21"/>
      <c r="C75" s="24">
        <v>6.4599999999999996E-3</v>
      </c>
      <c r="D75" s="24">
        <v>1.2919999999999999E-2</v>
      </c>
      <c r="E75" s="24">
        <v>7.11E-3</v>
      </c>
      <c r="F75" s="24">
        <v>5.4900000000000001E-3</v>
      </c>
      <c r="G75" s="24">
        <v>9.3299999999999998E-3</v>
      </c>
      <c r="H75" s="24">
        <v>5.8700000000000002E-3</v>
      </c>
    </row>
    <row r="76" spans="1:8" x14ac:dyDescent="0.25">
      <c r="A76" s="23">
        <v>66</v>
      </c>
      <c r="B76" s="21"/>
      <c r="C76" s="24">
        <v>7.3200000000000001E-3</v>
      </c>
      <c r="D76" s="24">
        <v>1.464E-2</v>
      </c>
      <c r="E76" s="24">
        <v>8.0099999999999998E-3</v>
      </c>
      <c r="F76" s="24">
        <v>6.1599999999999997E-3</v>
      </c>
      <c r="G76" s="24">
        <v>1.047E-2</v>
      </c>
      <c r="H76" s="24">
        <v>6.5700000000000003E-3</v>
      </c>
    </row>
    <row r="77" spans="1:8" x14ac:dyDescent="0.25">
      <c r="A77" s="23">
        <v>67</v>
      </c>
      <c r="B77" s="21"/>
      <c r="C77" s="24">
        <v>8.4200000000000004E-3</v>
      </c>
      <c r="D77" s="24">
        <v>1.6840000000000001E-2</v>
      </c>
      <c r="E77" s="24">
        <v>9.1699999999999993E-3</v>
      </c>
      <c r="F77" s="24">
        <v>6.9100000000000003E-3</v>
      </c>
      <c r="G77" s="24">
        <v>1.175E-2</v>
      </c>
      <c r="H77" s="24">
        <v>7.3499999999999998E-3</v>
      </c>
    </row>
    <row r="78" spans="1:8" x14ac:dyDescent="0.25">
      <c r="A78" s="23">
        <v>68</v>
      </c>
      <c r="B78" s="21"/>
      <c r="C78" s="24">
        <v>9.7699999999999992E-3</v>
      </c>
      <c r="D78" s="24">
        <v>1.9539999999999998E-2</v>
      </c>
      <c r="E78" s="24">
        <v>1.0580000000000001E-2</v>
      </c>
      <c r="F78" s="24">
        <v>7.7299999999999999E-3</v>
      </c>
      <c r="G78" s="24">
        <v>1.3140000000000001E-2</v>
      </c>
      <c r="H78" s="24">
        <v>8.1899999999999994E-3</v>
      </c>
    </row>
    <row r="79" spans="1:8" x14ac:dyDescent="0.25">
      <c r="A79" s="23">
        <v>69</v>
      </c>
      <c r="B79" s="21"/>
      <c r="C79" s="24">
        <v>1.136E-2</v>
      </c>
      <c r="D79" s="24">
        <v>2.2720000000000001E-2</v>
      </c>
      <c r="E79" s="24">
        <v>1.2239999999999999E-2</v>
      </c>
      <c r="F79" s="24">
        <v>8.6499999999999997E-3</v>
      </c>
      <c r="G79" s="24">
        <v>1.4710000000000001E-2</v>
      </c>
      <c r="H79" s="24">
        <v>9.1299999999999992E-3</v>
      </c>
    </row>
    <row r="80" spans="1:8" x14ac:dyDescent="0.25">
      <c r="A80" s="23">
        <v>70</v>
      </c>
      <c r="B80" s="21"/>
      <c r="C80" s="24">
        <v>1.321E-2</v>
      </c>
      <c r="D80" s="24">
        <v>2.6419999999999999E-2</v>
      </c>
      <c r="E80" s="24">
        <v>1.4160000000000001E-2</v>
      </c>
      <c r="F80" s="24">
        <v>9.6699999999999998E-3</v>
      </c>
      <c r="G80" s="24">
        <v>1.644E-2</v>
      </c>
      <c r="H80" s="24">
        <v>1.017E-2</v>
      </c>
    </row>
    <row r="81" spans="1:8" x14ac:dyDescent="0.25">
      <c r="A81" s="23">
        <v>71</v>
      </c>
      <c r="B81" s="21"/>
      <c r="C81" s="24">
        <v>1.5350000000000001E-2</v>
      </c>
      <c r="D81" s="24">
        <v>3.0700000000000002E-2</v>
      </c>
      <c r="E81" s="24">
        <v>1.6379999999999999E-2</v>
      </c>
      <c r="F81" s="24">
        <v>1.0829999999999999E-2</v>
      </c>
      <c r="G81" s="24">
        <v>1.8409999999999999E-2</v>
      </c>
      <c r="H81" s="24">
        <v>1.1350000000000001E-2</v>
      </c>
    </row>
    <row r="82" spans="1:8" x14ac:dyDescent="0.25">
      <c r="A82" s="23">
        <v>72</v>
      </c>
      <c r="B82" s="21"/>
      <c r="C82" s="24">
        <v>1.78E-2</v>
      </c>
      <c r="D82" s="24">
        <v>3.56E-2</v>
      </c>
      <c r="E82" s="24">
        <v>1.891E-2</v>
      </c>
      <c r="F82" s="24">
        <v>1.2160000000000001E-2</v>
      </c>
      <c r="G82" s="24">
        <v>2.0670000000000001E-2</v>
      </c>
      <c r="H82" s="24">
        <v>1.2699999999999999E-2</v>
      </c>
    </row>
    <row r="83" spans="1:8" x14ac:dyDescent="0.25">
      <c r="A83" s="23">
        <v>73</v>
      </c>
      <c r="B83" s="21"/>
      <c r="C83" s="24">
        <v>2.0480000000000002E-2</v>
      </c>
      <c r="D83" s="24">
        <v>4.0960000000000003E-2</v>
      </c>
      <c r="E83" s="24">
        <v>2.1659999999999999E-2</v>
      </c>
      <c r="F83" s="24">
        <v>1.3690000000000001E-2</v>
      </c>
      <c r="G83" s="24">
        <v>2.3269999999999999E-2</v>
      </c>
      <c r="H83" s="24">
        <v>1.4250000000000001E-2</v>
      </c>
    </row>
    <row r="84" spans="1:8" x14ac:dyDescent="0.25">
      <c r="A84" s="23">
        <v>74</v>
      </c>
      <c r="B84" s="21"/>
      <c r="C84" s="24">
        <v>2.341E-2</v>
      </c>
      <c r="D84" s="24">
        <v>4.6820000000000001E-2</v>
      </c>
      <c r="E84" s="24">
        <v>2.4670000000000001E-2</v>
      </c>
      <c r="F84" s="24">
        <v>1.5469999999999999E-2</v>
      </c>
      <c r="G84" s="24">
        <v>2.63E-2</v>
      </c>
      <c r="H84" s="24">
        <v>1.6049999999999998E-2</v>
      </c>
    </row>
    <row r="85" spans="1:8" x14ac:dyDescent="0.25">
      <c r="A85" s="23">
        <v>75</v>
      </c>
      <c r="B85" s="21"/>
      <c r="C85" s="24">
        <v>2.674E-2</v>
      </c>
      <c r="D85" s="24">
        <v>5.348E-2</v>
      </c>
      <c r="E85" s="24">
        <v>2.8080000000000001E-2</v>
      </c>
      <c r="F85" s="24">
        <v>1.7510000000000001E-2</v>
      </c>
      <c r="G85" s="24">
        <v>2.9770000000000001E-2</v>
      </c>
      <c r="H85" s="24">
        <v>1.8120000000000001E-2</v>
      </c>
    </row>
    <row r="86" spans="1:8" x14ac:dyDescent="0.25">
      <c r="A86" s="23">
        <v>76</v>
      </c>
      <c r="B86" s="21"/>
      <c r="C86" s="24">
        <v>3.0630000000000001E-2</v>
      </c>
      <c r="D86" s="24">
        <v>6.0339999999999998E-2</v>
      </c>
      <c r="E86" s="24">
        <v>3.202E-2</v>
      </c>
      <c r="F86" s="24">
        <v>1.985E-2</v>
      </c>
      <c r="G86" s="24">
        <v>3.3390000000000003E-2</v>
      </c>
      <c r="H86" s="24">
        <v>2.0480000000000002E-2</v>
      </c>
    </row>
    <row r="87" spans="1:8" x14ac:dyDescent="0.25">
      <c r="A87" s="23">
        <v>77</v>
      </c>
      <c r="B87" s="21"/>
      <c r="C87" s="24">
        <v>3.5069999999999997E-2</v>
      </c>
      <c r="D87" s="24">
        <v>6.8040000000000003E-2</v>
      </c>
      <c r="E87" s="24">
        <v>3.6519999999999997E-2</v>
      </c>
      <c r="F87" s="24">
        <v>2.256E-2</v>
      </c>
      <c r="G87" s="24">
        <v>3.7539999999999997E-2</v>
      </c>
      <c r="H87" s="24">
        <v>2.3210000000000001E-2</v>
      </c>
    </row>
    <row r="88" spans="1:8" x14ac:dyDescent="0.25">
      <c r="A88" s="23">
        <v>78</v>
      </c>
      <c r="B88" s="21"/>
      <c r="C88" s="24">
        <v>4.0099999999999997E-2</v>
      </c>
      <c r="D88" s="24">
        <v>7.6590000000000005E-2</v>
      </c>
      <c r="E88" s="24">
        <v>4.1619999999999997E-2</v>
      </c>
      <c r="F88" s="24">
        <v>2.5680000000000001E-2</v>
      </c>
      <c r="G88" s="24">
        <v>4.2270000000000002E-2</v>
      </c>
      <c r="H88" s="24">
        <v>2.6360000000000001E-2</v>
      </c>
    </row>
    <row r="89" spans="1:8" x14ac:dyDescent="0.25">
      <c r="A89" s="23">
        <v>79</v>
      </c>
      <c r="B89" s="21"/>
      <c r="C89" s="24">
        <v>4.5749999999999999E-2</v>
      </c>
      <c r="D89" s="24">
        <v>8.6010000000000003E-2</v>
      </c>
      <c r="E89" s="24">
        <v>4.734E-2</v>
      </c>
      <c r="F89" s="24">
        <v>2.93E-2</v>
      </c>
      <c r="G89" s="24">
        <v>4.7699999999999999E-2</v>
      </c>
      <c r="H89" s="24">
        <v>3.0020000000000002E-2</v>
      </c>
    </row>
    <row r="90" spans="1:8" x14ac:dyDescent="0.25">
      <c r="A90" s="23">
        <v>80</v>
      </c>
      <c r="B90" s="21"/>
      <c r="C90" s="24">
        <v>5.2060000000000002E-2</v>
      </c>
      <c r="D90" s="24">
        <v>9.6310000000000007E-2</v>
      </c>
      <c r="E90" s="24">
        <v>5.373E-2</v>
      </c>
      <c r="F90" s="24">
        <v>3.347E-2</v>
      </c>
      <c r="G90" s="24">
        <v>5.389E-2</v>
      </c>
      <c r="H90" s="24">
        <v>3.4229999999999997E-2</v>
      </c>
    </row>
    <row r="91" spans="1:8" x14ac:dyDescent="0.25">
      <c r="A91" s="23">
        <v>81</v>
      </c>
      <c r="B91" s="21"/>
      <c r="C91" s="24">
        <v>5.9020000000000003E-2</v>
      </c>
      <c r="D91" s="24">
        <v>0.10742</v>
      </c>
      <c r="E91" s="24">
        <v>6.0769999999999998E-2</v>
      </c>
      <c r="F91" s="24">
        <v>3.8370000000000001E-2</v>
      </c>
      <c r="G91" s="24">
        <v>6.1089999999999998E-2</v>
      </c>
      <c r="H91" s="24">
        <v>3.918E-2</v>
      </c>
    </row>
    <row r="92" spans="1:8" x14ac:dyDescent="0.25">
      <c r="A92" s="23">
        <v>82</v>
      </c>
      <c r="B92" s="21"/>
      <c r="C92" s="24">
        <v>6.6110000000000002E-2</v>
      </c>
      <c r="D92" s="24">
        <v>0.11834</v>
      </c>
      <c r="E92" s="24">
        <v>6.7909999999999998E-2</v>
      </c>
      <c r="F92" s="24">
        <v>4.385E-2</v>
      </c>
      <c r="G92" s="24">
        <v>6.9019999999999998E-2</v>
      </c>
      <c r="H92" s="24">
        <v>4.471E-2</v>
      </c>
    </row>
    <row r="93" spans="1:8" x14ac:dyDescent="0.25">
      <c r="A93" s="23">
        <v>83</v>
      </c>
      <c r="B93" s="21"/>
      <c r="C93" s="24">
        <v>7.3859999999999995E-2</v>
      </c>
      <c r="D93" s="24">
        <v>0.12998999999999999</v>
      </c>
      <c r="E93" s="24">
        <v>7.5719999999999996E-2</v>
      </c>
      <c r="F93" s="24">
        <v>5.0139999999999997E-2</v>
      </c>
      <c r="G93" s="24">
        <v>7.8020000000000006E-2</v>
      </c>
      <c r="H93" s="24">
        <v>5.1060000000000001E-2</v>
      </c>
    </row>
    <row r="94" spans="1:8" x14ac:dyDescent="0.25">
      <c r="A94" s="23">
        <v>84</v>
      </c>
      <c r="B94" s="21"/>
      <c r="C94" s="24">
        <v>8.2500000000000004E-2</v>
      </c>
      <c r="D94" s="24">
        <v>0.14273</v>
      </c>
      <c r="E94" s="24">
        <v>8.4400000000000003E-2</v>
      </c>
      <c r="F94" s="24">
        <v>5.7340000000000002E-2</v>
      </c>
      <c r="G94" s="24">
        <v>8.8190000000000004E-2</v>
      </c>
      <c r="H94" s="24">
        <v>5.8310000000000001E-2</v>
      </c>
    </row>
    <row r="95" spans="1:8" x14ac:dyDescent="0.25">
      <c r="A95" s="23">
        <v>85</v>
      </c>
      <c r="B95" s="21"/>
      <c r="C95" s="24">
        <v>9.2090000000000005E-2</v>
      </c>
      <c r="D95" s="24">
        <v>0.15654999999999999</v>
      </c>
      <c r="E95" s="24">
        <v>9.4020000000000006E-2</v>
      </c>
      <c r="F95" s="24">
        <v>6.5500000000000003E-2</v>
      </c>
      <c r="G95" s="24">
        <v>9.9559999999999996E-2</v>
      </c>
      <c r="H95" s="24">
        <v>6.6519999999999996E-2</v>
      </c>
    </row>
    <row r="96" spans="1:8" x14ac:dyDescent="0.25">
      <c r="A96" s="23">
        <v>86</v>
      </c>
      <c r="B96" s="21"/>
      <c r="C96" s="24">
        <v>0.10269</v>
      </c>
      <c r="D96" s="24">
        <v>0.17149</v>
      </c>
      <c r="E96" s="24">
        <v>0.10464</v>
      </c>
      <c r="F96" s="24">
        <v>7.4709999999999999E-2</v>
      </c>
      <c r="G96" s="24">
        <v>0.11221</v>
      </c>
      <c r="H96" s="24">
        <v>7.5770000000000004E-2</v>
      </c>
    </row>
    <row r="97" spans="1:8" x14ac:dyDescent="0.25">
      <c r="A97" s="23">
        <v>87</v>
      </c>
      <c r="B97" s="21"/>
      <c r="C97" s="24">
        <v>0.11434</v>
      </c>
      <c r="D97" s="24">
        <v>0.18751999999999999</v>
      </c>
      <c r="E97" s="24">
        <v>0.11627999999999999</v>
      </c>
      <c r="F97" s="24">
        <v>8.5010000000000002E-2</v>
      </c>
      <c r="G97" s="24">
        <v>0.12615000000000001</v>
      </c>
      <c r="H97" s="24">
        <v>8.6099999999999996E-2</v>
      </c>
    </row>
    <row r="98" spans="1:8" x14ac:dyDescent="0.25">
      <c r="A98" s="23">
        <v>88</v>
      </c>
      <c r="B98" s="21"/>
      <c r="C98" s="24">
        <v>0.12695000000000001</v>
      </c>
      <c r="D98" s="24">
        <v>0.20438999999999999</v>
      </c>
      <c r="E98" s="24">
        <v>0.12884999999999999</v>
      </c>
      <c r="F98" s="24">
        <v>9.6449999999999994E-2</v>
      </c>
      <c r="G98" s="24">
        <v>0.1414</v>
      </c>
      <c r="H98" s="24">
        <v>9.7559999999999994E-2</v>
      </c>
    </row>
    <row r="99" spans="1:8" x14ac:dyDescent="0.25">
      <c r="A99" s="23">
        <v>89</v>
      </c>
      <c r="B99" s="21"/>
      <c r="C99" s="24">
        <v>0.14029</v>
      </c>
      <c r="D99" s="24">
        <v>0.22166</v>
      </c>
      <c r="E99" s="24">
        <v>0.14213000000000001</v>
      </c>
      <c r="F99" s="24">
        <v>0.10907</v>
      </c>
      <c r="G99" s="24">
        <v>0.15792999999999999</v>
      </c>
      <c r="H99" s="24">
        <v>0.11018</v>
      </c>
    </row>
    <row r="100" spans="1:8" x14ac:dyDescent="0.25">
      <c r="A100" s="23">
        <v>90</v>
      </c>
      <c r="B100" s="29"/>
      <c r="C100" s="30">
        <v>0.15415000000000001</v>
      </c>
      <c r="D100" s="30">
        <v>0.23893</v>
      </c>
      <c r="E100" s="30">
        <v>0.15589</v>
      </c>
      <c r="F100" s="30">
        <v>0.12277</v>
      </c>
      <c r="G100" s="30">
        <v>0.17555999999999999</v>
      </c>
      <c r="H100" s="43">
        <v>0.12386</v>
      </c>
    </row>
    <row r="101" spans="1:8" x14ac:dyDescent="0.25">
      <c r="A101" s="23">
        <v>91</v>
      </c>
      <c r="B101" s="21"/>
      <c r="C101" s="24">
        <v>0.16829</v>
      </c>
      <c r="D101" s="24">
        <v>0.25580000000000003</v>
      </c>
      <c r="E101" s="24">
        <v>0.16991000000000001</v>
      </c>
      <c r="F101" s="24">
        <v>0.13735</v>
      </c>
      <c r="G101" s="24">
        <v>0.19394</v>
      </c>
      <c r="H101" s="24">
        <v>0.1384</v>
      </c>
    </row>
    <row r="102" spans="1:8" x14ac:dyDescent="0.25">
      <c r="A102" s="23">
        <v>92</v>
      </c>
      <c r="B102" s="21"/>
      <c r="C102" s="24">
        <v>0.18253</v>
      </c>
      <c r="D102" s="24">
        <v>0.27196999999999999</v>
      </c>
      <c r="E102" s="24">
        <v>0.18398999999999999</v>
      </c>
      <c r="F102" s="24">
        <v>0.15259</v>
      </c>
      <c r="G102" s="24">
        <v>0.21271000000000001</v>
      </c>
      <c r="H102" s="24">
        <v>0.15357999999999999</v>
      </c>
    </row>
    <row r="103" spans="1:8" x14ac:dyDescent="0.25">
      <c r="A103" s="23">
        <v>93</v>
      </c>
      <c r="B103" s="21"/>
      <c r="C103" s="24">
        <v>0.19664000000000001</v>
      </c>
      <c r="D103" s="24">
        <v>0.28709000000000001</v>
      </c>
      <c r="E103" s="24">
        <v>0.19792999999999999</v>
      </c>
      <c r="F103" s="24">
        <v>0.16830000000000001</v>
      </c>
      <c r="G103" s="24">
        <v>0.23158000000000001</v>
      </c>
      <c r="H103" s="24">
        <v>0.16919999999999999</v>
      </c>
    </row>
    <row r="104" spans="1:8" x14ac:dyDescent="0.25">
      <c r="A104" s="23">
        <v>94</v>
      </c>
      <c r="B104" s="21"/>
      <c r="C104" s="24">
        <v>0.21045</v>
      </c>
      <c r="D104" s="24">
        <v>0.30093999999999999</v>
      </c>
      <c r="E104" s="24">
        <v>0.21154000000000001</v>
      </c>
      <c r="F104" s="24">
        <v>0.18426999999999999</v>
      </c>
      <c r="G104" s="24">
        <v>0.25024000000000002</v>
      </c>
      <c r="H104" s="24">
        <v>0.18507000000000001</v>
      </c>
    </row>
    <row r="105" spans="1:8" x14ac:dyDescent="0.25">
      <c r="A105" s="23">
        <v>95</v>
      </c>
      <c r="B105" s="21"/>
      <c r="C105" s="24">
        <v>0.22375</v>
      </c>
      <c r="D105" s="24">
        <v>0.31324999999999997</v>
      </c>
      <c r="E105" s="24">
        <v>0.22464999999999999</v>
      </c>
      <c r="F105" s="24">
        <v>0.20032</v>
      </c>
      <c r="G105" s="24">
        <v>0.26843</v>
      </c>
      <c r="H105" s="24">
        <v>0.20100000000000001</v>
      </c>
    </row>
    <row r="106" spans="1:8" x14ac:dyDescent="0.25">
      <c r="A106" s="23">
        <v>96</v>
      </c>
      <c r="B106" s="21"/>
      <c r="C106" s="24">
        <v>0.23641000000000001</v>
      </c>
      <c r="D106" s="24">
        <v>0.32388</v>
      </c>
      <c r="E106" s="24">
        <v>0.23710999999999999</v>
      </c>
      <c r="F106" s="24">
        <v>0.21626000000000001</v>
      </c>
      <c r="G106" s="24">
        <v>0.28589999999999999</v>
      </c>
      <c r="H106" s="24">
        <v>0.21681</v>
      </c>
    </row>
    <row r="107" spans="1:8" x14ac:dyDescent="0.25">
      <c r="A107" s="23">
        <v>97</v>
      </c>
      <c r="B107" s="21"/>
      <c r="C107" s="24">
        <v>0.24826000000000001</v>
      </c>
      <c r="D107" s="24">
        <v>0.33267000000000002</v>
      </c>
      <c r="E107" s="24">
        <v>0.24876000000000001</v>
      </c>
      <c r="F107" s="24">
        <v>0.23194000000000001</v>
      </c>
      <c r="G107" s="24">
        <v>0.30245</v>
      </c>
      <c r="H107" s="24">
        <v>0.23236000000000001</v>
      </c>
    </row>
    <row r="108" spans="1:8" x14ac:dyDescent="0.25">
      <c r="A108" s="23">
        <v>98</v>
      </c>
      <c r="B108" s="21"/>
      <c r="C108" s="24">
        <v>0.25916</v>
      </c>
      <c r="D108" s="24">
        <v>0.33950000000000002</v>
      </c>
      <c r="E108" s="24">
        <v>0.25947999999999999</v>
      </c>
      <c r="F108" s="24">
        <v>0.24722</v>
      </c>
      <c r="G108" s="24">
        <v>0.31791999999999998</v>
      </c>
      <c r="H108" s="24">
        <v>0.2475</v>
      </c>
    </row>
    <row r="109" spans="1:8" x14ac:dyDescent="0.25">
      <c r="A109" s="23">
        <v>99</v>
      </c>
      <c r="B109" s="21"/>
      <c r="C109" s="24">
        <v>0.26896999999999999</v>
      </c>
      <c r="D109" s="24">
        <v>0.34427999999999997</v>
      </c>
      <c r="E109" s="24">
        <v>0.26912000000000003</v>
      </c>
      <c r="F109" s="24">
        <v>0.26196000000000003</v>
      </c>
      <c r="G109" s="24">
        <v>0.33217000000000002</v>
      </c>
      <c r="H109" s="24">
        <v>0.2621</v>
      </c>
    </row>
    <row r="110" spans="1:8" x14ac:dyDescent="0.25">
      <c r="A110" s="25">
        <v>100</v>
      </c>
      <c r="B110" s="33"/>
      <c r="C110" s="34">
        <v>0.27786</v>
      </c>
      <c r="D110" s="34">
        <v>0.34733000000000003</v>
      </c>
      <c r="E110" s="34">
        <v>0.27786</v>
      </c>
      <c r="F110" s="34">
        <v>0.27603</v>
      </c>
      <c r="G110" s="34">
        <v>0.34504000000000001</v>
      </c>
      <c r="H110" s="34">
        <v>0.27603</v>
      </c>
    </row>
  </sheetData>
  <pageMargins left="0.39370078740157483" right="0.39370078740157483" top="0.39370078740157483" bottom="0.78740157480314965" header="0.31496062992125984" footer="0.39370078740157483"/>
  <pageSetup paperSize="9" orientation="portrait" r:id="rId1"/>
  <headerFooter>
    <oddFooter>&amp;C&amp;"Century Gothic,Bold"&amp;9&amp;K5F5F5FGraduation of the 2004-2008 Lump Sum Investigation Data&amp;"Century Gothic,Regular"
Published jointly by the Actuaries Institute and the Financial Services Council - November 2012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10"/>
  <sheetViews>
    <sheetView showGridLines="0" showWhiteSpace="0" topLeftCell="A10" zoomScaleNormal="100" workbookViewId="0">
      <selection activeCell="P90" sqref="P90"/>
    </sheetView>
  </sheetViews>
  <sheetFormatPr defaultColWidth="10.75" defaultRowHeight="13.5" x14ac:dyDescent="0.25"/>
  <cols>
    <col min="1" max="16384" width="10.75" style="1"/>
  </cols>
  <sheetData>
    <row r="1" spans="1:8" ht="26.25" x14ac:dyDescent="0.35">
      <c r="A1" s="2" t="s">
        <v>5</v>
      </c>
    </row>
    <row r="3" spans="1:8" x14ac:dyDescent="0.25">
      <c r="A3" s="3" t="s">
        <v>9</v>
      </c>
      <c r="B3" s="4"/>
      <c r="C3" s="4" t="s">
        <v>10</v>
      </c>
      <c r="D3" s="4"/>
      <c r="E3" s="4" t="s">
        <v>11</v>
      </c>
      <c r="F3" s="5">
        <v>0.6</v>
      </c>
      <c r="G3" s="6"/>
      <c r="H3" s="7"/>
    </row>
    <row r="4" spans="1:8" x14ac:dyDescent="0.25">
      <c r="A4" s="8"/>
      <c r="B4" s="9"/>
      <c r="C4" s="9"/>
      <c r="D4" s="9"/>
      <c r="E4" s="9" t="s">
        <v>12</v>
      </c>
      <c r="F4" s="10">
        <v>0.8</v>
      </c>
      <c r="G4" s="9"/>
      <c r="H4" s="11"/>
    </row>
    <row r="5" spans="1:8" x14ac:dyDescent="0.25">
      <c r="A5" s="12"/>
      <c r="B5" s="9"/>
      <c r="C5" s="9"/>
      <c r="D5" s="9"/>
      <c r="E5" s="9" t="s">
        <v>13</v>
      </c>
      <c r="F5" s="10">
        <v>1</v>
      </c>
      <c r="G5" s="9"/>
      <c r="H5" s="11"/>
    </row>
    <row r="6" spans="1:8" x14ac:dyDescent="0.25">
      <c r="A6" s="8"/>
      <c r="B6" s="7"/>
      <c r="C6" s="13"/>
      <c r="D6" s="6"/>
      <c r="E6" s="7"/>
      <c r="F6" s="14"/>
      <c r="G6" s="6"/>
      <c r="H6" s="7"/>
    </row>
    <row r="7" spans="1:8" x14ac:dyDescent="0.25">
      <c r="A7" s="8" t="s">
        <v>8</v>
      </c>
      <c r="B7" s="11"/>
      <c r="C7" s="15" t="s">
        <v>3</v>
      </c>
      <c r="D7" s="9"/>
      <c r="E7" s="11"/>
      <c r="F7" s="16" t="s">
        <v>4</v>
      </c>
      <c r="G7" s="9"/>
      <c r="H7" s="11"/>
    </row>
    <row r="8" spans="1:8" x14ac:dyDescent="0.25">
      <c r="A8" s="12" t="s">
        <v>7</v>
      </c>
      <c r="B8" s="17"/>
      <c r="C8" s="18" t="s">
        <v>0</v>
      </c>
      <c r="D8" s="18" t="s">
        <v>1</v>
      </c>
      <c r="E8" s="18" t="s">
        <v>2</v>
      </c>
      <c r="F8" s="19" t="s">
        <v>0</v>
      </c>
      <c r="G8" s="20" t="s">
        <v>1</v>
      </c>
      <c r="H8" s="18" t="s">
        <v>2</v>
      </c>
    </row>
    <row r="9" spans="1:8" x14ac:dyDescent="0.25">
      <c r="A9" s="39"/>
      <c r="B9" s="21"/>
      <c r="C9" s="22"/>
      <c r="D9" s="22"/>
      <c r="E9" s="22"/>
      <c r="F9" s="44"/>
      <c r="G9" s="21"/>
      <c r="H9" s="22"/>
    </row>
    <row r="10" spans="1:8" x14ac:dyDescent="0.25">
      <c r="A10" s="40">
        <v>0</v>
      </c>
      <c r="B10" s="41"/>
      <c r="C10" s="45">
        <v>5.2300000000000003E-3</v>
      </c>
      <c r="D10" s="45">
        <v>1.0460000000000001E-2</v>
      </c>
      <c r="E10" s="45">
        <v>5.2300000000000003E-3</v>
      </c>
      <c r="F10" s="45">
        <v>4.4000000000000003E-3</v>
      </c>
      <c r="G10" s="45">
        <v>7.4799999999999997E-3</v>
      </c>
      <c r="H10" s="45">
        <v>4.4000000000000003E-3</v>
      </c>
    </row>
    <row r="11" spans="1:8" x14ac:dyDescent="0.25">
      <c r="A11" s="23">
        <v>1</v>
      </c>
      <c r="B11" s="21"/>
      <c r="C11" s="24">
        <v>2.6800000000000001E-3</v>
      </c>
      <c r="D11" s="24">
        <v>5.3600000000000002E-3</v>
      </c>
      <c r="E11" s="24">
        <v>2.6800000000000001E-3</v>
      </c>
      <c r="F11" s="24">
        <v>2.2399999999999998E-3</v>
      </c>
      <c r="G11" s="24">
        <v>3.81E-3</v>
      </c>
      <c r="H11" s="24">
        <v>2.2399999999999998E-3</v>
      </c>
    </row>
    <row r="12" spans="1:8" x14ac:dyDescent="0.25">
      <c r="A12" s="23">
        <v>2</v>
      </c>
      <c r="B12" s="21"/>
      <c r="C12" s="24">
        <v>3.1E-4</v>
      </c>
      <c r="D12" s="24">
        <v>6.2E-4</v>
      </c>
      <c r="E12" s="24">
        <v>3.1E-4</v>
      </c>
      <c r="F12" s="24">
        <v>2.3000000000000001E-4</v>
      </c>
      <c r="G12" s="24">
        <v>3.8999999999999999E-4</v>
      </c>
      <c r="H12" s="24">
        <v>2.3000000000000001E-4</v>
      </c>
    </row>
    <row r="13" spans="1:8" x14ac:dyDescent="0.25">
      <c r="A13" s="23">
        <v>3</v>
      </c>
      <c r="B13" s="21"/>
      <c r="C13" s="24">
        <v>2.0000000000000001E-4</v>
      </c>
      <c r="D13" s="24">
        <v>4.0000000000000002E-4</v>
      </c>
      <c r="E13" s="24">
        <v>2.0000000000000001E-4</v>
      </c>
      <c r="F13" s="24">
        <v>1.3999999999999999E-4</v>
      </c>
      <c r="G13" s="24">
        <v>2.4000000000000001E-4</v>
      </c>
      <c r="H13" s="24">
        <v>1.3999999999999999E-4</v>
      </c>
    </row>
    <row r="14" spans="1:8" x14ac:dyDescent="0.25">
      <c r="A14" s="23">
        <v>4</v>
      </c>
      <c r="B14" s="21"/>
      <c r="C14" s="24">
        <v>1.2999999999999999E-4</v>
      </c>
      <c r="D14" s="24">
        <v>2.5999999999999998E-4</v>
      </c>
      <c r="E14" s="24">
        <v>1.2999999999999999E-4</v>
      </c>
      <c r="F14" s="24">
        <v>1.1E-4</v>
      </c>
      <c r="G14" s="24">
        <v>1.9000000000000001E-4</v>
      </c>
      <c r="H14" s="24">
        <v>1.1E-4</v>
      </c>
    </row>
    <row r="15" spans="1:8" x14ac:dyDescent="0.25">
      <c r="A15" s="23">
        <v>5</v>
      </c>
      <c r="B15" s="21"/>
      <c r="C15" s="24">
        <v>1.1E-4</v>
      </c>
      <c r="D15" s="24">
        <v>2.2000000000000001E-4</v>
      </c>
      <c r="E15" s="24">
        <v>1.1E-4</v>
      </c>
      <c r="F15" s="24">
        <v>9.0000000000000006E-5</v>
      </c>
      <c r="G15" s="24">
        <v>1.4999999999999999E-4</v>
      </c>
      <c r="H15" s="24">
        <v>9.0000000000000006E-5</v>
      </c>
    </row>
    <row r="16" spans="1:8" x14ac:dyDescent="0.25">
      <c r="A16" s="23">
        <v>6</v>
      </c>
      <c r="B16" s="21"/>
      <c r="C16" s="24">
        <v>9.0000000000000006E-5</v>
      </c>
      <c r="D16" s="24">
        <v>1.8000000000000001E-4</v>
      </c>
      <c r="E16" s="24">
        <v>9.0000000000000006E-5</v>
      </c>
      <c r="F16" s="24">
        <v>8.0000000000000007E-5</v>
      </c>
      <c r="G16" s="24">
        <v>1.3999999999999999E-4</v>
      </c>
      <c r="H16" s="24">
        <v>8.0000000000000007E-5</v>
      </c>
    </row>
    <row r="17" spans="1:8" x14ac:dyDescent="0.25">
      <c r="A17" s="23">
        <v>7</v>
      </c>
      <c r="B17" s="21"/>
      <c r="C17" s="24">
        <v>8.0000000000000007E-5</v>
      </c>
      <c r="D17" s="24">
        <v>1.6000000000000001E-4</v>
      </c>
      <c r="E17" s="24">
        <v>8.0000000000000007E-5</v>
      </c>
      <c r="F17" s="24">
        <v>6.9999999999999994E-5</v>
      </c>
      <c r="G17" s="24">
        <v>1.2E-4</v>
      </c>
      <c r="H17" s="24">
        <v>6.9999999999999994E-5</v>
      </c>
    </row>
    <row r="18" spans="1:8" x14ac:dyDescent="0.25">
      <c r="A18" s="23">
        <v>8</v>
      </c>
      <c r="B18" s="21"/>
      <c r="C18" s="24">
        <v>6.9999999999999994E-5</v>
      </c>
      <c r="D18" s="24">
        <v>1.3999999999999999E-4</v>
      </c>
      <c r="E18" s="24">
        <v>6.9999999999999994E-5</v>
      </c>
      <c r="F18" s="24">
        <v>6.0000000000000002E-5</v>
      </c>
      <c r="G18" s="24">
        <v>1E-4</v>
      </c>
      <c r="H18" s="24">
        <v>6.0000000000000002E-5</v>
      </c>
    </row>
    <row r="19" spans="1:8" x14ac:dyDescent="0.25">
      <c r="A19" s="23">
        <v>9</v>
      </c>
      <c r="B19" s="21"/>
      <c r="C19" s="24">
        <v>6.9999999999999994E-5</v>
      </c>
      <c r="D19" s="24">
        <v>1.3999999999999999E-4</v>
      </c>
      <c r="E19" s="24">
        <v>6.9999999999999994E-5</v>
      </c>
      <c r="F19" s="24">
        <v>5.0000000000000002E-5</v>
      </c>
      <c r="G19" s="24">
        <v>9.0000000000000006E-5</v>
      </c>
      <c r="H19" s="24">
        <v>5.0000000000000002E-5</v>
      </c>
    </row>
    <row r="20" spans="1:8" x14ac:dyDescent="0.25">
      <c r="A20" s="23">
        <v>10</v>
      </c>
      <c r="B20" s="21"/>
      <c r="C20" s="24">
        <v>6.9999999999999994E-5</v>
      </c>
      <c r="D20" s="24">
        <v>1.3999999999999999E-4</v>
      </c>
      <c r="E20" s="24">
        <v>6.9999999999999994E-5</v>
      </c>
      <c r="F20" s="24">
        <v>5.0000000000000002E-5</v>
      </c>
      <c r="G20" s="24">
        <v>9.0000000000000006E-5</v>
      </c>
      <c r="H20" s="24">
        <v>5.0000000000000002E-5</v>
      </c>
    </row>
    <row r="21" spans="1:8" x14ac:dyDescent="0.25">
      <c r="A21" s="23">
        <v>11</v>
      </c>
      <c r="B21" s="21"/>
      <c r="C21" s="24">
        <v>6.9999999999999994E-5</v>
      </c>
      <c r="D21" s="24">
        <v>1.3999999999999999E-4</v>
      </c>
      <c r="E21" s="24">
        <v>6.9999999999999994E-5</v>
      </c>
      <c r="F21" s="24">
        <v>5.0000000000000002E-5</v>
      </c>
      <c r="G21" s="24">
        <v>9.0000000000000006E-5</v>
      </c>
      <c r="H21" s="24">
        <v>5.0000000000000002E-5</v>
      </c>
    </row>
    <row r="22" spans="1:8" x14ac:dyDescent="0.25">
      <c r="A22" s="23">
        <v>12</v>
      </c>
      <c r="B22" s="21"/>
      <c r="C22" s="24">
        <v>8.0000000000000007E-5</v>
      </c>
      <c r="D22" s="24">
        <v>1.6000000000000001E-4</v>
      </c>
      <c r="E22" s="24">
        <v>8.0000000000000007E-5</v>
      </c>
      <c r="F22" s="24">
        <v>5.0000000000000002E-5</v>
      </c>
      <c r="G22" s="24">
        <v>9.0000000000000006E-5</v>
      </c>
      <c r="H22" s="24">
        <v>5.0000000000000002E-5</v>
      </c>
    </row>
    <row r="23" spans="1:8" x14ac:dyDescent="0.25">
      <c r="A23" s="23">
        <v>13</v>
      </c>
      <c r="B23" s="21"/>
      <c r="C23" s="24">
        <v>8.0000000000000007E-5</v>
      </c>
      <c r="D23" s="24">
        <v>1.6000000000000001E-4</v>
      </c>
      <c r="E23" s="24">
        <v>8.0000000000000007E-5</v>
      </c>
      <c r="F23" s="24">
        <v>6.0000000000000002E-5</v>
      </c>
      <c r="G23" s="24">
        <v>1E-4</v>
      </c>
      <c r="H23" s="24">
        <v>6.0000000000000002E-5</v>
      </c>
    </row>
    <row r="24" spans="1:8" x14ac:dyDescent="0.25">
      <c r="A24" s="23">
        <v>14</v>
      </c>
      <c r="B24" s="21"/>
      <c r="C24" s="24">
        <v>9.0000000000000006E-5</v>
      </c>
      <c r="D24" s="24">
        <v>1.8000000000000001E-4</v>
      </c>
      <c r="E24" s="24">
        <v>9.0000000000000006E-5</v>
      </c>
      <c r="F24" s="24">
        <v>6.9999999999999994E-5</v>
      </c>
      <c r="G24" s="24">
        <v>1.2E-4</v>
      </c>
      <c r="H24" s="24">
        <v>6.9999999999999994E-5</v>
      </c>
    </row>
    <row r="25" spans="1:8" x14ac:dyDescent="0.25">
      <c r="A25" s="23">
        <v>15</v>
      </c>
      <c r="B25" s="21"/>
      <c r="C25" s="24">
        <v>1.2E-4</v>
      </c>
      <c r="D25" s="24">
        <v>2.4000000000000001E-4</v>
      </c>
      <c r="E25" s="24">
        <v>1.2E-4</v>
      </c>
      <c r="F25" s="24">
        <v>1E-4</v>
      </c>
      <c r="G25" s="24">
        <v>1.7000000000000001E-4</v>
      </c>
      <c r="H25" s="24">
        <v>1E-4</v>
      </c>
    </row>
    <row r="26" spans="1:8" x14ac:dyDescent="0.25">
      <c r="A26" s="23">
        <v>16</v>
      </c>
      <c r="B26" s="21"/>
      <c r="C26" s="24">
        <v>1.7000000000000001E-4</v>
      </c>
      <c r="D26" s="24">
        <v>3.4000000000000002E-4</v>
      </c>
      <c r="E26" s="24">
        <v>1.7000000000000001E-4</v>
      </c>
      <c r="F26" s="24">
        <v>1.2E-4</v>
      </c>
      <c r="G26" s="24">
        <v>2.0000000000000001E-4</v>
      </c>
      <c r="H26" s="24">
        <v>1.2E-4</v>
      </c>
    </row>
    <row r="27" spans="1:8" x14ac:dyDescent="0.25">
      <c r="A27" s="23">
        <v>17</v>
      </c>
      <c r="B27" s="21"/>
      <c r="C27" s="24">
        <v>2.1000000000000001E-4</v>
      </c>
      <c r="D27" s="24">
        <v>4.2000000000000002E-4</v>
      </c>
      <c r="E27" s="24">
        <v>2.2000000000000001E-4</v>
      </c>
      <c r="F27" s="24">
        <v>1.3999999999999999E-4</v>
      </c>
      <c r="G27" s="24">
        <v>2.4000000000000001E-4</v>
      </c>
      <c r="H27" s="24">
        <v>1.3999999999999999E-4</v>
      </c>
    </row>
    <row r="28" spans="1:8" x14ac:dyDescent="0.25">
      <c r="A28" s="23">
        <v>18</v>
      </c>
      <c r="B28" s="21"/>
      <c r="C28" s="24">
        <v>2.3000000000000001E-4</v>
      </c>
      <c r="D28" s="24">
        <v>4.6000000000000001E-4</v>
      </c>
      <c r="E28" s="24">
        <v>2.4000000000000001E-4</v>
      </c>
      <c r="F28" s="24">
        <v>1.6000000000000001E-4</v>
      </c>
      <c r="G28" s="24">
        <v>2.7E-4</v>
      </c>
      <c r="H28" s="24">
        <v>1.6000000000000001E-4</v>
      </c>
    </row>
    <row r="29" spans="1:8" x14ac:dyDescent="0.25">
      <c r="A29" s="23">
        <v>19</v>
      </c>
      <c r="B29" s="21"/>
      <c r="C29" s="24">
        <v>2.5000000000000001E-4</v>
      </c>
      <c r="D29" s="24">
        <v>5.0000000000000001E-4</v>
      </c>
      <c r="E29" s="24">
        <v>2.7E-4</v>
      </c>
      <c r="F29" s="24">
        <v>1.6000000000000001E-4</v>
      </c>
      <c r="G29" s="24">
        <v>2.7E-4</v>
      </c>
      <c r="H29" s="24">
        <v>1.7000000000000001E-4</v>
      </c>
    </row>
    <row r="30" spans="1:8" x14ac:dyDescent="0.25">
      <c r="A30" s="23">
        <v>20</v>
      </c>
      <c r="B30" s="21"/>
      <c r="C30" s="24">
        <v>2.5000000000000001E-4</v>
      </c>
      <c r="D30" s="24">
        <v>5.0000000000000001E-4</v>
      </c>
      <c r="E30" s="24">
        <v>2.7E-4</v>
      </c>
      <c r="F30" s="24">
        <v>1.6000000000000001E-4</v>
      </c>
      <c r="G30" s="24">
        <v>2.7E-4</v>
      </c>
      <c r="H30" s="24">
        <v>1.7000000000000001E-4</v>
      </c>
    </row>
    <row r="31" spans="1:8" x14ac:dyDescent="0.25">
      <c r="A31" s="23">
        <v>21</v>
      </c>
      <c r="B31" s="21"/>
      <c r="C31" s="24">
        <v>2.5000000000000001E-4</v>
      </c>
      <c r="D31" s="24">
        <v>5.0000000000000001E-4</v>
      </c>
      <c r="E31" s="24">
        <v>2.7999999999999998E-4</v>
      </c>
      <c r="F31" s="24">
        <v>1.6000000000000001E-4</v>
      </c>
      <c r="G31" s="24">
        <v>2.7E-4</v>
      </c>
      <c r="H31" s="24">
        <v>1.7000000000000001E-4</v>
      </c>
    </row>
    <row r="32" spans="1:8" x14ac:dyDescent="0.25">
      <c r="A32" s="23">
        <v>22</v>
      </c>
      <c r="B32" s="21"/>
      <c r="C32" s="24">
        <v>2.4000000000000001E-4</v>
      </c>
      <c r="D32" s="24">
        <v>4.8000000000000001E-4</v>
      </c>
      <c r="E32" s="24">
        <v>2.7E-4</v>
      </c>
      <c r="F32" s="24">
        <v>1.4999999999999999E-4</v>
      </c>
      <c r="G32" s="24">
        <v>2.5999999999999998E-4</v>
      </c>
      <c r="H32" s="24">
        <v>1.6000000000000001E-4</v>
      </c>
    </row>
    <row r="33" spans="1:8" x14ac:dyDescent="0.25">
      <c r="A33" s="23">
        <v>23</v>
      </c>
      <c r="B33" s="21"/>
      <c r="C33" s="24">
        <v>2.2000000000000001E-4</v>
      </c>
      <c r="D33" s="24">
        <v>4.4000000000000002E-4</v>
      </c>
      <c r="E33" s="24">
        <v>2.5000000000000001E-4</v>
      </c>
      <c r="F33" s="24">
        <v>1.4999999999999999E-4</v>
      </c>
      <c r="G33" s="24">
        <v>2.5999999999999998E-4</v>
      </c>
      <c r="H33" s="24">
        <v>1.6000000000000001E-4</v>
      </c>
    </row>
    <row r="34" spans="1:8" x14ac:dyDescent="0.25">
      <c r="A34" s="23">
        <v>24</v>
      </c>
      <c r="B34" s="21"/>
      <c r="C34" s="24">
        <v>2.1000000000000001E-4</v>
      </c>
      <c r="D34" s="24">
        <v>4.2000000000000002E-4</v>
      </c>
      <c r="E34" s="24">
        <v>2.4000000000000001E-4</v>
      </c>
      <c r="F34" s="24">
        <v>1.2999999999999999E-4</v>
      </c>
      <c r="G34" s="24">
        <v>2.2000000000000001E-4</v>
      </c>
      <c r="H34" s="24">
        <v>1.3999999999999999E-4</v>
      </c>
    </row>
    <row r="35" spans="1:8" x14ac:dyDescent="0.25">
      <c r="A35" s="23">
        <v>25</v>
      </c>
      <c r="B35" s="21"/>
      <c r="C35" s="24">
        <v>1.9000000000000001E-4</v>
      </c>
      <c r="D35" s="24">
        <v>3.8000000000000002E-4</v>
      </c>
      <c r="E35" s="24">
        <v>2.2000000000000001E-4</v>
      </c>
      <c r="F35" s="24">
        <v>1.2E-4</v>
      </c>
      <c r="G35" s="24">
        <v>2.0000000000000001E-4</v>
      </c>
      <c r="H35" s="24">
        <v>1.2999999999999999E-4</v>
      </c>
    </row>
    <row r="36" spans="1:8" x14ac:dyDescent="0.25">
      <c r="A36" s="23">
        <v>26</v>
      </c>
      <c r="B36" s="21"/>
      <c r="C36" s="24">
        <v>1.9000000000000001E-4</v>
      </c>
      <c r="D36" s="24">
        <v>3.8000000000000002E-4</v>
      </c>
      <c r="E36" s="24">
        <v>2.2000000000000001E-4</v>
      </c>
      <c r="F36" s="24">
        <v>1.1E-4</v>
      </c>
      <c r="G36" s="24">
        <v>1.9000000000000001E-4</v>
      </c>
      <c r="H36" s="24">
        <v>1.2E-4</v>
      </c>
    </row>
    <row r="37" spans="1:8" x14ac:dyDescent="0.25">
      <c r="A37" s="23">
        <v>27</v>
      </c>
      <c r="B37" s="21"/>
      <c r="C37" s="24">
        <v>1.8000000000000001E-4</v>
      </c>
      <c r="D37" s="24">
        <v>3.6000000000000002E-4</v>
      </c>
      <c r="E37" s="24">
        <v>2.2000000000000001E-4</v>
      </c>
      <c r="F37" s="24">
        <v>1.1E-4</v>
      </c>
      <c r="G37" s="24">
        <v>1.9000000000000001E-4</v>
      </c>
      <c r="H37" s="24">
        <v>1.2E-4</v>
      </c>
    </row>
    <row r="38" spans="1:8" x14ac:dyDescent="0.25">
      <c r="A38" s="23">
        <v>28</v>
      </c>
      <c r="B38" s="21"/>
      <c r="C38" s="24">
        <v>1.8000000000000001E-4</v>
      </c>
      <c r="D38" s="24">
        <v>3.6000000000000002E-4</v>
      </c>
      <c r="E38" s="24">
        <v>2.2000000000000001E-4</v>
      </c>
      <c r="F38" s="24">
        <v>1.1E-4</v>
      </c>
      <c r="G38" s="24">
        <v>1.9000000000000001E-4</v>
      </c>
      <c r="H38" s="24">
        <v>1.2E-4</v>
      </c>
    </row>
    <row r="39" spans="1:8" x14ac:dyDescent="0.25">
      <c r="A39" s="23">
        <v>29</v>
      </c>
      <c r="B39" s="21"/>
      <c r="C39" s="24">
        <v>1.9000000000000001E-4</v>
      </c>
      <c r="D39" s="24">
        <v>3.8000000000000002E-4</v>
      </c>
      <c r="E39" s="24">
        <v>2.3000000000000001E-4</v>
      </c>
      <c r="F39" s="24">
        <v>1.1E-4</v>
      </c>
      <c r="G39" s="24">
        <v>1.9000000000000001E-4</v>
      </c>
      <c r="H39" s="24">
        <v>1.2E-4</v>
      </c>
    </row>
    <row r="40" spans="1:8" x14ac:dyDescent="0.25">
      <c r="A40" s="23">
        <v>30</v>
      </c>
      <c r="B40" s="21"/>
      <c r="C40" s="24">
        <v>2.1000000000000001E-4</v>
      </c>
      <c r="D40" s="24">
        <v>4.2000000000000002E-4</v>
      </c>
      <c r="E40" s="24">
        <v>2.5000000000000001E-4</v>
      </c>
      <c r="F40" s="24">
        <v>1.2E-4</v>
      </c>
      <c r="G40" s="24">
        <v>2.0000000000000001E-4</v>
      </c>
      <c r="H40" s="24">
        <v>1.2999999999999999E-4</v>
      </c>
    </row>
    <row r="41" spans="1:8" x14ac:dyDescent="0.25">
      <c r="A41" s="23">
        <v>31</v>
      </c>
      <c r="B41" s="21"/>
      <c r="C41" s="24">
        <v>2.3000000000000001E-4</v>
      </c>
      <c r="D41" s="24">
        <v>4.6000000000000001E-4</v>
      </c>
      <c r="E41" s="24">
        <v>2.7E-4</v>
      </c>
      <c r="F41" s="24">
        <v>1.2999999999999999E-4</v>
      </c>
      <c r="G41" s="24">
        <v>2.2000000000000001E-4</v>
      </c>
      <c r="H41" s="24">
        <v>1.3999999999999999E-4</v>
      </c>
    </row>
    <row r="42" spans="1:8" x14ac:dyDescent="0.25">
      <c r="A42" s="23">
        <v>32</v>
      </c>
      <c r="B42" s="21"/>
      <c r="C42" s="24">
        <v>2.4000000000000001E-4</v>
      </c>
      <c r="D42" s="24">
        <v>4.8000000000000001E-4</v>
      </c>
      <c r="E42" s="24">
        <v>2.7999999999999998E-4</v>
      </c>
      <c r="F42" s="24">
        <v>1.2999999999999999E-4</v>
      </c>
      <c r="G42" s="24">
        <v>2.2000000000000001E-4</v>
      </c>
      <c r="H42" s="24">
        <v>1.3999999999999999E-4</v>
      </c>
    </row>
    <row r="43" spans="1:8" x14ac:dyDescent="0.25">
      <c r="A43" s="23">
        <v>33</v>
      </c>
      <c r="B43" s="21"/>
      <c r="C43" s="24">
        <v>2.5999999999999998E-4</v>
      </c>
      <c r="D43" s="24">
        <v>5.1999999999999995E-4</v>
      </c>
      <c r="E43" s="24">
        <v>2.9999999999999997E-4</v>
      </c>
      <c r="F43" s="24">
        <v>1.2999999999999999E-4</v>
      </c>
      <c r="G43" s="24">
        <v>2.2000000000000001E-4</v>
      </c>
      <c r="H43" s="24">
        <v>1.3999999999999999E-4</v>
      </c>
    </row>
    <row r="44" spans="1:8" x14ac:dyDescent="0.25">
      <c r="A44" s="23">
        <v>34</v>
      </c>
      <c r="B44" s="21"/>
      <c r="C44" s="24">
        <v>2.7E-4</v>
      </c>
      <c r="D44" s="24">
        <v>5.4000000000000001E-4</v>
      </c>
      <c r="E44" s="24">
        <v>3.1E-4</v>
      </c>
      <c r="F44" s="24">
        <v>1.3999999999999999E-4</v>
      </c>
      <c r="G44" s="24">
        <v>2.4000000000000001E-4</v>
      </c>
      <c r="H44" s="24">
        <v>1.4999999999999999E-4</v>
      </c>
    </row>
    <row r="45" spans="1:8" x14ac:dyDescent="0.25">
      <c r="A45" s="23">
        <v>35</v>
      </c>
      <c r="B45" s="21"/>
      <c r="C45" s="24">
        <v>2.7999999999999998E-4</v>
      </c>
      <c r="D45" s="24">
        <v>5.5999999999999995E-4</v>
      </c>
      <c r="E45" s="24">
        <v>3.2000000000000003E-4</v>
      </c>
      <c r="F45" s="24">
        <v>1.3999999999999999E-4</v>
      </c>
      <c r="G45" s="24">
        <v>2.4000000000000001E-4</v>
      </c>
      <c r="H45" s="24">
        <v>1.4999999999999999E-4</v>
      </c>
    </row>
    <row r="46" spans="1:8" x14ac:dyDescent="0.25">
      <c r="A46" s="23">
        <v>36</v>
      </c>
      <c r="B46" s="21"/>
      <c r="C46" s="24">
        <v>2.9E-4</v>
      </c>
      <c r="D46" s="24">
        <v>5.8E-4</v>
      </c>
      <c r="E46" s="24">
        <v>3.3E-4</v>
      </c>
      <c r="F46" s="24">
        <v>1.3999999999999999E-4</v>
      </c>
      <c r="G46" s="24">
        <v>2.4000000000000001E-4</v>
      </c>
      <c r="H46" s="24">
        <v>1.4999999999999999E-4</v>
      </c>
    </row>
    <row r="47" spans="1:8" x14ac:dyDescent="0.25">
      <c r="A47" s="23">
        <v>37</v>
      </c>
      <c r="B47" s="21"/>
      <c r="C47" s="24">
        <v>2.9999999999999997E-4</v>
      </c>
      <c r="D47" s="24">
        <v>5.9999999999999995E-4</v>
      </c>
      <c r="E47" s="24">
        <v>3.4000000000000002E-4</v>
      </c>
      <c r="F47" s="24">
        <v>1.3999999999999999E-4</v>
      </c>
      <c r="G47" s="24">
        <v>2.4000000000000001E-4</v>
      </c>
      <c r="H47" s="24">
        <v>1.4999999999999999E-4</v>
      </c>
    </row>
    <row r="48" spans="1:8" x14ac:dyDescent="0.25">
      <c r="A48" s="23">
        <v>38</v>
      </c>
      <c r="B48" s="21"/>
      <c r="C48" s="24">
        <v>3.1E-4</v>
      </c>
      <c r="D48" s="24">
        <v>6.2E-4</v>
      </c>
      <c r="E48" s="24">
        <v>3.5E-4</v>
      </c>
      <c r="F48" s="24">
        <v>1.4999999999999999E-4</v>
      </c>
      <c r="G48" s="24">
        <v>2.5999999999999998E-4</v>
      </c>
      <c r="H48" s="24">
        <v>1.6000000000000001E-4</v>
      </c>
    </row>
    <row r="49" spans="1:8" x14ac:dyDescent="0.25">
      <c r="A49" s="23">
        <v>39</v>
      </c>
      <c r="B49" s="21"/>
      <c r="C49" s="24">
        <v>3.2000000000000003E-4</v>
      </c>
      <c r="D49" s="24">
        <v>6.4000000000000005E-4</v>
      </c>
      <c r="E49" s="24">
        <v>3.6000000000000002E-4</v>
      </c>
      <c r="F49" s="24">
        <v>1.6000000000000001E-4</v>
      </c>
      <c r="G49" s="24">
        <v>2.7E-4</v>
      </c>
      <c r="H49" s="24">
        <v>1.7000000000000001E-4</v>
      </c>
    </row>
    <row r="50" spans="1:8" x14ac:dyDescent="0.25">
      <c r="A50" s="23">
        <v>40</v>
      </c>
      <c r="B50" s="21"/>
      <c r="C50" s="24">
        <v>3.4000000000000002E-4</v>
      </c>
      <c r="D50" s="24">
        <v>6.8000000000000005E-4</v>
      </c>
      <c r="E50" s="24">
        <v>3.8999999999999999E-4</v>
      </c>
      <c r="F50" s="24">
        <v>1.7000000000000001E-4</v>
      </c>
      <c r="G50" s="24">
        <v>2.9E-4</v>
      </c>
      <c r="H50" s="24">
        <v>1.8000000000000001E-4</v>
      </c>
    </row>
    <row r="51" spans="1:8" x14ac:dyDescent="0.25">
      <c r="A51" s="23">
        <v>41</v>
      </c>
      <c r="B51" s="21"/>
      <c r="C51" s="24">
        <v>3.6000000000000002E-4</v>
      </c>
      <c r="D51" s="24">
        <v>7.2000000000000005E-4</v>
      </c>
      <c r="E51" s="24">
        <v>4.0999999999999999E-4</v>
      </c>
      <c r="F51" s="24">
        <v>1.9000000000000001E-4</v>
      </c>
      <c r="G51" s="24">
        <v>3.2000000000000003E-4</v>
      </c>
      <c r="H51" s="24">
        <v>2.0000000000000001E-4</v>
      </c>
    </row>
    <row r="52" spans="1:8" x14ac:dyDescent="0.25">
      <c r="A52" s="23">
        <v>42</v>
      </c>
      <c r="B52" s="21"/>
      <c r="C52" s="24">
        <v>4.0000000000000002E-4</v>
      </c>
      <c r="D52" s="24">
        <v>8.0000000000000004E-4</v>
      </c>
      <c r="E52" s="24">
        <v>4.4999999999999999E-4</v>
      </c>
      <c r="F52" s="24">
        <v>2.1000000000000001E-4</v>
      </c>
      <c r="G52" s="24">
        <v>3.6000000000000002E-4</v>
      </c>
      <c r="H52" s="24">
        <v>2.2000000000000001E-4</v>
      </c>
    </row>
    <row r="53" spans="1:8" x14ac:dyDescent="0.25">
      <c r="A53" s="23">
        <v>43</v>
      </c>
      <c r="B53" s="21"/>
      <c r="C53" s="24">
        <v>4.4000000000000002E-4</v>
      </c>
      <c r="D53" s="24">
        <v>8.8000000000000003E-4</v>
      </c>
      <c r="E53" s="24">
        <v>5.0000000000000001E-4</v>
      </c>
      <c r="F53" s="24">
        <v>2.4000000000000001E-4</v>
      </c>
      <c r="G53" s="24">
        <v>4.0999999999999999E-4</v>
      </c>
      <c r="H53" s="24">
        <v>2.5000000000000001E-4</v>
      </c>
    </row>
    <row r="54" spans="1:8" x14ac:dyDescent="0.25">
      <c r="A54" s="23">
        <v>44</v>
      </c>
      <c r="B54" s="21"/>
      <c r="C54" s="24">
        <v>4.8999999999999998E-4</v>
      </c>
      <c r="D54" s="24">
        <v>9.7999999999999997E-4</v>
      </c>
      <c r="E54" s="24">
        <v>5.5000000000000003E-4</v>
      </c>
      <c r="F54" s="24">
        <v>2.5999999999999998E-4</v>
      </c>
      <c r="G54" s="24">
        <v>4.4000000000000002E-4</v>
      </c>
      <c r="H54" s="24">
        <v>2.7999999999999998E-4</v>
      </c>
    </row>
    <row r="55" spans="1:8" x14ac:dyDescent="0.25">
      <c r="A55" s="23">
        <v>45</v>
      </c>
      <c r="B55" s="21"/>
      <c r="C55" s="24">
        <v>5.4000000000000001E-4</v>
      </c>
      <c r="D55" s="24">
        <v>1.08E-3</v>
      </c>
      <c r="E55" s="24">
        <v>6.0999999999999997E-4</v>
      </c>
      <c r="F55" s="24">
        <v>3.1E-4</v>
      </c>
      <c r="G55" s="24">
        <v>5.2999999999999998E-4</v>
      </c>
      <c r="H55" s="24">
        <v>3.3E-4</v>
      </c>
    </row>
    <row r="56" spans="1:8" x14ac:dyDescent="0.25">
      <c r="A56" s="23">
        <v>46</v>
      </c>
      <c r="B56" s="21"/>
      <c r="C56" s="24">
        <v>5.9000000000000003E-4</v>
      </c>
      <c r="D56" s="24">
        <v>1.1800000000000001E-3</v>
      </c>
      <c r="E56" s="24">
        <v>6.6E-4</v>
      </c>
      <c r="F56" s="24">
        <v>3.6000000000000002E-4</v>
      </c>
      <c r="G56" s="24">
        <v>6.0999999999999997E-4</v>
      </c>
      <c r="H56" s="24">
        <v>3.8000000000000002E-4</v>
      </c>
    </row>
    <row r="57" spans="1:8" x14ac:dyDescent="0.25">
      <c r="A57" s="23">
        <v>47</v>
      </c>
      <c r="B57" s="21"/>
      <c r="C57" s="24">
        <v>6.6E-4</v>
      </c>
      <c r="D57" s="24">
        <v>1.32E-3</v>
      </c>
      <c r="E57" s="24">
        <v>7.2999999999999996E-4</v>
      </c>
      <c r="F57" s="24">
        <v>4.0999999999999999E-4</v>
      </c>
      <c r="G57" s="24">
        <v>6.9999999999999999E-4</v>
      </c>
      <c r="H57" s="24">
        <v>4.4000000000000002E-4</v>
      </c>
    </row>
    <row r="58" spans="1:8" x14ac:dyDescent="0.25">
      <c r="A58" s="23">
        <v>48</v>
      </c>
      <c r="B58" s="21"/>
      <c r="C58" s="24">
        <v>7.1000000000000002E-4</v>
      </c>
      <c r="D58" s="24">
        <v>1.42E-3</v>
      </c>
      <c r="E58" s="24">
        <v>7.9000000000000001E-4</v>
      </c>
      <c r="F58" s="24">
        <v>4.6999999999999999E-4</v>
      </c>
      <c r="G58" s="24">
        <v>8.0000000000000004E-4</v>
      </c>
      <c r="H58" s="24">
        <v>5.0000000000000001E-4</v>
      </c>
    </row>
    <row r="59" spans="1:8" x14ac:dyDescent="0.25">
      <c r="A59" s="23">
        <v>49</v>
      </c>
      <c r="B59" s="21"/>
      <c r="C59" s="24">
        <v>7.9000000000000001E-4</v>
      </c>
      <c r="D59" s="24">
        <v>1.58E-3</v>
      </c>
      <c r="E59" s="24">
        <v>8.7000000000000001E-4</v>
      </c>
      <c r="F59" s="24">
        <v>5.4000000000000001E-4</v>
      </c>
      <c r="G59" s="24">
        <v>9.2000000000000003E-4</v>
      </c>
      <c r="H59" s="24">
        <v>5.6999999999999998E-4</v>
      </c>
    </row>
    <row r="60" spans="1:8" x14ac:dyDescent="0.25">
      <c r="A60" s="23">
        <v>50</v>
      </c>
      <c r="B60" s="21"/>
      <c r="C60" s="24">
        <v>8.5999999999999998E-4</v>
      </c>
      <c r="D60" s="24">
        <v>1.72E-3</v>
      </c>
      <c r="E60" s="24">
        <v>9.5E-4</v>
      </c>
      <c r="F60" s="24">
        <v>6.0999999999999997E-4</v>
      </c>
      <c r="G60" s="24">
        <v>1.0399999999999999E-3</v>
      </c>
      <c r="H60" s="24">
        <v>6.4000000000000005E-4</v>
      </c>
    </row>
    <row r="61" spans="1:8" x14ac:dyDescent="0.25">
      <c r="A61" s="23">
        <v>51</v>
      </c>
      <c r="B61" s="21"/>
      <c r="C61" s="24">
        <v>9.6000000000000002E-4</v>
      </c>
      <c r="D61" s="24">
        <v>1.92E-3</v>
      </c>
      <c r="E61" s="24">
        <v>1.0499999999999999E-3</v>
      </c>
      <c r="F61" s="24">
        <v>6.4999999999999997E-4</v>
      </c>
      <c r="G61" s="24">
        <v>1.1100000000000001E-3</v>
      </c>
      <c r="H61" s="24">
        <v>6.8999999999999997E-4</v>
      </c>
    </row>
    <row r="62" spans="1:8" x14ac:dyDescent="0.25">
      <c r="A62" s="23">
        <v>52</v>
      </c>
      <c r="B62" s="21"/>
      <c r="C62" s="24">
        <v>1.06E-3</v>
      </c>
      <c r="D62" s="24">
        <v>2.1199999999999999E-3</v>
      </c>
      <c r="E62" s="24">
        <v>1.16E-3</v>
      </c>
      <c r="F62" s="24">
        <v>6.8999999999999997E-4</v>
      </c>
      <c r="G62" s="24">
        <v>1.17E-3</v>
      </c>
      <c r="H62" s="24">
        <v>7.2999999999999996E-4</v>
      </c>
    </row>
    <row r="63" spans="1:8" x14ac:dyDescent="0.25">
      <c r="A63" s="23">
        <v>53</v>
      </c>
      <c r="B63" s="21"/>
      <c r="C63" s="24">
        <v>1.1800000000000001E-3</v>
      </c>
      <c r="D63" s="24">
        <v>2.3600000000000001E-3</v>
      </c>
      <c r="E63" s="24">
        <v>1.2800000000000001E-3</v>
      </c>
      <c r="F63" s="24">
        <v>7.2000000000000005E-4</v>
      </c>
      <c r="G63" s="24">
        <v>1.2199999999999999E-3</v>
      </c>
      <c r="H63" s="24">
        <v>7.6000000000000004E-4</v>
      </c>
    </row>
    <row r="64" spans="1:8" x14ac:dyDescent="0.25">
      <c r="A64" s="23">
        <v>54</v>
      </c>
      <c r="B64" s="21"/>
      <c r="C64" s="24">
        <v>1.2999999999999999E-3</v>
      </c>
      <c r="D64" s="24">
        <v>2.5999999999999999E-3</v>
      </c>
      <c r="E64" s="24">
        <v>1.41E-3</v>
      </c>
      <c r="F64" s="24">
        <v>7.3999999999999999E-4</v>
      </c>
      <c r="G64" s="24">
        <v>1.2600000000000001E-3</v>
      </c>
      <c r="H64" s="24">
        <v>7.7999999999999999E-4</v>
      </c>
    </row>
    <row r="65" spans="1:8" x14ac:dyDescent="0.25">
      <c r="A65" s="23">
        <v>55</v>
      </c>
      <c r="B65" s="21"/>
      <c r="C65" s="24">
        <v>1.42E-3</v>
      </c>
      <c r="D65" s="24">
        <v>2.8400000000000001E-3</v>
      </c>
      <c r="E65" s="24">
        <v>1.5299999999999999E-3</v>
      </c>
      <c r="F65" s="24">
        <v>7.7999999999999999E-4</v>
      </c>
      <c r="G65" s="24">
        <v>1.33E-3</v>
      </c>
      <c r="H65" s="24">
        <v>8.1999999999999998E-4</v>
      </c>
    </row>
    <row r="66" spans="1:8" x14ac:dyDescent="0.25">
      <c r="A66" s="23">
        <v>56</v>
      </c>
      <c r="B66" s="21"/>
      <c r="C66" s="24">
        <v>1.5100000000000001E-3</v>
      </c>
      <c r="D66" s="24">
        <v>3.0200000000000001E-3</v>
      </c>
      <c r="E66" s="24">
        <v>1.6299999999999999E-3</v>
      </c>
      <c r="F66" s="24">
        <v>8.5999999999999998E-4</v>
      </c>
      <c r="G66" s="24">
        <v>1.4599999999999999E-3</v>
      </c>
      <c r="H66" s="24">
        <v>8.9999999999999998E-4</v>
      </c>
    </row>
    <row r="67" spans="1:8" x14ac:dyDescent="0.25">
      <c r="A67" s="23">
        <v>57</v>
      </c>
      <c r="B67" s="21"/>
      <c r="C67" s="24">
        <v>1.6000000000000001E-3</v>
      </c>
      <c r="D67" s="24">
        <v>3.2000000000000002E-3</v>
      </c>
      <c r="E67" s="24">
        <v>1.72E-3</v>
      </c>
      <c r="F67" s="24">
        <v>9.7999999999999997E-4</v>
      </c>
      <c r="G67" s="24">
        <v>1.67E-3</v>
      </c>
      <c r="H67" s="24">
        <v>1.0300000000000001E-3</v>
      </c>
    </row>
    <row r="68" spans="1:8" x14ac:dyDescent="0.25">
      <c r="A68" s="23">
        <v>58</v>
      </c>
      <c r="B68" s="21"/>
      <c r="C68" s="24">
        <v>1.6900000000000001E-3</v>
      </c>
      <c r="D68" s="24">
        <v>3.3800000000000002E-3</v>
      </c>
      <c r="E68" s="24">
        <v>1.81E-3</v>
      </c>
      <c r="F68" s="24">
        <v>1.16E-3</v>
      </c>
      <c r="G68" s="24">
        <v>1.97E-3</v>
      </c>
      <c r="H68" s="24">
        <v>1.2099999999999999E-3</v>
      </c>
    </row>
    <row r="69" spans="1:8" x14ac:dyDescent="0.25">
      <c r="A69" s="23">
        <v>59</v>
      </c>
      <c r="B69" s="21"/>
      <c r="C69" s="24">
        <v>1.7799999999999999E-3</v>
      </c>
      <c r="D69" s="24">
        <v>3.5599999999999998E-3</v>
      </c>
      <c r="E69" s="24">
        <v>1.9E-3</v>
      </c>
      <c r="F69" s="24">
        <v>1.39E-3</v>
      </c>
      <c r="G69" s="24">
        <v>2.3600000000000001E-3</v>
      </c>
      <c r="H69" s="24">
        <v>1.4499999999999999E-3</v>
      </c>
    </row>
    <row r="70" spans="1:8" x14ac:dyDescent="0.25">
      <c r="A70" s="23">
        <v>60</v>
      </c>
      <c r="B70" s="21"/>
      <c r="C70" s="24">
        <v>1.8699999999999999E-3</v>
      </c>
      <c r="D70" s="24">
        <v>3.7399999999999998E-3</v>
      </c>
      <c r="E70" s="24">
        <v>2E-3</v>
      </c>
      <c r="F70" s="24">
        <v>1.66E-3</v>
      </c>
      <c r="G70" s="24">
        <v>2.82E-3</v>
      </c>
      <c r="H70" s="24">
        <v>1.73E-3</v>
      </c>
    </row>
    <row r="71" spans="1:8" x14ac:dyDescent="0.25">
      <c r="A71" s="23">
        <v>61</v>
      </c>
      <c r="B71" s="21"/>
      <c r="C71" s="24">
        <v>2.0200000000000001E-3</v>
      </c>
      <c r="D71" s="24">
        <v>4.0400000000000002E-3</v>
      </c>
      <c r="E71" s="24">
        <v>2.15E-3</v>
      </c>
      <c r="F71" s="24">
        <v>1.9499999999999999E-3</v>
      </c>
      <c r="G71" s="24">
        <v>3.32E-3</v>
      </c>
      <c r="H71" s="24">
        <v>2.0300000000000001E-3</v>
      </c>
    </row>
    <row r="72" spans="1:8" x14ac:dyDescent="0.25">
      <c r="A72" s="23">
        <v>62</v>
      </c>
      <c r="B72" s="21"/>
      <c r="C72" s="24">
        <v>2.2200000000000002E-3</v>
      </c>
      <c r="D72" s="24">
        <v>4.4400000000000004E-3</v>
      </c>
      <c r="E72" s="24">
        <v>2.3600000000000001E-3</v>
      </c>
      <c r="F72" s="24">
        <v>2.2499999999999998E-3</v>
      </c>
      <c r="G72" s="24">
        <v>3.8300000000000001E-3</v>
      </c>
      <c r="H72" s="24">
        <v>2.3400000000000001E-3</v>
      </c>
    </row>
    <row r="73" spans="1:8" x14ac:dyDescent="0.25">
      <c r="A73" s="23">
        <v>63</v>
      </c>
      <c r="B73" s="21"/>
      <c r="C73" s="24">
        <v>2.48E-3</v>
      </c>
      <c r="D73" s="24">
        <v>4.96E-3</v>
      </c>
      <c r="E73" s="24">
        <v>2.64E-3</v>
      </c>
      <c r="F73" s="24">
        <v>2.5300000000000001E-3</v>
      </c>
      <c r="G73" s="24">
        <v>4.3E-3</v>
      </c>
      <c r="H73" s="24">
        <v>2.63E-3</v>
      </c>
    </row>
    <row r="74" spans="1:8" x14ac:dyDescent="0.25">
      <c r="A74" s="23">
        <v>64</v>
      </c>
      <c r="B74" s="21"/>
      <c r="C74" s="24">
        <v>2.8400000000000001E-3</v>
      </c>
      <c r="D74" s="24">
        <v>5.6800000000000002E-3</v>
      </c>
      <c r="E74" s="24">
        <v>3.0100000000000001E-3</v>
      </c>
      <c r="F74" s="24">
        <v>2.81E-3</v>
      </c>
      <c r="G74" s="24">
        <v>4.7800000000000004E-3</v>
      </c>
      <c r="H74" s="24">
        <v>2.9099999999999998E-3</v>
      </c>
    </row>
    <row r="75" spans="1:8" x14ac:dyDescent="0.25">
      <c r="A75" s="23">
        <v>65</v>
      </c>
      <c r="B75" s="21"/>
      <c r="C75" s="24">
        <v>3.29E-3</v>
      </c>
      <c r="D75" s="24">
        <v>6.5799999999999999E-3</v>
      </c>
      <c r="E75" s="24">
        <v>3.49E-3</v>
      </c>
      <c r="F75" s="24">
        <v>3.0699999999999998E-3</v>
      </c>
      <c r="G75" s="24">
        <v>5.2199999999999998E-3</v>
      </c>
      <c r="H75" s="24">
        <v>3.1800000000000001E-3</v>
      </c>
    </row>
    <row r="76" spans="1:8" x14ac:dyDescent="0.25">
      <c r="A76" s="23">
        <v>66</v>
      </c>
      <c r="B76" s="21"/>
      <c r="C76" s="24">
        <v>3.79E-3</v>
      </c>
      <c r="D76" s="24">
        <v>7.5799999999999999E-3</v>
      </c>
      <c r="E76" s="24">
        <v>4.0099999999999997E-3</v>
      </c>
      <c r="F76" s="24">
        <v>3.1800000000000001E-3</v>
      </c>
      <c r="G76" s="24">
        <v>5.4099999999999999E-3</v>
      </c>
      <c r="H76" s="24">
        <v>3.29E-3</v>
      </c>
    </row>
    <row r="77" spans="1:8" x14ac:dyDescent="0.25">
      <c r="A77" s="23">
        <v>67</v>
      </c>
      <c r="B77" s="21"/>
      <c r="C77" s="24">
        <v>4.3400000000000001E-3</v>
      </c>
      <c r="D77" s="24">
        <v>8.6800000000000002E-3</v>
      </c>
      <c r="E77" s="24">
        <v>4.5900000000000003E-3</v>
      </c>
      <c r="F77" s="24">
        <v>3.5699999999999998E-3</v>
      </c>
      <c r="G77" s="24">
        <v>6.0699999999999999E-3</v>
      </c>
      <c r="H77" s="24">
        <v>3.6800000000000001E-3</v>
      </c>
    </row>
    <row r="78" spans="1:8" x14ac:dyDescent="0.25">
      <c r="A78" s="23">
        <v>68</v>
      </c>
      <c r="B78" s="21"/>
      <c r="C78" s="24">
        <v>5.0200000000000002E-3</v>
      </c>
      <c r="D78" s="24">
        <v>1.004E-2</v>
      </c>
      <c r="E78" s="24">
        <v>5.2900000000000004E-3</v>
      </c>
      <c r="F78" s="24">
        <v>3.98E-3</v>
      </c>
      <c r="G78" s="24">
        <v>6.77E-3</v>
      </c>
      <c r="H78" s="24">
        <v>4.1000000000000003E-3</v>
      </c>
    </row>
    <row r="79" spans="1:8" x14ac:dyDescent="0.25">
      <c r="A79" s="23">
        <v>69</v>
      </c>
      <c r="B79" s="21"/>
      <c r="C79" s="24">
        <v>5.8100000000000001E-3</v>
      </c>
      <c r="D79" s="24">
        <v>1.162E-2</v>
      </c>
      <c r="E79" s="24">
        <v>6.1199999999999996E-3</v>
      </c>
      <c r="F79" s="24">
        <v>4.4400000000000004E-3</v>
      </c>
      <c r="G79" s="24">
        <v>7.5500000000000003E-3</v>
      </c>
      <c r="H79" s="24">
        <v>4.5700000000000003E-3</v>
      </c>
    </row>
    <row r="80" spans="1:8" x14ac:dyDescent="0.25">
      <c r="A80" s="23">
        <v>70</v>
      </c>
      <c r="B80" s="21"/>
      <c r="C80" s="24">
        <v>6.7400000000000003E-3</v>
      </c>
      <c r="D80" s="24">
        <v>1.3480000000000001E-2</v>
      </c>
      <c r="E80" s="24">
        <v>7.0800000000000004E-3</v>
      </c>
      <c r="F80" s="24">
        <v>4.9500000000000004E-3</v>
      </c>
      <c r="G80" s="24">
        <v>8.4200000000000004E-3</v>
      </c>
      <c r="H80" s="24">
        <v>5.0899999999999999E-3</v>
      </c>
    </row>
    <row r="81" spans="1:8" x14ac:dyDescent="0.25">
      <c r="A81" s="23">
        <v>71</v>
      </c>
      <c r="B81" s="21"/>
      <c r="C81" s="24">
        <v>7.8100000000000001E-3</v>
      </c>
      <c r="D81" s="24">
        <v>1.562E-2</v>
      </c>
      <c r="E81" s="24">
        <v>8.1899999999999994E-3</v>
      </c>
      <c r="F81" s="24">
        <v>5.5399999999999998E-3</v>
      </c>
      <c r="G81" s="24">
        <v>9.4199999999999996E-3</v>
      </c>
      <c r="H81" s="24">
        <v>5.6800000000000002E-3</v>
      </c>
    </row>
    <row r="82" spans="1:8" x14ac:dyDescent="0.25">
      <c r="A82" s="23">
        <v>72</v>
      </c>
      <c r="B82" s="21"/>
      <c r="C82" s="24">
        <v>9.0399999999999994E-3</v>
      </c>
      <c r="D82" s="24">
        <v>1.8079999999999999E-2</v>
      </c>
      <c r="E82" s="24">
        <v>9.4599999999999997E-3</v>
      </c>
      <c r="F82" s="24">
        <v>6.1999999999999998E-3</v>
      </c>
      <c r="G82" s="24">
        <v>1.0540000000000001E-2</v>
      </c>
      <c r="H82" s="24">
        <v>6.3499999999999997E-3</v>
      </c>
    </row>
    <row r="83" spans="1:8" x14ac:dyDescent="0.25">
      <c r="A83" s="23">
        <v>73</v>
      </c>
      <c r="B83" s="21"/>
      <c r="C83" s="24">
        <v>1.0370000000000001E-2</v>
      </c>
      <c r="D83" s="24">
        <v>2.0740000000000001E-2</v>
      </c>
      <c r="E83" s="24">
        <v>1.0829999999999999E-2</v>
      </c>
      <c r="F83" s="24">
        <v>6.9699999999999996E-3</v>
      </c>
      <c r="G83" s="24">
        <v>1.1849999999999999E-2</v>
      </c>
      <c r="H83" s="24">
        <v>7.1300000000000001E-3</v>
      </c>
    </row>
    <row r="84" spans="1:8" x14ac:dyDescent="0.25">
      <c r="A84" s="23">
        <v>74</v>
      </c>
      <c r="B84" s="21"/>
      <c r="C84" s="24">
        <v>1.184E-2</v>
      </c>
      <c r="D84" s="24">
        <v>2.368E-2</v>
      </c>
      <c r="E84" s="24">
        <v>1.234E-2</v>
      </c>
      <c r="F84" s="24">
        <v>7.8600000000000007E-3</v>
      </c>
      <c r="G84" s="24">
        <v>1.336E-2</v>
      </c>
      <c r="H84" s="24">
        <v>8.0300000000000007E-3</v>
      </c>
    </row>
    <row r="85" spans="1:8" x14ac:dyDescent="0.25">
      <c r="A85" s="23">
        <v>75</v>
      </c>
      <c r="B85" s="21"/>
      <c r="C85" s="24">
        <v>1.35E-2</v>
      </c>
      <c r="D85" s="24">
        <v>2.7E-2</v>
      </c>
      <c r="E85" s="24">
        <v>1.404E-2</v>
      </c>
      <c r="F85" s="24">
        <v>8.8699999999999994E-3</v>
      </c>
      <c r="G85" s="24">
        <v>1.508E-2</v>
      </c>
      <c r="H85" s="24">
        <v>9.0600000000000003E-3</v>
      </c>
    </row>
    <row r="86" spans="1:8" x14ac:dyDescent="0.25">
      <c r="A86" s="23">
        <v>76</v>
      </c>
      <c r="B86" s="21"/>
      <c r="C86" s="24">
        <v>1.545E-2</v>
      </c>
      <c r="D86" s="24">
        <v>3.0439999999999998E-2</v>
      </c>
      <c r="E86" s="24">
        <v>1.601E-2</v>
      </c>
      <c r="F86" s="24">
        <v>1.004E-2</v>
      </c>
      <c r="G86" s="24">
        <v>1.6889999999999999E-2</v>
      </c>
      <c r="H86" s="24">
        <v>1.0240000000000001E-2</v>
      </c>
    </row>
    <row r="87" spans="1:8" x14ac:dyDescent="0.25">
      <c r="A87" s="23">
        <v>77</v>
      </c>
      <c r="B87" s="21"/>
      <c r="C87" s="24">
        <v>1.7670000000000002E-2</v>
      </c>
      <c r="D87" s="24">
        <v>3.4279999999999998E-2</v>
      </c>
      <c r="E87" s="24">
        <v>1.8259999999999998E-2</v>
      </c>
      <c r="F87" s="24">
        <v>1.14E-2</v>
      </c>
      <c r="G87" s="24">
        <v>1.8970000000000001E-2</v>
      </c>
      <c r="H87" s="24">
        <v>1.1610000000000001E-2</v>
      </c>
    </row>
    <row r="88" spans="1:8" x14ac:dyDescent="0.25">
      <c r="A88" s="23">
        <v>78</v>
      </c>
      <c r="B88" s="21"/>
      <c r="C88" s="24">
        <v>2.0199999999999999E-2</v>
      </c>
      <c r="D88" s="24">
        <v>3.8580000000000003E-2</v>
      </c>
      <c r="E88" s="24">
        <v>2.0809999999999999E-2</v>
      </c>
      <c r="F88" s="24">
        <v>1.2959999999999999E-2</v>
      </c>
      <c r="G88" s="24">
        <v>2.1329999999999998E-2</v>
      </c>
      <c r="H88" s="24">
        <v>1.3180000000000001E-2</v>
      </c>
    </row>
    <row r="89" spans="1:8" x14ac:dyDescent="0.25">
      <c r="A89" s="23">
        <v>79</v>
      </c>
      <c r="B89" s="21"/>
      <c r="C89" s="24">
        <v>2.3040000000000001E-2</v>
      </c>
      <c r="D89" s="24">
        <v>4.3319999999999997E-2</v>
      </c>
      <c r="E89" s="24">
        <v>2.367E-2</v>
      </c>
      <c r="F89" s="24">
        <v>1.478E-2</v>
      </c>
      <c r="G89" s="24">
        <v>2.4060000000000002E-2</v>
      </c>
      <c r="H89" s="24">
        <v>1.5010000000000001E-2</v>
      </c>
    </row>
    <row r="90" spans="1:8" x14ac:dyDescent="0.25">
      <c r="A90" s="23">
        <v>80</v>
      </c>
      <c r="B90" s="21"/>
      <c r="C90" s="24">
        <v>2.623E-2</v>
      </c>
      <c r="D90" s="24">
        <v>4.8529999999999997E-2</v>
      </c>
      <c r="E90" s="24">
        <v>2.6870000000000002E-2</v>
      </c>
      <c r="F90" s="24">
        <v>1.687E-2</v>
      </c>
      <c r="G90" s="24">
        <v>2.716E-2</v>
      </c>
      <c r="H90" s="24">
        <v>1.712E-2</v>
      </c>
    </row>
    <row r="91" spans="1:8" x14ac:dyDescent="0.25">
      <c r="A91" s="23">
        <v>81</v>
      </c>
      <c r="B91" s="21"/>
      <c r="C91" s="24">
        <v>2.9739999999999999E-2</v>
      </c>
      <c r="D91" s="24">
        <v>5.4129999999999998E-2</v>
      </c>
      <c r="E91" s="24">
        <v>3.039E-2</v>
      </c>
      <c r="F91" s="24">
        <v>1.933E-2</v>
      </c>
      <c r="G91" s="24">
        <v>3.0769999999999999E-2</v>
      </c>
      <c r="H91" s="24">
        <v>1.959E-2</v>
      </c>
    </row>
    <row r="92" spans="1:8" x14ac:dyDescent="0.25">
      <c r="A92" s="23">
        <v>82</v>
      </c>
      <c r="B92" s="21"/>
      <c r="C92" s="24">
        <v>3.3309999999999999E-2</v>
      </c>
      <c r="D92" s="24">
        <v>5.9619999999999999E-2</v>
      </c>
      <c r="E92" s="24">
        <v>3.3959999999999997E-2</v>
      </c>
      <c r="F92" s="24">
        <v>2.2079999999999999E-2</v>
      </c>
      <c r="G92" s="24">
        <v>3.4750000000000003E-2</v>
      </c>
      <c r="H92" s="24">
        <v>2.2360000000000001E-2</v>
      </c>
    </row>
    <row r="93" spans="1:8" x14ac:dyDescent="0.25">
      <c r="A93" s="23">
        <v>83</v>
      </c>
      <c r="B93" s="21"/>
      <c r="C93" s="24">
        <v>3.721E-2</v>
      </c>
      <c r="D93" s="24">
        <v>6.5490000000000007E-2</v>
      </c>
      <c r="E93" s="24">
        <v>3.7859999999999998E-2</v>
      </c>
      <c r="F93" s="24">
        <v>2.5229999999999999E-2</v>
      </c>
      <c r="G93" s="24">
        <v>3.9260000000000003E-2</v>
      </c>
      <c r="H93" s="24">
        <v>2.5530000000000001E-2</v>
      </c>
    </row>
    <row r="94" spans="1:8" x14ac:dyDescent="0.25">
      <c r="A94" s="23">
        <v>84</v>
      </c>
      <c r="B94" s="21"/>
      <c r="C94" s="24">
        <v>4.1549999999999997E-2</v>
      </c>
      <c r="D94" s="24">
        <v>7.1879999999999999E-2</v>
      </c>
      <c r="E94" s="24">
        <v>4.2200000000000001E-2</v>
      </c>
      <c r="F94" s="24">
        <v>2.8840000000000001E-2</v>
      </c>
      <c r="G94" s="24">
        <v>4.4359999999999997E-2</v>
      </c>
      <c r="H94" s="24">
        <v>2.9159999999999998E-2</v>
      </c>
    </row>
    <row r="95" spans="1:8" x14ac:dyDescent="0.25">
      <c r="A95" s="23">
        <v>85</v>
      </c>
      <c r="B95" s="21"/>
      <c r="C95" s="24">
        <v>4.6359999999999998E-2</v>
      </c>
      <c r="D95" s="24">
        <v>7.8810000000000005E-2</v>
      </c>
      <c r="E95" s="24">
        <v>4.7010000000000003E-2</v>
      </c>
      <c r="F95" s="24">
        <v>3.2919999999999998E-2</v>
      </c>
      <c r="G95" s="24">
        <v>5.0040000000000001E-2</v>
      </c>
      <c r="H95" s="24">
        <v>3.3259999999999998E-2</v>
      </c>
    </row>
    <row r="96" spans="1:8" x14ac:dyDescent="0.25">
      <c r="A96" s="23">
        <v>86</v>
      </c>
      <c r="B96" s="21"/>
      <c r="C96" s="24">
        <v>5.1670000000000001E-2</v>
      </c>
      <c r="D96" s="24">
        <v>8.6290000000000006E-2</v>
      </c>
      <c r="E96" s="24">
        <v>5.2319999999999998E-2</v>
      </c>
      <c r="F96" s="24">
        <v>3.7530000000000001E-2</v>
      </c>
      <c r="G96" s="24">
        <v>5.6370000000000003E-2</v>
      </c>
      <c r="H96" s="24">
        <v>3.789E-2</v>
      </c>
    </row>
    <row r="97" spans="1:8" x14ac:dyDescent="0.25">
      <c r="A97" s="23">
        <v>87</v>
      </c>
      <c r="B97" s="21"/>
      <c r="C97" s="24">
        <v>5.7489999999999999E-2</v>
      </c>
      <c r="D97" s="24">
        <v>9.4280000000000003E-2</v>
      </c>
      <c r="E97" s="24">
        <v>5.8139999999999997E-2</v>
      </c>
      <c r="F97" s="24">
        <v>4.267E-2</v>
      </c>
      <c r="G97" s="24">
        <v>6.3320000000000001E-2</v>
      </c>
      <c r="H97" s="24">
        <v>4.3049999999999998E-2</v>
      </c>
    </row>
    <row r="98" spans="1:8" x14ac:dyDescent="0.25">
      <c r="A98" s="23">
        <v>88</v>
      </c>
      <c r="B98" s="21"/>
      <c r="C98" s="24">
        <v>6.3769999999999993E-2</v>
      </c>
      <c r="D98" s="24">
        <v>0.10267</v>
      </c>
      <c r="E98" s="24">
        <v>6.4430000000000001E-2</v>
      </c>
      <c r="F98" s="24">
        <v>4.8379999999999999E-2</v>
      </c>
      <c r="G98" s="24">
        <v>7.0930000000000007E-2</v>
      </c>
      <c r="H98" s="24">
        <v>4.8779999999999997E-2</v>
      </c>
    </row>
    <row r="99" spans="1:8" x14ac:dyDescent="0.25">
      <c r="A99" s="23">
        <v>89</v>
      </c>
      <c r="B99" s="21"/>
      <c r="C99" s="24">
        <v>7.041E-2</v>
      </c>
      <c r="D99" s="24">
        <v>0.11125</v>
      </c>
      <c r="E99" s="24">
        <v>7.1069999999999994E-2</v>
      </c>
      <c r="F99" s="24">
        <v>5.4670000000000003E-2</v>
      </c>
      <c r="G99" s="24">
        <v>7.9159999999999994E-2</v>
      </c>
      <c r="H99" s="24">
        <v>5.509E-2</v>
      </c>
    </row>
    <row r="100" spans="1:8" x14ac:dyDescent="0.25">
      <c r="A100" s="23">
        <v>90</v>
      </c>
      <c r="B100" s="21"/>
      <c r="C100" s="24">
        <v>7.7299999999999994E-2</v>
      </c>
      <c r="D100" s="24">
        <v>0.11982</v>
      </c>
      <c r="E100" s="24">
        <v>7.7950000000000005E-2</v>
      </c>
      <c r="F100" s="24">
        <v>6.1499999999999999E-2</v>
      </c>
      <c r="G100" s="24">
        <v>8.795E-2</v>
      </c>
      <c r="H100" s="24">
        <v>6.1929999999999999E-2</v>
      </c>
    </row>
    <row r="101" spans="1:8" x14ac:dyDescent="0.25">
      <c r="A101" s="23">
        <v>91</v>
      </c>
      <c r="B101" s="21"/>
      <c r="C101" s="24">
        <v>8.4320000000000006E-2</v>
      </c>
      <c r="D101" s="24">
        <v>0.12817000000000001</v>
      </c>
      <c r="E101" s="24">
        <v>8.4959999999999994E-2</v>
      </c>
      <c r="F101" s="24">
        <v>6.8769999999999998E-2</v>
      </c>
      <c r="G101" s="24">
        <v>9.7100000000000006E-2</v>
      </c>
      <c r="H101" s="24">
        <v>6.9199999999999998E-2</v>
      </c>
    </row>
    <row r="102" spans="1:8" x14ac:dyDescent="0.25">
      <c r="A102" s="23">
        <v>92</v>
      </c>
      <c r="B102" s="21"/>
      <c r="C102" s="24">
        <v>9.1389999999999999E-2</v>
      </c>
      <c r="D102" s="24">
        <v>0.13617000000000001</v>
      </c>
      <c r="E102" s="24">
        <v>9.1999999999999998E-2</v>
      </c>
      <c r="F102" s="24">
        <v>7.6359999999999997E-2</v>
      </c>
      <c r="G102" s="24">
        <v>0.10645</v>
      </c>
      <c r="H102" s="24">
        <v>7.6789999999999997E-2</v>
      </c>
    </row>
    <row r="103" spans="1:8" x14ac:dyDescent="0.25">
      <c r="A103" s="23">
        <v>93</v>
      </c>
      <c r="B103" s="21"/>
      <c r="C103" s="24">
        <v>9.8400000000000001E-2</v>
      </c>
      <c r="D103" s="24">
        <v>0.14366000000000001</v>
      </c>
      <c r="E103" s="24">
        <v>9.8970000000000002E-2</v>
      </c>
      <c r="F103" s="24">
        <v>8.4190000000000001E-2</v>
      </c>
      <c r="G103" s="24">
        <v>0.11584999999999999</v>
      </c>
      <c r="H103" s="24">
        <v>8.4599999999999995E-2</v>
      </c>
    </row>
    <row r="104" spans="1:8" x14ac:dyDescent="0.25">
      <c r="A104" s="23">
        <v>94</v>
      </c>
      <c r="B104" s="21"/>
      <c r="C104" s="24">
        <v>0.10525</v>
      </c>
      <c r="D104" s="24">
        <v>0.15051</v>
      </c>
      <c r="E104" s="24">
        <v>0.10577</v>
      </c>
      <c r="F104" s="24">
        <v>9.2160000000000006E-2</v>
      </c>
      <c r="G104" s="24">
        <v>0.12515000000000001</v>
      </c>
      <c r="H104" s="24">
        <v>9.2539999999999997E-2</v>
      </c>
    </row>
    <row r="105" spans="1:8" x14ac:dyDescent="0.25">
      <c r="A105" s="23">
        <v>95</v>
      </c>
      <c r="B105" s="21"/>
      <c r="C105" s="24">
        <v>0.11187999999999999</v>
      </c>
      <c r="D105" s="24">
        <v>0.15662999999999999</v>
      </c>
      <c r="E105" s="24">
        <v>0.11233</v>
      </c>
      <c r="F105" s="24">
        <v>0.10016</v>
      </c>
      <c r="G105" s="24">
        <v>0.13421</v>
      </c>
      <c r="H105" s="24">
        <v>0.10050000000000001</v>
      </c>
    </row>
    <row r="106" spans="1:8" x14ac:dyDescent="0.25">
      <c r="A106" s="23">
        <v>96</v>
      </c>
      <c r="B106" s="21"/>
      <c r="C106" s="24">
        <v>0.1182</v>
      </c>
      <c r="D106" s="24">
        <v>0.16192999999999999</v>
      </c>
      <c r="E106" s="24">
        <v>0.11856</v>
      </c>
      <c r="F106" s="24">
        <v>0.10811999999999999</v>
      </c>
      <c r="G106" s="24">
        <v>0.14293</v>
      </c>
      <c r="H106" s="24">
        <v>0.10841000000000001</v>
      </c>
    </row>
    <row r="107" spans="1:8" x14ac:dyDescent="0.25">
      <c r="A107" s="23">
        <v>97</v>
      </c>
      <c r="B107" s="21"/>
      <c r="C107" s="24">
        <v>0.12411</v>
      </c>
      <c r="D107" s="24">
        <v>0.16631000000000001</v>
      </c>
      <c r="E107" s="24">
        <v>0.12438</v>
      </c>
      <c r="F107" s="24">
        <v>0.11595999999999999</v>
      </c>
      <c r="G107" s="24">
        <v>0.15121000000000001</v>
      </c>
      <c r="H107" s="24">
        <v>0.11618000000000001</v>
      </c>
    </row>
    <row r="108" spans="1:8" x14ac:dyDescent="0.25">
      <c r="A108" s="23">
        <v>98</v>
      </c>
      <c r="B108" s="21"/>
      <c r="C108" s="24">
        <v>0.12956000000000001</v>
      </c>
      <c r="D108" s="24">
        <v>0.16972000000000001</v>
      </c>
      <c r="E108" s="24">
        <v>0.12973999999999999</v>
      </c>
      <c r="F108" s="24">
        <v>0.1236</v>
      </c>
      <c r="G108" s="24">
        <v>0.15895000000000001</v>
      </c>
      <c r="H108" s="24">
        <v>0.12375</v>
      </c>
    </row>
    <row r="109" spans="1:8" x14ac:dyDescent="0.25">
      <c r="A109" s="23">
        <v>99</v>
      </c>
      <c r="B109" s="21"/>
      <c r="C109" s="24">
        <v>0.13447999999999999</v>
      </c>
      <c r="D109" s="24">
        <v>0.17213000000000001</v>
      </c>
      <c r="E109" s="24">
        <v>0.13456000000000001</v>
      </c>
      <c r="F109" s="24">
        <v>0.13097</v>
      </c>
      <c r="G109" s="24">
        <v>0.16607</v>
      </c>
      <c r="H109" s="24">
        <v>0.13105</v>
      </c>
    </row>
    <row r="110" spans="1:8" x14ac:dyDescent="0.25">
      <c r="A110" s="25">
        <v>100</v>
      </c>
      <c r="B110" s="33"/>
      <c r="C110" s="34">
        <v>0.13893</v>
      </c>
      <c r="D110" s="34">
        <v>0.17366000000000001</v>
      </c>
      <c r="E110" s="34">
        <v>0.13893</v>
      </c>
      <c r="F110" s="34">
        <v>0.13802</v>
      </c>
      <c r="G110" s="34">
        <v>0.17252999999999999</v>
      </c>
      <c r="H110" s="34">
        <v>0.13802</v>
      </c>
    </row>
  </sheetData>
  <pageMargins left="0.39370078740157483" right="0.39370078740157483" top="0.39370078740157483" bottom="0.39370078740157483" header="0.31496062992125984" footer="0.39370078740157483"/>
  <pageSetup paperSize="9" orientation="portrait" horizontalDpi="4294967293" verticalDpi="300" r:id="rId1"/>
  <headerFooter>
    <oddFooter xml:space="preserve">&amp;C&amp;"Century Gothic,Bold"&amp;9&amp;K5F5F5FGraduation of the 2004-2008 Lump Sum Investigation Data
&amp;"Century Gothic,Regular"Published jointly by the Actuaries Institute and the Financial Services Council - November 2012
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110"/>
  <sheetViews>
    <sheetView showGridLines="0" tabSelected="1" zoomScaleNormal="100" workbookViewId="0">
      <selection activeCell="D15" sqref="D15"/>
    </sheetView>
  </sheetViews>
  <sheetFormatPr defaultColWidth="10.75" defaultRowHeight="13.5" x14ac:dyDescent="0.25"/>
  <cols>
    <col min="1" max="16384" width="10.75" style="1"/>
  </cols>
  <sheetData>
    <row r="1" spans="1:8" ht="26.25" x14ac:dyDescent="0.35">
      <c r="A1" s="2" t="s">
        <v>5</v>
      </c>
    </row>
    <row r="3" spans="1:8" x14ac:dyDescent="0.25">
      <c r="A3" s="13" t="s">
        <v>15</v>
      </c>
      <c r="B3" s="6"/>
      <c r="C3" s="6" t="s">
        <v>10</v>
      </c>
      <c r="D3" s="6"/>
      <c r="E3" s="6" t="s">
        <v>11</v>
      </c>
      <c r="F3" s="27">
        <v>0.55000000000000004</v>
      </c>
      <c r="G3" s="6"/>
      <c r="H3" s="7"/>
    </row>
    <row r="4" spans="1:8" x14ac:dyDescent="0.25">
      <c r="A4" s="15"/>
      <c r="B4" s="9"/>
      <c r="C4" s="9"/>
      <c r="D4" s="9"/>
      <c r="E4" s="9" t="s">
        <v>12</v>
      </c>
      <c r="F4" s="28">
        <v>0.7</v>
      </c>
      <c r="G4" s="9"/>
      <c r="H4" s="11"/>
    </row>
    <row r="5" spans="1:8" x14ac:dyDescent="0.25">
      <c r="A5" s="26"/>
      <c r="B5" s="9"/>
      <c r="C5" s="9"/>
      <c r="D5" s="9"/>
      <c r="E5" s="9" t="s">
        <v>13</v>
      </c>
      <c r="F5" s="28">
        <v>1</v>
      </c>
      <c r="G5" s="9"/>
      <c r="H5" s="11"/>
    </row>
    <row r="6" spans="1:8" x14ac:dyDescent="0.25">
      <c r="A6" s="15"/>
      <c r="B6" s="7"/>
      <c r="C6" s="13"/>
      <c r="D6" s="6"/>
      <c r="E6" s="7"/>
      <c r="F6" s="13"/>
      <c r="G6" s="6"/>
      <c r="H6" s="7"/>
    </row>
    <row r="7" spans="1:8" x14ac:dyDescent="0.25">
      <c r="A7" s="15" t="s">
        <v>8</v>
      </c>
      <c r="B7" s="11"/>
      <c r="C7" s="15" t="s">
        <v>3</v>
      </c>
      <c r="D7" s="9"/>
      <c r="E7" s="11"/>
      <c r="F7" s="15" t="s">
        <v>4</v>
      </c>
      <c r="G7" s="9"/>
      <c r="H7" s="11"/>
    </row>
    <row r="8" spans="1:8" x14ac:dyDescent="0.25">
      <c r="A8" s="26" t="s">
        <v>7</v>
      </c>
      <c r="B8" s="17"/>
      <c r="C8" s="18" t="s">
        <v>0</v>
      </c>
      <c r="D8" s="18" t="s">
        <v>1</v>
      </c>
      <c r="E8" s="18" t="s">
        <v>2</v>
      </c>
      <c r="F8" s="18" t="s">
        <v>0</v>
      </c>
      <c r="G8" s="18" t="s">
        <v>1</v>
      </c>
      <c r="H8" s="18" t="s">
        <v>2</v>
      </c>
    </row>
    <row r="9" spans="1:8" x14ac:dyDescent="0.25">
      <c r="A9" s="23"/>
      <c r="B9" s="21"/>
      <c r="C9" s="22"/>
      <c r="D9" s="22"/>
      <c r="E9" s="22"/>
      <c r="F9" s="22"/>
      <c r="G9" s="22"/>
      <c r="H9" s="22"/>
    </row>
    <row r="10" spans="1:8" x14ac:dyDescent="0.25">
      <c r="A10" s="23">
        <v>0</v>
      </c>
      <c r="B10" s="21"/>
      <c r="C10" s="24">
        <v>1.6000000000000001E-4</v>
      </c>
      <c r="D10" s="24">
        <v>3.2000000000000003E-4</v>
      </c>
      <c r="E10" s="24">
        <v>1.6000000000000001E-4</v>
      </c>
      <c r="F10" s="24">
        <v>1E-4</v>
      </c>
      <c r="G10" s="24">
        <v>1.7000000000000001E-4</v>
      </c>
      <c r="H10" s="24">
        <v>1E-4</v>
      </c>
    </row>
    <row r="11" spans="1:8" x14ac:dyDescent="0.25">
      <c r="A11" s="23">
        <v>1</v>
      </c>
      <c r="B11" s="21"/>
      <c r="C11" s="24">
        <v>1.6000000000000001E-4</v>
      </c>
      <c r="D11" s="24">
        <v>3.2000000000000003E-4</v>
      </c>
      <c r="E11" s="24">
        <v>1.6000000000000001E-4</v>
      </c>
      <c r="F11" s="24">
        <v>1E-4</v>
      </c>
      <c r="G11" s="24">
        <v>1.7000000000000001E-4</v>
      </c>
      <c r="H11" s="24">
        <v>1E-4</v>
      </c>
    </row>
    <row r="12" spans="1:8" x14ac:dyDescent="0.25">
      <c r="A12" s="23">
        <v>2</v>
      </c>
      <c r="B12" s="21"/>
      <c r="C12" s="24">
        <v>1.6000000000000001E-4</v>
      </c>
      <c r="D12" s="24">
        <v>3.2000000000000003E-4</v>
      </c>
      <c r="E12" s="24">
        <v>1.6000000000000001E-4</v>
      </c>
      <c r="F12" s="24">
        <v>1E-4</v>
      </c>
      <c r="G12" s="24">
        <v>1.7000000000000001E-4</v>
      </c>
      <c r="H12" s="24">
        <v>1E-4</v>
      </c>
    </row>
    <row r="13" spans="1:8" x14ac:dyDescent="0.25">
      <c r="A13" s="23">
        <v>3</v>
      </c>
      <c r="B13" s="21"/>
      <c r="C13" s="24">
        <v>1.6000000000000001E-4</v>
      </c>
      <c r="D13" s="24">
        <v>3.2000000000000003E-4</v>
      </c>
      <c r="E13" s="24">
        <v>1.6000000000000001E-4</v>
      </c>
      <c r="F13" s="24">
        <v>1E-4</v>
      </c>
      <c r="G13" s="24">
        <v>1.7000000000000001E-4</v>
      </c>
      <c r="H13" s="24">
        <v>1E-4</v>
      </c>
    </row>
    <row r="14" spans="1:8" x14ac:dyDescent="0.25">
      <c r="A14" s="23">
        <v>4</v>
      </c>
      <c r="B14" s="21"/>
      <c r="C14" s="24">
        <v>1.6000000000000001E-4</v>
      </c>
      <c r="D14" s="24">
        <v>3.2000000000000003E-4</v>
      </c>
      <c r="E14" s="24">
        <v>1.6000000000000001E-4</v>
      </c>
      <c r="F14" s="24">
        <v>1E-4</v>
      </c>
      <c r="G14" s="24">
        <v>1.7000000000000001E-4</v>
      </c>
      <c r="H14" s="24">
        <v>1E-4</v>
      </c>
    </row>
    <row r="15" spans="1:8" x14ac:dyDescent="0.25">
      <c r="A15" s="23">
        <v>5</v>
      </c>
      <c r="B15" s="21"/>
      <c r="C15" s="24">
        <v>1.6000000000000001E-4</v>
      </c>
      <c r="D15" s="24">
        <v>3.2000000000000003E-4</v>
      </c>
      <c r="E15" s="24">
        <v>1.6000000000000001E-4</v>
      </c>
      <c r="F15" s="24">
        <v>1E-4</v>
      </c>
      <c r="G15" s="24">
        <v>1.7000000000000001E-4</v>
      </c>
      <c r="H15" s="24">
        <v>1E-4</v>
      </c>
    </row>
    <row r="16" spans="1:8" x14ac:dyDescent="0.25">
      <c r="A16" s="23">
        <v>6</v>
      </c>
      <c r="B16" s="21"/>
      <c r="C16" s="24">
        <v>1.6000000000000001E-4</v>
      </c>
      <c r="D16" s="24">
        <v>3.2000000000000003E-4</v>
      </c>
      <c r="E16" s="24">
        <v>1.6000000000000001E-4</v>
      </c>
      <c r="F16" s="24">
        <v>1E-4</v>
      </c>
      <c r="G16" s="24">
        <v>1.7000000000000001E-4</v>
      </c>
      <c r="H16" s="24">
        <v>1E-4</v>
      </c>
    </row>
    <row r="17" spans="1:8" x14ac:dyDescent="0.25">
      <c r="A17" s="23">
        <v>7</v>
      </c>
      <c r="B17" s="21"/>
      <c r="C17" s="24">
        <v>1.6000000000000001E-4</v>
      </c>
      <c r="D17" s="24">
        <v>3.2000000000000003E-4</v>
      </c>
      <c r="E17" s="24">
        <v>1.6000000000000001E-4</v>
      </c>
      <c r="F17" s="24">
        <v>1E-4</v>
      </c>
      <c r="G17" s="24">
        <v>1.7000000000000001E-4</v>
      </c>
      <c r="H17" s="24">
        <v>1E-4</v>
      </c>
    </row>
    <row r="18" spans="1:8" x14ac:dyDescent="0.25">
      <c r="A18" s="23">
        <v>8</v>
      </c>
      <c r="B18" s="21"/>
      <c r="C18" s="24">
        <v>1.6000000000000001E-4</v>
      </c>
      <c r="D18" s="24">
        <v>3.2000000000000003E-4</v>
      </c>
      <c r="E18" s="24">
        <v>1.6000000000000001E-4</v>
      </c>
      <c r="F18" s="24">
        <v>1E-4</v>
      </c>
      <c r="G18" s="24">
        <v>1.7000000000000001E-4</v>
      </c>
      <c r="H18" s="24">
        <v>1E-4</v>
      </c>
    </row>
    <row r="19" spans="1:8" x14ac:dyDescent="0.25">
      <c r="A19" s="23">
        <v>9</v>
      </c>
      <c r="B19" s="21"/>
      <c r="C19" s="24">
        <v>1.6000000000000001E-4</v>
      </c>
      <c r="D19" s="24">
        <v>3.2000000000000003E-4</v>
      </c>
      <c r="E19" s="24">
        <v>1.6000000000000001E-4</v>
      </c>
      <c r="F19" s="24">
        <v>1E-4</v>
      </c>
      <c r="G19" s="24">
        <v>1.7000000000000001E-4</v>
      </c>
      <c r="H19" s="24">
        <v>1E-4</v>
      </c>
    </row>
    <row r="20" spans="1:8" x14ac:dyDescent="0.25">
      <c r="A20" s="23">
        <v>10</v>
      </c>
      <c r="B20" s="21"/>
      <c r="C20" s="24">
        <v>1.6000000000000001E-4</v>
      </c>
      <c r="D20" s="24">
        <v>3.2000000000000003E-4</v>
      </c>
      <c r="E20" s="24">
        <v>1.6000000000000001E-4</v>
      </c>
      <c r="F20" s="24">
        <v>1E-4</v>
      </c>
      <c r="G20" s="24">
        <v>1.7000000000000001E-4</v>
      </c>
      <c r="H20" s="24">
        <v>1E-4</v>
      </c>
    </row>
    <row r="21" spans="1:8" x14ac:dyDescent="0.25">
      <c r="A21" s="23">
        <v>11</v>
      </c>
      <c r="B21" s="21"/>
      <c r="C21" s="24">
        <v>1.6000000000000001E-4</v>
      </c>
      <c r="D21" s="24">
        <v>3.2000000000000003E-4</v>
      </c>
      <c r="E21" s="24">
        <v>1.6000000000000001E-4</v>
      </c>
      <c r="F21" s="24">
        <v>1E-4</v>
      </c>
      <c r="G21" s="24">
        <v>1.7000000000000001E-4</v>
      </c>
      <c r="H21" s="24">
        <v>1E-4</v>
      </c>
    </row>
    <row r="22" spans="1:8" x14ac:dyDescent="0.25">
      <c r="A22" s="23">
        <v>12</v>
      </c>
      <c r="B22" s="21"/>
      <c r="C22" s="24">
        <v>1.6000000000000001E-4</v>
      </c>
      <c r="D22" s="24">
        <v>3.2000000000000003E-4</v>
      </c>
      <c r="E22" s="24">
        <v>1.6000000000000001E-4</v>
      </c>
      <c r="F22" s="24">
        <v>1E-4</v>
      </c>
      <c r="G22" s="24">
        <v>1.7000000000000001E-4</v>
      </c>
      <c r="H22" s="24">
        <v>1E-4</v>
      </c>
    </row>
    <row r="23" spans="1:8" x14ac:dyDescent="0.25">
      <c r="A23" s="23">
        <v>13</v>
      </c>
      <c r="B23" s="21"/>
      <c r="C23" s="24">
        <v>1.6000000000000001E-4</v>
      </c>
      <c r="D23" s="24">
        <v>3.2000000000000003E-4</v>
      </c>
      <c r="E23" s="24">
        <v>1.6000000000000001E-4</v>
      </c>
      <c r="F23" s="24">
        <v>1E-4</v>
      </c>
      <c r="G23" s="24">
        <v>1.7000000000000001E-4</v>
      </c>
      <c r="H23" s="24">
        <v>1E-4</v>
      </c>
    </row>
    <row r="24" spans="1:8" x14ac:dyDescent="0.25">
      <c r="A24" s="23">
        <v>14</v>
      </c>
      <c r="B24" s="21"/>
      <c r="C24" s="24">
        <v>1.6000000000000001E-4</v>
      </c>
      <c r="D24" s="24">
        <v>3.2000000000000003E-4</v>
      </c>
      <c r="E24" s="24">
        <v>1.6000000000000001E-4</v>
      </c>
      <c r="F24" s="24">
        <v>1E-4</v>
      </c>
      <c r="G24" s="24">
        <v>1.7000000000000001E-4</v>
      </c>
      <c r="H24" s="24">
        <v>1E-4</v>
      </c>
    </row>
    <row r="25" spans="1:8" x14ac:dyDescent="0.25">
      <c r="A25" s="23">
        <v>15</v>
      </c>
      <c r="B25" s="21"/>
      <c r="C25" s="24">
        <v>1.6000000000000001E-4</v>
      </c>
      <c r="D25" s="24">
        <v>3.2000000000000003E-4</v>
      </c>
      <c r="E25" s="24">
        <v>1.6000000000000001E-4</v>
      </c>
      <c r="F25" s="24">
        <v>1E-4</v>
      </c>
      <c r="G25" s="24">
        <v>1.7000000000000001E-4</v>
      </c>
      <c r="H25" s="24">
        <v>1E-4</v>
      </c>
    </row>
    <row r="26" spans="1:8" x14ac:dyDescent="0.25">
      <c r="A26" s="23">
        <v>16</v>
      </c>
      <c r="B26" s="21"/>
      <c r="C26" s="24">
        <v>1.6000000000000001E-4</v>
      </c>
      <c r="D26" s="24">
        <v>3.2000000000000003E-4</v>
      </c>
      <c r="E26" s="24">
        <v>1.6000000000000001E-4</v>
      </c>
      <c r="F26" s="24">
        <v>1E-4</v>
      </c>
      <c r="G26" s="24">
        <v>1.7000000000000001E-4</v>
      </c>
      <c r="H26" s="24">
        <v>1E-4</v>
      </c>
    </row>
    <row r="27" spans="1:8" x14ac:dyDescent="0.25">
      <c r="A27" s="23">
        <v>17</v>
      </c>
      <c r="B27" s="21"/>
      <c r="C27" s="24">
        <v>1.4999999999999999E-4</v>
      </c>
      <c r="D27" s="24">
        <v>2.9999999999999997E-4</v>
      </c>
      <c r="E27" s="24">
        <v>1.6000000000000001E-4</v>
      </c>
      <c r="F27" s="24">
        <v>1E-4</v>
      </c>
      <c r="G27" s="24">
        <v>1.7000000000000001E-4</v>
      </c>
      <c r="H27" s="24">
        <v>1E-4</v>
      </c>
    </row>
    <row r="28" spans="1:8" x14ac:dyDescent="0.25">
      <c r="A28" s="23">
        <v>18</v>
      </c>
      <c r="B28" s="21"/>
      <c r="C28" s="24">
        <v>1.4999999999999999E-4</v>
      </c>
      <c r="D28" s="24">
        <v>2.9999999999999997E-4</v>
      </c>
      <c r="E28" s="24">
        <v>1.6000000000000001E-4</v>
      </c>
      <c r="F28" s="24">
        <v>1E-4</v>
      </c>
      <c r="G28" s="24">
        <v>1.7000000000000001E-4</v>
      </c>
      <c r="H28" s="24">
        <v>1E-4</v>
      </c>
    </row>
    <row r="29" spans="1:8" x14ac:dyDescent="0.25">
      <c r="A29" s="23">
        <v>19</v>
      </c>
      <c r="B29" s="21"/>
      <c r="C29" s="24">
        <v>1.4999999999999999E-4</v>
      </c>
      <c r="D29" s="24">
        <v>2.9999999999999997E-4</v>
      </c>
      <c r="E29" s="24">
        <v>1.6000000000000001E-4</v>
      </c>
      <c r="F29" s="24">
        <v>1E-4</v>
      </c>
      <c r="G29" s="24">
        <v>1.7000000000000001E-4</v>
      </c>
      <c r="H29" s="24">
        <v>1E-4</v>
      </c>
    </row>
    <row r="30" spans="1:8" x14ac:dyDescent="0.25">
      <c r="A30" s="23">
        <v>20</v>
      </c>
      <c r="B30" s="21"/>
      <c r="C30" s="24">
        <v>1.3999999999999999E-4</v>
      </c>
      <c r="D30" s="24">
        <v>2.7999999999999998E-4</v>
      </c>
      <c r="E30" s="24">
        <v>1.6000000000000001E-4</v>
      </c>
      <c r="F30" s="24">
        <v>9.0000000000000006E-5</v>
      </c>
      <c r="G30" s="24">
        <v>1.4999999999999999E-4</v>
      </c>
      <c r="H30" s="24">
        <v>1E-4</v>
      </c>
    </row>
    <row r="31" spans="1:8" x14ac:dyDescent="0.25">
      <c r="A31" s="23">
        <v>21</v>
      </c>
      <c r="B31" s="21"/>
      <c r="C31" s="24">
        <v>1.3999999999999999E-4</v>
      </c>
      <c r="D31" s="24">
        <v>2.7999999999999998E-4</v>
      </c>
      <c r="E31" s="24">
        <v>1.6000000000000001E-4</v>
      </c>
      <c r="F31" s="24">
        <v>9.0000000000000006E-5</v>
      </c>
      <c r="G31" s="24">
        <v>1.4999999999999999E-4</v>
      </c>
      <c r="H31" s="24">
        <v>1E-4</v>
      </c>
    </row>
    <row r="32" spans="1:8" x14ac:dyDescent="0.25">
      <c r="A32" s="23">
        <v>22</v>
      </c>
      <c r="B32" s="21"/>
      <c r="C32" s="24">
        <v>1.3999999999999999E-4</v>
      </c>
      <c r="D32" s="24">
        <v>2.7999999999999998E-4</v>
      </c>
      <c r="E32" s="24">
        <v>1.6000000000000001E-4</v>
      </c>
      <c r="F32" s="24">
        <v>9.0000000000000006E-5</v>
      </c>
      <c r="G32" s="24">
        <v>1.4999999999999999E-4</v>
      </c>
      <c r="H32" s="24">
        <v>1E-4</v>
      </c>
    </row>
    <row r="33" spans="1:8" x14ac:dyDescent="0.25">
      <c r="A33" s="23">
        <v>23</v>
      </c>
      <c r="B33" s="21"/>
      <c r="C33" s="24">
        <v>1.3999999999999999E-4</v>
      </c>
      <c r="D33" s="24">
        <v>2.7999999999999998E-4</v>
      </c>
      <c r="E33" s="24">
        <v>1.6000000000000001E-4</v>
      </c>
      <c r="F33" s="24">
        <v>9.0000000000000006E-5</v>
      </c>
      <c r="G33" s="24">
        <v>1.4999999999999999E-4</v>
      </c>
      <c r="H33" s="24">
        <v>1E-4</v>
      </c>
    </row>
    <row r="34" spans="1:8" x14ac:dyDescent="0.25">
      <c r="A34" s="23">
        <v>24</v>
      </c>
      <c r="B34" s="21"/>
      <c r="C34" s="24">
        <v>1.2999999999999999E-4</v>
      </c>
      <c r="D34" s="24">
        <v>2.5999999999999998E-4</v>
      </c>
      <c r="E34" s="24">
        <v>1.6000000000000001E-4</v>
      </c>
      <c r="F34" s="24">
        <v>9.0000000000000006E-5</v>
      </c>
      <c r="G34" s="24">
        <v>1.4999999999999999E-4</v>
      </c>
      <c r="H34" s="24">
        <v>1E-4</v>
      </c>
    </row>
    <row r="35" spans="1:8" x14ac:dyDescent="0.25">
      <c r="A35" s="23">
        <v>25</v>
      </c>
      <c r="B35" s="21"/>
      <c r="C35" s="24">
        <v>1.2999999999999999E-4</v>
      </c>
      <c r="D35" s="24">
        <v>2.5999999999999998E-4</v>
      </c>
      <c r="E35" s="24">
        <v>1.6000000000000001E-4</v>
      </c>
      <c r="F35" s="24">
        <v>9.0000000000000006E-5</v>
      </c>
      <c r="G35" s="24">
        <v>1.4999999999999999E-4</v>
      </c>
      <c r="H35" s="24">
        <v>1E-4</v>
      </c>
    </row>
    <row r="36" spans="1:8" x14ac:dyDescent="0.25">
      <c r="A36" s="23">
        <v>26</v>
      </c>
      <c r="B36" s="21"/>
      <c r="C36" s="24">
        <v>1.2999999999999999E-4</v>
      </c>
      <c r="D36" s="24">
        <v>2.5999999999999998E-4</v>
      </c>
      <c r="E36" s="24">
        <v>1.6000000000000001E-4</v>
      </c>
      <c r="F36" s="24">
        <v>9.0000000000000006E-5</v>
      </c>
      <c r="G36" s="24">
        <v>1.4999999999999999E-4</v>
      </c>
      <c r="H36" s="24">
        <v>1E-4</v>
      </c>
    </row>
    <row r="37" spans="1:8" x14ac:dyDescent="0.25">
      <c r="A37" s="23">
        <v>27</v>
      </c>
      <c r="B37" s="21"/>
      <c r="C37" s="24">
        <v>1.2999999999999999E-4</v>
      </c>
      <c r="D37" s="24">
        <v>2.5999999999999998E-4</v>
      </c>
      <c r="E37" s="24">
        <v>1.6000000000000001E-4</v>
      </c>
      <c r="F37" s="24">
        <v>9.0000000000000006E-5</v>
      </c>
      <c r="G37" s="24">
        <v>1.4999999999999999E-4</v>
      </c>
      <c r="H37" s="24">
        <v>1E-4</v>
      </c>
    </row>
    <row r="38" spans="1:8" x14ac:dyDescent="0.25">
      <c r="A38" s="23">
        <v>28</v>
      </c>
      <c r="B38" s="21"/>
      <c r="C38" s="24">
        <v>1.2999999999999999E-4</v>
      </c>
      <c r="D38" s="24">
        <v>2.5999999999999998E-4</v>
      </c>
      <c r="E38" s="24">
        <v>1.6000000000000001E-4</v>
      </c>
      <c r="F38" s="24">
        <v>9.0000000000000006E-5</v>
      </c>
      <c r="G38" s="24">
        <v>1.4999999999999999E-4</v>
      </c>
      <c r="H38" s="24">
        <v>1E-4</v>
      </c>
    </row>
    <row r="39" spans="1:8" x14ac:dyDescent="0.25">
      <c r="A39" s="23">
        <v>29</v>
      </c>
      <c r="B39" s="21"/>
      <c r="C39" s="24">
        <v>1.2999999999999999E-4</v>
      </c>
      <c r="D39" s="24">
        <v>2.5999999999999998E-4</v>
      </c>
      <c r="E39" s="24">
        <v>1.6000000000000001E-4</v>
      </c>
      <c r="F39" s="24">
        <v>9.0000000000000006E-5</v>
      </c>
      <c r="G39" s="24">
        <v>1.4999999999999999E-4</v>
      </c>
      <c r="H39" s="24">
        <v>1E-4</v>
      </c>
    </row>
    <row r="40" spans="1:8" x14ac:dyDescent="0.25">
      <c r="A40" s="23">
        <v>30</v>
      </c>
      <c r="B40" s="21"/>
      <c r="C40" s="24">
        <v>1.2999999999999999E-4</v>
      </c>
      <c r="D40" s="24">
        <v>2.5999999999999998E-4</v>
      </c>
      <c r="E40" s="24">
        <v>1.6000000000000001E-4</v>
      </c>
      <c r="F40" s="24">
        <v>9.0000000000000006E-5</v>
      </c>
      <c r="G40" s="24">
        <v>1.4999999999999999E-4</v>
      </c>
      <c r="H40" s="24">
        <v>1E-4</v>
      </c>
    </row>
    <row r="41" spans="1:8" x14ac:dyDescent="0.25">
      <c r="A41" s="23">
        <v>31</v>
      </c>
      <c r="B41" s="21"/>
      <c r="C41" s="24">
        <v>1.2999999999999999E-4</v>
      </c>
      <c r="D41" s="24">
        <v>2.5999999999999998E-4</v>
      </c>
      <c r="E41" s="24">
        <v>1.6000000000000001E-4</v>
      </c>
      <c r="F41" s="24">
        <v>9.0000000000000006E-5</v>
      </c>
      <c r="G41" s="24">
        <v>1.4999999999999999E-4</v>
      </c>
      <c r="H41" s="24">
        <v>1E-4</v>
      </c>
    </row>
    <row r="42" spans="1:8" x14ac:dyDescent="0.25">
      <c r="A42" s="23">
        <v>32</v>
      </c>
      <c r="B42" s="21"/>
      <c r="C42" s="24">
        <v>1.3999999999999999E-4</v>
      </c>
      <c r="D42" s="24">
        <v>2.7999999999999998E-4</v>
      </c>
      <c r="E42" s="24">
        <v>1.7000000000000001E-4</v>
      </c>
      <c r="F42" s="24">
        <v>1E-4</v>
      </c>
      <c r="G42" s="24">
        <v>1.7000000000000001E-4</v>
      </c>
      <c r="H42" s="24">
        <v>1.1E-4</v>
      </c>
    </row>
    <row r="43" spans="1:8" x14ac:dyDescent="0.25">
      <c r="A43" s="23">
        <v>33</v>
      </c>
      <c r="B43" s="21"/>
      <c r="C43" s="24">
        <v>1.3999999999999999E-4</v>
      </c>
      <c r="D43" s="24">
        <v>2.7999999999999998E-4</v>
      </c>
      <c r="E43" s="24">
        <v>1.7000000000000001E-4</v>
      </c>
      <c r="F43" s="24">
        <v>1E-4</v>
      </c>
      <c r="G43" s="24">
        <v>1.7000000000000001E-4</v>
      </c>
      <c r="H43" s="24">
        <v>1.1E-4</v>
      </c>
    </row>
    <row r="44" spans="1:8" x14ac:dyDescent="0.25">
      <c r="A44" s="23">
        <v>34</v>
      </c>
      <c r="B44" s="21"/>
      <c r="C44" s="24">
        <v>1.4999999999999999E-4</v>
      </c>
      <c r="D44" s="24">
        <v>2.9999999999999997E-4</v>
      </c>
      <c r="E44" s="24">
        <v>1.8000000000000001E-4</v>
      </c>
      <c r="F44" s="24">
        <v>1.1E-4</v>
      </c>
      <c r="G44" s="24">
        <v>1.9000000000000001E-4</v>
      </c>
      <c r="H44" s="24">
        <v>1.2E-4</v>
      </c>
    </row>
    <row r="45" spans="1:8" x14ac:dyDescent="0.25">
      <c r="A45" s="23">
        <v>35</v>
      </c>
      <c r="B45" s="21"/>
      <c r="C45" s="24">
        <v>1.6000000000000001E-4</v>
      </c>
      <c r="D45" s="24">
        <v>3.2000000000000003E-4</v>
      </c>
      <c r="E45" s="24">
        <v>1.9000000000000001E-4</v>
      </c>
      <c r="F45" s="24">
        <v>1.2E-4</v>
      </c>
      <c r="G45" s="24">
        <v>2.0000000000000001E-4</v>
      </c>
      <c r="H45" s="24">
        <v>1.2999999999999999E-4</v>
      </c>
    </row>
    <row r="46" spans="1:8" x14ac:dyDescent="0.25">
      <c r="A46" s="23">
        <v>36</v>
      </c>
      <c r="B46" s="21"/>
      <c r="C46" s="24">
        <v>1.7000000000000001E-4</v>
      </c>
      <c r="D46" s="24">
        <v>3.4000000000000002E-4</v>
      </c>
      <c r="E46" s="24">
        <v>2.0000000000000001E-4</v>
      </c>
      <c r="F46" s="24">
        <v>1.2E-4</v>
      </c>
      <c r="G46" s="24">
        <v>2.0000000000000001E-4</v>
      </c>
      <c r="H46" s="24">
        <v>1.2999999999999999E-4</v>
      </c>
    </row>
    <row r="47" spans="1:8" x14ac:dyDescent="0.25">
      <c r="A47" s="23">
        <v>37</v>
      </c>
      <c r="B47" s="21"/>
      <c r="C47" s="24">
        <v>2.0000000000000001E-4</v>
      </c>
      <c r="D47" s="24">
        <v>4.0000000000000002E-4</v>
      </c>
      <c r="E47" s="24">
        <v>2.3000000000000001E-4</v>
      </c>
      <c r="F47" s="24">
        <v>1.2999999999999999E-4</v>
      </c>
      <c r="G47" s="24">
        <v>2.2000000000000001E-4</v>
      </c>
      <c r="H47" s="24">
        <v>1.3999999999999999E-4</v>
      </c>
    </row>
    <row r="48" spans="1:8" x14ac:dyDescent="0.25">
      <c r="A48" s="23">
        <v>38</v>
      </c>
      <c r="B48" s="21"/>
      <c r="C48" s="24">
        <v>2.2000000000000001E-4</v>
      </c>
      <c r="D48" s="24">
        <v>4.4000000000000002E-4</v>
      </c>
      <c r="E48" s="24">
        <v>2.5000000000000001E-4</v>
      </c>
      <c r="F48" s="24">
        <v>1.4999999999999999E-4</v>
      </c>
      <c r="G48" s="24">
        <v>2.5999999999999998E-4</v>
      </c>
      <c r="H48" s="24">
        <v>1.6000000000000001E-4</v>
      </c>
    </row>
    <row r="49" spans="1:8" x14ac:dyDescent="0.25">
      <c r="A49" s="23">
        <v>39</v>
      </c>
      <c r="B49" s="21"/>
      <c r="C49" s="24">
        <v>2.5000000000000001E-4</v>
      </c>
      <c r="D49" s="24">
        <v>5.0000000000000001E-4</v>
      </c>
      <c r="E49" s="24">
        <v>2.9E-4</v>
      </c>
      <c r="F49" s="24">
        <v>1.6000000000000001E-4</v>
      </c>
      <c r="G49" s="24">
        <v>2.7E-4</v>
      </c>
      <c r="H49" s="24">
        <v>1.7000000000000001E-4</v>
      </c>
    </row>
    <row r="50" spans="1:8" x14ac:dyDescent="0.25">
      <c r="A50" s="23">
        <v>40</v>
      </c>
      <c r="B50" s="21"/>
      <c r="C50" s="24">
        <v>2.7999999999999998E-4</v>
      </c>
      <c r="D50" s="24">
        <v>5.5999999999999995E-4</v>
      </c>
      <c r="E50" s="24">
        <v>3.2000000000000003E-4</v>
      </c>
      <c r="F50" s="24">
        <v>1.8000000000000001E-4</v>
      </c>
      <c r="G50" s="24">
        <v>3.1E-4</v>
      </c>
      <c r="H50" s="24">
        <v>1.9000000000000001E-4</v>
      </c>
    </row>
    <row r="51" spans="1:8" x14ac:dyDescent="0.25">
      <c r="A51" s="23">
        <v>41</v>
      </c>
      <c r="B51" s="21"/>
      <c r="C51" s="24">
        <v>3.2000000000000003E-4</v>
      </c>
      <c r="D51" s="24">
        <v>6.4000000000000005E-4</v>
      </c>
      <c r="E51" s="24">
        <v>3.6000000000000002E-4</v>
      </c>
      <c r="F51" s="24">
        <v>2.1000000000000001E-4</v>
      </c>
      <c r="G51" s="24">
        <v>3.6000000000000002E-4</v>
      </c>
      <c r="H51" s="24">
        <v>2.2000000000000001E-4</v>
      </c>
    </row>
    <row r="52" spans="1:8" x14ac:dyDescent="0.25">
      <c r="A52" s="23">
        <v>42</v>
      </c>
      <c r="B52" s="21"/>
      <c r="C52" s="24">
        <v>3.4000000000000002E-4</v>
      </c>
      <c r="D52" s="24">
        <v>6.8000000000000005E-4</v>
      </c>
      <c r="E52" s="24">
        <v>3.8999999999999999E-4</v>
      </c>
      <c r="F52" s="24">
        <v>2.4000000000000001E-4</v>
      </c>
      <c r="G52" s="24">
        <v>4.0999999999999999E-4</v>
      </c>
      <c r="H52" s="24">
        <v>2.5999999999999998E-4</v>
      </c>
    </row>
    <row r="53" spans="1:8" x14ac:dyDescent="0.25">
      <c r="A53" s="23">
        <v>43</v>
      </c>
      <c r="B53" s="21"/>
      <c r="C53" s="24">
        <v>3.8000000000000002E-4</v>
      </c>
      <c r="D53" s="24">
        <v>7.6000000000000004E-4</v>
      </c>
      <c r="E53" s="24">
        <v>4.2999999999999999E-4</v>
      </c>
      <c r="F53" s="24">
        <v>2.9E-4</v>
      </c>
      <c r="G53" s="24">
        <v>4.8999999999999998E-4</v>
      </c>
      <c r="H53" s="24">
        <v>3.1E-4</v>
      </c>
    </row>
    <row r="54" spans="1:8" x14ac:dyDescent="0.25">
      <c r="A54" s="23">
        <v>44</v>
      </c>
      <c r="B54" s="21"/>
      <c r="C54" s="24">
        <v>4.0999999999999999E-4</v>
      </c>
      <c r="D54" s="24">
        <v>8.1999999999999998E-4</v>
      </c>
      <c r="E54" s="24">
        <v>4.6000000000000001E-4</v>
      </c>
      <c r="F54" s="24">
        <v>3.4000000000000002E-4</v>
      </c>
      <c r="G54" s="24">
        <v>5.8E-4</v>
      </c>
      <c r="H54" s="24">
        <v>3.6000000000000002E-4</v>
      </c>
    </row>
    <row r="55" spans="1:8" x14ac:dyDescent="0.25">
      <c r="A55" s="23">
        <v>45</v>
      </c>
      <c r="B55" s="21"/>
      <c r="C55" s="24">
        <v>4.2999999999999999E-4</v>
      </c>
      <c r="D55" s="24">
        <v>8.5999999999999998E-4</v>
      </c>
      <c r="E55" s="24">
        <v>4.8999999999999998E-4</v>
      </c>
      <c r="F55" s="24">
        <v>4.0000000000000002E-4</v>
      </c>
      <c r="G55" s="24">
        <v>6.8000000000000005E-4</v>
      </c>
      <c r="H55" s="24">
        <v>4.2999999999999999E-4</v>
      </c>
    </row>
    <row r="56" spans="1:8" x14ac:dyDescent="0.25">
      <c r="A56" s="29">
        <v>46</v>
      </c>
      <c r="B56" s="37"/>
      <c r="C56" s="32">
        <v>4.6000000000000001E-4</v>
      </c>
      <c r="D56" s="32">
        <v>9.2000000000000003E-4</v>
      </c>
      <c r="E56" s="32">
        <v>5.1999999999999995E-4</v>
      </c>
      <c r="F56" s="32">
        <v>4.6999999999999999E-4</v>
      </c>
      <c r="G56" s="31">
        <v>8.0000000000000004E-4</v>
      </c>
      <c r="H56" s="35">
        <v>5.0000000000000001E-4</v>
      </c>
    </row>
    <row r="57" spans="1:8" x14ac:dyDescent="0.25">
      <c r="A57" s="23">
        <v>47</v>
      </c>
      <c r="B57" s="21"/>
      <c r="C57" s="24">
        <v>4.8999999999999998E-4</v>
      </c>
      <c r="D57" s="24">
        <v>9.7999999999999997E-4</v>
      </c>
      <c r="E57" s="24">
        <v>5.5000000000000003E-4</v>
      </c>
      <c r="F57" s="24">
        <v>5.5000000000000003E-4</v>
      </c>
      <c r="G57" s="24">
        <v>9.3999999999999997E-4</v>
      </c>
      <c r="H57" s="24">
        <v>5.8E-4</v>
      </c>
    </row>
    <row r="58" spans="1:8" x14ac:dyDescent="0.25">
      <c r="A58" s="23">
        <v>48</v>
      </c>
      <c r="B58" s="21"/>
      <c r="C58" s="24">
        <v>5.2999999999999998E-4</v>
      </c>
      <c r="D58" s="24">
        <v>1.06E-3</v>
      </c>
      <c r="E58" s="24">
        <v>5.9000000000000003E-4</v>
      </c>
      <c r="F58" s="24">
        <v>6.2E-4</v>
      </c>
      <c r="G58" s="24">
        <v>1.0499999999999999E-3</v>
      </c>
      <c r="H58" s="24">
        <v>6.6E-4</v>
      </c>
    </row>
    <row r="59" spans="1:8" x14ac:dyDescent="0.25">
      <c r="A59" s="23">
        <v>49</v>
      </c>
      <c r="B59" s="21"/>
      <c r="C59" s="24">
        <v>5.8E-4</v>
      </c>
      <c r="D59" s="24">
        <v>1.16E-3</v>
      </c>
      <c r="E59" s="24">
        <v>6.4999999999999997E-4</v>
      </c>
      <c r="F59" s="24">
        <v>6.8999999999999997E-4</v>
      </c>
      <c r="G59" s="24">
        <v>1.17E-3</v>
      </c>
      <c r="H59" s="24">
        <v>7.2999999999999996E-4</v>
      </c>
    </row>
    <row r="60" spans="1:8" x14ac:dyDescent="0.25">
      <c r="A60" s="29">
        <v>50</v>
      </c>
      <c r="B60" s="21"/>
      <c r="C60" s="24">
        <v>6.6E-4</v>
      </c>
      <c r="D60" s="24">
        <v>1.32E-3</v>
      </c>
      <c r="E60" s="24">
        <v>7.3999999999999999E-4</v>
      </c>
      <c r="F60" s="24">
        <v>7.6000000000000004E-4</v>
      </c>
      <c r="G60" s="24">
        <v>1.2899999999999999E-3</v>
      </c>
      <c r="H60" s="24">
        <v>8.0999999999999996E-4</v>
      </c>
    </row>
    <row r="61" spans="1:8" x14ac:dyDescent="0.25">
      <c r="A61" s="23">
        <v>51</v>
      </c>
      <c r="B61" s="21"/>
      <c r="C61" s="24">
        <v>7.6999999999999996E-4</v>
      </c>
      <c r="D61" s="24">
        <v>1.5399999999999999E-3</v>
      </c>
      <c r="E61" s="24">
        <v>8.5999999999999998E-4</v>
      </c>
      <c r="F61" s="24">
        <v>8.1999999999999998E-4</v>
      </c>
      <c r="G61" s="24">
        <v>1.39E-3</v>
      </c>
      <c r="H61" s="24">
        <v>8.7000000000000001E-4</v>
      </c>
    </row>
    <row r="62" spans="1:8" x14ac:dyDescent="0.25">
      <c r="A62" s="23">
        <v>52</v>
      </c>
      <c r="B62" s="21"/>
      <c r="C62" s="24">
        <v>9.1E-4</v>
      </c>
      <c r="D62" s="24">
        <v>1.82E-3</v>
      </c>
      <c r="E62" s="24">
        <v>1.01E-3</v>
      </c>
      <c r="F62" s="24">
        <v>8.8000000000000003E-4</v>
      </c>
      <c r="G62" s="24">
        <v>1.5E-3</v>
      </c>
      <c r="H62" s="24">
        <v>9.3000000000000005E-4</v>
      </c>
    </row>
    <row r="63" spans="1:8" x14ac:dyDescent="0.25">
      <c r="A63" s="23">
        <v>53</v>
      </c>
      <c r="B63" s="21"/>
      <c r="C63" s="24">
        <v>1.08E-3</v>
      </c>
      <c r="D63" s="24">
        <v>2.16E-3</v>
      </c>
      <c r="E63" s="24">
        <v>1.1999999999999999E-3</v>
      </c>
      <c r="F63" s="24">
        <v>9.3000000000000005E-4</v>
      </c>
      <c r="G63" s="24">
        <v>1.58E-3</v>
      </c>
      <c r="H63" s="24">
        <v>9.7999999999999997E-4</v>
      </c>
    </row>
    <row r="64" spans="1:8" x14ac:dyDescent="0.25">
      <c r="A64" s="23">
        <v>54</v>
      </c>
      <c r="B64" s="21"/>
      <c r="C64" s="24">
        <v>1.2899999999999999E-3</v>
      </c>
      <c r="D64" s="24">
        <v>2.5799999999999998E-3</v>
      </c>
      <c r="E64" s="24">
        <v>1.42E-3</v>
      </c>
      <c r="F64" s="24">
        <v>9.8999999999999999E-4</v>
      </c>
      <c r="G64" s="24">
        <v>1.6800000000000001E-3</v>
      </c>
      <c r="H64" s="24">
        <v>1.0499999999999999E-3</v>
      </c>
    </row>
    <row r="65" spans="1:8" x14ac:dyDescent="0.25">
      <c r="A65" s="23">
        <v>55</v>
      </c>
      <c r="B65" s="21"/>
      <c r="C65" s="24">
        <v>1.5200000000000001E-3</v>
      </c>
      <c r="D65" s="24">
        <v>3.0400000000000002E-3</v>
      </c>
      <c r="E65" s="24">
        <v>1.67E-3</v>
      </c>
      <c r="F65" s="24">
        <v>1.06E-3</v>
      </c>
      <c r="G65" s="24">
        <v>1.8E-3</v>
      </c>
      <c r="H65" s="24">
        <v>1.1199999999999999E-3</v>
      </c>
    </row>
    <row r="66" spans="1:8" x14ac:dyDescent="0.25">
      <c r="A66" s="23">
        <v>56</v>
      </c>
      <c r="B66" s="21"/>
      <c r="C66" s="24">
        <v>1.7700000000000001E-3</v>
      </c>
      <c r="D66" s="24">
        <v>3.5400000000000002E-3</v>
      </c>
      <c r="E66" s="24">
        <v>1.9400000000000001E-3</v>
      </c>
      <c r="F66" s="24">
        <v>1.16E-3</v>
      </c>
      <c r="G66" s="24">
        <v>1.97E-3</v>
      </c>
      <c r="H66" s="24">
        <v>1.2199999999999999E-3</v>
      </c>
    </row>
    <row r="67" spans="1:8" x14ac:dyDescent="0.25">
      <c r="A67" s="23">
        <v>57</v>
      </c>
      <c r="B67" s="21"/>
      <c r="C67" s="24">
        <v>2.0300000000000001E-3</v>
      </c>
      <c r="D67" s="24">
        <v>4.0600000000000002E-3</v>
      </c>
      <c r="E67" s="24">
        <v>2.2200000000000002E-3</v>
      </c>
      <c r="F67" s="24">
        <v>1.2700000000000001E-3</v>
      </c>
      <c r="G67" s="24">
        <v>2.16E-3</v>
      </c>
      <c r="H67" s="24">
        <v>1.34E-3</v>
      </c>
    </row>
    <row r="68" spans="1:8" x14ac:dyDescent="0.25">
      <c r="A68" s="23">
        <v>58</v>
      </c>
      <c r="B68" s="21"/>
      <c r="C68" s="24">
        <v>2.32E-3</v>
      </c>
      <c r="D68" s="24">
        <v>4.64E-3</v>
      </c>
      <c r="E68" s="24">
        <v>2.5300000000000001E-3</v>
      </c>
      <c r="F68" s="24">
        <v>1.42E-3</v>
      </c>
      <c r="G68" s="24">
        <v>2.4099999999999998E-3</v>
      </c>
      <c r="H68" s="24">
        <v>1.5E-3</v>
      </c>
    </row>
    <row r="69" spans="1:8" x14ac:dyDescent="0.25">
      <c r="A69" s="23">
        <v>59</v>
      </c>
      <c r="B69" s="21"/>
      <c r="C69" s="24">
        <v>2.63E-3</v>
      </c>
      <c r="D69" s="24">
        <v>5.2599999999999999E-3</v>
      </c>
      <c r="E69" s="24">
        <v>2.8600000000000001E-3</v>
      </c>
      <c r="F69" s="24">
        <v>1.6199999999999999E-3</v>
      </c>
      <c r="G69" s="24">
        <v>2.7499999999999998E-3</v>
      </c>
      <c r="H69" s="24">
        <v>1.7099999999999999E-3</v>
      </c>
    </row>
    <row r="70" spans="1:8" x14ac:dyDescent="0.25">
      <c r="A70" s="23">
        <v>60</v>
      </c>
      <c r="B70" s="21"/>
      <c r="C70" s="24">
        <v>2.96E-3</v>
      </c>
      <c r="D70" s="24">
        <v>5.9199999999999999E-3</v>
      </c>
      <c r="E70" s="24">
        <v>3.2100000000000002E-3</v>
      </c>
      <c r="F70" s="24">
        <v>1.8500000000000001E-3</v>
      </c>
      <c r="G70" s="24">
        <v>3.15E-3</v>
      </c>
      <c r="H70" s="24">
        <v>1.9499999999999999E-3</v>
      </c>
    </row>
    <row r="71" spans="1:8" x14ac:dyDescent="0.25">
      <c r="A71" s="23">
        <v>61</v>
      </c>
      <c r="B71" s="21"/>
      <c r="C71" s="24">
        <v>3.32E-3</v>
      </c>
      <c r="D71" s="24">
        <v>6.6400000000000001E-3</v>
      </c>
      <c r="E71" s="24">
        <v>3.5899999999999999E-3</v>
      </c>
      <c r="F71" s="24">
        <v>2.14E-3</v>
      </c>
      <c r="G71" s="24">
        <v>3.64E-3</v>
      </c>
      <c r="H71" s="24">
        <v>2.2499999999999998E-3</v>
      </c>
    </row>
    <row r="72" spans="1:8" x14ac:dyDescent="0.25">
      <c r="A72" s="23">
        <v>62</v>
      </c>
      <c r="B72" s="21"/>
      <c r="C72" s="24">
        <v>3.7299999999999998E-3</v>
      </c>
      <c r="D72" s="24">
        <v>7.4599999999999996E-3</v>
      </c>
      <c r="E72" s="24">
        <v>4.0200000000000001E-3</v>
      </c>
      <c r="F72" s="24">
        <v>2.4599999999999999E-3</v>
      </c>
      <c r="G72" s="24">
        <v>4.1799999999999997E-3</v>
      </c>
      <c r="H72" s="24">
        <v>2.5899999999999999E-3</v>
      </c>
    </row>
    <row r="73" spans="1:8" x14ac:dyDescent="0.25">
      <c r="A73" s="23">
        <v>63</v>
      </c>
      <c r="B73" s="21"/>
      <c r="C73" s="24">
        <v>4.1799999999999997E-3</v>
      </c>
      <c r="D73" s="24">
        <v>8.3599999999999994E-3</v>
      </c>
      <c r="E73" s="24">
        <v>4.4999999999999997E-3</v>
      </c>
      <c r="F73" s="24">
        <v>2.8300000000000001E-3</v>
      </c>
      <c r="G73" s="24">
        <v>4.81E-3</v>
      </c>
      <c r="H73" s="24">
        <v>2.98E-3</v>
      </c>
    </row>
    <row r="74" spans="1:8" x14ac:dyDescent="0.25">
      <c r="A74" s="23">
        <v>64</v>
      </c>
      <c r="B74" s="21"/>
      <c r="C74" s="24">
        <v>4.7200000000000002E-3</v>
      </c>
      <c r="D74" s="24">
        <v>9.4400000000000005E-3</v>
      </c>
      <c r="E74" s="24">
        <v>5.0600000000000003E-3</v>
      </c>
      <c r="F74" s="24">
        <v>3.2699999999999999E-3</v>
      </c>
      <c r="G74" s="24">
        <v>5.5599999999999998E-3</v>
      </c>
      <c r="H74" s="24">
        <v>3.4299999999999999E-3</v>
      </c>
    </row>
    <row r="75" spans="1:8" x14ac:dyDescent="0.25">
      <c r="A75" s="23">
        <v>65</v>
      </c>
      <c r="B75" s="21"/>
      <c r="C75" s="24">
        <v>5.3099999999999996E-3</v>
      </c>
      <c r="D75" s="24">
        <v>1.0619999999999999E-2</v>
      </c>
      <c r="E75" s="24">
        <v>5.6800000000000002E-3</v>
      </c>
      <c r="F75" s="24">
        <v>3.7599999999999999E-3</v>
      </c>
      <c r="G75" s="24">
        <v>6.3899999999999998E-3</v>
      </c>
      <c r="H75" s="24">
        <v>3.9399999999999999E-3</v>
      </c>
    </row>
    <row r="76" spans="1:8" x14ac:dyDescent="0.25">
      <c r="A76" s="23">
        <v>66</v>
      </c>
      <c r="B76" s="21"/>
      <c r="C76" s="24">
        <v>6.0000000000000001E-3</v>
      </c>
      <c r="D76" s="24">
        <v>1.2E-2</v>
      </c>
      <c r="E76" s="24">
        <v>6.4000000000000003E-3</v>
      </c>
      <c r="F76" s="24">
        <v>4.3200000000000001E-3</v>
      </c>
      <c r="G76" s="24">
        <v>7.3400000000000002E-3</v>
      </c>
      <c r="H76" s="24">
        <v>4.5199999999999997E-3</v>
      </c>
    </row>
    <row r="77" spans="1:8" x14ac:dyDescent="0.25">
      <c r="A77" s="23">
        <v>67</v>
      </c>
      <c r="B77" s="21"/>
      <c r="C77" s="24">
        <v>6.79E-3</v>
      </c>
      <c r="D77" s="24">
        <v>1.358E-2</v>
      </c>
      <c r="E77" s="24">
        <v>7.2199999999999999E-3</v>
      </c>
      <c r="F77" s="24">
        <v>4.9699999999999996E-3</v>
      </c>
      <c r="G77" s="24">
        <v>8.4499999999999992E-3</v>
      </c>
      <c r="H77" s="24">
        <v>5.1999999999999998E-3</v>
      </c>
    </row>
    <row r="78" spans="1:8" x14ac:dyDescent="0.25">
      <c r="A78" s="23">
        <v>68</v>
      </c>
      <c r="B78" s="21"/>
      <c r="C78" s="24">
        <v>7.6800000000000002E-3</v>
      </c>
      <c r="D78" s="24">
        <v>1.536E-2</v>
      </c>
      <c r="E78" s="24">
        <v>8.1499999999999993E-3</v>
      </c>
      <c r="F78" s="24">
        <v>5.7200000000000003E-3</v>
      </c>
      <c r="G78" s="24">
        <v>9.7199999999999995E-3</v>
      </c>
      <c r="H78" s="24">
        <v>5.9699999999999996E-3</v>
      </c>
    </row>
    <row r="79" spans="1:8" x14ac:dyDescent="0.25">
      <c r="A79" s="23">
        <v>69</v>
      </c>
      <c r="B79" s="21"/>
      <c r="C79" s="24">
        <v>8.7200000000000003E-3</v>
      </c>
      <c r="D79" s="24">
        <v>1.7440000000000001E-2</v>
      </c>
      <c r="E79" s="24">
        <v>9.2200000000000008E-3</v>
      </c>
      <c r="F79" s="24">
        <v>6.5799999999999999E-3</v>
      </c>
      <c r="G79" s="24">
        <v>1.119E-2</v>
      </c>
      <c r="H79" s="24">
        <v>6.8500000000000002E-3</v>
      </c>
    </row>
    <row r="80" spans="1:8" x14ac:dyDescent="0.25">
      <c r="A80" s="23">
        <v>70</v>
      </c>
      <c r="B80" s="21"/>
      <c r="C80" s="24">
        <v>9.8899999999999995E-3</v>
      </c>
      <c r="D80" s="24">
        <v>1.9779999999999999E-2</v>
      </c>
      <c r="E80" s="24">
        <v>1.043E-2</v>
      </c>
      <c r="F80" s="24">
        <v>7.5700000000000003E-3</v>
      </c>
      <c r="G80" s="24">
        <v>1.2869999999999999E-2</v>
      </c>
      <c r="H80" s="24">
        <v>7.8700000000000003E-3</v>
      </c>
    </row>
    <row r="81" spans="1:8" x14ac:dyDescent="0.25">
      <c r="A81" s="23">
        <v>71</v>
      </c>
      <c r="B81" s="21"/>
      <c r="C81" s="24">
        <v>1.125E-2</v>
      </c>
      <c r="D81" s="24">
        <v>2.2499999999999999E-2</v>
      </c>
      <c r="E81" s="24">
        <v>1.183E-2</v>
      </c>
      <c r="F81" s="24">
        <v>8.7200000000000003E-3</v>
      </c>
      <c r="G81" s="24">
        <v>1.482E-2</v>
      </c>
      <c r="H81" s="24">
        <v>9.0399999999999994E-3</v>
      </c>
    </row>
    <row r="82" spans="1:8" x14ac:dyDescent="0.25">
      <c r="A82" s="23">
        <v>72</v>
      </c>
      <c r="B82" s="21"/>
      <c r="C82" s="24">
        <v>1.2800000000000001E-2</v>
      </c>
      <c r="D82" s="24">
        <v>2.5600000000000001E-2</v>
      </c>
      <c r="E82" s="24">
        <v>1.342E-2</v>
      </c>
      <c r="F82" s="24">
        <v>1.0019999999999999E-2</v>
      </c>
      <c r="G82" s="24">
        <v>1.703E-2</v>
      </c>
      <c r="H82" s="24">
        <v>1.0370000000000001E-2</v>
      </c>
    </row>
    <row r="83" spans="1:8" x14ac:dyDescent="0.25">
      <c r="A83" s="23">
        <v>73</v>
      </c>
      <c r="B83" s="21"/>
      <c r="C83" s="24">
        <v>1.4579999999999999E-2</v>
      </c>
      <c r="D83" s="24">
        <v>2.9159999999999998E-2</v>
      </c>
      <c r="E83" s="24">
        <v>1.524E-2</v>
      </c>
      <c r="F83" s="24">
        <v>1.155E-2</v>
      </c>
      <c r="G83" s="24">
        <v>1.9640000000000001E-2</v>
      </c>
      <c r="H83" s="24">
        <v>1.192E-2</v>
      </c>
    </row>
    <row r="84" spans="1:8" x14ac:dyDescent="0.25">
      <c r="A84" s="23">
        <v>74</v>
      </c>
      <c r="B84" s="21"/>
      <c r="C84" s="24">
        <v>1.661E-2</v>
      </c>
      <c r="D84" s="24">
        <v>3.322E-2</v>
      </c>
      <c r="E84" s="24">
        <v>1.7319999999999999E-2</v>
      </c>
      <c r="F84" s="24">
        <v>1.329E-2</v>
      </c>
      <c r="G84" s="24">
        <v>2.2589999999999999E-2</v>
      </c>
      <c r="H84" s="24">
        <v>1.3690000000000001E-2</v>
      </c>
    </row>
    <row r="85" spans="1:8" x14ac:dyDescent="0.25">
      <c r="A85" s="23">
        <v>75</v>
      </c>
      <c r="B85" s="21"/>
      <c r="C85" s="24">
        <v>1.8919999999999999E-2</v>
      </c>
      <c r="D85" s="24">
        <v>3.7839999999999999E-2</v>
      </c>
      <c r="E85" s="24">
        <v>1.968E-2</v>
      </c>
      <c r="F85" s="24">
        <v>1.5310000000000001E-2</v>
      </c>
      <c r="G85" s="24">
        <v>2.6030000000000001E-2</v>
      </c>
      <c r="H85" s="24">
        <v>1.5740000000000001E-2</v>
      </c>
    </row>
    <row r="86" spans="1:8" x14ac:dyDescent="0.25">
      <c r="A86" s="23">
        <v>76</v>
      </c>
      <c r="B86" s="21"/>
      <c r="C86" s="24">
        <v>2.1590000000000002E-2</v>
      </c>
      <c r="D86" s="24">
        <v>4.2529999999999998E-2</v>
      </c>
      <c r="E86" s="24">
        <v>2.2370000000000001E-2</v>
      </c>
      <c r="F86" s="24">
        <v>1.7639999999999999E-2</v>
      </c>
      <c r="G86" s="24">
        <v>2.9669999999999998E-2</v>
      </c>
      <c r="H86" s="24">
        <v>1.8089999999999998E-2</v>
      </c>
    </row>
    <row r="87" spans="1:8" x14ac:dyDescent="0.25">
      <c r="A87" s="23">
        <v>77</v>
      </c>
      <c r="B87" s="21"/>
      <c r="C87" s="24">
        <v>2.4649999999999998E-2</v>
      </c>
      <c r="D87" s="24">
        <v>4.7820000000000001E-2</v>
      </c>
      <c r="E87" s="24">
        <v>2.546E-2</v>
      </c>
      <c r="F87" s="24">
        <v>2.0320000000000001E-2</v>
      </c>
      <c r="G87" s="24">
        <v>3.381E-2</v>
      </c>
      <c r="H87" s="24">
        <v>2.0789999999999999E-2</v>
      </c>
    </row>
    <row r="88" spans="1:8" x14ac:dyDescent="0.25">
      <c r="A88" s="23">
        <v>78</v>
      </c>
      <c r="B88" s="21"/>
      <c r="C88" s="24">
        <v>2.8199999999999999E-2</v>
      </c>
      <c r="D88" s="24">
        <v>5.3859999999999998E-2</v>
      </c>
      <c r="E88" s="24">
        <v>2.903E-2</v>
      </c>
      <c r="F88" s="24">
        <v>2.341E-2</v>
      </c>
      <c r="G88" s="24">
        <v>3.8530000000000002E-2</v>
      </c>
      <c r="H88" s="24">
        <v>2.3890000000000002E-2</v>
      </c>
    </row>
    <row r="89" spans="1:8" x14ac:dyDescent="0.25">
      <c r="A89" s="23">
        <v>79</v>
      </c>
      <c r="B89" s="21"/>
      <c r="C89" s="24">
        <v>3.2329999999999998E-2</v>
      </c>
      <c r="D89" s="24">
        <v>6.0780000000000001E-2</v>
      </c>
      <c r="E89" s="24">
        <v>3.3189999999999997E-2</v>
      </c>
      <c r="F89" s="24">
        <v>2.6950000000000002E-2</v>
      </c>
      <c r="G89" s="24">
        <v>4.3869999999999999E-2</v>
      </c>
      <c r="H89" s="24">
        <v>2.7449999999999999E-2</v>
      </c>
    </row>
    <row r="90" spans="1:8" x14ac:dyDescent="0.25">
      <c r="A90" s="23">
        <v>80</v>
      </c>
      <c r="B90" s="21"/>
      <c r="C90" s="24">
        <v>3.712E-2</v>
      </c>
      <c r="D90" s="24">
        <v>6.8669999999999995E-2</v>
      </c>
      <c r="E90" s="24">
        <v>3.8010000000000002E-2</v>
      </c>
      <c r="F90" s="24">
        <v>3.0980000000000001E-2</v>
      </c>
      <c r="G90" s="24">
        <v>4.9880000000000001E-2</v>
      </c>
      <c r="H90" s="24">
        <v>3.15E-2</v>
      </c>
    </row>
    <row r="91" spans="1:8" x14ac:dyDescent="0.25">
      <c r="A91" s="23">
        <v>81</v>
      </c>
      <c r="B91" s="21"/>
      <c r="C91" s="24">
        <v>4.2720000000000001E-2</v>
      </c>
      <c r="D91" s="24">
        <v>7.775E-2</v>
      </c>
      <c r="E91" s="24">
        <v>4.3639999999999998E-2</v>
      </c>
      <c r="F91" s="24">
        <v>3.5580000000000001E-2</v>
      </c>
      <c r="G91" s="24">
        <v>5.6640000000000003E-2</v>
      </c>
      <c r="H91" s="24">
        <v>3.6119999999999999E-2</v>
      </c>
    </row>
    <row r="92" spans="1:8" x14ac:dyDescent="0.25">
      <c r="A92" s="23">
        <v>82</v>
      </c>
      <c r="B92" s="21"/>
      <c r="C92" s="24">
        <v>4.9200000000000001E-2</v>
      </c>
      <c r="D92" s="24">
        <v>8.8069999999999996E-2</v>
      </c>
      <c r="E92" s="24">
        <v>5.015E-2</v>
      </c>
      <c r="F92" s="24">
        <v>4.0869999999999997E-2</v>
      </c>
      <c r="G92" s="24">
        <v>6.4329999999999998E-2</v>
      </c>
      <c r="H92" s="24">
        <v>4.1430000000000002E-2</v>
      </c>
    </row>
    <row r="93" spans="1:8" x14ac:dyDescent="0.25">
      <c r="A93" s="23">
        <v>83</v>
      </c>
      <c r="B93" s="21"/>
      <c r="C93" s="24">
        <v>5.6649999999999999E-2</v>
      </c>
      <c r="D93" s="24">
        <v>9.9699999999999997E-2</v>
      </c>
      <c r="E93" s="24">
        <v>5.7630000000000001E-2</v>
      </c>
      <c r="F93" s="24">
        <v>4.6980000000000001E-2</v>
      </c>
      <c r="G93" s="24">
        <v>7.3099999999999998E-2</v>
      </c>
      <c r="H93" s="24">
        <v>4.7570000000000001E-2</v>
      </c>
    </row>
    <row r="94" spans="1:8" x14ac:dyDescent="0.25">
      <c r="A94" s="23">
        <v>84</v>
      </c>
      <c r="B94" s="21"/>
      <c r="C94" s="24">
        <v>6.5129999999999993E-2</v>
      </c>
      <c r="D94" s="24">
        <v>0.11267000000000001</v>
      </c>
      <c r="E94" s="24">
        <v>6.6140000000000004E-2</v>
      </c>
      <c r="F94" s="24">
        <v>5.4059999999999997E-2</v>
      </c>
      <c r="G94" s="24">
        <v>8.3140000000000006E-2</v>
      </c>
      <c r="H94" s="24">
        <v>5.4679999999999999E-2</v>
      </c>
    </row>
    <row r="95" spans="1:8" x14ac:dyDescent="0.25">
      <c r="A95" s="23">
        <v>85</v>
      </c>
      <c r="B95" s="21"/>
      <c r="C95" s="24">
        <v>7.4700000000000003E-2</v>
      </c>
      <c r="D95" s="24">
        <v>0.12698999999999999</v>
      </c>
      <c r="E95" s="24">
        <v>7.5749999999999998E-2</v>
      </c>
      <c r="F95" s="24">
        <v>6.225E-2</v>
      </c>
      <c r="G95" s="24">
        <v>9.4619999999999996E-2</v>
      </c>
      <c r="H95" s="24">
        <v>6.2899999999999998E-2</v>
      </c>
    </row>
    <row r="96" spans="1:8" x14ac:dyDescent="0.25">
      <c r="A96" s="23">
        <v>86</v>
      </c>
      <c r="B96" s="21"/>
      <c r="C96" s="24">
        <v>8.548E-2</v>
      </c>
      <c r="D96" s="24">
        <v>0.14274999999999999</v>
      </c>
      <c r="E96" s="24">
        <v>8.6559999999999998E-2</v>
      </c>
      <c r="F96" s="24">
        <v>7.1739999999999998E-2</v>
      </c>
      <c r="G96" s="24">
        <v>0.10775</v>
      </c>
      <c r="H96" s="24">
        <v>7.2419999999999998E-2</v>
      </c>
    </row>
    <row r="97" spans="1:8" x14ac:dyDescent="0.25">
      <c r="A97" s="23">
        <v>87</v>
      </c>
      <c r="B97" s="21"/>
      <c r="C97" s="24">
        <v>9.7839999999999996E-2</v>
      </c>
      <c r="D97" s="24">
        <v>0.16045999999999999</v>
      </c>
      <c r="E97" s="24">
        <v>9.8960000000000006E-2</v>
      </c>
      <c r="F97" s="24">
        <v>8.2680000000000003E-2</v>
      </c>
      <c r="G97" s="24">
        <v>0.1227</v>
      </c>
      <c r="H97" s="24">
        <v>8.3400000000000002E-2</v>
      </c>
    </row>
    <row r="98" spans="1:8" x14ac:dyDescent="0.25">
      <c r="A98" s="23">
        <v>88</v>
      </c>
      <c r="B98" s="21"/>
      <c r="C98" s="24">
        <v>0.11228</v>
      </c>
      <c r="D98" s="24">
        <v>0.18076999999999999</v>
      </c>
      <c r="E98" s="24">
        <v>0.11345</v>
      </c>
      <c r="F98" s="24">
        <v>9.5180000000000001E-2</v>
      </c>
      <c r="G98" s="24">
        <v>0.13952999999999999</v>
      </c>
      <c r="H98" s="24">
        <v>9.5939999999999998E-2</v>
      </c>
    </row>
    <row r="99" spans="1:8" x14ac:dyDescent="0.25">
      <c r="A99" s="23">
        <v>89</v>
      </c>
      <c r="B99" s="21"/>
      <c r="C99" s="24">
        <v>0.12928000000000001</v>
      </c>
      <c r="D99" s="24">
        <v>0.20426</v>
      </c>
      <c r="E99" s="24">
        <v>0.1305</v>
      </c>
      <c r="F99" s="24">
        <v>0.10936999999999999</v>
      </c>
      <c r="G99" s="24">
        <v>0.15837000000000001</v>
      </c>
      <c r="H99" s="24">
        <v>0.11017</v>
      </c>
    </row>
    <row r="100" spans="1:8" x14ac:dyDescent="0.25">
      <c r="A100" s="23">
        <v>90</v>
      </c>
      <c r="B100" s="21"/>
      <c r="C100" s="24">
        <v>0.14940999999999999</v>
      </c>
      <c r="D100" s="24">
        <v>0.23158999999999999</v>
      </c>
      <c r="E100" s="24">
        <v>0.15068000000000001</v>
      </c>
      <c r="F100" s="24">
        <v>0.12534999999999999</v>
      </c>
      <c r="G100" s="24">
        <v>0.17924999999999999</v>
      </c>
      <c r="H100" s="24">
        <v>0.12619</v>
      </c>
    </row>
    <row r="101" spans="1:8" x14ac:dyDescent="0.25">
      <c r="A101" s="23">
        <v>91</v>
      </c>
      <c r="B101" s="21"/>
      <c r="C101" s="24">
        <v>0.17333999999999999</v>
      </c>
      <c r="D101" s="24">
        <v>0.26347999999999999</v>
      </c>
      <c r="E101" s="24">
        <v>0.17466000000000001</v>
      </c>
      <c r="F101" s="24">
        <v>0.14330999999999999</v>
      </c>
      <c r="G101" s="24">
        <v>0.20235</v>
      </c>
      <c r="H101" s="24">
        <v>0.14418</v>
      </c>
    </row>
    <row r="102" spans="1:8" x14ac:dyDescent="0.25">
      <c r="A102" s="23">
        <v>92</v>
      </c>
      <c r="B102" s="21"/>
      <c r="C102" s="24">
        <v>0.20100999999999999</v>
      </c>
      <c r="D102" s="24">
        <v>0.29949999999999999</v>
      </c>
      <c r="E102" s="24">
        <v>0.20236000000000001</v>
      </c>
      <c r="F102" s="24">
        <v>0.16392999999999999</v>
      </c>
      <c r="G102" s="24">
        <v>0.22852</v>
      </c>
      <c r="H102" s="24">
        <v>0.16481999999999999</v>
      </c>
    </row>
    <row r="103" spans="1:8" x14ac:dyDescent="0.25">
      <c r="A103" s="23">
        <v>93</v>
      </c>
      <c r="B103" s="21"/>
      <c r="C103" s="24">
        <v>0.23213</v>
      </c>
      <c r="D103" s="24">
        <v>0.33890999999999999</v>
      </c>
      <c r="E103" s="24">
        <v>0.23347999999999999</v>
      </c>
      <c r="F103" s="24">
        <v>0.18801999999999999</v>
      </c>
      <c r="G103" s="24">
        <v>0.25872000000000001</v>
      </c>
      <c r="H103" s="24">
        <v>0.18892</v>
      </c>
    </row>
    <row r="104" spans="1:8" x14ac:dyDescent="0.25">
      <c r="A104" s="23">
        <v>94</v>
      </c>
      <c r="B104" s="21"/>
      <c r="C104" s="24">
        <v>0.26641999999999999</v>
      </c>
      <c r="D104" s="24">
        <v>0.38097999999999999</v>
      </c>
      <c r="E104" s="24">
        <v>0.26773000000000002</v>
      </c>
      <c r="F104" s="24">
        <v>0.21640999999999999</v>
      </c>
      <c r="G104" s="24">
        <v>0.29387999999999997</v>
      </c>
      <c r="H104" s="24">
        <v>0.21729999999999999</v>
      </c>
    </row>
    <row r="105" spans="1:8" x14ac:dyDescent="0.25">
      <c r="A105" s="23">
        <v>95</v>
      </c>
      <c r="B105" s="21"/>
      <c r="C105" s="24">
        <v>0.30341000000000001</v>
      </c>
      <c r="D105" s="24">
        <v>0.42476999999999998</v>
      </c>
      <c r="E105" s="24">
        <v>0.30462</v>
      </c>
      <c r="F105" s="24">
        <v>0.25006</v>
      </c>
      <c r="G105" s="24">
        <v>0.33507999999999999</v>
      </c>
      <c r="H105" s="24">
        <v>0.25091000000000002</v>
      </c>
    </row>
    <row r="106" spans="1:8" x14ac:dyDescent="0.25">
      <c r="A106" s="23">
        <v>96</v>
      </c>
      <c r="B106" s="21"/>
      <c r="C106" s="24">
        <v>0.34192</v>
      </c>
      <c r="D106" s="24">
        <v>0.46843000000000001</v>
      </c>
      <c r="E106" s="24">
        <v>0.34297</v>
      </c>
      <c r="F106" s="24">
        <v>0.29002</v>
      </c>
      <c r="G106" s="24">
        <v>0.38340999999999997</v>
      </c>
      <c r="H106" s="24">
        <v>0.2908</v>
      </c>
    </row>
    <row r="107" spans="1:8" x14ac:dyDescent="0.25">
      <c r="A107" s="23">
        <v>97</v>
      </c>
      <c r="B107" s="21"/>
      <c r="C107" s="24">
        <v>0.38130999999999998</v>
      </c>
      <c r="D107" s="24">
        <v>0.51095999999999997</v>
      </c>
      <c r="E107" s="24">
        <v>0.38213999999999998</v>
      </c>
      <c r="F107" s="24">
        <v>0.33589999999999998</v>
      </c>
      <c r="G107" s="24">
        <v>0.43801000000000001</v>
      </c>
      <c r="H107" s="24">
        <v>0.33655000000000002</v>
      </c>
    </row>
    <row r="108" spans="1:8" x14ac:dyDescent="0.25">
      <c r="A108" s="23">
        <v>98</v>
      </c>
      <c r="B108" s="21"/>
      <c r="C108" s="24">
        <v>0.42108000000000001</v>
      </c>
      <c r="D108" s="24">
        <v>0.55161000000000004</v>
      </c>
      <c r="E108" s="24">
        <v>0.42165000000000002</v>
      </c>
      <c r="F108" s="24">
        <v>0.38682</v>
      </c>
      <c r="G108" s="24">
        <v>0.49745</v>
      </c>
      <c r="H108" s="24">
        <v>0.38729999999999998</v>
      </c>
    </row>
    <row r="109" spans="1:8" x14ac:dyDescent="0.25">
      <c r="A109" s="23">
        <v>99</v>
      </c>
      <c r="B109" s="21"/>
      <c r="C109" s="24">
        <v>0.46195000000000003</v>
      </c>
      <c r="D109" s="24">
        <v>0.59130000000000005</v>
      </c>
      <c r="E109" s="24">
        <v>0.46223999999999998</v>
      </c>
      <c r="F109" s="24">
        <v>0.43532999999999999</v>
      </c>
      <c r="G109" s="24">
        <v>0.55200000000000005</v>
      </c>
      <c r="H109" s="24">
        <v>0.43558999999999998</v>
      </c>
    </row>
    <row r="110" spans="1:8" x14ac:dyDescent="0.25">
      <c r="A110" s="25">
        <v>100</v>
      </c>
      <c r="B110" s="33"/>
      <c r="C110" s="34">
        <v>0.5</v>
      </c>
      <c r="D110" s="34">
        <v>0.625</v>
      </c>
      <c r="E110" s="34">
        <v>0.5</v>
      </c>
      <c r="F110" s="34">
        <v>0.5</v>
      </c>
      <c r="G110" s="34">
        <v>0.625</v>
      </c>
      <c r="H110" s="34">
        <v>0.5</v>
      </c>
    </row>
  </sheetData>
  <pageMargins left="0.39370078740157483" right="0.39370078740157483" top="0.39370078740157483" bottom="0.78740157480314965" header="0.31496062992125984" footer="0.39370078740157483"/>
  <pageSetup paperSize="9" scale="94" orientation="portrait" horizontalDpi="4294967293" verticalDpi="300" r:id="rId1"/>
  <headerFooter>
    <oddFooter>&amp;C&amp;"Century Gothic,Bold"&amp;9&amp;K5F5F5FGraduation of the 2004-2008 Lum Sum Investigation Data
&amp;"Century Gothic,Regular"Published jointly by the Actuaries Institute and the Financial Services Council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110"/>
  <sheetViews>
    <sheetView showGridLines="0" workbookViewId="0">
      <selection activeCell="F34" sqref="F33:F34"/>
    </sheetView>
  </sheetViews>
  <sheetFormatPr defaultColWidth="10.75" defaultRowHeight="13.5" x14ac:dyDescent="0.25"/>
  <cols>
    <col min="1" max="16384" width="10.75" style="1"/>
  </cols>
  <sheetData>
    <row r="1" spans="1:8" ht="26.25" x14ac:dyDescent="0.35">
      <c r="A1" s="2" t="s">
        <v>5</v>
      </c>
    </row>
    <row r="3" spans="1:8" s="38" customFormat="1" x14ac:dyDescent="0.25">
      <c r="A3" s="13" t="s">
        <v>14</v>
      </c>
      <c r="B3" s="6"/>
      <c r="C3" s="6" t="s">
        <v>10</v>
      </c>
      <c r="D3" s="6"/>
      <c r="E3" s="6" t="s">
        <v>11</v>
      </c>
      <c r="F3" s="27">
        <v>0.7</v>
      </c>
      <c r="G3" s="6"/>
      <c r="H3" s="7"/>
    </row>
    <row r="4" spans="1:8" s="38" customFormat="1" x14ac:dyDescent="0.25">
      <c r="A4" s="15"/>
      <c r="B4" s="9"/>
      <c r="C4" s="9"/>
      <c r="D4" s="9"/>
      <c r="E4" s="9" t="s">
        <v>12</v>
      </c>
      <c r="F4" s="28">
        <v>1</v>
      </c>
      <c r="G4" s="9"/>
      <c r="H4" s="11"/>
    </row>
    <row r="5" spans="1:8" s="38" customFormat="1" x14ac:dyDescent="0.25">
      <c r="A5" s="26"/>
      <c r="B5" s="9"/>
      <c r="C5" s="9"/>
      <c r="D5" s="9"/>
      <c r="E5" s="9" t="s">
        <v>13</v>
      </c>
      <c r="F5" s="28">
        <v>1</v>
      </c>
      <c r="G5" s="9"/>
      <c r="H5" s="11"/>
    </row>
    <row r="6" spans="1:8" s="38" customFormat="1" x14ac:dyDescent="0.25">
      <c r="A6" s="15"/>
      <c r="B6" s="7"/>
      <c r="C6" s="13"/>
      <c r="D6" s="6"/>
      <c r="E6" s="7"/>
      <c r="F6" s="13"/>
      <c r="G6" s="6"/>
      <c r="H6" s="7"/>
    </row>
    <row r="7" spans="1:8" s="38" customFormat="1" x14ac:dyDescent="0.25">
      <c r="A7" s="15" t="s">
        <v>8</v>
      </c>
      <c r="B7" s="11"/>
      <c r="C7" s="15" t="s">
        <v>3</v>
      </c>
      <c r="D7" s="9"/>
      <c r="E7" s="11"/>
      <c r="F7" s="15" t="s">
        <v>4</v>
      </c>
      <c r="G7" s="9"/>
      <c r="H7" s="11"/>
    </row>
    <row r="8" spans="1:8" s="38" customFormat="1" x14ac:dyDescent="0.25">
      <c r="A8" s="26" t="s">
        <v>7</v>
      </c>
      <c r="B8" s="17"/>
      <c r="C8" s="18" t="s">
        <v>0</v>
      </c>
      <c r="D8" s="18" t="s">
        <v>1</v>
      </c>
      <c r="E8" s="18" t="s">
        <v>2</v>
      </c>
      <c r="F8" s="18" t="s">
        <v>0</v>
      </c>
      <c r="G8" s="18" t="s">
        <v>1</v>
      </c>
      <c r="H8" s="18" t="s">
        <v>2</v>
      </c>
    </row>
    <row r="9" spans="1:8" s="38" customFormat="1" x14ac:dyDescent="0.25">
      <c r="A9" s="23"/>
      <c r="B9" s="21"/>
      <c r="C9" s="22"/>
      <c r="D9" s="22"/>
      <c r="E9" s="22"/>
      <c r="F9" s="22"/>
      <c r="G9" s="22"/>
      <c r="H9" s="22"/>
    </row>
    <row r="10" spans="1:8" s="38" customFormat="1" x14ac:dyDescent="0.25">
      <c r="A10" s="23">
        <v>0</v>
      </c>
      <c r="B10" s="21"/>
      <c r="C10" s="24">
        <v>5.0000000000000001E-4</v>
      </c>
      <c r="D10" s="24">
        <v>7.5000000000000002E-4</v>
      </c>
      <c r="E10" s="24">
        <v>5.0000000000000001E-4</v>
      </c>
      <c r="F10" s="24">
        <v>2.9999999999999997E-4</v>
      </c>
      <c r="G10" s="24">
        <v>3.3E-4</v>
      </c>
      <c r="H10" s="24">
        <v>2.9999999999999997E-4</v>
      </c>
    </row>
    <row r="11" spans="1:8" s="38" customFormat="1" x14ac:dyDescent="0.25">
      <c r="A11" s="23">
        <v>1</v>
      </c>
      <c r="B11" s="21"/>
      <c r="C11" s="24">
        <v>5.0000000000000001E-4</v>
      </c>
      <c r="D11" s="24">
        <v>7.5000000000000002E-4</v>
      </c>
      <c r="E11" s="24">
        <v>5.0000000000000001E-4</v>
      </c>
      <c r="F11" s="24">
        <v>2.9999999999999997E-4</v>
      </c>
      <c r="G11" s="24">
        <v>3.3E-4</v>
      </c>
      <c r="H11" s="24">
        <v>2.9999999999999997E-4</v>
      </c>
    </row>
    <row r="12" spans="1:8" s="38" customFormat="1" x14ac:dyDescent="0.25">
      <c r="A12" s="23">
        <v>2</v>
      </c>
      <c r="B12" s="21"/>
      <c r="C12" s="24">
        <v>5.0000000000000001E-4</v>
      </c>
      <c r="D12" s="24">
        <v>7.5000000000000002E-4</v>
      </c>
      <c r="E12" s="24">
        <v>5.0000000000000001E-4</v>
      </c>
      <c r="F12" s="24">
        <v>2.9999999999999997E-4</v>
      </c>
      <c r="G12" s="24">
        <v>3.3E-4</v>
      </c>
      <c r="H12" s="24">
        <v>2.9999999999999997E-4</v>
      </c>
    </row>
    <row r="13" spans="1:8" s="38" customFormat="1" x14ac:dyDescent="0.25">
      <c r="A13" s="23">
        <v>3</v>
      </c>
      <c r="B13" s="21"/>
      <c r="C13" s="24">
        <v>5.0000000000000001E-4</v>
      </c>
      <c r="D13" s="24">
        <v>7.5000000000000002E-4</v>
      </c>
      <c r="E13" s="24">
        <v>5.0000000000000001E-4</v>
      </c>
      <c r="F13" s="24">
        <v>2.9999999999999997E-4</v>
      </c>
      <c r="G13" s="24">
        <v>3.3E-4</v>
      </c>
      <c r="H13" s="24">
        <v>2.9999999999999997E-4</v>
      </c>
    </row>
    <row r="14" spans="1:8" s="38" customFormat="1" x14ac:dyDescent="0.25">
      <c r="A14" s="23">
        <v>4</v>
      </c>
      <c r="B14" s="21"/>
      <c r="C14" s="24">
        <v>5.0000000000000001E-4</v>
      </c>
      <c r="D14" s="24">
        <v>7.5000000000000002E-4</v>
      </c>
      <c r="E14" s="24">
        <v>5.0000000000000001E-4</v>
      </c>
      <c r="F14" s="24">
        <v>2.9999999999999997E-4</v>
      </c>
      <c r="G14" s="24">
        <v>3.3E-4</v>
      </c>
      <c r="H14" s="24">
        <v>2.9999999999999997E-4</v>
      </c>
    </row>
    <row r="15" spans="1:8" s="38" customFormat="1" x14ac:dyDescent="0.25">
      <c r="A15" s="23">
        <v>5</v>
      </c>
      <c r="B15" s="21"/>
      <c r="C15" s="24">
        <v>5.0000000000000001E-4</v>
      </c>
      <c r="D15" s="24">
        <v>7.5000000000000002E-4</v>
      </c>
      <c r="E15" s="24">
        <v>5.0000000000000001E-4</v>
      </c>
      <c r="F15" s="24">
        <v>2.9999999999999997E-4</v>
      </c>
      <c r="G15" s="24">
        <v>3.3E-4</v>
      </c>
      <c r="H15" s="24">
        <v>2.9999999999999997E-4</v>
      </c>
    </row>
    <row r="16" spans="1:8" s="38" customFormat="1" x14ac:dyDescent="0.25">
      <c r="A16" s="23">
        <v>6</v>
      </c>
      <c r="B16" s="21"/>
      <c r="C16" s="24">
        <v>5.0000000000000001E-4</v>
      </c>
      <c r="D16" s="24">
        <v>7.5000000000000002E-4</v>
      </c>
      <c r="E16" s="24">
        <v>5.0000000000000001E-4</v>
      </c>
      <c r="F16" s="24">
        <v>2.9999999999999997E-4</v>
      </c>
      <c r="G16" s="24">
        <v>3.3E-4</v>
      </c>
      <c r="H16" s="24">
        <v>2.9999999999999997E-4</v>
      </c>
    </row>
    <row r="17" spans="1:8" s="38" customFormat="1" x14ac:dyDescent="0.25">
      <c r="A17" s="23">
        <v>7</v>
      </c>
      <c r="B17" s="21"/>
      <c r="C17" s="24">
        <v>5.0000000000000001E-4</v>
      </c>
      <c r="D17" s="24">
        <v>7.5000000000000002E-4</v>
      </c>
      <c r="E17" s="24">
        <v>5.0000000000000001E-4</v>
      </c>
      <c r="F17" s="24">
        <v>2.9999999999999997E-4</v>
      </c>
      <c r="G17" s="24">
        <v>3.3E-4</v>
      </c>
      <c r="H17" s="24">
        <v>2.9999999999999997E-4</v>
      </c>
    </row>
    <row r="18" spans="1:8" s="38" customFormat="1" x14ac:dyDescent="0.25">
      <c r="A18" s="23">
        <v>8</v>
      </c>
      <c r="B18" s="21"/>
      <c r="C18" s="24">
        <v>5.0000000000000001E-4</v>
      </c>
      <c r="D18" s="24">
        <v>7.5000000000000002E-4</v>
      </c>
      <c r="E18" s="24">
        <v>5.0000000000000001E-4</v>
      </c>
      <c r="F18" s="24">
        <v>2.9999999999999997E-4</v>
      </c>
      <c r="G18" s="24">
        <v>3.3E-4</v>
      </c>
      <c r="H18" s="24">
        <v>2.9999999999999997E-4</v>
      </c>
    </row>
    <row r="19" spans="1:8" s="38" customFormat="1" x14ac:dyDescent="0.25">
      <c r="A19" s="23">
        <v>9</v>
      </c>
      <c r="B19" s="21"/>
      <c r="C19" s="24">
        <v>5.0000000000000001E-4</v>
      </c>
      <c r="D19" s="24">
        <v>7.5000000000000002E-4</v>
      </c>
      <c r="E19" s="24">
        <v>5.0000000000000001E-4</v>
      </c>
      <c r="F19" s="24">
        <v>2.9999999999999997E-4</v>
      </c>
      <c r="G19" s="24">
        <v>3.3E-4</v>
      </c>
      <c r="H19" s="24">
        <v>2.9999999999999997E-4</v>
      </c>
    </row>
    <row r="20" spans="1:8" s="38" customFormat="1" x14ac:dyDescent="0.25">
      <c r="A20" s="23">
        <v>10</v>
      </c>
      <c r="B20" s="21"/>
      <c r="C20" s="24">
        <v>5.0000000000000001E-4</v>
      </c>
      <c r="D20" s="24">
        <v>7.5000000000000002E-4</v>
      </c>
      <c r="E20" s="24">
        <v>5.0000000000000001E-4</v>
      </c>
      <c r="F20" s="24">
        <v>2.9999999999999997E-4</v>
      </c>
      <c r="G20" s="24">
        <v>3.3E-4</v>
      </c>
      <c r="H20" s="24">
        <v>2.9999999999999997E-4</v>
      </c>
    </row>
    <row r="21" spans="1:8" s="38" customFormat="1" x14ac:dyDescent="0.25">
      <c r="A21" s="23">
        <v>11</v>
      </c>
      <c r="B21" s="21"/>
      <c r="C21" s="24">
        <v>5.0000000000000001E-4</v>
      </c>
      <c r="D21" s="24">
        <v>7.5000000000000002E-4</v>
      </c>
      <c r="E21" s="24">
        <v>5.0000000000000001E-4</v>
      </c>
      <c r="F21" s="24">
        <v>2.9999999999999997E-4</v>
      </c>
      <c r="G21" s="24">
        <v>3.3E-4</v>
      </c>
      <c r="H21" s="24">
        <v>2.9999999999999997E-4</v>
      </c>
    </row>
    <row r="22" spans="1:8" s="38" customFormat="1" x14ac:dyDescent="0.25">
      <c r="A22" s="23">
        <v>12</v>
      </c>
      <c r="B22" s="21"/>
      <c r="C22" s="24">
        <v>5.0000000000000001E-4</v>
      </c>
      <c r="D22" s="24">
        <v>7.5000000000000002E-4</v>
      </c>
      <c r="E22" s="24">
        <v>5.0000000000000001E-4</v>
      </c>
      <c r="F22" s="24">
        <v>2.9999999999999997E-4</v>
      </c>
      <c r="G22" s="24">
        <v>3.3E-4</v>
      </c>
      <c r="H22" s="24">
        <v>2.9999999999999997E-4</v>
      </c>
    </row>
    <row r="23" spans="1:8" s="38" customFormat="1" x14ac:dyDescent="0.25">
      <c r="A23" s="23">
        <v>13</v>
      </c>
      <c r="B23" s="21"/>
      <c r="C23" s="24">
        <v>5.0000000000000001E-4</v>
      </c>
      <c r="D23" s="24">
        <v>7.5000000000000002E-4</v>
      </c>
      <c r="E23" s="24">
        <v>5.0000000000000001E-4</v>
      </c>
      <c r="F23" s="24">
        <v>2.9999999999999997E-4</v>
      </c>
      <c r="G23" s="24">
        <v>3.3E-4</v>
      </c>
      <c r="H23" s="24">
        <v>2.9999999999999997E-4</v>
      </c>
    </row>
    <row r="24" spans="1:8" s="38" customFormat="1" x14ac:dyDescent="0.25">
      <c r="A24" s="23">
        <v>14</v>
      </c>
      <c r="B24" s="21"/>
      <c r="C24" s="24">
        <v>5.0000000000000001E-4</v>
      </c>
      <c r="D24" s="24">
        <v>7.5000000000000002E-4</v>
      </c>
      <c r="E24" s="24">
        <v>5.0000000000000001E-4</v>
      </c>
      <c r="F24" s="24">
        <v>2.9999999999999997E-4</v>
      </c>
      <c r="G24" s="24">
        <v>3.3E-4</v>
      </c>
      <c r="H24" s="24">
        <v>2.9999999999999997E-4</v>
      </c>
    </row>
    <row r="25" spans="1:8" s="38" customFormat="1" x14ac:dyDescent="0.25">
      <c r="A25" s="23">
        <v>15</v>
      </c>
      <c r="B25" s="21"/>
      <c r="C25" s="24">
        <v>5.0000000000000001E-4</v>
      </c>
      <c r="D25" s="24">
        <v>7.5000000000000002E-4</v>
      </c>
      <c r="E25" s="24">
        <v>5.0000000000000001E-4</v>
      </c>
      <c r="F25" s="24">
        <v>2.9999999999999997E-4</v>
      </c>
      <c r="G25" s="24">
        <v>3.3E-4</v>
      </c>
      <c r="H25" s="24">
        <v>2.9999999999999997E-4</v>
      </c>
    </row>
    <row r="26" spans="1:8" s="38" customFormat="1" x14ac:dyDescent="0.25">
      <c r="A26" s="23">
        <v>16</v>
      </c>
      <c r="B26" s="21"/>
      <c r="C26" s="24">
        <v>5.1000000000000004E-4</v>
      </c>
      <c r="D26" s="24">
        <v>7.6999999999999996E-4</v>
      </c>
      <c r="E26" s="24">
        <v>5.1000000000000004E-4</v>
      </c>
      <c r="F26" s="24">
        <v>2.9999999999999997E-4</v>
      </c>
      <c r="G26" s="24">
        <v>3.3E-4</v>
      </c>
      <c r="H26" s="24">
        <v>2.9999999999999997E-4</v>
      </c>
    </row>
    <row r="27" spans="1:8" s="38" customFormat="1" x14ac:dyDescent="0.25">
      <c r="A27" s="23">
        <v>17</v>
      </c>
      <c r="B27" s="21"/>
      <c r="C27" s="24">
        <v>5.1000000000000004E-4</v>
      </c>
      <c r="D27" s="24">
        <v>7.6999999999999996E-4</v>
      </c>
      <c r="E27" s="24">
        <v>5.2000000000000006E-4</v>
      </c>
      <c r="F27" s="24">
        <v>2.9999999999999997E-4</v>
      </c>
      <c r="G27" s="24">
        <v>3.3E-4</v>
      </c>
      <c r="H27" s="24">
        <v>2.9999999999999997E-4</v>
      </c>
    </row>
    <row r="28" spans="1:8" s="38" customFormat="1" x14ac:dyDescent="0.25">
      <c r="A28" s="23">
        <v>18</v>
      </c>
      <c r="B28" s="21"/>
      <c r="C28" s="24">
        <v>5.1999999999999995E-4</v>
      </c>
      <c r="D28" s="24">
        <v>7.7999999999999999E-4</v>
      </c>
      <c r="E28" s="24">
        <v>5.3000000000000009E-4</v>
      </c>
      <c r="F28" s="24">
        <v>2.9999999999999997E-4</v>
      </c>
      <c r="G28" s="24">
        <v>3.3E-4</v>
      </c>
      <c r="H28" s="24">
        <v>2.9999999999999997E-4</v>
      </c>
    </row>
    <row r="29" spans="1:8" s="38" customFormat="1" x14ac:dyDescent="0.25">
      <c r="A29" s="23">
        <v>19</v>
      </c>
      <c r="B29" s="21"/>
      <c r="C29" s="24">
        <v>5.2999999999999998E-4</v>
      </c>
      <c r="D29" s="24">
        <v>8.0000000000000004E-4</v>
      </c>
      <c r="E29" s="24">
        <v>5.5000000000000003E-4</v>
      </c>
      <c r="F29" s="24">
        <v>2.9999999999999997E-4</v>
      </c>
      <c r="G29" s="24">
        <v>3.3E-4</v>
      </c>
      <c r="H29" s="24">
        <v>2.9999999999999997E-4</v>
      </c>
    </row>
    <row r="30" spans="1:8" s="38" customFormat="1" x14ac:dyDescent="0.25">
      <c r="A30" s="23">
        <v>20</v>
      </c>
      <c r="B30" s="21"/>
      <c r="C30" s="24">
        <v>5.5000000000000003E-4</v>
      </c>
      <c r="D30" s="24">
        <v>8.3000000000000001E-4</v>
      </c>
      <c r="E30" s="24">
        <v>5.6999999999999998E-4</v>
      </c>
      <c r="F30" s="24">
        <v>3.1E-4</v>
      </c>
      <c r="G30" s="24">
        <v>3.4000000000000002E-4</v>
      </c>
      <c r="H30" s="24">
        <v>3.1E-4</v>
      </c>
    </row>
    <row r="31" spans="1:8" s="38" customFormat="1" x14ac:dyDescent="0.25">
      <c r="A31" s="23">
        <v>21</v>
      </c>
      <c r="B31" s="21"/>
      <c r="C31" s="24">
        <v>5.6999999999999998E-4</v>
      </c>
      <c r="D31" s="24">
        <v>8.5999999999999998E-4</v>
      </c>
      <c r="E31" s="24">
        <v>5.9999999999999995E-4</v>
      </c>
      <c r="F31" s="24">
        <v>3.2000000000000003E-4</v>
      </c>
      <c r="G31" s="24">
        <v>3.5E-4</v>
      </c>
      <c r="H31" s="24">
        <v>3.2000000000000003E-4</v>
      </c>
    </row>
    <row r="32" spans="1:8" s="38" customFormat="1" x14ac:dyDescent="0.25">
      <c r="A32" s="23">
        <v>22</v>
      </c>
      <c r="B32" s="21"/>
      <c r="C32" s="24">
        <v>6.2E-4</v>
      </c>
      <c r="D32" s="24">
        <v>9.3000000000000005E-4</v>
      </c>
      <c r="E32" s="24">
        <v>6.4999999999999997E-4</v>
      </c>
      <c r="F32" s="24">
        <v>3.5E-4</v>
      </c>
      <c r="G32" s="24">
        <v>3.8999999999999999E-4</v>
      </c>
      <c r="H32" s="24">
        <v>3.5E-4</v>
      </c>
    </row>
    <row r="33" spans="1:8" s="38" customFormat="1" x14ac:dyDescent="0.25">
      <c r="A33" s="23">
        <v>23</v>
      </c>
      <c r="B33" s="21"/>
      <c r="C33" s="24">
        <v>6.6E-4</v>
      </c>
      <c r="D33" s="24">
        <v>9.8999999999999999E-4</v>
      </c>
      <c r="E33" s="24">
        <v>6.9999999999999999E-4</v>
      </c>
      <c r="F33" s="24">
        <v>3.8999999999999999E-4</v>
      </c>
      <c r="G33" s="24">
        <v>4.2999999999999999E-4</v>
      </c>
      <c r="H33" s="24">
        <v>3.8999999999999999E-4</v>
      </c>
    </row>
    <row r="34" spans="1:8" s="38" customFormat="1" x14ac:dyDescent="0.25">
      <c r="A34" s="23">
        <v>24</v>
      </c>
      <c r="B34" s="21"/>
      <c r="C34" s="24">
        <v>6.8999999999999997E-4</v>
      </c>
      <c r="D34" s="24">
        <v>1.0399999999999999E-3</v>
      </c>
      <c r="E34" s="24">
        <v>7.3999999999999999E-4</v>
      </c>
      <c r="F34" s="24">
        <v>4.4999999999999999E-4</v>
      </c>
      <c r="G34" s="24">
        <v>5.0000000000000001E-4</v>
      </c>
      <c r="H34" s="24">
        <v>4.4999999999999999E-4</v>
      </c>
    </row>
    <row r="35" spans="1:8" s="38" customFormat="1" x14ac:dyDescent="0.25">
      <c r="A35" s="23">
        <v>25</v>
      </c>
      <c r="B35" s="21"/>
      <c r="C35" s="24">
        <v>7.2999999999999996E-4</v>
      </c>
      <c r="D35" s="24">
        <v>1.1000000000000001E-3</v>
      </c>
      <c r="E35" s="24">
        <v>7.7999999999999999E-4</v>
      </c>
      <c r="F35" s="24">
        <v>5.0000000000000001E-4</v>
      </c>
      <c r="G35" s="24">
        <v>5.5000000000000003E-4</v>
      </c>
      <c r="H35" s="24">
        <v>5.1000000000000004E-4</v>
      </c>
    </row>
    <row r="36" spans="1:8" s="38" customFormat="1" x14ac:dyDescent="0.25">
      <c r="A36" s="23">
        <v>26</v>
      </c>
      <c r="B36" s="21"/>
      <c r="C36" s="24">
        <v>7.5000000000000002E-4</v>
      </c>
      <c r="D36" s="24">
        <v>1.1299999999999999E-3</v>
      </c>
      <c r="E36" s="24">
        <v>8.0999999999999996E-4</v>
      </c>
      <c r="F36" s="24">
        <v>5.6999999999999998E-4</v>
      </c>
      <c r="G36" s="24">
        <v>6.3000000000000003E-4</v>
      </c>
      <c r="H36" s="24">
        <v>5.8E-4</v>
      </c>
    </row>
    <row r="37" spans="1:8" s="38" customFormat="1" x14ac:dyDescent="0.25">
      <c r="A37" s="23">
        <v>27</v>
      </c>
      <c r="B37" s="21"/>
      <c r="C37" s="24">
        <v>7.5000000000000002E-4</v>
      </c>
      <c r="D37" s="24">
        <v>1.1299999999999999E-3</v>
      </c>
      <c r="E37" s="24">
        <v>8.0999999999999996E-4</v>
      </c>
      <c r="F37" s="24">
        <v>6.3000000000000003E-4</v>
      </c>
      <c r="G37" s="24">
        <v>6.8999999999999997E-4</v>
      </c>
      <c r="H37" s="24">
        <v>6.4000000000000005E-4</v>
      </c>
    </row>
    <row r="38" spans="1:8" s="38" customFormat="1" x14ac:dyDescent="0.25">
      <c r="A38" s="23">
        <v>28</v>
      </c>
      <c r="B38" s="21"/>
      <c r="C38" s="24">
        <v>7.2999999999999996E-4</v>
      </c>
      <c r="D38" s="24">
        <v>1.1000000000000001E-3</v>
      </c>
      <c r="E38" s="24">
        <v>7.9000000000000001E-4</v>
      </c>
      <c r="F38" s="24">
        <v>6.9999999999999999E-4</v>
      </c>
      <c r="G38" s="24">
        <v>7.6999999999999996E-4</v>
      </c>
      <c r="H38" s="24">
        <v>7.1000000000000002E-4</v>
      </c>
    </row>
    <row r="39" spans="1:8" s="38" customFormat="1" x14ac:dyDescent="0.25">
      <c r="A39" s="23">
        <v>29</v>
      </c>
      <c r="B39" s="21"/>
      <c r="C39" s="24">
        <v>6.9999999999999999E-4</v>
      </c>
      <c r="D39" s="24">
        <v>1.0499999999999999E-3</v>
      </c>
      <c r="E39" s="24">
        <v>7.6000000000000004E-4</v>
      </c>
      <c r="F39" s="24">
        <v>7.6000000000000004E-4</v>
      </c>
      <c r="G39" s="24">
        <v>8.4000000000000003E-4</v>
      </c>
      <c r="H39" s="24">
        <v>7.6999999999999996E-4</v>
      </c>
    </row>
    <row r="40" spans="1:8" s="38" customFormat="1" x14ac:dyDescent="0.25">
      <c r="A40" s="23">
        <v>30</v>
      </c>
      <c r="B40" s="21"/>
      <c r="C40" s="24">
        <v>6.8000000000000005E-4</v>
      </c>
      <c r="D40" s="24">
        <v>1.0200000000000001E-3</v>
      </c>
      <c r="E40" s="24">
        <v>7.2999999999999996E-4</v>
      </c>
      <c r="F40" s="24">
        <v>8.1999999999999998E-4</v>
      </c>
      <c r="G40" s="24">
        <v>8.9999999999999998E-4</v>
      </c>
      <c r="H40" s="24">
        <v>8.3000000000000001E-4</v>
      </c>
    </row>
    <row r="41" spans="1:8" s="38" customFormat="1" x14ac:dyDescent="0.25">
      <c r="A41" s="23">
        <v>31</v>
      </c>
      <c r="B41" s="21"/>
      <c r="C41" s="24">
        <v>6.6E-4</v>
      </c>
      <c r="D41" s="24">
        <v>9.8999999999999999E-4</v>
      </c>
      <c r="E41" s="24">
        <v>7.1000000000000002E-4</v>
      </c>
      <c r="F41" s="24">
        <v>8.8000000000000003E-4</v>
      </c>
      <c r="G41" s="24">
        <v>9.7000000000000005E-4</v>
      </c>
      <c r="H41" s="24">
        <v>8.8999999999999995E-4</v>
      </c>
    </row>
    <row r="42" spans="1:8" s="38" customFormat="1" x14ac:dyDescent="0.25">
      <c r="A42" s="23">
        <v>32</v>
      </c>
      <c r="B42" s="21"/>
      <c r="C42" s="24">
        <v>6.6E-4</v>
      </c>
      <c r="D42" s="24">
        <v>9.8999999999999999E-4</v>
      </c>
      <c r="E42" s="24">
        <v>7.1000000000000002E-4</v>
      </c>
      <c r="F42" s="24">
        <v>9.3999999999999997E-4</v>
      </c>
      <c r="G42" s="24">
        <v>1.0300000000000001E-3</v>
      </c>
      <c r="H42" s="24">
        <v>9.5E-4</v>
      </c>
    </row>
    <row r="43" spans="1:8" s="38" customFormat="1" x14ac:dyDescent="0.25">
      <c r="A43" s="23">
        <v>33</v>
      </c>
      <c r="B43" s="21"/>
      <c r="C43" s="24">
        <v>6.8000000000000005E-4</v>
      </c>
      <c r="D43" s="24">
        <v>1.0200000000000001E-3</v>
      </c>
      <c r="E43" s="24">
        <v>7.2999999999999996E-4</v>
      </c>
      <c r="F43" s="24">
        <v>1.01E-3</v>
      </c>
      <c r="G43" s="24">
        <v>1.1100000000000001E-3</v>
      </c>
      <c r="H43" s="24">
        <v>1.0200000000000001E-3</v>
      </c>
    </row>
    <row r="44" spans="1:8" s="38" customFormat="1" x14ac:dyDescent="0.25">
      <c r="A44" s="23">
        <v>34</v>
      </c>
      <c r="B44" s="21"/>
      <c r="C44" s="24">
        <v>7.2999999999999996E-4</v>
      </c>
      <c r="D44" s="24">
        <v>1.1000000000000001E-3</v>
      </c>
      <c r="E44" s="24">
        <v>7.7999999999999999E-4</v>
      </c>
      <c r="F44" s="24">
        <v>1.08E-3</v>
      </c>
      <c r="G44" s="24">
        <v>1.1900000000000001E-3</v>
      </c>
      <c r="H44" s="24">
        <v>1.09E-3</v>
      </c>
    </row>
    <row r="45" spans="1:8" s="38" customFormat="1" x14ac:dyDescent="0.25">
      <c r="A45" s="23">
        <v>35</v>
      </c>
      <c r="B45" s="21"/>
      <c r="C45" s="24">
        <v>8.0999999999999996E-4</v>
      </c>
      <c r="D45" s="24">
        <v>1.2199999999999999E-3</v>
      </c>
      <c r="E45" s="24">
        <v>8.5999999999999998E-4</v>
      </c>
      <c r="F45" s="24">
        <v>1.17E-3</v>
      </c>
      <c r="G45" s="24">
        <v>1.2899999999999999E-3</v>
      </c>
      <c r="H45" s="24">
        <v>1.1800000000000001E-3</v>
      </c>
    </row>
    <row r="46" spans="1:8" s="38" customFormat="1" x14ac:dyDescent="0.25">
      <c r="A46" s="23">
        <v>36</v>
      </c>
      <c r="B46" s="21"/>
      <c r="C46" s="24">
        <v>8.8999999999999995E-4</v>
      </c>
      <c r="D46" s="24">
        <v>1.34E-3</v>
      </c>
      <c r="E46" s="24">
        <v>9.5E-4</v>
      </c>
      <c r="F46" s="24">
        <v>1.2899999999999999E-3</v>
      </c>
      <c r="G46" s="24">
        <v>1.42E-3</v>
      </c>
      <c r="H46" s="24">
        <v>1.2999999999999999E-3</v>
      </c>
    </row>
    <row r="47" spans="1:8" s="38" customFormat="1" x14ac:dyDescent="0.25">
      <c r="A47" s="23">
        <v>37</v>
      </c>
      <c r="B47" s="21"/>
      <c r="C47" s="24">
        <v>9.8999999999999999E-4</v>
      </c>
      <c r="D47" s="24">
        <v>1.49E-3</v>
      </c>
      <c r="E47" s="24">
        <v>1.0499999999999999E-3</v>
      </c>
      <c r="F47" s="24">
        <v>1.4400000000000001E-3</v>
      </c>
      <c r="G47" s="24">
        <v>1.58E-3</v>
      </c>
      <c r="H47" s="24">
        <v>1.4499999999999999E-3</v>
      </c>
    </row>
    <row r="48" spans="1:8" s="38" customFormat="1" x14ac:dyDescent="0.25">
      <c r="A48" s="23">
        <v>38</v>
      </c>
      <c r="B48" s="21"/>
      <c r="C48" s="24">
        <v>1.1000000000000001E-3</v>
      </c>
      <c r="D48" s="24">
        <v>1.65E-3</v>
      </c>
      <c r="E48" s="24">
        <v>1.16E-3</v>
      </c>
      <c r="F48" s="24">
        <v>1.6199999999999999E-3</v>
      </c>
      <c r="G48" s="24">
        <v>1.7799999999999999E-3</v>
      </c>
      <c r="H48" s="24">
        <v>1.6299999999999999E-3</v>
      </c>
    </row>
    <row r="49" spans="1:8" s="38" customFormat="1" x14ac:dyDescent="0.25">
      <c r="A49" s="23">
        <v>39</v>
      </c>
      <c r="B49" s="21"/>
      <c r="C49" s="24">
        <v>1.2099999999999999E-3</v>
      </c>
      <c r="D49" s="24">
        <v>1.82E-3</v>
      </c>
      <c r="E49" s="24">
        <v>1.2800000000000001E-3</v>
      </c>
      <c r="F49" s="24">
        <v>1.82E-3</v>
      </c>
      <c r="G49" s="24">
        <v>2E-3</v>
      </c>
      <c r="H49" s="24">
        <v>1.8400000000000001E-3</v>
      </c>
    </row>
    <row r="50" spans="1:8" s="38" customFormat="1" x14ac:dyDescent="0.25">
      <c r="A50" s="23">
        <v>40</v>
      </c>
      <c r="B50" s="21"/>
      <c r="C50" s="24">
        <v>1.34E-3</v>
      </c>
      <c r="D50" s="24">
        <v>2.0100000000000001E-3</v>
      </c>
      <c r="E50" s="24">
        <v>1.42E-3</v>
      </c>
      <c r="F50" s="24">
        <v>2.0400000000000001E-3</v>
      </c>
      <c r="G50" s="24">
        <v>2.2399999999999998E-3</v>
      </c>
      <c r="H50" s="24">
        <v>2.0600000000000002E-3</v>
      </c>
    </row>
    <row r="51" spans="1:8" s="38" customFormat="1" x14ac:dyDescent="0.25">
      <c r="A51" s="23">
        <v>41</v>
      </c>
      <c r="B51" s="21"/>
      <c r="C51" s="24">
        <v>1.5100000000000001E-3</v>
      </c>
      <c r="D51" s="24">
        <v>2.3E-3</v>
      </c>
      <c r="E51" s="24">
        <v>1.6000000000000001E-3</v>
      </c>
      <c r="F51" s="24">
        <v>2.2399999999999998E-3</v>
      </c>
      <c r="G51" s="24">
        <v>2.5200000000000001E-3</v>
      </c>
      <c r="H51" s="24">
        <v>2.2599999999999999E-3</v>
      </c>
    </row>
    <row r="52" spans="1:8" s="38" customFormat="1" x14ac:dyDescent="0.25">
      <c r="A52" s="23">
        <v>42</v>
      </c>
      <c r="B52" s="21"/>
      <c r="C52" s="24">
        <v>1.7099999999999999E-3</v>
      </c>
      <c r="D52" s="24">
        <v>2.63E-3</v>
      </c>
      <c r="E52" s="24">
        <v>1.81E-3</v>
      </c>
      <c r="F52" s="24">
        <v>2.4199999999999998E-3</v>
      </c>
      <c r="G52" s="24">
        <v>2.7799999999999999E-3</v>
      </c>
      <c r="H52" s="24">
        <v>2.4499999999999999E-3</v>
      </c>
    </row>
    <row r="53" spans="1:8" s="38" customFormat="1" x14ac:dyDescent="0.25">
      <c r="A53" s="23">
        <v>43</v>
      </c>
      <c r="B53" s="21"/>
      <c r="C53" s="24">
        <v>1.9400000000000001E-3</v>
      </c>
      <c r="D53" s="24">
        <v>3.0300000000000001E-3</v>
      </c>
      <c r="E53" s="24">
        <v>2.0500000000000002E-3</v>
      </c>
      <c r="F53" s="24">
        <v>2.5600000000000002E-3</v>
      </c>
      <c r="G53" s="24">
        <v>3.0000000000000001E-3</v>
      </c>
      <c r="H53" s="24">
        <v>2.5999999999999999E-3</v>
      </c>
    </row>
    <row r="54" spans="1:8" s="38" customFormat="1" x14ac:dyDescent="0.25">
      <c r="A54" s="23">
        <v>44</v>
      </c>
      <c r="B54" s="21"/>
      <c r="C54" s="24">
        <v>2.2000000000000001E-3</v>
      </c>
      <c r="D54" s="24">
        <v>3.48E-3</v>
      </c>
      <c r="E54" s="24">
        <v>2.33E-3</v>
      </c>
      <c r="F54" s="24">
        <v>2.7000000000000001E-3</v>
      </c>
      <c r="G54" s="24">
        <v>3.2299999999999998E-3</v>
      </c>
      <c r="H54" s="24">
        <v>2.7399999999999998E-3</v>
      </c>
    </row>
    <row r="55" spans="1:8" s="38" customFormat="1" x14ac:dyDescent="0.25">
      <c r="A55" s="23">
        <v>45</v>
      </c>
      <c r="B55" s="21"/>
      <c r="C55" s="24">
        <v>2.49E-3</v>
      </c>
      <c r="D55" s="24">
        <v>3.98E-3</v>
      </c>
      <c r="E55" s="24">
        <v>2.64E-3</v>
      </c>
      <c r="F55" s="24">
        <v>2.82E-3</v>
      </c>
      <c r="G55" s="24">
        <v>3.4399999999999999E-3</v>
      </c>
      <c r="H55" s="24">
        <v>2.8700000000000002E-3</v>
      </c>
    </row>
    <row r="56" spans="1:8" s="38" customFormat="1" x14ac:dyDescent="0.25">
      <c r="A56" s="23">
        <v>46</v>
      </c>
      <c r="B56" s="21"/>
      <c r="C56" s="24">
        <v>2.81E-3</v>
      </c>
      <c r="D56" s="24">
        <v>4.5500000000000002E-3</v>
      </c>
      <c r="E56" s="24">
        <v>2.98E-3</v>
      </c>
      <c r="F56" s="24">
        <v>2.96E-3</v>
      </c>
      <c r="G56" s="24">
        <v>3.6800000000000001E-3</v>
      </c>
      <c r="H56" s="24">
        <v>3.0200000000000001E-3</v>
      </c>
    </row>
    <row r="57" spans="1:8" s="38" customFormat="1" x14ac:dyDescent="0.25">
      <c r="A57" s="23">
        <v>47</v>
      </c>
      <c r="B57" s="21"/>
      <c r="C57" s="24">
        <v>3.16E-3</v>
      </c>
      <c r="D57" s="24">
        <v>5.1799999999999997E-3</v>
      </c>
      <c r="E57" s="24">
        <v>3.3500000000000001E-3</v>
      </c>
      <c r="F57" s="24">
        <v>3.13E-3</v>
      </c>
      <c r="G57" s="24">
        <v>3.9699999999999996E-3</v>
      </c>
      <c r="H57" s="24">
        <v>3.2000000000000002E-3</v>
      </c>
    </row>
    <row r="58" spans="1:8" s="38" customFormat="1" x14ac:dyDescent="0.25">
      <c r="A58" s="23">
        <v>48</v>
      </c>
      <c r="B58" s="21"/>
      <c r="C58" s="24">
        <v>3.5599999999999998E-3</v>
      </c>
      <c r="D58" s="24">
        <v>5.9100000000000003E-3</v>
      </c>
      <c r="E58" s="24">
        <v>3.7699999999999999E-3</v>
      </c>
      <c r="F58" s="24">
        <v>3.3600000000000001E-3</v>
      </c>
      <c r="G58" s="24">
        <v>4.3400000000000001E-3</v>
      </c>
      <c r="H58" s="24">
        <v>3.4299999999999999E-3</v>
      </c>
    </row>
    <row r="59" spans="1:8" s="38" customFormat="1" x14ac:dyDescent="0.25">
      <c r="A59" s="23">
        <v>49</v>
      </c>
      <c r="B59" s="21"/>
      <c r="C59" s="24">
        <v>4.0299999999999997E-3</v>
      </c>
      <c r="D59" s="24">
        <v>6.77E-3</v>
      </c>
      <c r="E59" s="24">
        <v>4.2599999999999999E-3</v>
      </c>
      <c r="F59" s="24">
        <v>3.6099999999999999E-3</v>
      </c>
      <c r="G59" s="24">
        <v>4.7499999999999999E-3</v>
      </c>
      <c r="H59" s="24">
        <v>3.6900000000000001E-3</v>
      </c>
    </row>
    <row r="60" spans="1:8" s="38" customFormat="1" x14ac:dyDescent="0.25">
      <c r="A60" s="29">
        <v>50</v>
      </c>
      <c r="B60" s="21"/>
      <c r="C60" s="24">
        <v>4.5999999999999999E-3</v>
      </c>
      <c r="D60" s="24">
        <v>7.8200000000000006E-3</v>
      </c>
      <c r="E60" s="24">
        <v>4.8599999999999997E-3</v>
      </c>
      <c r="F60" s="24">
        <v>3.8700000000000002E-3</v>
      </c>
      <c r="G60" s="24">
        <v>5.1900000000000002E-3</v>
      </c>
      <c r="H60" s="24">
        <v>3.9699999999999996E-3</v>
      </c>
    </row>
    <row r="61" spans="1:8" s="38" customFormat="1" x14ac:dyDescent="0.25">
      <c r="A61" s="23">
        <v>51</v>
      </c>
      <c r="B61" s="21"/>
      <c r="C61" s="24">
        <v>5.3E-3</v>
      </c>
      <c r="D61" s="24">
        <v>9.1199999999999996E-3</v>
      </c>
      <c r="E61" s="24">
        <v>5.5900000000000004E-3</v>
      </c>
      <c r="F61" s="24">
        <v>4.1399999999999996E-3</v>
      </c>
      <c r="G61" s="24">
        <v>5.6499999999999996E-3</v>
      </c>
      <c r="H61" s="24">
        <v>4.2500000000000003E-3</v>
      </c>
    </row>
    <row r="62" spans="1:8" s="38" customFormat="1" x14ac:dyDescent="0.25">
      <c r="A62" s="23">
        <v>52</v>
      </c>
      <c r="B62" s="21"/>
      <c r="C62" s="24">
        <v>6.1199999999999996E-3</v>
      </c>
      <c r="D62" s="24">
        <v>1.065E-2</v>
      </c>
      <c r="E62" s="24">
        <v>6.45E-3</v>
      </c>
      <c r="F62" s="24">
        <v>4.3899999999999998E-3</v>
      </c>
      <c r="G62" s="24">
        <v>6.0899999999999999E-3</v>
      </c>
      <c r="H62" s="24">
        <v>4.4999999999999997E-3</v>
      </c>
    </row>
    <row r="63" spans="1:8" s="38" customFormat="1" x14ac:dyDescent="0.25">
      <c r="A63" s="23">
        <v>53</v>
      </c>
      <c r="B63" s="21"/>
      <c r="C63" s="24">
        <v>7.0299999999999998E-3</v>
      </c>
      <c r="D63" s="24">
        <v>1.2370000000000001E-2</v>
      </c>
      <c r="E63" s="24">
        <v>7.3899999999999999E-3</v>
      </c>
      <c r="F63" s="24">
        <v>4.5999999999999999E-3</v>
      </c>
      <c r="G63" s="24">
        <v>6.4999999999999997E-3</v>
      </c>
      <c r="H63" s="24">
        <v>4.7200000000000002E-3</v>
      </c>
    </row>
    <row r="64" spans="1:8" s="38" customFormat="1" x14ac:dyDescent="0.25">
      <c r="A64" s="23">
        <v>54</v>
      </c>
      <c r="B64" s="21"/>
      <c r="C64" s="24">
        <v>7.9900000000000006E-3</v>
      </c>
      <c r="D64" s="24">
        <v>1.422E-2</v>
      </c>
      <c r="E64" s="24">
        <v>8.3899999999999999E-3</v>
      </c>
      <c r="F64" s="24">
        <v>4.79E-3</v>
      </c>
      <c r="G64" s="24">
        <v>6.8799999999999998E-3</v>
      </c>
      <c r="H64" s="24">
        <v>4.9199999999999999E-3</v>
      </c>
    </row>
    <row r="65" spans="1:8" s="38" customFormat="1" x14ac:dyDescent="0.25">
      <c r="A65" s="23">
        <v>55</v>
      </c>
      <c r="B65" s="21"/>
      <c r="C65" s="24">
        <v>8.9599999999999992E-3</v>
      </c>
      <c r="D65" s="24">
        <v>1.6129999999999999E-2</v>
      </c>
      <c r="E65" s="24">
        <v>9.3900000000000008E-3</v>
      </c>
      <c r="F65" s="24">
        <v>4.9899999999999996E-3</v>
      </c>
      <c r="G65" s="24">
        <v>7.2899999999999996E-3</v>
      </c>
      <c r="H65" s="24">
        <v>5.13E-3</v>
      </c>
    </row>
    <row r="66" spans="1:8" s="38" customFormat="1" x14ac:dyDescent="0.25">
      <c r="A66" s="23">
        <v>56</v>
      </c>
      <c r="B66" s="21"/>
      <c r="C66" s="24">
        <v>9.8399999999999998E-3</v>
      </c>
      <c r="D66" s="24">
        <v>1.7909999999999999E-2</v>
      </c>
      <c r="E66" s="24">
        <v>1.03E-2</v>
      </c>
      <c r="F66" s="24">
        <v>5.2300000000000003E-3</v>
      </c>
      <c r="G66" s="24">
        <v>7.7600000000000004E-3</v>
      </c>
      <c r="H66" s="24">
        <v>5.3800000000000002E-3</v>
      </c>
    </row>
    <row r="67" spans="1:8" s="38" customFormat="1" x14ac:dyDescent="0.25">
      <c r="A67" s="23">
        <v>57</v>
      </c>
      <c r="B67" s="21"/>
      <c r="C67" s="24">
        <v>1.065E-2</v>
      </c>
      <c r="D67" s="24">
        <v>1.9599999999999999E-2</v>
      </c>
      <c r="E67" s="24">
        <v>1.1129999999999999E-2</v>
      </c>
      <c r="F67" s="24">
        <v>5.5399999999999998E-3</v>
      </c>
      <c r="G67" s="24">
        <v>8.3499999999999998E-3</v>
      </c>
      <c r="H67" s="24">
        <v>5.7000000000000002E-3</v>
      </c>
    </row>
    <row r="68" spans="1:8" s="38" customFormat="1" x14ac:dyDescent="0.25">
      <c r="A68" s="23">
        <v>58</v>
      </c>
      <c r="B68" s="21"/>
      <c r="C68" s="24">
        <v>1.14E-2</v>
      </c>
      <c r="D68" s="24">
        <v>2.12E-2</v>
      </c>
      <c r="E68" s="24">
        <v>1.1900000000000001E-2</v>
      </c>
      <c r="F68" s="24">
        <v>5.94E-3</v>
      </c>
      <c r="G68" s="24">
        <v>9.1000000000000004E-3</v>
      </c>
      <c r="H68" s="24">
        <v>6.11E-3</v>
      </c>
    </row>
    <row r="69" spans="1:8" s="38" customFormat="1" x14ac:dyDescent="0.25">
      <c r="A69" s="23">
        <v>59</v>
      </c>
      <c r="B69" s="21"/>
      <c r="C69" s="24">
        <v>1.2120000000000001E-2</v>
      </c>
      <c r="D69" s="24">
        <v>2.2790000000000001E-2</v>
      </c>
      <c r="E69" s="24">
        <v>1.264E-2</v>
      </c>
      <c r="F69" s="24">
        <v>6.4400000000000004E-3</v>
      </c>
      <c r="G69" s="24">
        <v>1.0019999999999999E-2</v>
      </c>
      <c r="H69" s="24">
        <v>6.62E-3</v>
      </c>
    </row>
    <row r="70" spans="1:8" s="38" customFormat="1" x14ac:dyDescent="0.25">
      <c r="A70" s="23">
        <v>60</v>
      </c>
      <c r="B70" s="21"/>
      <c r="C70" s="24">
        <v>1.285E-2</v>
      </c>
      <c r="D70" s="24">
        <v>2.4420000000000001E-2</v>
      </c>
      <c r="E70" s="24">
        <v>1.34E-2</v>
      </c>
      <c r="F70" s="24">
        <v>7.0699999999999999E-3</v>
      </c>
      <c r="G70" s="24">
        <v>1.1169999999999999E-2</v>
      </c>
      <c r="H70" s="24">
        <v>7.2700000000000004E-3</v>
      </c>
    </row>
    <row r="71" spans="1:8" s="38" customFormat="1" x14ac:dyDescent="0.25">
      <c r="A71" s="23">
        <v>61</v>
      </c>
      <c r="B71" s="21"/>
      <c r="C71" s="24">
        <v>1.374E-2</v>
      </c>
      <c r="D71" s="24">
        <v>2.6380000000000001E-2</v>
      </c>
      <c r="E71" s="24">
        <v>1.431E-2</v>
      </c>
      <c r="F71" s="24">
        <v>7.8300000000000002E-3</v>
      </c>
      <c r="G71" s="24">
        <v>1.256E-2</v>
      </c>
      <c r="H71" s="24">
        <v>8.0499999999999999E-3</v>
      </c>
    </row>
    <row r="72" spans="1:8" s="38" customFormat="1" x14ac:dyDescent="0.25">
      <c r="A72" s="23">
        <v>62</v>
      </c>
      <c r="B72" s="21"/>
      <c r="C72" s="24">
        <v>1.4840000000000001E-2</v>
      </c>
      <c r="D72" s="24">
        <v>2.879E-2</v>
      </c>
      <c r="E72" s="24">
        <v>1.545E-2</v>
      </c>
      <c r="F72" s="24">
        <v>8.7500000000000008E-3</v>
      </c>
      <c r="G72" s="24">
        <v>1.4250000000000001E-2</v>
      </c>
      <c r="H72" s="24">
        <v>8.9999999999999993E-3</v>
      </c>
    </row>
    <row r="73" spans="1:8" s="38" customFormat="1" x14ac:dyDescent="0.25">
      <c r="A73" s="23">
        <v>63</v>
      </c>
      <c r="B73" s="21"/>
      <c r="C73" s="24">
        <v>1.6199999999999999E-2</v>
      </c>
      <c r="D73" s="24">
        <v>3.175E-2</v>
      </c>
      <c r="E73" s="24">
        <v>1.686E-2</v>
      </c>
      <c r="F73" s="24">
        <v>9.8300000000000002E-3</v>
      </c>
      <c r="G73" s="24">
        <v>1.6240000000000001E-2</v>
      </c>
      <c r="H73" s="24">
        <v>1.0109999999999999E-2</v>
      </c>
    </row>
    <row r="74" spans="1:8" s="38" customFormat="1" x14ac:dyDescent="0.25">
      <c r="A74" s="23">
        <v>64</v>
      </c>
      <c r="B74" s="21"/>
      <c r="C74" s="24">
        <v>1.7860000000000001E-2</v>
      </c>
      <c r="D74" s="24">
        <v>3.5360000000000003E-2</v>
      </c>
      <c r="E74" s="24">
        <v>1.8579999999999999E-2</v>
      </c>
      <c r="F74" s="24">
        <v>1.102E-2</v>
      </c>
      <c r="G74" s="24">
        <v>1.847E-2</v>
      </c>
      <c r="H74" s="24">
        <v>1.133E-2</v>
      </c>
    </row>
    <row r="75" spans="1:8" s="38" customFormat="1" x14ac:dyDescent="0.25">
      <c r="A75" s="23">
        <v>65</v>
      </c>
      <c r="B75" s="21"/>
      <c r="C75" s="24">
        <v>1.9869999999999999E-2</v>
      </c>
      <c r="D75" s="24">
        <v>3.9739999999999998E-2</v>
      </c>
      <c r="E75" s="24">
        <v>2.0660000000000001E-2</v>
      </c>
      <c r="F75" s="24">
        <v>1.226E-2</v>
      </c>
      <c r="G75" s="24">
        <v>2.0840000000000001E-2</v>
      </c>
      <c r="H75" s="24">
        <v>1.26E-2</v>
      </c>
    </row>
    <row r="76" spans="1:8" s="38" customFormat="1" x14ac:dyDescent="0.25">
      <c r="A76" s="23">
        <v>66</v>
      </c>
      <c r="B76" s="21"/>
      <c r="C76" s="24">
        <v>2.198E-2</v>
      </c>
      <c r="D76" s="24">
        <v>4.3959999999999999E-2</v>
      </c>
      <c r="E76" s="24">
        <v>2.283E-2</v>
      </c>
      <c r="F76" s="24">
        <v>1.338E-2</v>
      </c>
      <c r="G76" s="24">
        <v>2.2749999999999999E-2</v>
      </c>
      <c r="H76" s="24">
        <v>1.374E-2</v>
      </c>
    </row>
    <row r="77" spans="1:8" s="38" customFormat="1" x14ac:dyDescent="0.25">
      <c r="A77" s="23">
        <v>67</v>
      </c>
      <c r="B77" s="21"/>
      <c r="C77" s="24">
        <v>2.443E-2</v>
      </c>
      <c r="D77" s="24">
        <v>4.8860000000000001E-2</v>
      </c>
      <c r="E77" s="24">
        <v>2.5350000000000001E-2</v>
      </c>
      <c r="F77" s="24">
        <v>1.4630000000000001E-2</v>
      </c>
      <c r="G77" s="24">
        <v>2.487E-2</v>
      </c>
      <c r="H77" s="24">
        <v>1.5010000000000001E-2</v>
      </c>
    </row>
    <row r="78" spans="1:8" s="38" customFormat="1" x14ac:dyDescent="0.25">
      <c r="A78" s="23">
        <v>68</v>
      </c>
      <c r="B78" s="21"/>
      <c r="C78" s="24">
        <v>2.7310000000000001E-2</v>
      </c>
      <c r="D78" s="24">
        <v>5.4620000000000002E-2</v>
      </c>
      <c r="E78" s="24">
        <v>2.8309999999999998E-2</v>
      </c>
      <c r="F78" s="24">
        <v>1.6029999999999999E-2</v>
      </c>
      <c r="G78" s="24">
        <v>2.725E-2</v>
      </c>
      <c r="H78" s="24">
        <v>1.644E-2</v>
      </c>
    </row>
    <row r="79" spans="1:8" s="38" customFormat="1" x14ac:dyDescent="0.25">
      <c r="A79" s="23">
        <v>69</v>
      </c>
      <c r="B79" s="21"/>
      <c r="C79" s="24">
        <v>3.0439999999999998E-2</v>
      </c>
      <c r="D79" s="24">
        <v>6.0879999999999997E-2</v>
      </c>
      <c r="E79" s="24">
        <v>3.1530000000000002E-2</v>
      </c>
      <c r="F79" s="24">
        <v>1.7559999999999999E-2</v>
      </c>
      <c r="G79" s="24">
        <v>2.9850000000000002E-2</v>
      </c>
      <c r="H79" s="24">
        <v>1.7989999999999999E-2</v>
      </c>
    </row>
    <row r="80" spans="1:8" s="38" customFormat="1" x14ac:dyDescent="0.25">
      <c r="A80" s="23">
        <v>70</v>
      </c>
      <c r="B80" s="21"/>
      <c r="C80" s="24">
        <v>3.3930000000000002E-2</v>
      </c>
      <c r="D80" s="24">
        <v>6.7860000000000004E-2</v>
      </c>
      <c r="E80" s="24">
        <v>3.5110000000000002E-2</v>
      </c>
      <c r="F80" s="24">
        <v>1.9220000000000001E-2</v>
      </c>
      <c r="G80" s="24">
        <v>3.2669999999999998E-2</v>
      </c>
      <c r="H80" s="24">
        <v>1.968E-2</v>
      </c>
    </row>
    <row r="81" spans="1:8" s="38" customFormat="1" x14ac:dyDescent="0.25">
      <c r="A81" s="23">
        <v>71</v>
      </c>
      <c r="B81" s="21"/>
      <c r="C81" s="24">
        <v>3.7150000000000002E-2</v>
      </c>
      <c r="D81" s="24">
        <v>7.4300000000000005E-2</v>
      </c>
      <c r="E81" s="24">
        <v>3.841E-2</v>
      </c>
      <c r="F81" s="24">
        <v>1.883E-2</v>
      </c>
      <c r="G81" s="24">
        <v>3.2009999999999997E-2</v>
      </c>
      <c r="H81" s="24">
        <v>1.9269999999999999E-2</v>
      </c>
    </row>
    <row r="82" spans="1:8" s="38" customFormat="1" x14ac:dyDescent="0.25">
      <c r="A82" s="23">
        <v>72</v>
      </c>
      <c r="B82" s="21"/>
      <c r="C82" s="24">
        <v>4.1549999999999997E-2</v>
      </c>
      <c r="D82" s="24">
        <v>8.3099999999999993E-2</v>
      </c>
      <c r="E82" s="24">
        <v>4.292E-2</v>
      </c>
      <c r="F82" s="24">
        <v>2.0879999999999999E-2</v>
      </c>
      <c r="G82" s="24">
        <v>3.5499999999999997E-2</v>
      </c>
      <c r="H82" s="24">
        <v>2.1360000000000001E-2</v>
      </c>
    </row>
    <row r="83" spans="1:8" s="38" customFormat="1" x14ac:dyDescent="0.25">
      <c r="A83" s="23">
        <v>73</v>
      </c>
      <c r="B83" s="21"/>
      <c r="C83" s="24">
        <v>4.648E-2</v>
      </c>
      <c r="D83" s="24">
        <v>9.2960000000000001E-2</v>
      </c>
      <c r="E83" s="24">
        <v>4.7969999999999999E-2</v>
      </c>
      <c r="F83" s="24">
        <v>2.3210000000000001E-2</v>
      </c>
      <c r="G83" s="24">
        <v>3.9460000000000002E-2</v>
      </c>
      <c r="H83" s="24">
        <v>2.3730000000000001E-2</v>
      </c>
    </row>
    <row r="84" spans="1:8" s="38" customFormat="1" x14ac:dyDescent="0.25">
      <c r="A84" s="23">
        <v>74</v>
      </c>
      <c r="B84" s="21"/>
      <c r="C84" s="24">
        <v>5.1950000000000003E-2</v>
      </c>
      <c r="D84" s="24">
        <v>0.10390000000000001</v>
      </c>
      <c r="E84" s="24">
        <v>5.3560000000000003E-2</v>
      </c>
      <c r="F84" s="24">
        <v>2.589E-2</v>
      </c>
      <c r="G84" s="24">
        <v>4.4010000000000001E-2</v>
      </c>
      <c r="H84" s="24">
        <v>2.6450000000000001E-2</v>
      </c>
    </row>
    <row r="85" spans="1:8" s="38" customFormat="1" x14ac:dyDescent="0.25">
      <c r="A85" s="23">
        <v>75</v>
      </c>
      <c r="B85" s="21"/>
      <c r="C85" s="24">
        <v>5.8040000000000001E-2</v>
      </c>
      <c r="D85" s="24">
        <v>0.11608</v>
      </c>
      <c r="E85" s="24">
        <v>5.978E-2</v>
      </c>
      <c r="F85" s="24">
        <v>2.8979999999999999E-2</v>
      </c>
      <c r="G85" s="24">
        <v>4.9270000000000001E-2</v>
      </c>
      <c r="H85" s="24">
        <v>2.9590000000000002E-2</v>
      </c>
    </row>
    <row r="86" spans="1:8" s="38" customFormat="1" x14ac:dyDescent="0.25">
      <c r="A86" s="23">
        <v>76</v>
      </c>
      <c r="B86" s="21"/>
      <c r="C86" s="24">
        <v>6.4860000000000001E-2</v>
      </c>
      <c r="D86" s="24">
        <v>0.12776999999999999</v>
      </c>
      <c r="E86" s="24">
        <v>6.6680000000000003E-2</v>
      </c>
      <c r="F86" s="24">
        <v>3.2599999999999997E-2</v>
      </c>
      <c r="G86" s="24">
        <v>5.4829999999999997E-2</v>
      </c>
      <c r="H86" s="24">
        <v>3.3250000000000002E-2</v>
      </c>
    </row>
    <row r="87" spans="1:8" s="38" customFormat="1" x14ac:dyDescent="0.25">
      <c r="A87" s="23">
        <v>77</v>
      </c>
      <c r="B87" s="21"/>
      <c r="C87" s="24">
        <v>7.2400000000000006E-2</v>
      </c>
      <c r="D87" s="24">
        <v>0.14046</v>
      </c>
      <c r="E87" s="24">
        <v>7.4300000000000005E-2</v>
      </c>
      <c r="F87" s="24">
        <v>3.6740000000000002E-2</v>
      </c>
      <c r="G87" s="24">
        <v>6.114E-2</v>
      </c>
      <c r="H87" s="24">
        <v>3.7420000000000002E-2</v>
      </c>
    </row>
    <row r="88" spans="1:8" s="38" customFormat="1" x14ac:dyDescent="0.25">
      <c r="A88" s="23">
        <v>78</v>
      </c>
      <c r="B88" s="21"/>
      <c r="C88" s="24">
        <v>8.0640000000000003E-2</v>
      </c>
      <c r="D88" s="24">
        <v>0.15401999999999999</v>
      </c>
      <c r="E88" s="24">
        <v>8.2610000000000003E-2</v>
      </c>
      <c r="F88" s="24">
        <v>4.1160000000000002E-2</v>
      </c>
      <c r="G88" s="24">
        <v>6.7750000000000005E-2</v>
      </c>
      <c r="H88" s="24">
        <v>4.1880000000000001E-2</v>
      </c>
    </row>
    <row r="89" spans="1:8" s="38" customFormat="1" x14ac:dyDescent="0.25">
      <c r="A89" s="23">
        <v>79</v>
      </c>
      <c r="B89" s="21"/>
      <c r="C89" s="24">
        <v>8.9450000000000002E-2</v>
      </c>
      <c r="D89" s="24">
        <v>0.16816999999999999</v>
      </c>
      <c r="E89" s="24">
        <v>9.1480000000000006E-2</v>
      </c>
      <c r="F89" s="24">
        <v>4.6050000000000001E-2</v>
      </c>
      <c r="G89" s="24">
        <v>7.4969999999999995E-2</v>
      </c>
      <c r="H89" s="24">
        <v>4.6800000000000001E-2</v>
      </c>
    </row>
    <row r="90" spans="1:8" s="38" customFormat="1" x14ac:dyDescent="0.25">
      <c r="A90" s="23">
        <v>80</v>
      </c>
      <c r="B90" s="21"/>
      <c r="C90" s="24">
        <v>9.8419999999999994E-2</v>
      </c>
      <c r="D90" s="24">
        <v>0.18207999999999999</v>
      </c>
      <c r="E90" s="24">
        <v>0.10049</v>
      </c>
      <c r="F90" s="24">
        <v>5.1339999999999997E-2</v>
      </c>
      <c r="G90" s="24">
        <v>8.2659999999999997E-2</v>
      </c>
      <c r="H90" s="24">
        <v>5.212E-2</v>
      </c>
    </row>
    <row r="91" spans="1:8" s="38" customFormat="1" x14ac:dyDescent="0.25">
      <c r="A91" s="23">
        <v>81</v>
      </c>
      <c r="B91" s="21"/>
      <c r="C91" s="24">
        <v>0.1079</v>
      </c>
      <c r="D91" s="24">
        <v>0.19638</v>
      </c>
      <c r="E91" s="24">
        <v>0.11</v>
      </c>
      <c r="F91" s="24">
        <v>5.704E-2</v>
      </c>
      <c r="G91" s="24">
        <v>9.0810000000000002E-2</v>
      </c>
      <c r="H91" s="24">
        <v>5.7849999999999999E-2</v>
      </c>
    </row>
    <row r="92" spans="1:8" s="38" customFormat="1" x14ac:dyDescent="0.25">
      <c r="A92" s="23">
        <v>82</v>
      </c>
      <c r="B92" s="21"/>
      <c r="C92" s="24">
        <v>0.11792</v>
      </c>
      <c r="D92" s="24">
        <v>0.21107999999999999</v>
      </c>
      <c r="E92" s="24">
        <v>0.12003999999999999</v>
      </c>
      <c r="F92" s="24">
        <v>6.3210000000000002E-2</v>
      </c>
      <c r="G92" s="24">
        <v>9.9489999999999995E-2</v>
      </c>
      <c r="H92" s="24">
        <v>6.404E-2</v>
      </c>
    </row>
    <row r="93" spans="1:8" s="38" customFormat="1" x14ac:dyDescent="0.25">
      <c r="A93" s="23">
        <v>83</v>
      </c>
      <c r="B93" s="21"/>
      <c r="C93" s="24">
        <v>0.12869</v>
      </c>
      <c r="D93" s="24">
        <v>0.22649</v>
      </c>
      <c r="E93" s="24">
        <v>0.13081999999999999</v>
      </c>
      <c r="F93" s="24">
        <v>6.9989999999999997E-2</v>
      </c>
      <c r="G93" s="24">
        <v>0.1089</v>
      </c>
      <c r="H93" s="24">
        <v>7.084E-2</v>
      </c>
    </row>
    <row r="94" spans="1:8" s="38" customFormat="1" x14ac:dyDescent="0.25">
      <c r="A94" s="23">
        <v>84</v>
      </c>
      <c r="B94" s="21"/>
      <c r="C94" s="24">
        <v>0.14027000000000001</v>
      </c>
      <c r="D94" s="24">
        <v>0.24267</v>
      </c>
      <c r="E94" s="24">
        <v>0.14241000000000001</v>
      </c>
      <c r="F94" s="24">
        <v>7.7590000000000006E-2</v>
      </c>
      <c r="G94" s="24">
        <v>0.11933000000000001</v>
      </c>
      <c r="H94" s="24">
        <v>7.8460000000000002E-2</v>
      </c>
    </row>
    <row r="95" spans="1:8" s="38" customFormat="1" x14ac:dyDescent="0.25">
      <c r="A95" s="23">
        <v>85</v>
      </c>
      <c r="B95" s="21"/>
      <c r="C95" s="24">
        <v>0.15296999999999999</v>
      </c>
      <c r="D95" s="24">
        <v>0.26005</v>
      </c>
      <c r="E95" s="24">
        <v>0.15511</v>
      </c>
      <c r="F95" s="24">
        <v>8.6239999999999997E-2</v>
      </c>
      <c r="G95" s="24">
        <v>0.13108</v>
      </c>
      <c r="H95" s="24">
        <v>8.7139999999999995E-2</v>
      </c>
    </row>
    <row r="96" spans="1:8" s="38" customFormat="1" x14ac:dyDescent="0.25">
      <c r="A96" s="23">
        <v>86</v>
      </c>
      <c r="B96" s="21"/>
      <c r="C96" s="24">
        <v>0.16705</v>
      </c>
      <c r="D96" s="24">
        <v>0.27897</v>
      </c>
      <c r="E96" s="24">
        <v>0.16919999999999999</v>
      </c>
      <c r="F96" s="24">
        <v>9.6210000000000004E-2</v>
      </c>
      <c r="G96" s="24">
        <v>0.14451</v>
      </c>
      <c r="H96" s="24">
        <v>9.7140000000000004E-2</v>
      </c>
    </row>
    <row r="97" spans="1:8" s="38" customFormat="1" x14ac:dyDescent="0.25">
      <c r="A97" s="23">
        <v>87</v>
      </c>
      <c r="B97" s="21"/>
      <c r="C97" s="24">
        <v>0.18287999999999999</v>
      </c>
      <c r="D97" s="24">
        <v>0.29992000000000002</v>
      </c>
      <c r="E97" s="24">
        <v>0.18503</v>
      </c>
      <c r="F97" s="24">
        <v>0.1077</v>
      </c>
      <c r="G97" s="24">
        <v>0.15983</v>
      </c>
      <c r="H97" s="24">
        <v>0.10866000000000001</v>
      </c>
    </row>
    <row r="98" spans="1:8" s="38" customFormat="1" x14ac:dyDescent="0.25">
      <c r="A98" s="23">
        <v>88</v>
      </c>
      <c r="B98" s="21"/>
      <c r="C98" s="24">
        <v>0.20102999999999999</v>
      </c>
      <c r="D98" s="24">
        <v>0.32366</v>
      </c>
      <c r="E98" s="24">
        <v>0.20319000000000001</v>
      </c>
      <c r="F98" s="24">
        <v>0.12096999999999999</v>
      </c>
      <c r="G98" s="24">
        <v>0.17734</v>
      </c>
      <c r="H98" s="24">
        <v>0.12196</v>
      </c>
    </row>
    <row r="99" spans="1:8" s="38" customFormat="1" x14ac:dyDescent="0.25">
      <c r="A99" s="23">
        <v>89</v>
      </c>
      <c r="B99" s="21"/>
      <c r="C99" s="24">
        <v>0.22197</v>
      </c>
      <c r="D99" s="24">
        <v>0.35071000000000002</v>
      </c>
      <c r="E99" s="24">
        <v>0.22414000000000001</v>
      </c>
      <c r="F99" s="24">
        <v>0.13622999999999999</v>
      </c>
      <c r="G99" s="24">
        <v>0.19725999999999999</v>
      </c>
      <c r="H99" s="24">
        <v>0.13725999999999999</v>
      </c>
    </row>
    <row r="100" spans="1:8" s="38" customFormat="1" x14ac:dyDescent="0.25">
      <c r="A100" s="39">
        <v>90</v>
      </c>
      <c r="B100" s="29"/>
      <c r="C100" s="30">
        <v>0.24637000000000001</v>
      </c>
      <c r="D100" s="30">
        <v>0.38186999999999999</v>
      </c>
      <c r="E100" s="30">
        <v>0.24854000000000001</v>
      </c>
      <c r="F100" s="30">
        <v>0.15376000000000001</v>
      </c>
      <c r="G100" s="32">
        <v>0.21987999999999999</v>
      </c>
      <c r="H100" s="31">
        <v>0.15482000000000001</v>
      </c>
    </row>
    <row r="101" spans="1:8" s="38" customFormat="1" x14ac:dyDescent="0.25">
      <c r="A101" s="23">
        <v>91</v>
      </c>
      <c r="B101" s="21"/>
      <c r="C101" s="24">
        <v>0.27284000000000003</v>
      </c>
      <c r="D101" s="24">
        <v>0.41471999999999998</v>
      </c>
      <c r="E101" s="24">
        <v>0.27498</v>
      </c>
      <c r="F101" s="24">
        <v>0.17308000000000001</v>
      </c>
      <c r="G101" s="24">
        <v>0.24439</v>
      </c>
      <c r="H101" s="24">
        <v>0.17415</v>
      </c>
    </row>
    <row r="102" spans="1:8" s="38" customFormat="1" x14ac:dyDescent="0.25">
      <c r="A102" s="23">
        <v>92</v>
      </c>
      <c r="B102" s="21"/>
      <c r="C102" s="24">
        <v>0.30147000000000002</v>
      </c>
      <c r="D102" s="24">
        <v>0.44918999999999998</v>
      </c>
      <c r="E102" s="24">
        <v>0.30353999999999998</v>
      </c>
      <c r="F102" s="24">
        <v>0.19431000000000001</v>
      </c>
      <c r="G102" s="24">
        <v>0.27087</v>
      </c>
      <c r="H102" s="24">
        <v>0.19538</v>
      </c>
    </row>
    <row r="103" spans="1:8" s="38" customFormat="1" x14ac:dyDescent="0.25">
      <c r="A103" s="23">
        <v>93</v>
      </c>
      <c r="B103" s="21"/>
      <c r="C103" s="24">
        <v>0.33237</v>
      </c>
      <c r="D103" s="24">
        <v>0.48526000000000002</v>
      </c>
      <c r="E103" s="24">
        <v>0.33434000000000003</v>
      </c>
      <c r="F103" s="24">
        <v>0.21757000000000001</v>
      </c>
      <c r="G103" s="24">
        <v>0.29937999999999998</v>
      </c>
      <c r="H103" s="24">
        <v>0.21862000000000001</v>
      </c>
    </row>
    <row r="104" spans="1:8" s="38" customFormat="1" x14ac:dyDescent="0.25">
      <c r="A104" s="23">
        <v>94</v>
      </c>
      <c r="B104" s="21"/>
      <c r="C104" s="24">
        <v>0.36564999999999998</v>
      </c>
      <c r="D104" s="24">
        <v>0.52288000000000001</v>
      </c>
      <c r="E104" s="24">
        <v>0.36746000000000001</v>
      </c>
      <c r="F104" s="24">
        <v>0.24299000000000001</v>
      </c>
      <c r="G104" s="24">
        <v>0.32998</v>
      </c>
      <c r="H104" s="24">
        <v>0.24399000000000001</v>
      </c>
    </row>
    <row r="105" spans="1:8" s="38" customFormat="1" x14ac:dyDescent="0.25">
      <c r="A105" s="23">
        <v>95</v>
      </c>
      <c r="B105" s="21"/>
      <c r="C105" s="24">
        <v>0.40139000000000002</v>
      </c>
      <c r="D105" s="24">
        <v>0.56194999999999995</v>
      </c>
      <c r="E105" s="24">
        <v>0.40300000000000002</v>
      </c>
      <c r="F105" s="24">
        <v>0.27068999999999999</v>
      </c>
      <c r="G105" s="24">
        <v>0.36271999999999999</v>
      </c>
      <c r="H105" s="24">
        <v>0.27161000000000002</v>
      </c>
    </row>
    <row r="106" spans="1:8" s="38" customFormat="1" x14ac:dyDescent="0.25">
      <c r="A106" s="23">
        <v>96</v>
      </c>
      <c r="B106" s="21"/>
      <c r="C106" s="24">
        <v>0.43972</v>
      </c>
      <c r="D106" s="24">
        <v>0.60241999999999996</v>
      </c>
      <c r="E106" s="24">
        <v>0.44106000000000001</v>
      </c>
      <c r="F106" s="24">
        <v>0.30082999999999999</v>
      </c>
      <c r="G106" s="24">
        <v>0.3977</v>
      </c>
      <c r="H106" s="24">
        <v>0.30163000000000001</v>
      </c>
    </row>
    <row r="107" spans="1:8" s="38" customFormat="1" x14ac:dyDescent="0.25">
      <c r="A107" s="23">
        <v>97</v>
      </c>
      <c r="B107" s="21"/>
      <c r="C107" s="24">
        <v>0.48070000000000002</v>
      </c>
      <c r="D107" s="24">
        <v>0.64414000000000005</v>
      </c>
      <c r="E107" s="24">
        <v>0.48174</v>
      </c>
      <c r="F107" s="24">
        <v>0.33351999999999998</v>
      </c>
      <c r="G107" s="24">
        <v>0.43491000000000002</v>
      </c>
      <c r="H107" s="24">
        <v>0.33416000000000001</v>
      </c>
    </row>
    <row r="108" spans="1:8" s="38" customFormat="1" x14ac:dyDescent="0.25">
      <c r="A108" s="23">
        <v>98</v>
      </c>
      <c r="B108" s="21"/>
      <c r="C108" s="24">
        <v>0.52444999999999997</v>
      </c>
      <c r="D108" s="24">
        <v>0.68703000000000003</v>
      </c>
      <c r="E108" s="24">
        <v>0.52515000000000001</v>
      </c>
      <c r="F108" s="24">
        <v>0.36889</v>
      </c>
      <c r="G108" s="24">
        <v>0.47438999999999998</v>
      </c>
      <c r="H108" s="24">
        <v>0.36934</v>
      </c>
    </row>
    <row r="109" spans="1:8" s="38" customFormat="1" x14ac:dyDescent="0.25">
      <c r="A109" s="23">
        <v>99</v>
      </c>
      <c r="B109" s="21"/>
      <c r="C109" s="24">
        <v>0.57101999999999997</v>
      </c>
      <c r="D109" s="24">
        <v>0.73090999999999995</v>
      </c>
      <c r="E109" s="24">
        <v>0.57137000000000004</v>
      </c>
      <c r="F109" s="24">
        <v>0.40709000000000001</v>
      </c>
      <c r="G109" s="24">
        <v>0.51619000000000004</v>
      </c>
      <c r="H109" s="24">
        <v>0.40733000000000003</v>
      </c>
    </row>
    <row r="110" spans="1:8" s="38" customFormat="1" x14ac:dyDescent="0.25">
      <c r="A110" s="25">
        <v>100</v>
      </c>
      <c r="B110" s="33"/>
      <c r="C110" s="34">
        <v>0.62048000000000003</v>
      </c>
      <c r="D110" s="34">
        <v>0.77559999999999996</v>
      </c>
      <c r="E110" s="34">
        <v>0.62048000000000003</v>
      </c>
      <c r="F110" s="34">
        <v>0.44823000000000002</v>
      </c>
      <c r="G110" s="34">
        <v>0.56028999999999995</v>
      </c>
      <c r="H110" s="34">
        <v>0.44823000000000002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102"/>
  <sheetViews>
    <sheetView topLeftCell="B1" workbookViewId="0">
      <selection activeCell="V21" sqref="V21"/>
    </sheetView>
  </sheetViews>
  <sheetFormatPr defaultRowHeight="15" x14ac:dyDescent="0.25"/>
  <cols>
    <col min="1" max="1" width="32.75" style="1" customWidth="1"/>
  </cols>
  <sheetData>
    <row r="1" spans="1:2" x14ac:dyDescent="0.25">
      <c r="A1" s="40"/>
    </row>
    <row r="2" spans="1:2" x14ac:dyDescent="0.25">
      <c r="A2" s="23">
        <v>0</v>
      </c>
      <c r="B2" s="46">
        <f>'Death with Rider'!C10/'Death Only'!C10</f>
        <v>1</v>
      </c>
    </row>
    <row r="3" spans="1:2" x14ac:dyDescent="0.25">
      <c r="A3" s="23">
        <v>1</v>
      </c>
      <c r="B3" s="46">
        <f>'Death with Rider'!C11/'Death Only'!C11</f>
        <v>0.95035460992907805</v>
      </c>
    </row>
    <row r="4" spans="1:2" x14ac:dyDescent="0.25">
      <c r="A4" s="23">
        <v>2</v>
      </c>
      <c r="B4" s="46">
        <f>'Death with Rider'!C12/'Death Only'!C12</f>
        <v>0.91176470588235292</v>
      </c>
    </row>
    <row r="5" spans="1:2" x14ac:dyDescent="0.25">
      <c r="A5" s="23">
        <v>3</v>
      </c>
      <c r="B5" s="46">
        <f>'Death with Rider'!C13/'Death Only'!C13</f>
        <v>0.86956521739130432</v>
      </c>
    </row>
    <row r="6" spans="1:2" x14ac:dyDescent="0.25">
      <c r="A6" s="23">
        <v>4</v>
      </c>
      <c r="B6" s="46">
        <f>'Death with Rider'!C14/'Death Only'!C14</f>
        <v>0.81249999999999989</v>
      </c>
    </row>
    <row r="7" spans="1:2" x14ac:dyDescent="0.25">
      <c r="A7" s="23">
        <v>5</v>
      </c>
      <c r="B7" s="46">
        <f>'Death with Rider'!C15/'Death Only'!C15</f>
        <v>0.78571428571428581</v>
      </c>
    </row>
    <row r="8" spans="1:2" x14ac:dyDescent="0.25">
      <c r="A8" s="23">
        <v>6</v>
      </c>
      <c r="B8" s="46">
        <f>'Death with Rider'!C16/'Death Only'!C16</f>
        <v>0.6923076923076924</v>
      </c>
    </row>
    <row r="9" spans="1:2" x14ac:dyDescent="0.25">
      <c r="A9" s="23">
        <v>7</v>
      </c>
      <c r="B9" s="46">
        <f>'Death with Rider'!C17/'Death Only'!C17</f>
        <v>0.66666666666666674</v>
      </c>
    </row>
    <row r="10" spans="1:2" x14ac:dyDescent="0.25">
      <c r="A10" s="23">
        <v>8</v>
      </c>
      <c r="B10" s="46">
        <f>'Death with Rider'!C18/'Death Only'!C18</f>
        <v>0.63636363636363624</v>
      </c>
    </row>
    <row r="11" spans="1:2" x14ac:dyDescent="0.25">
      <c r="A11" s="23">
        <v>9</v>
      </c>
      <c r="B11" s="46">
        <f>'Death with Rider'!C19/'Death Only'!C19</f>
        <v>0.7</v>
      </c>
    </row>
    <row r="12" spans="1:2" x14ac:dyDescent="0.25">
      <c r="A12" s="23">
        <v>10</v>
      </c>
      <c r="B12" s="46">
        <f>'Death with Rider'!C20/'Death Only'!C20</f>
        <v>0.7</v>
      </c>
    </row>
    <row r="13" spans="1:2" x14ac:dyDescent="0.25">
      <c r="A13" s="23">
        <v>11</v>
      </c>
      <c r="B13" s="46">
        <f>'Death with Rider'!C21/'Death Only'!C21</f>
        <v>0.63636363636363624</v>
      </c>
    </row>
    <row r="14" spans="1:2" x14ac:dyDescent="0.25">
      <c r="A14" s="23">
        <v>12</v>
      </c>
      <c r="B14" s="46">
        <f>'Death with Rider'!C22/'Death Only'!C22</f>
        <v>0.66666666666666674</v>
      </c>
    </row>
    <row r="15" spans="1:2" x14ac:dyDescent="0.25">
      <c r="A15" s="23">
        <v>13</v>
      </c>
      <c r="B15" s="46">
        <f>'Death with Rider'!C23/'Death Only'!C23</f>
        <v>0.61538461538461553</v>
      </c>
    </row>
    <row r="16" spans="1:2" x14ac:dyDescent="0.25">
      <c r="A16" s="23">
        <v>14</v>
      </c>
      <c r="B16" s="46">
        <f>'Death with Rider'!C24/'Death Only'!C24</f>
        <v>0.60000000000000009</v>
      </c>
    </row>
    <row r="17" spans="1:2" x14ac:dyDescent="0.25">
      <c r="A17" s="23">
        <v>15</v>
      </c>
      <c r="B17" s="46">
        <f>'Death with Rider'!C25/'Death Only'!C25</f>
        <v>0.63157894736842102</v>
      </c>
    </row>
    <row r="18" spans="1:2" x14ac:dyDescent="0.25">
      <c r="A18" s="23">
        <v>16</v>
      </c>
      <c r="B18" s="46">
        <f>'Death with Rider'!C26/'Death Only'!C26</f>
        <v>0.60714285714285721</v>
      </c>
    </row>
    <row r="19" spans="1:2" x14ac:dyDescent="0.25">
      <c r="A19" s="23">
        <v>17</v>
      </c>
      <c r="B19" s="46">
        <f>'Death with Rider'!C27/'Death Only'!C27</f>
        <v>0.51219512195121952</v>
      </c>
    </row>
    <row r="20" spans="1:2" x14ac:dyDescent="0.25">
      <c r="A20" s="23">
        <v>18</v>
      </c>
      <c r="B20" s="46">
        <f>'Death with Rider'!C28/'Death Only'!C28</f>
        <v>0.51111111111111118</v>
      </c>
    </row>
    <row r="21" spans="1:2" x14ac:dyDescent="0.25">
      <c r="A21" s="23">
        <v>19</v>
      </c>
      <c r="B21" s="46">
        <f>'Death with Rider'!C29/'Death Only'!C29</f>
        <v>0.47169811320754718</v>
      </c>
    </row>
    <row r="22" spans="1:2" x14ac:dyDescent="0.25">
      <c r="A22" s="23">
        <v>20</v>
      </c>
      <c r="B22" s="46">
        <f>'Death with Rider'!C30/'Death Only'!C30</f>
        <v>0.41666666666666669</v>
      </c>
    </row>
    <row r="23" spans="1:2" x14ac:dyDescent="0.25">
      <c r="A23" s="23">
        <v>21</v>
      </c>
      <c r="B23" s="46">
        <f>'Death with Rider'!C31/'Death Only'!C31</f>
        <v>0.4098360655737705</v>
      </c>
    </row>
    <row r="24" spans="1:2" x14ac:dyDescent="0.25">
      <c r="A24" s="23">
        <v>22</v>
      </c>
      <c r="B24" s="46">
        <f>'Death with Rider'!C32/'Death Only'!C32</f>
        <v>0.4</v>
      </c>
    </row>
    <row r="25" spans="1:2" x14ac:dyDescent="0.25">
      <c r="A25" s="23">
        <v>23</v>
      </c>
      <c r="B25" s="46">
        <f>'Death with Rider'!C33/'Death Only'!C33</f>
        <v>0.38596491228070179</v>
      </c>
    </row>
    <row r="26" spans="1:2" x14ac:dyDescent="0.25">
      <c r="A26" s="23">
        <v>24</v>
      </c>
      <c r="B26" s="46">
        <f>'Death with Rider'!C34/'Death Only'!C34</f>
        <v>0.38181818181818183</v>
      </c>
    </row>
    <row r="27" spans="1:2" x14ac:dyDescent="0.25">
      <c r="A27" s="23">
        <v>25</v>
      </c>
      <c r="B27" s="46">
        <f>'Death with Rider'!C35/'Death Only'!C35</f>
        <v>0.35849056603773588</v>
      </c>
    </row>
    <row r="28" spans="1:2" x14ac:dyDescent="0.25">
      <c r="A28" s="23">
        <v>26</v>
      </c>
      <c r="B28" s="46">
        <f>'Death with Rider'!C36/'Death Only'!C36</f>
        <v>0.38</v>
      </c>
    </row>
    <row r="29" spans="1:2" x14ac:dyDescent="0.25">
      <c r="A29" s="23">
        <v>27</v>
      </c>
      <c r="B29" s="46">
        <f>'Death with Rider'!C37/'Death Only'!C37</f>
        <v>0.375</v>
      </c>
    </row>
    <row r="30" spans="1:2" x14ac:dyDescent="0.25">
      <c r="A30" s="23">
        <v>28</v>
      </c>
      <c r="B30" s="46">
        <f>'Death with Rider'!C38/'Death Only'!C38</f>
        <v>0.39130434782608697</v>
      </c>
    </row>
    <row r="31" spans="1:2" x14ac:dyDescent="0.25">
      <c r="A31" s="23">
        <v>29</v>
      </c>
      <c r="B31" s="46">
        <f>'Death with Rider'!C39/'Death Only'!C39</f>
        <v>0.42222222222222228</v>
      </c>
    </row>
    <row r="32" spans="1:2" x14ac:dyDescent="0.25">
      <c r="A32" s="23">
        <v>30</v>
      </c>
      <c r="B32" s="46">
        <f>'Death with Rider'!C40/'Death Only'!C40</f>
        <v>0.48837209302325585</v>
      </c>
    </row>
    <row r="33" spans="1:2" x14ac:dyDescent="0.25">
      <c r="A33" s="23">
        <v>31</v>
      </c>
      <c r="B33" s="46">
        <f>'Death with Rider'!C41/'Death Only'!C41</f>
        <v>0.54761904761904756</v>
      </c>
    </row>
    <row r="34" spans="1:2" x14ac:dyDescent="0.25">
      <c r="A34" s="23">
        <v>32</v>
      </c>
      <c r="B34" s="46">
        <f>'Death with Rider'!C42/'Death Only'!C42</f>
        <v>0.58536585365853666</v>
      </c>
    </row>
    <row r="35" spans="1:2" x14ac:dyDescent="0.25">
      <c r="A35" s="23">
        <v>33</v>
      </c>
      <c r="B35" s="46">
        <f>'Death with Rider'!C43/'Death Only'!C43</f>
        <v>0.64999999999999991</v>
      </c>
    </row>
    <row r="36" spans="1:2" x14ac:dyDescent="0.25">
      <c r="A36" s="23">
        <v>34</v>
      </c>
      <c r="B36" s="46">
        <f>'Death with Rider'!C44/'Death Only'!C44</f>
        <v>0.65853658536585369</v>
      </c>
    </row>
    <row r="37" spans="1:2" x14ac:dyDescent="0.25">
      <c r="A37" s="23">
        <v>35</v>
      </c>
      <c r="B37" s="46">
        <f>'Death with Rider'!C45/'Death Only'!C45</f>
        <v>0.66666666666666663</v>
      </c>
    </row>
    <row r="38" spans="1:2" x14ac:dyDescent="0.25">
      <c r="A38" s="23">
        <v>36</v>
      </c>
      <c r="B38" s="46">
        <f>'Death with Rider'!C46/'Death Only'!C46</f>
        <v>0.67441860465116277</v>
      </c>
    </row>
    <row r="39" spans="1:2" x14ac:dyDescent="0.25">
      <c r="A39" s="23">
        <v>37</v>
      </c>
      <c r="B39" s="46">
        <f>'Death with Rider'!C47/'Death Only'!C47</f>
        <v>0.66666666666666663</v>
      </c>
    </row>
    <row r="40" spans="1:2" x14ac:dyDescent="0.25">
      <c r="A40" s="23">
        <v>38</v>
      </c>
      <c r="B40" s="46">
        <f>'Death with Rider'!C48/'Death Only'!C48</f>
        <v>0.63265306122448983</v>
      </c>
    </row>
    <row r="41" spans="1:2" x14ac:dyDescent="0.25">
      <c r="A41" s="23">
        <v>39</v>
      </c>
      <c r="B41" s="46">
        <f>'Death with Rider'!C49/'Death Only'!C49</f>
        <v>0.60377358490566047</v>
      </c>
    </row>
    <row r="42" spans="1:2" x14ac:dyDescent="0.25">
      <c r="A42" s="23">
        <v>40</v>
      </c>
      <c r="B42" s="46">
        <f>'Death with Rider'!C50/'Death Only'!C50</f>
        <v>0.5862068965517242</v>
      </c>
    </row>
    <row r="43" spans="1:2" x14ac:dyDescent="0.25">
      <c r="A43" s="23">
        <v>41</v>
      </c>
      <c r="B43" s="46">
        <f>'Death with Rider'!C51/'Death Only'!C51</f>
        <v>0.5714285714285714</v>
      </c>
    </row>
    <row r="44" spans="1:2" x14ac:dyDescent="0.25">
      <c r="A44" s="23">
        <v>42</v>
      </c>
      <c r="B44" s="46">
        <f>'Death with Rider'!C52/'Death Only'!C52</f>
        <v>0.58823529411764708</v>
      </c>
    </row>
    <row r="45" spans="1:2" x14ac:dyDescent="0.25">
      <c r="A45" s="23">
        <v>43</v>
      </c>
      <c r="B45" s="46">
        <f>'Death with Rider'!C53/'Death Only'!C53</f>
        <v>0.59459459459459463</v>
      </c>
    </row>
    <row r="46" spans="1:2" x14ac:dyDescent="0.25">
      <c r="A46" s="23">
        <v>44</v>
      </c>
      <c r="B46" s="46">
        <f>'Death with Rider'!C54/'Death Only'!C54</f>
        <v>0.620253164556962</v>
      </c>
    </row>
    <row r="47" spans="1:2" x14ac:dyDescent="0.25">
      <c r="A47" s="23">
        <v>45</v>
      </c>
      <c r="B47" s="46">
        <f>'Death with Rider'!C55/'Death Only'!C55</f>
        <v>0.62790697674418605</v>
      </c>
    </row>
    <row r="48" spans="1:2" x14ac:dyDescent="0.25">
      <c r="A48" s="23">
        <v>46</v>
      </c>
      <c r="B48" s="46">
        <f>'Death with Rider'!C56/'Death Only'!C56</f>
        <v>0.63440860215053763</v>
      </c>
    </row>
    <row r="49" spans="1:2" x14ac:dyDescent="0.25">
      <c r="A49" s="23">
        <v>47</v>
      </c>
      <c r="B49" s="46">
        <f>'Death with Rider'!C57/'Death Only'!C57</f>
        <v>0.64077669902912615</v>
      </c>
    </row>
    <row r="50" spans="1:2" x14ac:dyDescent="0.25">
      <c r="A50" s="23">
        <v>48</v>
      </c>
      <c r="B50" s="46">
        <f>'Death with Rider'!C58/'Death Only'!C58</f>
        <v>0.61739130434782608</v>
      </c>
    </row>
    <row r="51" spans="1:2" x14ac:dyDescent="0.25">
      <c r="A51" s="23">
        <v>49</v>
      </c>
      <c r="B51" s="46">
        <f>'Death with Rider'!C59/'Death Only'!C59</f>
        <v>0.6171875</v>
      </c>
    </row>
    <row r="52" spans="1:2" x14ac:dyDescent="0.25">
      <c r="A52" s="23">
        <v>50</v>
      </c>
      <c r="B52" s="46">
        <f>'Death with Rider'!C60/'Death Only'!C60</f>
        <v>0.60563380281690138</v>
      </c>
    </row>
    <row r="53" spans="1:2" x14ac:dyDescent="0.25">
      <c r="A53" s="23">
        <v>51</v>
      </c>
      <c r="B53" s="46">
        <f>'Death with Rider'!C61/'Death Only'!C61</f>
        <v>0.61538461538461542</v>
      </c>
    </row>
    <row r="54" spans="1:2" x14ac:dyDescent="0.25">
      <c r="A54" s="23">
        <v>52</v>
      </c>
      <c r="B54" s="46">
        <f>'Death with Rider'!C62/'Death Only'!C62</f>
        <v>0.61627906976744184</v>
      </c>
    </row>
    <row r="55" spans="1:2" x14ac:dyDescent="0.25">
      <c r="A55" s="23">
        <v>53</v>
      </c>
      <c r="B55" s="46">
        <f>'Death with Rider'!C63/'Death Only'!C63</f>
        <v>0.62433862433862441</v>
      </c>
    </row>
    <row r="56" spans="1:2" x14ac:dyDescent="0.25">
      <c r="A56" s="23">
        <v>54</v>
      </c>
      <c r="B56" s="46">
        <f>'Death with Rider'!C64/'Death Only'!C64</f>
        <v>0.625</v>
      </c>
    </row>
    <row r="57" spans="1:2" x14ac:dyDescent="0.25">
      <c r="A57" s="23">
        <v>55</v>
      </c>
      <c r="B57" s="46">
        <f>'Death with Rider'!C65/'Death Only'!C65</f>
        <v>0.61739130434782608</v>
      </c>
    </row>
    <row r="58" spans="1:2" x14ac:dyDescent="0.25">
      <c r="A58" s="23">
        <v>56</v>
      </c>
      <c r="B58" s="46">
        <f>'Death with Rider'!C66/'Death Only'!C66</f>
        <v>0.59215686274509804</v>
      </c>
    </row>
    <row r="59" spans="1:2" x14ac:dyDescent="0.25">
      <c r="A59" s="23">
        <v>57</v>
      </c>
      <c r="B59" s="46">
        <f>'Death with Rider'!C67/'Death Only'!C67</f>
        <v>0.55944055944055948</v>
      </c>
    </row>
    <row r="60" spans="1:2" x14ac:dyDescent="0.25">
      <c r="A60" s="23">
        <v>58</v>
      </c>
      <c r="B60" s="46">
        <f>'Death with Rider'!C68/'Death Only'!C68</f>
        <v>0.52812499999999996</v>
      </c>
    </row>
    <row r="61" spans="1:2" x14ac:dyDescent="0.25">
      <c r="A61" s="23">
        <v>59</v>
      </c>
      <c r="B61" s="46">
        <f>'Death with Rider'!C69/'Death Only'!C69</f>
        <v>0.4972067039106145</v>
      </c>
    </row>
    <row r="62" spans="1:2" x14ac:dyDescent="0.25">
      <c r="A62" s="23">
        <v>60</v>
      </c>
      <c r="B62" s="46">
        <f>'Death with Rider'!C70/'Death Only'!C70</f>
        <v>0.47103274559193958</v>
      </c>
    </row>
    <row r="63" spans="1:2" x14ac:dyDescent="0.25">
      <c r="A63" s="23">
        <v>61</v>
      </c>
      <c r="B63" s="46">
        <f>'Death with Rider'!C71/'Death Only'!C71</f>
        <v>0.46118721461187212</v>
      </c>
    </row>
    <row r="64" spans="1:2" x14ac:dyDescent="0.25">
      <c r="A64" s="23">
        <v>62</v>
      </c>
      <c r="B64" s="46">
        <f>'Death with Rider'!C72/'Death Only'!C72</f>
        <v>0.46346555323590816</v>
      </c>
    </row>
    <row r="65" spans="1:2" x14ac:dyDescent="0.25">
      <c r="A65" s="23">
        <v>63</v>
      </c>
      <c r="B65" s="46">
        <f>'Death with Rider'!C73/'Death Only'!C73</f>
        <v>0.47238095238095235</v>
      </c>
    </row>
    <row r="66" spans="1:2" x14ac:dyDescent="0.25">
      <c r="A66" s="23">
        <v>64</v>
      </c>
      <c r="B66" s="46">
        <f>'Death with Rider'!C74/'Death Only'!C74</f>
        <v>0.49050086355785838</v>
      </c>
    </row>
    <row r="67" spans="1:2" x14ac:dyDescent="0.25">
      <c r="A67" s="23">
        <v>65</v>
      </c>
      <c r="B67" s="46">
        <f>'Death with Rider'!C75/'Death Only'!C75</f>
        <v>0.50928792569659442</v>
      </c>
    </row>
    <row r="68" spans="1:2" x14ac:dyDescent="0.25">
      <c r="A68" s="23">
        <v>66</v>
      </c>
      <c r="B68" s="46">
        <f>'Death with Rider'!C76/'Death Only'!C76</f>
        <v>0.51775956284153002</v>
      </c>
    </row>
    <row r="69" spans="1:2" x14ac:dyDescent="0.25">
      <c r="A69" s="23">
        <v>67</v>
      </c>
      <c r="B69" s="46">
        <f>'Death with Rider'!C77/'Death Only'!C77</f>
        <v>0.51543942992874103</v>
      </c>
    </row>
    <row r="70" spans="1:2" x14ac:dyDescent="0.25">
      <c r="A70" s="23">
        <v>68</v>
      </c>
      <c r="B70" s="46">
        <f>'Death with Rider'!C78/'Death Only'!C78</f>
        <v>0.51381780962128976</v>
      </c>
    </row>
    <row r="71" spans="1:2" x14ac:dyDescent="0.25">
      <c r="A71" s="23">
        <v>69</v>
      </c>
      <c r="B71" s="46">
        <f>'Death with Rider'!C79/'Death Only'!C79</f>
        <v>0.511443661971831</v>
      </c>
    </row>
    <row r="72" spans="1:2" x14ac:dyDescent="0.25">
      <c r="A72" s="23">
        <v>70</v>
      </c>
      <c r="B72" s="46">
        <f>'Death with Rider'!C80/'Death Only'!C80</f>
        <v>0.51021953065859205</v>
      </c>
    </row>
    <row r="73" spans="1:2" x14ac:dyDescent="0.25">
      <c r="A73" s="23">
        <v>71</v>
      </c>
      <c r="B73" s="46">
        <f>'Death with Rider'!C81/'Death Only'!C81</f>
        <v>0.50879478827361557</v>
      </c>
    </row>
    <row r="74" spans="1:2" x14ac:dyDescent="0.25">
      <c r="A74" s="23">
        <v>72</v>
      </c>
      <c r="B74" s="46">
        <f>'Death with Rider'!C82/'Death Only'!C82</f>
        <v>0.50786516853932584</v>
      </c>
    </row>
    <row r="75" spans="1:2" x14ac:dyDescent="0.25">
      <c r="A75" s="23">
        <v>73</v>
      </c>
      <c r="B75" s="46">
        <f>'Death with Rider'!C83/'Death Only'!C83</f>
        <v>0.50634765625</v>
      </c>
    </row>
    <row r="76" spans="1:2" x14ac:dyDescent="0.25">
      <c r="A76" s="23">
        <v>74</v>
      </c>
      <c r="B76" s="46">
        <f>'Death with Rider'!C84/'Death Only'!C84</f>
        <v>0.50576676633917128</v>
      </c>
    </row>
    <row r="77" spans="1:2" x14ac:dyDescent="0.25">
      <c r="A77" s="23">
        <v>75</v>
      </c>
      <c r="B77" s="46">
        <f>'Death with Rider'!C85/'Death Only'!C85</f>
        <v>0.50486163051608079</v>
      </c>
    </row>
    <row r="78" spans="1:2" x14ac:dyDescent="0.25">
      <c r="A78" s="23">
        <v>76</v>
      </c>
      <c r="B78" s="46">
        <f>'Death with Rider'!C86/'Death Only'!C86</f>
        <v>0.50440744368266399</v>
      </c>
    </row>
    <row r="79" spans="1:2" x14ac:dyDescent="0.25">
      <c r="A79" s="23">
        <v>77</v>
      </c>
      <c r="B79" s="46">
        <f>'Death with Rider'!C87/'Death Only'!C87</f>
        <v>0.5038494439692045</v>
      </c>
    </row>
    <row r="80" spans="1:2" x14ac:dyDescent="0.25">
      <c r="A80" s="23">
        <v>78</v>
      </c>
      <c r="B80" s="46">
        <f>'Death with Rider'!C88/'Death Only'!C88</f>
        <v>0.50374064837905241</v>
      </c>
    </row>
    <row r="81" spans="1:2" x14ac:dyDescent="0.25">
      <c r="A81" s="23">
        <v>79</v>
      </c>
      <c r="B81" s="46">
        <f>'Death with Rider'!C89/'Death Only'!C89</f>
        <v>0.50360655737704918</v>
      </c>
    </row>
    <row r="82" spans="1:2" x14ac:dyDescent="0.25">
      <c r="A82" s="23">
        <v>80</v>
      </c>
      <c r="B82" s="46">
        <f>'Death with Rider'!C90/'Death Only'!C90</f>
        <v>0.50384172109104874</v>
      </c>
    </row>
    <row r="83" spans="1:2" x14ac:dyDescent="0.25">
      <c r="A83" s="23">
        <v>81</v>
      </c>
      <c r="B83" s="46">
        <f>'Death with Rider'!C91/'Death Only'!C91</f>
        <v>0.5038969840731955</v>
      </c>
    </row>
    <row r="84" spans="1:2" x14ac:dyDescent="0.25">
      <c r="A84" s="23">
        <v>82</v>
      </c>
      <c r="B84" s="46">
        <f>'Death with Rider'!C92/'Death Only'!C92</f>
        <v>0.50385720768416276</v>
      </c>
    </row>
    <row r="85" spans="1:2" x14ac:dyDescent="0.25">
      <c r="A85" s="23">
        <v>83</v>
      </c>
      <c r="B85" s="46">
        <f>'Death with Rider'!C93/'Death Only'!C93</f>
        <v>0.50379095586244249</v>
      </c>
    </row>
    <row r="86" spans="1:2" x14ac:dyDescent="0.25">
      <c r="A86" s="23">
        <v>84</v>
      </c>
      <c r="B86" s="46">
        <f>'Death with Rider'!C94/'Death Only'!C94</f>
        <v>0.50363636363636355</v>
      </c>
    </row>
    <row r="87" spans="1:2" x14ac:dyDescent="0.25">
      <c r="A87" s="23">
        <v>85</v>
      </c>
      <c r="B87" s="46">
        <f>'Death with Rider'!C95/'Death Only'!C95</f>
        <v>0.50342056683679004</v>
      </c>
    </row>
    <row r="88" spans="1:2" x14ac:dyDescent="0.25">
      <c r="A88" s="23">
        <v>86</v>
      </c>
      <c r="B88" s="46">
        <f>'Death with Rider'!C96/'Death Only'!C96</f>
        <v>0.50316486512805525</v>
      </c>
    </row>
    <row r="89" spans="1:2" x14ac:dyDescent="0.25">
      <c r="A89" s="23">
        <v>87</v>
      </c>
      <c r="B89" s="46">
        <f>'Death with Rider'!C97/'Death Only'!C97</f>
        <v>0.50279867063145012</v>
      </c>
    </row>
    <row r="90" spans="1:2" x14ac:dyDescent="0.25">
      <c r="A90" s="23">
        <v>88</v>
      </c>
      <c r="B90" s="46">
        <f>'Death with Rider'!C98/'Death Only'!C98</f>
        <v>0.50232374950768011</v>
      </c>
    </row>
    <row r="91" spans="1:2" x14ac:dyDescent="0.25">
      <c r="A91" s="23">
        <v>89</v>
      </c>
      <c r="B91" s="46">
        <f>'Death with Rider'!C99/'Death Only'!C99</f>
        <v>0.50188894432960296</v>
      </c>
    </row>
    <row r="92" spans="1:2" x14ac:dyDescent="0.25">
      <c r="A92" s="23">
        <v>90</v>
      </c>
      <c r="B92" s="46">
        <f>'Death with Rider'!C100/'Death Only'!C100</f>
        <v>0.50145961725591948</v>
      </c>
    </row>
    <row r="93" spans="1:2" x14ac:dyDescent="0.25">
      <c r="A93" s="23">
        <v>91</v>
      </c>
      <c r="B93" s="46">
        <f>'Death with Rider'!C101/'Death Only'!C101</f>
        <v>0.50103987165012775</v>
      </c>
    </row>
    <row r="94" spans="1:2" x14ac:dyDescent="0.25">
      <c r="A94" s="23">
        <v>92</v>
      </c>
      <c r="B94" s="46">
        <f>'Death with Rider'!C102/'Death Only'!C102</f>
        <v>0.50068481893387384</v>
      </c>
    </row>
    <row r="95" spans="1:2" x14ac:dyDescent="0.25">
      <c r="A95" s="23">
        <v>93</v>
      </c>
      <c r="B95" s="46">
        <f>'Death with Rider'!C103/'Death Only'!C103</f>
        <v>0.50040683482506099</v>
      </c>
    </row>
    <row r="96" spans="1:2" x14ac:dyDescent="0.25">
      <c r="A96" s="23">
        <v>94</v>
      </c>
      <c r="B96" s="46">
        <f>'Death with Rider'!C104/'Death Only'!C104</f>
        <v>0.50011879306248519</v>
      </c>
    </row>
    <row r="97" spans="1:2" x14ac:dyDescent="0.25">
      <c r="A97" s="23">
        <v>95</v>
      </c>
      <c r="B97" s="46">
        <f>'Death with Rider'!C105/'Death Only'!C105</f>
        <v>0.50002234636871501</v>
      </c>
    </row>
    <row r="98" spans="1:2" x14ac:dyDescent="0.25">
      <c r="A98" s="23">
        <v>96</v>
      </c>
      <c r="B98" s="46">
        <f>'Death with Rider'!C106/'Death Only'!C106</f>
        <v>0.49997885030244066</v>
      </c>
    </row>
    <row r="99" spans="1:2" x14ac:dyDescent="0.25">
      <c r="A99" s="23">
        <v>97</v>
      </c>
      <c r="B99" s="46">
        <f>'Death with Rider'!C107/'Death Only'!C107</f>
        <v>0.49991943929751065</v>
      </c>
    </row>
    <row r="100" spans="1:2" x14ac:dyDescent="0.25">
      <c r="A100" s="23">
        <v>98</v>
      </c>
      <c r="B100" s="46">
        <f>'Death with Rider'!C108/'Death Only'!C108</f>
        <v>0.49992282759685142</v>
      </c>
    </row>
    <row r="101" spans="1:2" x14ac:dyDescent="0.25">
      <c r="A101" s="23">
        <v>99</v>
      </c>
      <c r="B101" s="46">
        <f>'Death with Rider'!C109/'Death Only'!C109</f>
        <v>0.49998141056623413</v>
      </c>
    </row>
    <row r="102" spans="1:2" x14ac:dyDescent="0.25">
      <c r="A102" s="25">
        <v>100</v>
      </c>
      <c r="B102" s="46">
        <f>'Death with Rider'!C110/'Death Only'!C110</f>
        <v>0.5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37"/>
  <sheetViews>
    <sheetView workbookViewId="0">
      <selection activeCell="B27" sqref="B27"/>
    </sheetView>
  </sheetViews>
  <sheetFormatPr defaultRowHeight="14.25" x14ac:dyDescent="0.2"/>
  <cols>
    <col min="1" max="1" width="21.375" style="47" customWidth="1"/>
    <col min="2" max="3" width="22" style="61" customWidth="1"/>
    <col min="4" max="5" width="9.625" customWidth="1"/>
  </cols>
  <sheetData>
    <row r="1" spans="1:5" ht="15" x14ac:dyDescent="0.25">
      <c r="B1" s="48"/>
      <c r="C1" s="48"/>
    </row>
    <row r="2" spans="1:5" ht="15" x14ac:dyDescent="0.25">
      <c r="A2" s="49"/>
      <c r="B2" s="48"/>
      <c r="C2" s="48"/>
      <c r="D2" s="50"/>
      <c r="E2" s="50"/>
    </row>
    <row r="3" spans="1:5" ht="15" x14ac:dyDescent="0.25">
      <c r="B3" s="48"/>
      <c r="C3" s="48"/>
      <c r="D3" s="50"/>
      <c r="E3" s="50"/>
    </row>
    <row r="4" spans="1:5" s="50" customFormat="1" ht="15" x14ac:dyDescent="0.25">
      <c r="A4" s="51" t="s">
        <v>27</v>
      </c>
      <c r="B4" s="52" t="s">
        <v>28</v>
      </c>
      <c r="C4" s="52" t="s">
        <v>15</v>
      </c>
    </row>
    <row r="5" spans="1:5" x14ac:dyDescent="0.2">
      <c r="A5" s="47" t="s">
        <v>29</v>
      </c>
      <c r="B5" s="53">
        <v>45</v>
      </c>
      <c r="C5" s="53"/>
      <c r="D5" s="50"/>
      <c r="E5" s="50"/>
    </row>
    <row r="6" spans="1:5" x14ac:dyDescent="0.2">
      <c r="A6" s="47" t="s">
        <v>30</v>
      </c>
      <c r="B6" s="53" t="s">
        <v>31</v>
      </c>
      <c r="C6" s="53"/>
      <c r="D6" s="50"/>
      <c r="E6" s="50"/>
    </row>
    <row r="7" spans="1:5" x14ac:dyDescent="0.2">
      <c r="A7" s="47" t="s">
        <v>32</v>
      </c>
      <c r="B7" s="53" t="s">
        <v>33</v>
      </c>
      <c r="C7" s="53"/>
      <c r="D7" s="50"/>
      <c r="E7" s="50"/>
    </row>
    <row r="8" spans="1:5" x14ac:dyDescent="0.2">
      <c r="B8" s="53"/>
      <c r="C8" s="53"/>
      <c r="D8" s="50"/>
      <c r="E8" s="50"/>
    </row>
    <row r="9" spans="1:5" ht="15" x14ac:dyDescent="0.25">
      <c r="A9" s="49" t="s">
        <v>34</v>
      </c>
      <c r="B9" s="53">
        <v>65</v>
      </c>
      <c r="C9" s="53"/>
      <c r="D9" s="50"/>
      <c r="E9" s="50"/>
    </row>
    <row r="10" spans="1:5" x14ac:dyDescent="0.2">
      <c r="B10" s="53"/>
      <c r="C10" s="53"/>
      <c r="D10" s="50"/>
      <c r="E10" s="50"/>
    </row>
    <row r="11" spans="1:5" ht="15" x14ac:dyDescent="0.25">
      <c r="A11" s="49" t="s">
        <v>35</v>
      </c>
      <c r="B11" s="54">
        <v>1000000</v>
      </c>
      <c r="C11" s="54">
        <v>400000</v>
      </c>
      <c r="D11" s="50"/>
      <c r="E11" s="50"/>
    </row>
    <row r="12" spans="1:5" x14ac:dyDescent="0.2">
      <c r="B12" s="53"/>
      <c r="C12" s="53"/>
      <c r="D12" s="50"/>
      <c r="E12" s="50"/>
    </row>
    <row r="13" spans="1:5" ht="15" x14ac:dyDescent="0.25">
      <c r="A13" s="55" t="s">
        <v>36</v>
      </c>
      <c r="B13" s="53"/>
      <c r="C13" s="53"/>
      <c r="D13" s="56"/>
      <c r="E13" s="50"/>
    </row>
    <row r="14" spans="1:5" ht="15" x14ac:dyDescent="0.25">
      <c r="A14"/>
      <c r="B14" s="57" t="s">
        <v>37</v>
      </c>
      <c r="C14" s="57" t="s">
        <v>38</v>
      </c>
      <c r="D14" s="56"/>
      <c r="E14" s="50"/>
    </row>
    <row r="15" spans="1:5" x14ac:dyDescent="0.2">
      <c r="A15" s="47" t="s">
        <v>39</v>
      </c>
      <c r="B15" s="58">
        <v>0.6</v>
      </c>
      <c r="C15" s="58">
        <v>0.55000000000000004</v>
      </c>
      <c r="D15" s="50"/>
      <c r="E15" s="50"/>
    </row>
    <row r="16" spans="1:5" x14ac:dyDescent="0.2">
      <c r="A16" t="s">
        <v>40</v>
      </c>
      <c r="B16" s="58">
        <v>0.8</v>
      </c>
      <c r="C16" s="58">
        <v>0.7</v>
      </c>
      <c r="D16" s="50"/>
      <c r="E16" s="50"/>
    </row>
    <row r="17" spans="1:5" x14ac:dyDescent="0.2">
      <c r="A17" t="s">
        <v>41</v>
      </c>
      <c r="B17" s="58">
        <v>1</v>
      </c>
      <c r="C17" s="58">
        <v>1</v>
      </c>
      <c r="D17" s="50"/>
      <c r="E17" s="50"/>
    </row>
    <row r="18" spans="1:5" x14ac:dyDescent="0.2">
      <c r="B18" s="53"/>
      <c r="C18" s="53"/>
      <c r="D18" s="50"/>
      <c r="E18" s="50"/>
    </row>
    <row r="19" spans="1:5" ht="15" x14ac:dyDescent="0.25">
      <c r="A19" s="55" t="s">
        <v>42</v>
      </c>
      <c r="B19" s="53"/>
      <c r="C19" s="53"/>
      <c r="D19" s="50"/>
      <c r="E19" s="50"/>
    </row>
    <row r="20" spans="1:5" x14ac:dyDescent="0.2">
      <c r="A20" t="s">
        <v>43</v>
      </c>
      <c r="B20" s="53"/>
      <c r="C20" s="53"/>
      <c r="D20" s="50"/>
      <c r="E20" s="50"/>
    </row>
    <row r="21" spans="1:5" x14ac:dyDescent="0.2">
      <c r="A21" s="59">
        <v>1</v>
      </c>
      <c r="B21" s="58">
        <v>0.05</v>
      </c>
      <c r="C21" s="58"/>
      <c r="D21" s="50"/>
      <c r="E21" s="50"/>
    </row>
    <row r="22" spans="1:5" x14ac:dyDescent="0.2">
      <c r="A22" s="60">
        <v>2</v>
      </c>
      <c r="B22" s="58">
        <v>0.1</v>
      </c>
      <c r="C22" s="58"/>
      <c r="D22" s="50"/>
      <c r="E22" s="50"/>
    </row>
    <row r="23" spans="1:5" x14ac:dyDescent="0.2">
      <c r="A23" s="60">
        <v>3</v>
      </c>
      <c r="B23" s="58">
        <v>0.1</v>
      </c>
      <c r="C23" s="58"/>
      <c r="D23" s="50"/>
      <c r="E23" s="50"/>
    </row>
    <row r="24" spans="1:5" x14ac:dyDescent="0.2">
      <c r="A24" s="60">
        <v>4</v>
      </c>
      <c r="B24" s="58">
        <v>0.15</v>
      </c>
      <c r="C24" s="58"/>
      <c r="D24" s="50"/>
      <c r="E24" s="50"/>
    </row>
    <row r="25" spans="1:5" x14ac:dyDescent="0.2">
      <c r="A25" s="60">
        <v>5</v>
      </c>
      <c r="B25" s="58">
        <v>0.15</v>
      </c>
      <c r="C25" s="58"/>
      <c r="D25" s="50"/>
      <c r="E25" s="50"/>
    </row>
    <row r="26" spans="1:5" x14ac:dyDescent="0.2">
      <c r="B26" s="53"/>
      <c r="C26" s="53"/>
      <c r="D26" s="50"/>
      <c r="E26" s="50"/>
    </row>
    <row r="27" spans="1:5" ht="15" x14ac:dyDescent="0.25">
      <c r="A27" s="55" t="s">
        <v>65</v>
      </c>
      <c r="B27" s="58">
        <v>0.03</v>
      </c>
      <c r="C27" s="58"/>
      <c r="D27" s="50"/>
      <c r="E27" s="50"/>
    </row>
    <row r="28" spans="1:5" x14ac:dyDescent="0.2">
      <c r="D28" s="50"/>
      <c r="E28" s="50"/>
    </row>
    <row r="29" spans="1:5" x14ac:dyDescent="0.2">
      <c r="D29" s="50"/>
      <c r="E29" s="50"/>
    </row>
    <row r="30" spans="1:5" x14ac:dyDescent="0.2">
      <c r="D30" s="50"/>
      <c r="E30" s="50"/>
    </row>
    <row r="31" spans="1:5" x14ac:dyDescent="0.2">
      <c r="D31" s="50"/>
      <c r="E31" s="50"/>
    </row>
    <row r="32" spans="1:5" x14ac:dyDescent="0.2">
      <c r="D32" s="50"/>
      <c r="E32" s="50"/>
    </row>
    <row r="37" spans="2:3" x14ac:dyDescent="0.2">
      <c r="B37" s="62"/>
      <c r="C37" s="6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3:AC45"/>
  <sheetViews>
    <sheetView topLeftCell="A4" zoomScale="73" zoomScaleNormal="73" workbookViewId="0">
      <selection activeCell="AF15" sqref="AF15"/>
    </sheetView>
  </sheetViews>
  <sheetFormatPr defaultRowHeight="14.25" x14ac:dyDescent="0.2"/>
  <cols>
    <col min="1" max="2" width="8.25" style="63" bestFit="1" customWidth="1"/>
    <col min="3" max="3" width="3.5" style="63" customWidth="1"/>
    <col min="4" max="5" width="8.375" style="63" bestFit="1" customWidth="1"/>
    <col min="6" max="6" width="8.875" style="63" bestFit="1" customWidth="1"/>
    <col min="7" max="7" width="2.75" style="63" customWidth="1"/>
    <col min="8" max="9" width="8.375" style="63" bestFit="1" customWidth="1"/>
    <col min="10" max="10" width="8.875" style="63" bestFit="1" customWidth="1"/>
    <col min="11" max="11" width="2.75" style="63" customWidth="1"/>
    <col min="12" max="13" width="8.375" style="63" bestFit="1" customWidth="1"/>
    <col min="14" max="14" width="8.875" style="63" bestFit="1" customWidth="1"/>
    <col min="15" max="15" width="2.75" style="63" customWidth="1"/>
    <col min="16" max="16" width="8.25" style="63" bestFit="1" customWidth="1"/>
    <col min="17" max="17" width="8.25" style="63" customWidth="1"/>
    <col min="18" max="20" width="8.25" style="63" bestFit="1" customWidth="1"/>
    <col min="21" max="21" width="3" style="63" customWidth="1"/>
    <col min="22" max="25" width="8.25" style="63" bestFit="1" customWidth="1"/>
    <col min="26" max="26" width="3" style="63" customWidth="1"/>
    <col min="27" max="28" width="9.75" style="63" customWidth="1"/>
    <col min="29" max="29" width="9.75" customWidth="1"/>
  </cols>
  <sheetData>
    <row r="3" spans="1:29" ht="15" thickBot="1" x14ac:dyDescent="0.25"/>
    <row r="4" spans="1:29" ht="15.75" thickBot="1" x14ac:dyDescent="0.3">
      <c r="AB4" s="76" t="s">
        <v>44</v>
      </c>
      <c r="AC4" s="77">
        <f>NPV(RFR,AC8:AC27)</f>
        <v>9545.2864544963068</v>
      </c>
    </row>
    <row r="5" spans="1:29" x14ac:dyDescent="0.2">
      <c r="AA5" s="61"/>
      <c r="AB5" s="61"/>
      <c r="AC5" s="64"/>
    </row>
    <row r="6" spans="1:29" ht="30" x14ac:dyDescent="0.25">
      <c r="D6" s="78" t="s">
        <v>56</v>
      </c>
      <c r="E6" s="79"/>
      <c r="F6" s="80"/>
      <c r="H6" s="78" t="s">
        <v>57</v>
      </c>
      <c r="I6" s="79"/>
      <c r="J6" s="80"/>
      <c r="L6" s="78" t="s">
        <v>58</v>
      </c>
      <c r="M6" s="79"/>
      <c r="N6" s="80"/>
      <c r="P6" s="81" t="s">
        <v>59</v>
      </c>
      <c r="Q6" s="81"/>
      <c r="R6" s="81"/>
      <c r="S6" s="81"/>
      <c r="T6" s="81"/>
      <c r="V6" s="81" t="s">
        <v>60</v>
      </c>
      <c r="W6" s="81"/>
      <c r="X6" s="81"/>
      <c r="Y6" s="81"/>
      <c r="AA6" s="65" t="s">
        <v>43</v>
      </c>
      <c r="AB6" s="65" t="s">
        <v>45</v>
      </c>
      <c r="AC6" s="66" t="s">
        <v>61</v>
      </c>
    </row>
    <row r="7" spans="1:29" x14ac:dyDescent="0.2">
      <c r="A7" s="67" t="s">
        <v>43</v>
      </c>
      <c r="B7" s="67" t="s">
        <v>45</v>
      </c>
      <c r="D7" s="67" t="s">
        <v>46</v>
      </c>
      <c r="E7" s="67" t="s">
        <v>47</v>
      </c>
      <c r="F7" s="67" t="s">
        <v>48</v>
      </c>
      <c r="H7" s="67" t="s">
        <v>63</v>
      </c>
      <c r="I7" s="67" t="s">
        <v>47</v>
      </c>
      <c r="J7" s="67" t="s">
        <v>64</v>
      </c>
      <c r="L7" s="67" t="s">
        <v>49</v>
      </c>
      <c r="M7" s="67" t="s">
        <v>47</v>
      </c>
      <c r="N7" s="67" t="s">
        <v>50</v>
      </c>
      <c r="P7" s="67" t="s">
        <v>51</v>
      </c>
      <c r="Q7" s="67" t="s">
        <v>52</v>
      </c>
      <c r="R7" s="68" t="s">
        <v>62</v>
      </c>
      <c r="S7" s="69" t="s">
        <v>54</v>
      </c>
      <c r="T7" s="68" t="s">
        <v>55</v>
      </c>
      <c r="V7" s="67" t="s">
        <v>51</v>
      </c>
      <c r="W7" s="68" t="s">
        <v>53</v>
      </c>
      <c r="X7" s="69" t="s">
        <v>54</v>
      </c>
      <c r="Y7" s="68" t="s">
        <v>55</v>
      </c>
      <c r="AA7" s="70"/>
      <c r="AB7" s="70"/>
      <c r="AC7" s="71"/>
    </row>
    <row r="8" spans="1:29" x14ac:dyDescent="0.2">
      <c r="A8" s="67">
        <v>1</v>
      </c>
      <c r="B8" s="67">
        <f>Start_Age</f>
        <v>45</v>
      </c>
      <c r="D8" s="67">
        <f>VLOOKUP(B8,TPD!$A$10:$C$110,3,FALSE)</f>
        <v>4.2999999999999999E-4</v>
      </c>
      <c r="E8" s="72">
        <f>Input!C15</f>
        <v>0.55000000000000004</v>
      </c>
      <c r="F8" s="67">
        <f>D8*E8</f>
        <v>2.365E-4</v>
      </c>
      <c r="H8" s="67">
        <f>VLOOKUP(B8,'Death with Rider'!$A$10:$C$110,3,FALSE)</f>
        <v>5.4000000000000001E-4</v>
      </c>
      <c r="I8" s="72">
        <f>Input!B15</f>
        <v>0.6</v>
      </c>
      <c r="J8" s="67">
        <f>H8*I8</f>
        <v>3.2400000000000001E-4</v>
      </c>
      <c r="L8" s="67">
        <f>VLOOKUP(B8,'Death Only'!$A$10:$C$110,3,FALSE)</f>
        <v>8.5999999999999998E-4</v>
      </c>
      <c r="M8" s="72">
        <f>Input!B15</f>
        <v>0.6</v>
      </c>
      <c r="N8" s="67">
        <f>L8*M8</f>
        <v>5.1599999999999997E-4</v>
      </c>
      <c r="P8" s="73">
        <v>1</v>
      </c>
      <c r="Q8" s="73">
        <f>F8*P8</f>
        <v>2.365E-4</v>
      </c>
      <c r="R8" s="73">
        <f>J8*P8</f>
        <v>3.2400000000000001E-4</v>
      </c>
      <c r="S8" s="73">
        <f>Lapse_Y1*P8</f>
        <v>0.05</v>
      </c>
      <c r="T8" s="73">
        <f>IF(B8=64,0,(P8-Q8-S8-R8))</f>
        <v>0.94943949999999999</v>
      </c>
      <c r="V8" s="73">
        <v>1</v>
      </c>
      <c r="W8" s="73">
        <f>N8*V8</f>
        <v>5.1599999999999997E-4</v>
      </c>
      <c r="X8" s="73">
        <f>Lapse_Y1*V8</f>
        <v>0.05</v>
      </c>
      <c r="Y8" s="73">
        <f>IF(G8=64,0,(V8-X8-W8))</f>
        <v>0.94948399999999999</v>
      </c>
      <c r="AA8" s="70">
        <f t="shared" ref="AA8:AA27" si="0">A8</f>
        <v>1</v>
      </c>
      <c r="AB8" s="70">
        <f t="shared" ref="AB8:AB27" si="1">B8</f>
        <v>45</v>
      </c>
      <c r="AC8" s="74">
        <f>(Q8+R8)*SI_TPD+W8*(SI_Death-SI_TPD)</f>
        <v>533.79999999999995</v>
      </c>
    </row>
    <row r="9" spans="1:29" x14ac:dyDescent="0.2">
      <c r="A9" s="67">
        <f>A8+1</f>
        <v>2</v>
      </c>
      <c r="B9" s="67">
        <f>B8+1</f>
        <v>46</v>
      </c>
      <c r="D9" s="67">
        <f>VLOOKUP(B9,TPD!$A$10:$C$110,3,FALSE)</f>
        <v>4.6000000000000001E-4</v>
      </c>
      <c r="E9" s="72">
        <f>Input!C16</f>
        <v>0.7</v>
      </c>
      <c r="F9" s="67">
        <f>D9*E9</f>
        <v>3.2199999999999997E-4</v>
      </c>
      <c r="H9" s="67">
        <f>VLOOKUP(B9,'Death with Rider'!$A$10:$C$110,3,FALSE)</f>
        <v>5.9000000000000003E-4</v>
      </c>
      <c r="I9" s="72">
        <f>Input!B16</f>
        <v>0.8</v>
      </c>
      <c r="J9" s="67">
        <f>H9*I9</f>
        <v>4.7200000000000003E-4</v>
      </c>
      <c r="L9" s="67">
        <f>VLOOKUP(B9,'Death Only'!$A$10:$C$110,3,FALSE)</f>
        <v>9.3000000000000005E-4</v>
      </c>
      <c r="M9" s="72">
        <f>Input!B16</f>
        <v>0.8</v>
      </c>
      <c r="N9" s="67">
        <f>L9*M9</f>
        <v>7.4400000000000009E-4</v>
      </c>
      <c r="P9" s="73">
        <f>T8</f>
        <v>0.94943949999999999</v>
      </c>
      <c r="Q9" s="73">
        <f>F9*P9</f>
        <v>3.0571951899999996E-4</v>
      </c>
      <c r="R9" s="73">
        <f>J9*P9</f>
        <v>4.4813544400000002E-4</v>
      </c>
      <c r="S9" s="73">
        <f>Lapse_Y2*P9</f>
        <v>9.4943949999999999E-2</v>
      </c>
      <c r="T9" s="73">
        <f>IF(B9=64,0,(P9-Q9-S9-R9))</f>
        <v>0.85374169503699993</v>
      </c>
      <c r="V9" s="73">
        <f>Y8</f>
        <v>0.94948399999999999</v>
      </c>
      <c r="W9" s="73">
        <f>N9*V9</f>
        <v>7.0641609600000013E-4</v>
      </c>
      <c r="X9" s="73">
        <f>Lapse_Y2*V9</f>
        <v>9.4948400000000002E-2</v>
      </c>
      <c r="Y9" s="73">
        <f>IF(G9=64,0,(V9-X9-W9))</f>
        <v>0.85382918390399998</v>
      </c>
      <c r="AA9" s="70">
        <f t="shared" si="0"/>
        <v>2</v>
      </c>
      <c r="AB9" s="70">
        <f t="shared" si="1"/>
        <v>46</v>
      </c>
      <c r="AC9" s="74">
        <f>(Q9+R9)*SI_TPD+W9*(SI_Death-SI_TPD)</f>
        <v>725.3916428</v>
      </c>
    </row>
    <row r="10" spans="1:29" x14ac:dyDescent="0.2">
      <c r="A10" s="67">
        <f t="shared" ref="A10:B25" si="2">A9+1</f>
        <v>3</v>
      </c>
      <c r="B10" s="67">
        <f t="shared" si="2"/>
        <v>47</v>
      </c>
      <c r="D10" s="67">
        <f>VLOOKUP(B10,TPD!$A$10:$C$110,3,FALSE)</f>
        <v>4.8999999999999998E-4</v>
      </c>
      <c r="E10" s="72">
        <f>Input!C17</f>
        <v>1</v>
      </c>
      <c r="F10" s="67">
        <f>D10*E10</f>
        <v>4.8999999999999998E-4</v>
      </c>
      <c r="H10" s="67">
        <f>VLOOKUP(B10,'Death with Rider'!$A$10:$C$110,3,FALSE)</f>
        <v>6.6E-4</v>
      </c>
      <c r="I10" s="72">
        <f>Input!B17</f>
        <v>1</v>
      </c>
      <c r="J10" s="67">
        <f>H10*I10</f>
        <v>6.6E-4</v>
      </c>
      <c r="L10" s="67">
        <f>VLOOKUP(B10,'Death Only'!$A$10:$C$110,3,FALSE)</f>
        <v>1.0300000000000001E-3</v>
      </c>
      <c r="M10" s="72">
        <f>Input!B17</f>
        <v>1</v>
      </c>
      <c r="N10" s="67">
        <f>L10*M10</f>
        <v>1.0300000000000001E-3</v>
      </c>
      <c r="P10" s="73">
        <f t="shared" ref="P10:P27" si="3">T9</f>
        <v>0.85374169503699993</v>
      </c>
      <c r="Q10" s="73">
        <f>F10*P10</f>
        <v>4.1833343056812993E-4</v>
      </c>
      <c r="R10" s="73">
        <f>J10*P10</f>
        <v>5.634695187244199E-4</v>
      </c>
      <c r="S10" s="73">
        <f>Lapse_Y3*P10</f>
        <v>8.5374169503699998E-2</v>
      </c>
      <c r="T10" s="73">
        <f>IF(B10=64,0,(P10-Q10-S10-R10))</f>
        <v>0.76738572258400728</v>
      </c>
      <c r="V10" s="73">
        <f t="shared" ref="V10:V27" si="4">Y9</f>
        <v>0.85382918390399998</v>
      </c>
      <c r="W10" s="73">
        <f>N10*V10</f>
        <v>8.794440594211201E-4</v>
      </c>
      <c r="X10" s="73">
        <f>Lapse_Y3*V10</f>
        <v>8.5382918390400006E-2</v>
      </c>
      <c r="Y10" s="73">
        <f>IF(G10=64,0,(V10-X10-W10))</f>
        <v>0.76756682145417887</v>
      </c>
      <c r="AA10" s="70">
        <f t="shared" si="0"/>
        <v>3</v>
      </c>
      <c r="AB10" s="70">
        <f t="shared" si="1"/>
        <v>47</v>
      </c>
      <c r="AC10" s="74">
        <f>(Q10+R10)*SI_TPD+W10*(SI_Death-SI_TPD)</f>
        <v>920.38761536969196</v>
      </c>
    </row>
    <row r="11" spans="1:29" x14ac:dyDescent="0.2">
      <c r="A11" s="67">
        <f t="shared" si="2"/>
        <v>4</v>
      </c>
      <c r="B11" s="67">
        <f t="shared" si="2"/>
        <v>48</v>
      </c>
      <c r="D11" s="67">
        <f>VLOOKUP(B11,TPD!$A$10:$C$110,3,FALSE)</f>
        <v>5.2999999999999998E-4</v>
      </c>
      <c r="E11" s="72">
        <f>E10</f>
        <v>1</v>
      </c>
      <c r="F11" s="67">
        <f t="shared" ref="F11:F27" si="5">D11*E11</f>
        <v>5.2999999999999998E-4</v>
      </c>
      <c r="H11" s="67">
        <f>VLOOKUP(B11,'Death with Rider'!$A$10:$C$110,3,FALSE)</f>
        <v>7.1000000000000002E-4</v>
      </c>
      <c r="I11" s="72">
        <f>I10</f>
        <v>1</v>
      </c>
      <c r="J11" s="67">
        <f t="shared" ref="J11:J27" si="6">H11*I11</f>
        <v>7.1000000000000002E-4</v>
      </c>
      <c r="L11" s="67">
        <f>VLOOKUP(B11,'Death Only'!$A$10:$C$110,3,FALSE)</f>
        <v>1.15E-3</v>
      </c>
      <c r="M11" s="72">
        <f>M10</f>
        <v>1</v>
      </c>
      <c r="N11" s="67">
        <f t="shared" ref="N11:N27" si="7">L11*M11</f>
        <v>1.15E-3</v>
      </c>
      <c r="P11" s="73">
        <f t="shared" si="3"/>
        <v>0.76738572258400728</v>
      </c>
      <c r="Q11" s="73">
        <f t="shared" ref="Q11:Q27" si="8">F11*P11</f>
        <v>4.0671443296952386E-4</v>
      </c>
      <c r="R11" s="73">
        <f t="shared" ref="R11:R27" si="9">J11*P11</f>
        <v>5.448438630346452E-4</v>
      </c>
      <c r="S11" s="73">
        <f>Lapse_Y4*P11</f>
        <v>0.11510785838760108</v>
      </c>
      <c r="T11" s="73">
        <f t="shared" ref="T11:T27" si="10">IF(B11=64,0,(P11-Q11-S11-R11))</f>
        <v>0.65132630590040197</v>
      </c>
      <c r="V11" s="73">
        <f t="shared" si="4"/>
        <v>0.76756682145417887</v>
      </c>
      <c r="W11" s="73">
        <f t="shared" ref="W11:W27" si="11">N11*V11</f>
        <v>8.8270184467230568E-4</v>
      </c>
      <c r="X11" s="73">
        <f>Lapse_Y4*V11</f>
        <v>0.11513502321812683</v>
      </c>
      <c r="Y11" s="73">
        <f t="shared" ref="Y11:Y27" si="12">IF(G11=64,0,(V11-X11-W11))</f>
        <v>0.6515490963913797</v>
      </c>
      <c r="AA11" s="70">
        <f t="shared" si="0"/>
        <v>4</v>
      </c>
      <c r="AB11" s="70">
        <f t="shared" si="1"/>
        <v>48</v>
      </c>
      <c r="AC11" s="74">
        <f t="shared" ref="AC11:AC27" si="13">(Q11+R11)*SI_TPD+W11*(SI_Death-SI_TPD)</f>
        <v>910.24442520505113</v>
      </c>
    </row>
    <row r="12" spans="1:29" x14ac:dyDescent="0.2">
      <c r="A12" s="67">
        <f t="shared" si="2"/>
        <v>5</v>
      </c>
      <c r="B12" s="67">
        <f t="shared" si="2"/>
        <v>49</v>
      </c>
      <c r="D12" s="67">
        <f>VLOOKUP(B12,TPD!$A$10:$C$110,3,FALSE)</f>
        <v>5.8E-4</v>
      </c>
      <c r="E12" s="72">
        <f t="shared" ref="E12:E27" si="14">E11</f>
        <v>1</v>
      </c>
      <c r="F12" s="67">
        <f t="shared" si="5"/>
        <v>5.8E-4</v>
      </c>
      <c r="H12" s="67">
        <f>VLOOKUP(B12,'Death with Rider'!$A$10:$C$110,3,FALSE)</f>
        <v>7.9000000000000001E-4</v>
      </c>
      <c r="I12" s="72">
        <f t="shared" ref="I12:I27" si="15">I11</f>
        <v>1</v>
      </c>
      <c r="J12" s="67">
        <f>H12*I12</f>
        <v>7.9000000000000001E-4</v>
      </c>
      <c r="L12" s="67">
        <f>VLOOKUP(B12,'Death Only'!$A$10:$C$110,3,FALSE)</f>
        <v>1.2800000000000001E-3</v>
      </c>
      <c r="M12" s="72">
        <f t="shared" ref="M12:M27" si="16">M11</f>
        <v>1</v>
      </c>
      <c r="N12" s="67">
        <f t="shared" si="7"/>
        <v>1.2800000000000001E-3</v>
      </c>
      <c r="P12" s="73">
        <f t="shared" si="3"/>
        <v>0.65132630590040197</v>
      </c>
      <c r="Q12" s="73">
        <f t="shared" si="8"/>
        <v>3.7776925742223313E-4</v>
      </c>
      <c r="R12" s="73">
        <f>J12*P12</f>
        <v>5.1454778166131756E-4</v>
      </c>
      <c r="S12" s="73">
        <f t="shared" ref="S12:S27" si="17">Lapse_Y5*P12</f>
        <v>9.7698945885060298E-2</v>
      </c>
      <c r="T12" s="73">
        <f t="shared" si="10"/>
        <v>0.55273504297625808</v>
      </c>
      <c r="V12" s="73">
        <f t="shared" si="4"/>
        <v>0.6515490963913797</v>
      </c>
      <c r="W12" s="73">
        <f t="shared" si="11"/>
        <v>8.3398284338096612E-4</v>
      </c>
      <c r="X12" s="73">
        <f>Lapse_Y5*V12</f>
        <v>9.773236445870695E-2</v>
      </c>
      <c r="Y12" s="73">
        <f t="shared" si="12"/>
        <v>0.55298274908929179</v>
      </c>
      <c r="AA12" s="70">
        <f t="shared" si="0"/>
        <v>5</v>
      </c>
      <c r="AB12" s="70">
        <f t="shared" si="1"/>
        <v>49</v>
      </c>
      <c r="AC12" s="74">
        <f t="shared" si="13"/>
        <v>857.31652166200001</v>
      </c>
    </row>
    <row r="13" spans="1:29" x14ac:dyDescent="0.2">
      <c r="A13" s="67">
        <f t="shared" si="2"/>
        <v>6</v>
      </c>
      <c r="B13" s="67">
        <f t="shared" si="2"/>
        <v>50</v>
      </c>
      <c r="D13" s="67">
        <f>VLOOKUP(B13,TPD!$A$10:$C$110,3,FALSE)</f>
        <v>6.6E-4</v>
      </c>
      <c r="E13" s="72">
        <f t="shared" si="14"/>
        <v>1</v>
      </c>
      <c r="F13" s="67">
        <f t="shared" si="5"/>
        <v>6.6E-4</v>
      </c>
      <c r="H13" s="67">
        <f>VLOOKUP(B13,'Death with Rider'!$A$10:$C$110,3,FALSE)</f>
        <v>8.5999999999999998E-4</v>
      </c>
      <c r="I13" s="72">
        <f t="shared" si="15"/>
        <v>1</v>
      </c>
      <c r="J13" s="67">
        <f t="shared" si="6"/>
        <v>8.5999999999999998E-4</v>
      </c>
      <c r="L13" s="67">
        <f>VLOOKUP(B13,'Death Only'!$A$10:$C$110,3,FALSE)</f>
        <v>1.42E-3</v>
      </c>
      <c r="M13" s="72">
        <f t="shared" si="16"/>
        <v>1</v>
      </c>
      <c r="N13" s="67">
        <f t="shared" si="7"/>
        <v>1.42E-3</v>
      </c>
      <c r="P13" s="73">
        <f t="shared" si="3"/>
        <v>0.55273504297625808</v>
      </c>
      <c r="Q13" s="73">
        <f t="shared" si="8"/>
        <v>3.6480512836433034E-4</v>
      </c>
      <c r="R13" s="73">
        <f t="shared" si="9"/>
        <v>4.7535213695958193E-4</v>
      </c>
      <c r="S13" s="73">
        <f t="shared" si="17"/>
        <v>8.2910256446438707E-2</v>
      </c>
      <c r="T13" s="73">
        <f t="shared" si="10"/>
        <v>0.46898462926449547</v>
      </c>
      <c r="V13" s="73">
        <f t="shared" si="4"/>
        <v>0.55298274908929179</v>
      </c>
      <c r="W13" s="73">
        <f t="shared" si="11"/>
        <v>7.8523550370679439E-4</v>
      </c>
      <c r="X13" s="73">
        <f>Lapse_Y5*V13</f>
        <v>8.2947412363393772E-2</v>
      </c>
      <c r="Y13" s="73">
        <f t="shared" si="12"/>
        <v>0.46925010122219124</v>
      </c>
      <c r="AA13" s="70">
        <f t="shared" si="0"/>
        <v>6</v>
      </c>
      <c r="AB13" s="70">
        <f t="shared" si="1"/>
        <v>50</v>
      </c>
      <c r="AC13" s="74">
        <f t="shared" si="13"/>
        <v>807.20420835364155</v>
      </c>
    </row>
    <row r="14" spans="1:29" x14ac:dyDescent="0.2">
      <c r="A14" s="67">
        <f t="shared" si="2"/>
        <v>7</v>
      </c>
      <c r="B14" s="67">
        <f t="shared" si="2"/>
        <v>51</v>
      </c>
      <c r="D14" s="67">
        <f>VLOOKUP(B14,TPD!$A$10:$C$110,3,FALSE)</f>
        <v>7.6999999999999996E-4</v>
      </c>
      <c r="E14" s="72">
        <f t="shared" si="14"/>
        <v>1</v>
      </c>
      <c r="F14" s="67">
        <f t="shared" si="5"/>
        <v>7.6999999999999996E-4</v>
      </c>
      <c r="H14" s="67">
        <f>VLOOKUP(B14,'Death with Rider'!$A$10:$C$110,3,FALSE)</f>
        <v>9.6000000000000002E-4</v>
      </c>
      <c r="I14" s="72">
        <f t="shared" si="15"/>
        <v>1</v>
      </c>
      <c r="J14" s="67">
        <f t="shared" si="6"/>
        <v>9.6000000000000002E-4</v>
      </c>
      <c r="L14" s="67">
        <f>VLOOKUP(B14,'Death Only'!$A$10:$C$110,3,FALSE)</f>
        <v>1.56E-3</v>
      </c>
      <c r="M14" s="72">
        <f t="shared" si="16"/>
        <v>1</v>
      </c>
      <c r="N14" s="67">
        <f t="shared" si="7"/>
        <v>1.56E-3</v>
      </c>
      <c r="P14" s="73">
        <f t="shared" si="3"/>
        <v>0.46898462926449547</v>
      </c>
      <c r="Q14" s="73">
        <f t="shared" si="8"/>
        <v>3.611181645336615E-4</v>
      </c>
      <c r="R14" s="73">
        <f t="shared" si="9"/>
        <v>4.5022524409391566E-4</v>
      </c>
      <c r="S14" s="73">
        <f t="shared" si="17"/>
        <v>7.0347694389674323E-2</v>
      </c>
      <c r="T14" s="73">
        <f t="shared" si="10"/>
        <v>0.39782559146619356</v>
      </c>
      <c r="V14" s="73">
        <f t="shared" si="4"/>
        <v>0.46925010122219124</v>
      </c>
      <c r="W14" s="73">
        <f t="shared" si="11"/>
        <v>7.3203015790661828E-4</v>
      </c>
      <c r="X14" s="73">
        <f t="shared" ref="X14:X27" si="18">Lapse_Y5*V14</f>
        <v>7.0387515183328683E-2</v>
      </c>
      <c r="Y14" s="73">
        <f t="shared" si="12"/>
        <v>0.39813055588095592</v>
      </c>
      <c r="AA14" s="70">
        <f t="shared" si="0"/>
        <v>7</v>
      </c>
      <c r="AB14" s="70">
        <f t="shared" si="1"/>
        <v>51</v>
      </c>
      <c r="AC14" s="74">
        <f t="shared" si="13"/>
        <v>763.75545819500189</v>
      </c>
    </row>
    <row r="15" spans="1:29" x14ac:dyDescent="0.2">
      <c r="A15" s="67">
        <f t="shared" si="2"/>
        <v>8</v>
      </c>
      <c r="B15" s="67">
        <f t="shared" si="2"/>
        <v>52</v>
      </c>
      <c r="D15" s="67">
        <f>VLOOKUP(B15,TPD!$A$10:$C$110,3,FALSE)</f>
        <v>9.1E-4</v>
      </c>
      <c r="E15" s="72">
        <f t="shared" si="14"/>
        <v>1</v>
      </c>
      <c r="F15" s="67">
        <f t="shared" si="5"/>
        <v>9.1E-4</v>
      </c>
      <c r="H15" s="67">
        <f>VLOOKUP(B15,'Death with Rider'!$A$10:$C$110,3,FALSE)</f>
        <v>1.06E-3</v>
      </c>
      <c r="I15" s="72">
        <f t="shared" si="15"/>
        <v>1</v>
      </c>
      <c r="J15" s="67">
        <f t="shared" si="6"/>
        <v>1.06E-3</v>
      </c>
      <c r="L15" s="67">
        <f>VLOOKUP(B15,'Death Only'!$A$10:$C$110,3,FALSE)</f>
        <v>1.72E-3</v>
      </c>
      <c r="M15" s="72">
        <f t="shared" si="16"/>
        <v>1</v>
      </c>
      <c r="N15" s="67">
        <f t="shared" si="7"/>
        <v>1.72E-3</v>
      </c>
      <c r="P15" s="73">
        <f t="shared" si="3"/>
        <v>0.39782559146619356</v>
      </c>
      <c r="Q15" s="73">
        <f t="shared" si="8"/>
        <v>3.6202128823423614E-4</v>
      </c>
      <c r="R15" s="73">
        <f t="shared" si="9"/>
        <v>4.2169512695416515E-4</v>
      </c>
      <c r="S15" s="73">
        <f t="shared" si="17"/>
        <v>5.9673838719929033E-2</v>
      </c>
      <c r="T15" s="73">
        <f t="shared" si="10"/>
        <v>0.33736803633107609</v>
      </c>
      <c r="V15" s="73">
        <f t="shared" si="4"/>
        <v>0.39813055588095592</v>
      </c>
      <c r="W15" s="73">
        <f t="shared" si="11"/>
        <v>6.8478455611524415E-4</v>
      </c>
      <c r="X15" s="73">
        <f t="shared" si="18"/>
        <v>5.9719583382143386E-2</v>
      </c>
      <c r="Y15" s="73">
        <f t="shared" si="12"/>
        <v>0.33772618794269726</v>
      </c>
      <c r="AA15" s="70">
        <f t="shared" si="0"/>
        <v>8</v>
      </c>
      <c r="AB15" s="70">
        <f t="shared" si="1"/>
        <v>52</v>
      </c>
      <c r="AC15" s="74">
        <f t="shared" si="13"/>
        <v>724.35729974450703</v>
      </c>
    </row>
    <row r="16" spans="1:29" x14ac:dyDescent="0.2">
      <c r="A16" s="67">
        <f t="shared" si="2"/>
        <v>9</v>
      </c>
      <c r="B16" s="67">
        <f t="shared" si="2"/>
        <v>53</v>
      </c>
      <c r="D16" s="67">
        <f>VLOOKUP(B16,TPD!$A$10:$C$110,3,FALSE)</f>
        <v>1.08E-3</v>
      </c>
      <c r="E16" s="72">
        <f t="shared" si="14"/>
        <v>1</v>
      </c>
      <c r="F16" s="67">
        <f t="shared" si="5"/>
        <v>1.08E-3</v>
      </c>
      <c r="H16" s="67">
        <f>VLOOKUP(B16,'Death with Rider'!$A$10:$C$110,3,FALSE)</f>
        <v>1.1800000000000001E-3</v>
      </c>
      <c r="I16" s="72">
        <f t="shared" si="15"/>
        <v>1</v>
      </c>
      <c r="J16" s="67">
        <f t="shared" si="6"/>
        <v>1.1800000000000001E-3</v>
      </c>
      <c r="L16" s="67">
        <f>VLOOKUP(B16,'Death Only'!$A$10:$C$110,3,FALSE)</f>
        <v>1.89E-3</v>
      </c>
      <c r="M16" s="72">
        <f t="shared" si="16"/>
        <v>1</v>
      </c>
      <c r="N16" s="67">
        <f t="shared" si="7"/>
        <v>1.89E-3</v>
      </c>
      <c r="P16" s="73">
        <f t="shared" si="3"/>
        <v>0.33736803633107609</v>
      </c>
      <c r="Q16" s="73">
        <f t="shared" si="8"/>
        <v>3.6435747923756217E-4</v>
      </c>
      <c r="R16" s="73">
        <f t="shared" si="9"/>
        <v>3.980942828706698E-4</v>
      </c>
      <c r="S16" s="73">
        <f t="shared" si="17"/>
        <v>5.0605205449661413E-2</v>
      </c>
      <c r="T16" s="73">
        <f t="shared" si="10"/>
        <v>0.28600037911930642</v>
      </c>
      <c r="V16" s="73">
        <f t="shared" si="4"/>
        <v>0.33772618794269726</v>
      </c>
      <c r="W16" s="73">
        <f t="shared" si="11"/>
        <v>6.3830249521169781E-4</v>
      </c>
      <c r="X16" s="73">
        <f t="shared" si="18"/>
        <v>5.0658928191404586E-2</v>
      </c>
      <c r="Y16" s="73">
        <f t="shared" si="12"/>
        <v>0.28642895725608097</v>
      </c>
      <c r="AA16" s="70">
        <f t="shared" si="0"/>
        <v>9</v>
      </c>
      <c r="AB16" s="70">
        <f t="shared" si="1"/>
        <v>53</v>
      </c>
      <c r="AC16" s="74">
        <f t="shared" si="13"/>
        <v>687.96220197031153</v>
      </c>
    </row>
    <row r="17" spans="1:29" x14ac:dyDescent="0.2">
      <c r="A17" s="67">
        <f t="shared" si="2"/>
        <v>10</v>
      </c>
      <c r="B17" s="67">
        <f t="shared" si="2"/>
        <v>54</v>
      </c>
      <c r="D17" s="67">
        <f>VLOOKUP(B17,TPD!$A$10:$C$110,3,FALSE)</f>
        <v>1.2899999999999999E-3</v>
      </c>
      <c r="E17" s="72">
        <f t="shared" si="14"/>
        <v>1</v>
      </c>
      <c r="F17" s="67">
        <f>D17*E17</f>
        <v>1.2899999999999999E-3</v>
      </c>
      <c r="H17" s="67">
        <f>VLOOKUP(B17,'Death with Rider'!$A$10:$C$110,3,FALSE)</f>
        <v>1.2999999999999999E-3</v>
      </c>
      <c r="I17" s="72">
        <f t="shared" si="15"/>
        <v>1</v>
      </c>
      <c r="J17" s="67">
        <f t="shared" si="6"/>
        <v>1.2999999999999999E-3</v>
      </c>
      <c r="L17" s="67">
        <f>VLOOKUP(B17,'Death Only'!$A$10:$C$110,3,FALSE)</f>
        <v>2.0799999999999998E-3</v>
      </c>
      <c r="M17" s="72">
        <f t="shared" si="16"/>
        <v>1</v>
      </c>
      <c r="N17" s="67">
        <f t="shared" si="7"/>
        <v>2.0799999999999998E-3</v>
      </c>
      <c r="P17" s="73">
        <f t="shared" si="3"/>
        <v>0.28600037911930642</v>
      </c>
      <c r="Q17" s="73">
        <f t="shared" si="8"/>
        <v>3.6894048906390526E-4</v>
      </c>
      <c r="R17" s="73">
        <f t="shared" si="9"/>
        <v>3.7180049285509835E-4</v>
      </c>
      <c r="S17" s="73">
        <f t="shared" si="17"/>
        <v>4.2900056867895962E-2</v>
      </c>
      <c r="T17" s="73">
        <f t="shared" si="10"/>
        <v>0.24235958126949148</v>
      </c>
      <c r="V17" s="73">
        <f t="shared" si="4"/>
        <v>0.28642895725608097</v>
      </c>
      <c r="W17" s="73">
        <f t="shared" si="11"/>
        <v>5.9577223109264833E-4</v>
      </c>
      <c r="X17" s="73">
        <f t="shared" si="18"/>
        <v>4.2964343588412147E-2</v>
      </c>
      <c r="Y17" s="73">
        <f t="shared" si="12"/>
        <v>0.24286884143657619</v>
      </c>
      <c r="AA17" s="70">
        <f t="shared" si="0"/>
        <v>10</v>
      </c>
      <c r="AB17" s="70">
        <f t="shared" si="1"/>
        <v>54</v>
      </c>
      <c r="AC17" s="74">
        <f t="shared" si="13"/>
        <v>653.75973142319049</v>
      </c>
    </row>
    <row r="18" spans="1:29" x14ac:dyDescent="0.2">
      <c r="A18" s="67">
        <f t="shared" si="2"/>
        <v>11</v>
      </c>
      <c r="B18" s="67">
        <f t="shared" si="2"/>
        <v>55</v>
      </c>
      <c r="D18" s="67">
        <f>VLOOKUP(B18,TPD!$A$10:$C$110,3,FALSE)</f>
        <v>1.5200000000000001E-3</v>
      </c>
      <c r="E18" s="72">
        <f t="shared" si="14"/>
        <v>1</v>
      </c>
      <c r="F18" s="67">
        <f t="shared" si="5"/>
        <v>1.5200000000000001E-3</v>
      </c>
      <c r="H18" s="67">
        <f>VLOOKUP(B18,'Death with Rider'!$A$10:$C$110,3,FALSE)</f>
        <v>1.42E-3</v>
      </c>
      <c r="I18" s="72">
        <f t="shared" si="15"/>
        <v>1</v>
      </c>
      <c r="J18" s="67">
        <f t="shared" si="6"/>
        <v>1.42E-3</v>
      </c>
      <c r="L18" s="67">
        <f>VLOOKUP(B18,'Death Only'!$A$10:$C$110,3,FALSE)</f>
        <v>2.3E-3</v>
      </c>
      <c r="M18" s="72">
        <f t="shared" si="16"/>
        <v>1</v>
      </c>
      <c r="N18" s="67">
        <f t="shared" si="7"/>
        <v>2.3E-3</v>
      </c>
      <c r="P18" s="73">
        <f t="shared" si="3"/>
        <v>0.24235958126949148</v>
      </c>
      <c r="Q18" s="73">
        <f t="shared" si="8"/>
        <v>3.6838656352962705E-4</v>
      </c>
      <c r="R18" s="73">
        <f t="shared" si="9"/>
        <v>3.441506054026779E-4</v>
      </c>
      <c r="S18" s="73">
        <f t="shared" si="17"/>
        <v>3.6353937190423721E-2</v>
      </c>
      <c r="T18" s="73">
        <f t="shared" si="10"/>
        <v>0.20529310691013544</v>
      </c>
      <c r="V18" s="73">
        <f t="shared" si="4"/>
        <v>0.24286884143657619</v>
      </c>
      <c r="W18" s="73">
        <f t="shared" si="11"/>
        <v>5.5859833530412528E-4</v>
      </c>
      <c r="X18" s="73">
        <f t="shared" si="18"/>
        <v>3.6430326215486426E-2</v>
      </c>
      <c r="Y18" s="73">
        <f t="shared" si="12"/>
        <v>0.20587991688578564</v>
      </c>
      <c r="AA18" s="70">
        <f t="shared" si="0"/>
        <v>11</v>
      </c>
      <c r="AB18" s="70">
        <f t="shared" si="1"/>
        <v>55</v>
      </c>
      <c r="AC18" s="74">
        <f t="shared" si="13"/>
        <v>620.17386875539705</v>
      </c>
    </row>
    <row r="19" spans="1:29" x14ac:dyDescent="0.2">
      <c r="A19" s="67">
        <f t="shared" si="2"/>
        <v>12</v>
      </c>
      <c r="B19" s="67">
        <f t="shared" si="2"/>
        <v>56</v>
      </c>
      <c r="D19" s="67">
        <f>VLOOKUP(B19,TPD!$A$10:$C$110,3,FALSE)</f>
        <v>1.7700000000000001E-3</v>
      </c>
      <c r="E19" s="72">
        <f t="shared" si="14"/>
        <v>1</v>
      </c>
      <c r="F19" s="67">
        <f t="shared" si="5"/>
        <v>1.7700000000000001E-3</v>
      </c>
      <c r="H19" s="67">
        <f>VLOOKUP(B19,'Death with Rider'!$A$10:$C$110,3,FALSE)</f>
        <v>1.5100000000000001E-3</v>
      </c>
      <c r="I19" s="72">
        <f t="shared" si="15"/>
        <v>1</v>
      </c>
      <c r="J19" s="67">
        <f t="shared" si="6"/>
        <v>1.5100000000000001E-3</v>
      </c>
      <c r="L19" s="67">
        <f>VLOOKUP(B19,'Death Only'!$A$10:$C$110,3,FALSE)</f>
        <v>2.5500000000000002E-3</v>
      </c>
      <c r="M19" s="72">
        <f t="shared" si="16"/>
        <v>1</v>
      </c>
      <c r="N19" s="67">
        <f t="shared" si="7"/>
        <v>2.5500000000000002E-3</v>
      </c>
      <c r="P19" s="73">
        <f t="shared" si="3"/>
        <v>0.20529310691013544</v>
      </c>
      <c r="Q19" s="73">
        <f t="shared" si="8"/>
        <v>3.6336879923093977E-4</v>
      </c>
      <c r="R19" s="73">
        <f t="shared" si="9"/>
        <v>3.0999259143430451E-4</v>
      </c>
      <c r="S19" s="73">
        <f t="shared" si="17"/>
        <v>3.0793966036520314E-2</v>
      </c>
      <c r="T19" s="73">
        <f t="shared" si="10"/>
        <v>0.17382577948294989</v>
      </c>
      <c r="V19" s="73">
        <f t="shared" si="4"/>
        <v>0.20587991688578564</v>
      </c>
      <c r="W19" s="73">
        <f t="shared" si="11"/>
        <v>5.2499378805875342E-4</v>
      </c>
      <c r="X19" s="73">
        <f t="shared" si="18"/>
        <v>3.0881987532867843E-2</v>
      </c>
      <c r="Y19" s="73">
        <f t="shared" si="12"/>
        <v>0.17447293556485904</v>
      </c>
      <c r="AA19" s="70">
        <f t="shared" si="0"/>
        <v>12</v>
      </c>
      <c r="AB19" s="70">
        <f t="shared" si="1"/>
        <v>56</v>
      </c>
      <c r="AC19" s="74">
        <f t="shared" si="13"/>
        <v>584.34082910134975</v>
      </c>
    </row>
    <row r="20" spans="1:29" x14ac:dyDescent="0.2">
      <c r="A20" s="67">
        <f t="shared" si="2"/>
        <v>13</v>
      </c>
      <c r="B20" s="67">
        <f t="shared" si="2"/>
        <v>57</v>
      </c>
      <c r="D20" s="67">
        <f>VLOOKUP(B20,TPD!$A$10:$C$110,3,FALSE)</f>
        <v>2.0300000000000001E-3</v>
      </c>
      <c r="E20" s="72">
        <f t="shared" si="14"/>
        <v>1</v>
      </c>
      <c r="F20" s="67">
        <f t="shared" si="5"/>
        <v>2.0300000000000001E-3</v>
      </c>
      <c r="H20" s="67">
        <f>VLOOKUP(B20,'Death with Rider'!$A$10:$C$110,3,FALSE)</f>
        <v>1.6000000000000001E-3</v>
      </c>
      <c r="I20" s="72">
        <f t="shared" si="15"/>
        <v>1</v>
      </c>
      <c r="J20" s="67">
        <f t="shared" si="6"/>
        <v>1.6000000000000001E-3</v>
      </c>
      <c r="L20" s="67">
        <f>VLOOKUP(B20,'Death Only'!$A$10:$C$110,3,FALSE)</f>
        <v>2.8600000000000001E-3</v>
      </c>
      <c r="M20" s="72">
        <f t="shared" si="16"/>
        <v>1</v>
      </c>
      <c r="N20" s="67">
        <f t="shared" si="7"/>
        <v>2.8600000000000001E-3</v>
      </c>
      <c r="P20" s="73">
        <f t="shared" si="3"/>
        <v>0.17382577948294989</v>
      </c>
      <c r="Q20" s="73">
        <f t="shared" si="8"/>
        <v>3.5286633235038828E-4</v>
      </c>
      <c r="R20" s="73">
        <f t="shared" si="9"/>
        <v>2.7812124717271983E-4</v>
      </c>
      <c r="S20" s="73">
        <f t="shared" si="17"/>
        <v>2.6073866922442481E-2</v>
      </c>
      <c r="T20" s="73">
        <f t="shared" si="10"/>
        <v>0.14712092498098431</v>
      </c>
      <c r="V20" s="73">
        <f t="shared" si="4"/>
        <v>0.17447293556485904</v>
      </c>
      <c r="W20" s="73">
        <f t="shared" si="11"/>
        <v>4.9899259571549687E-4</v>
      </c>
      <c r="X20" s="73">
        <f t="shared" si="18"/>
        <v>2.6170940334728856E-2</v>
      </c>
      <c r="Y20" s="73">
        <f t="shared" si="12"/>
        <v>0.14780300263441468</v>
      </c>
      <c r="AA20" s="70">
        <f t="shared" si="0"/>
        <v>13</v>
      </c>
      <c r="AB20" s="70">
        <f t="shared" si="1"/>
        <v>57</v>
      </c>
      <c r="AC20" s="74">
        <f t="shared" si="13"/>
        <v>551.79058923854132</v>
      </c>
    </row>
    <row r="21" spans="1:29" x14ac:dyDescent="0.2">
      <c r="A21" s="67">
        <f t="shared" si="2"/>
        <v>14</v>
      </c>
      <c r="B21" s="67">
        <f t="shared" si="2"/>
        <v>58</v>
      </c>
      <c r="D21" s="67">
        <f>VLOOKUP(B21,TPD!$A$10:$C$110,3,FALSE)</f>
        <v>2.32E-3</v>
      </c>
      <c r="E21" s="72">
        <f t="shared" si="14"/>
        <v>1</v>
      </c>
      <c r="F21" s="67">
        <f t="shared" si="5"/>
        <v>2.32E-3</v>
      </c>
      <c r="H21" s="67">
        <f>VLOOKUP(B21,'Death with Rider'!$A$10:$C$110,3,FALSE)</f>
        <v>1.6900000000000001E-3</v>
      </c>
      <c r="I21" s="72">
        <f t="shared" si="15"/>
        <v>1</v>
      </c>
      <c r="J21" s="67">
        <f t="shared" si="6"/>
        <v>1.6900000000000001E-3</v>
      </c>
      <c r="L21" s="67">
        <f>VLOOKUP(B21,'Death Only'!$A$10:$C$110,3,FALSE)</f>
        <v>3.2000000000000002E-3</v>
      </c>
      <c r="M21" s="72">
        <f t="shared" si="16"/>
        <v>1</v>
      </c>
      <c r="N21" s="67">
        <f t="shared" si="7"/>
        <v>3.2000000000000002E-3</v>
      </c>
      <c r="P21" s="73">
        <f t="shared" si="3"/>
        <v>0.14712092498098431</v>
      </c>
      <c r="Q21" s="73">
        <f t="shared" si="8"/>
        <v>3.4132054595588357E-4</v>
      </c>
      <c r="R21" s="73">
        <f t="shared" si="9"/>
        <v>2.4863436321786352E-4</v>
      </c>
      <c r="S21" s="73">
        <f>Lapse_Y5*P21</f>
        <v>2.2068138747147647E-2</v>
      </c>
      <c r="T21" s="73">
        <f t="shared" si="10"/>
        <v>0.12446283132466292</v>
      </c>
      <c r="V21" s="73">
        <f t="shared" si="4"/>
        <v>0.14780300263441468</v>
      </c>
      <c r="W21" s="73">
        <f t="shared" si="11"/>
        <v>4.7296960843012698E-4</v>
      </c>
      <c r="X21" s="73">
        <f t="shared" si="18"/>
        <v>2.2170450395162199E-2</v>
      </c>
      <c r="Y21" s="73">
        <f t="shared" si="12"/>
        <v>0.12515958263082236</v>
      </c>
      <c r="AA21" s="70">
        <f t="shared" si="0"/>
        <v>14</v>
      </c>
      <c r="AB21" s="70">
        <f t="shared" si="1"/>
        <v>58</v>
      </c>
      <c r="AC21" s="74">
        <f t="shared" si="13"/>
        <v>519.76372872757497</v>
      </c>
    </row>
    <row r="22" spans="1:29" x14ac:dyDescent="0.2">
      <c r="A22" s="67">
        <f t="shared" si="2"/>
        <v>15</v>
      </c>
      <c r="B22" s="67">
        <f t="shared" si="2"/>
        <v>59</v>
      </c>
      <c r="D22" s="67">
        <f>VLOOKUP(B22,TPD!$A$10:$C$110,3,FALSE)</f>
        <v>2.63E-3</v>
      </c>
      <c r="E22" s="72">
        <f t="shared" si="14"/>
        <v>1</v>
      </c>
      <c r="F22" s="67">
        <f t="shared" si="5"/>
        <v>2.63E-3</v>
      </c>
      <c r="H22" s="67">
        <f>VLOOKUP(B22,'Death with Rider'!$A$10:$C$110,3,FALSE)</f>
        <v>1.7799999999999999E-3</v>
      </c>
      <c r="I22" s="72">
        <f t="shared" si="15"/>
        <v>1</v>
      </c>
      <c r="J22" s="67">
        <f t="shared" si="6"/>
        <v>1.7799999999999999E-3</v>
      </c>
      <c r="L22" s="67">
        <f>VLOOKUP(B22,'Death Only'!$A$10:$C$110,3,FALSE)</f>
        <v>3.5799999999999998E-3</v>
      </c>
      <c r="M22" s="72">
        <f t="shared" si="16"/>
        <v>1</v>
      </c>
      <c r="N22" s="67">
        <f t="shared" si="7"/>
        <v>3.5799999999999998E-3</v>
      </c>
      <c r="P22" s="73">
        <f t="shared" si="3"/>
        <v>0.12446283132466292</v>
      </c>
      <c r="Q22" s="73">
        <f t="shared" si="8"/>
        <v>3.2733724638386348E-4</v>
      </c>
      <c r="R22" s="73">
        <f t="shared" si="9"/>
        <v>2.2154383975789998E-4</v>
      </c>
      <c r="S22" s="73">
        <f t="shared" si="17"/>
        <v>1.8669424698699436E-2</v>
      </c>
      <c r="T22" s="73">
        <f t="shared" si="10"/>
        <v>0.10524452553982171</v>
      </c>
      <c r="V22" s="73">
        <f t="shared" si="4"/>
        <v>0.12515958263082236</v>
      </c>
      <c r="W22" s="73">
        <f t="shared" si="11"/>
        <v>4.4807130581834404E-4</v>
      </c>
      <c r="X22" s="73">
        <f t="shared" si="18"/>
        <v>1.8773937394623352E-2</v>
      </c>
      <c r="Y22" s="73">
        <f t="shared" si="12"/>
        <v>0.10593757393038067</v>
      </c>
      <c r="AA22" s="70">
        <f t="shared" si="0"/>
        <v>15</v>
      </c>
      <c r="AB22" s="70">
        <f t="shared" si="1"/>
        <v>59</v>
      </c>
      <c r="AC22" s="74">
        <f t="shared" si="13"/>
        <v>488.39521794771179</v>
      </c>
    </row>
    <row r="23" spans="1:29" x14ac:dyDescent="0.2">
      <c r="A23" s="67">
        <f t="shared" si="2"/>
        <v>16</v>
      </c>
      <c r="B23" s="67">
        <f t="shared" si="2"/>
        <v>60</v>
      </c>
      <c r="D23" s="67">
        <f>VLOOKUP(B23,TPD!$A$10:$C$110,3,FALSE)</f>
        <v>2.96E-3</v>
      </c>
      <c r="E23" s="72">
        <f t="shared" si="14"/>
        <v>1</v>
      </c>
      <c r="F23" s="67">
        <f t="shared" si="5"/>
        <v>2.96E-3</v>
      </c>
      <c r="H23" s="67">
        <f>VLOOKUP(B23,'Death with Rider'!$A$10:$C$110,3,FALSE)</f>
        <v>1.8699999999999999E-3</v>
      </c>
      <c r="I23" s="72">
        <f t="shared" si="15"/>
        <v>1</v>
      </c>
      <c r="J23" s="67">
        <f t="shared" si="6"/>
        <v>1.8699999999999999E-3</v>
      </c>
      <c r="L23" s="67">
        <f>VLOOKUP(B23,'Death Only'!$A$10:$C$110,3,FALSE)</f>
        <v>3.9699999999999996E-3</v>
      </c>
      <c r="M23" s="72">
        <f t="shared" si="16"/>
        <v>1</v>
      </c>
      <c r="N23" s="67">
        <f t="shared" si="7"/>
        <v>3.9699999999999996E-3</v>
      </c>
      <c r="P23" s="73">
        <f t="shared" si="3"/>
        <v>0.10524452553982171</v>
      </c>
      <c r="Q23" s="73">
        <f t="shared" si="8"/>
        <v>3.1152379559787227E-4</v>
      </c>
      <c r="R23" s="73">
        <f t="shared" si="9"/>
        <v>1.9680726275946657E-4</v>
      </c>
      <c r="S23" s="73">
        <f t="shared" si="17"/>
        <v>1.5786678830973254E-2</v>
      </c>
      <c r="T23" s="73">
        <f t="shared" si="10"/>
        <v>8.8949515650491126E-2</v>
      </c>
      <c r="V23" s="73">
        <f t="shared" si="4"/>
        <v>0.10593757393038067</v>
      </c>
      <c r="W23" s="73">
        <f t="shared" si="11"/>
        <v>4.2057216850361121E-4</v>
      </c>
      <c r="X23" s="73">
        <f t="shared" si="18"/>
        <v>1.5890636089557101E-2</v>
      </c>
      <c r="Y23" s="73">
        <f t="shared" si="12"/>
        <v>8.9626365672319963E-2</v>
      </c>
      <c r="AA23" s="70">
        <f t="shared" si="0"/>
        <v>16</v>
      </c>
      <c r="AB23" s="70">
        <f t="shared" si="1"/>
        <v>60</v>
      </c>
      <c r="AC23" s="74">
        <f t="shared" si="13"/>
        <v>455.67572444510222</v>
      </c>
    </row>
    <row r="24" spans="1:29" x14ac:dyDescent="0.2">
      <c r="A24" s="67">
        <f t="shared" si="2"/>
        <v>17</v>
      </c>
      <c r="B24" s="67">
        <f t="shared" si="2"/>
        <v>61</v>
      </c>
      <c r="D24" s="67">
        <f>VLOOKUP(B24,TPD!$A$10:$C$110,3,FALSE)</f>
        <v>3.32E-3</v>
      </c>
      <c r="E24" s="72">
        <f t="shared" si="14"/>
        <v>1</v>
      </c>
      <c r="F24" s="67">
        <f t="shared" si="5"/>
        <v>3.32E-3</v>
      </c>
      <c r="H24" s="67">
        <f>VLOOKUP(B24,'Death with Rider'!$A$10:$C$110,3,FALSE)</f>
        <v>2.0200000000000001E-3</v>
      </c>
      <c r="I24" s="72">
        <f t="shared" si="15"/>
        <v>1</v>
      </c>
      <c r="J24" s="67">
        <f t="shared" si="6"/>
        <v>2.0200000000000001E-3</v>
      </c>
      <c r="L24" s="67">
        <f>VLOOKUP(B24,'Death Only'!$A$10:$C$110,3,FALSE)</f>
        <v>4.3800000000000002E-3</v>
      </c>
      <c r="M24" s="72">
        <f t="shared" si="16"/>
        <v>1</v>
      </c>
      <c r="N24" s="67">
        <f t="shared" si="7"/>
        <v>4.3800000000000002E-3</v>
      </c>
      <c r="P24" s="73">
        <f t="shared" si="3"/>
        <v>8.8949515650491126E-2</v>
      </c>
      <c r="Q24" s="73">
        <f t="shared" si="8"/>
        <v>2.9531239195963055E-4</v>
      </c>
      <c r="R24" s="73">
        <f t="shared" si="9"/>
        <v>1.7967802161399207E-4</v>
      </c>
      <c r="S24" s="73">
        <f t="shared" si="17"/>
        <v>1.3342427347573668E-2</v>
      </c>
      <c r="T24" s="73">
        <f t="shared" si="10"/>
        <v>7.513209788934383E-2</v>
      </c>
      <c r="V24" s="73">
        <f t="shared" si="4"/>
        <v>8.9626365672319963E-2</v>
      </c>
      <c r="W24" s="73">
        <f t="shared" si="11"/>
        <v>3.9256348164476147E-4</v>
      </c>
      <c r="X24" s="73">
        <f t="shared" si="18"/>
        <v>1.3443954850847994E-2</v>
      </c>
      <c r="Y24" s="73">
        <f t="shared" si="12"/>
        <v>7.5789847339827202E-2</v>
      </c>
      <c r="AA24" s="70">
        <f t="shared" si="0"/>
        <v>17</v>
      </c>
      <c r="AB24" s="70">
        <f t="shared" si="1"/>
        <v>61</v>
      </c>
      <c r="AC24" s="74">
        <f t="shared" si="13"/>
        <v>425.53425441630588</v>
      </c>
    </row>
    <row r="25" spans="1:29" x14ac:dyDescent="0.2">
      <c r="A25" s="67">
        <f t="shared" si="2"/>
        <v>18</v>
      </c>
      <c r="B25" s="67">
        <f t="shared" si="2"/>
        <v>62</v>
      </c>
      <c r="D25" s="67">
        <f>VLOOKUP(B25,TPD!$A$10:$C$110,3,FALSE)</f>
        <v>3.7299999999999998E-3</v>
      </c>
      <c r="E25" s="72">
        <f t="shared" si="14"/>
        <v>1</v>
      </c>
      <c r="F25" s="67">
        <f t="shared" si="5"/>
        <v>3.7299999999999998E-3</v>
      </c>
      <c r="H25" s="67">
        <f>VLOOKUP(B25,'Death with Rider'!$A$10:$C$110,3,FALSE)</f>
        <v>2.2200000000000002E-3</v>
      </c>
      <c r="I25" s="72">
        <f t="shared" si="15"/>
        <v>1</v>
      </c>
      <c r="J25" s="67">
        <f t="shared" si="6"/>
        <v>2.2200000000000002E-3</v>
      </c>
      <c r="L25" s="67">
        <f>VLOOKUP(B25,'Death Only'!$A$10:$C$110,3,FALSE)</f>
        <v>4.79E-3</v>
      </c>
      <c r="M25" s="72">
        <f t="shared" si="16"/>
        <v>1</v>
      </c>
      <c r="N25" s="67">
        <f t="shared" si="7"/>
        <v>4.79E-3</v>
      </c>
      <c r="P25" s="73">
        <f t="shared" si="3"/>
        <v>7.513209788934383E-2</v>
      </c>
      <c r="Q25" s="73">
        <f t="shared" si="8"/>
        <v>2.8024272512725245E-4</v>
      </c>
      <c r="R25" s="73">
        <f t="shared" si="9"/>
        <v>1.6679325731434332E-4</v>
      </c>
      <c r="S25" s="73">
        <f t="shared" si="17"/>
        <v>1.1269814683401574E-2</v>
      </c>
      <c r="T25" s="73">
        <f t="shared" si="10"/>
        <v>6.3415247223500656E-2</v>
      </c>
      <c r="V25" s="73">
        <f t="shared" si="4"/>
        <v>7.5789847339827202E-2</v>
      </c>
      <c r="W25" s="73">
        <f t="shared" si="11"/>
        <v>3.6303336875777227E-4</v>
      </c>
      <c r="X25" s="73">
        <f t="shared" si="18"/>
        <v>1.136847710097408E-2</v>
      </c>
      <c r="Y25" s="73">
        <f t="shared" si="12"/>
        <v>6.405833687009535E-2</v>
      </c>
      <c r="AA25" s="70">
        <f t="shared" si="0"/>
        <v>18</v>
      </c>
      <c r="AB25" s="70">
        <f t="shared" si="1"/>
        <v>62</v>
      </c>
      <c r="AC25" s="74">
        <f t="shared" si="13"/>
        <v>396.63441423130166</v>
      </c>
    </row>
    <row r="26" spans="1:29" x14ac:dyDescent="0.2">
      <c r="A26" s="67">
        <f t="shared" ref="A26:B27" si="19">A25+1</f>
        <v>19</v>
      </c>
      <c r="B26" s="67">
        <f t="shared" si="19"/>
        <v>63</v>
      </c>
      <c r="D26" s="67">
        <f>VLOOKUP(B26,TPD!$A$10:$C$110,3,FALSE)</f>
        <v>4.1799999999999997E-3</v>
      </c>
      <c r="E26" s="72">
        <f t="shared" si="14"/>
        <v>1</v>
      </c>
      <c r="F26" s="67">
        <f t="shared" si="5"/>
        <v>4.1799999999999997E-3</v>
      </c>
      <c r="H26" s="67">
        <f>VLOOKUP(B26,'Death with Rider'!$A$10:$C$110,3,FALSE)</f>
        <v>2.48E-3</v>
      </c>
      <c r="I26" s="72">
        <f t="shared" si="15"/>
        <v>1</v>
      </c>
      <c r="J26" s="67">
        <f t="shared" si="6"/>
        <v>2.48E-3</v>
      </c>
      <c r="L26" s="67">
        <f>VLOOKUP(B26,'Death Only'!$A$10:$C$110,3,FALSE)</f>
        <v>5.2500000000000003E-3</v>
      </c>
      <c r="M26" s="72">
        <f t="shared" si="16"/>
        <v>1</v>
      </c>
      <c r="N26" s="67">
        <f t="shared" si="7"/>
        <v>5.2500000000000003E-3</v>
      </c>
      <c r="P26" s="73">
        <f t="shared" si="3"/>
        <v>6.3415247223500656E-2</v>
      </c>
      <c r="Q26" s="73">
        <f t="shared" si="8"/>
        <v>2.6507573339423275E-4</v>
      </c>
      <c r="R26" s="73">
        <f t="shared" si="9"/>
        <v>1.5726981311428164E-4</v>
      </c>
      <c r="S26" s="73">
        <f t="shared" si="17"/>
        <v>9.5122870835250978E-3</v>
      </c>
      <c r="T26" s="73">
        <f t="shared" si="10"/>
        <v>5.3480614593467042E-2</v>
      </c>
      <c r="V26" s="73">
        <f t="shared" si="4"/>
        <v>6.405833687009535E-2</v>
      </c>
      <c r="W26" s="73">
        <f t="shared" si="11"/>
        <v>3.363062685680006E-4</v>
      </c>
      <c r="X26" s="73">
        <f t="shared" si="18"/>
        <v>9.6087505305143019E-3</v>
      </c>
      <c r="Y26" s="73">
        <f t="shared" si="12"/>
        <v>5.4113280071013049E-2</v>
      </c>
      <c r="AA26" s="70">
        <f t="shared" si="0"/>
        <v>19</v>
      </c>
      <c r="AB26" s="70">
        <f t="shared" si="1"/>
        <v>63</v>
      </c>
      <c r="AC26" s="74">
        <f t="shared" si="13"/>
        <v>370.72197974420612</v>
      </c>
    </row>
    <row r="27" spans="1:29" x14ac:dyDescent="0.2">
      <c r="A27" s="67">
        <f t="shared" si="19"/>
        <v>20</v>
      </c>
      <c r="B27" s="67">
        <f t="shared" si="19"/>
        <v>64</v>
      </c>
      <c r="D27" s="67">
        <f>VLOOKUP(B27,TPD!$A$10:$C$110,3,FALSE)</f>
        <v>4.7200000000000002E-3</v>
      </c>
      <c r="E27" s="72">
        <f t="shared" si="14"/>
        <v>1</v>
      </c>
      <c r="F27" s="67">
        <f t="shared" si="5"/>
        <v>4.7200000000000002E-3</v>
      </c>
      <c r="H27" s="67">
        <f>VLOOKUP(B27,'Death with Rider'!$A$10:$C$110,3,FALSE)</f>
        <v>2.8400000000000001E-3</v>
      </c>
      <c r="I27" s="72">
        <f t="shared" si="15"/>
        <v>1</v>
      </c>
      <c r="J27" s="67">
        <f t="shared" si="6"/>
        <v>2.8400000000000001E-3</v>
      </c>
      <c r="L27" s="67">
        <f>VLOOKUP(B27,'Death Only'!$A$10:$C$110,3,FALSE)</f>
        <v>5.79E-3</v>
      </c>
      <c r="M27" s="72">
        <f t="shared" si="16"/>
        <v>1</v>
      </c>
      <c r="N27" s="67">
        <f t="shared" si="7"/>
        <v>5.79E-3</v>
      </c>
      <c r="P27" s="73">
        <f t="shared" si="3"/>
        <v>5.3480614593467042E-2</v>
      </c>
      <c r="Q27" s="73">
        <f t="shared" si="8"/>
        <v>2.5242850088116447E-4</v>
      </c>
      <c r="R27" s="73">
        <f t="shared" si="9"/>
        <v>1.518849454454464E-4</v>
      </c>
      <c r="S27" s="73">
        <f t="shared" si="17"/>
        <v>8.0220921890200563E-3</v>
      </c>
      <c r="T27" s="73">
        <f t="shared" si="10"/>
        <v>0</v>
      </c>
      <c r="V27" s="73">
        <f t="shared" si="4"/>
        <v>5.4113280071013049E-2</v>
      </c>
      <c r="W27" s="73">
        <f t="shared" si="11"/>
        <v>3.1331589161116553E-4</v>
      </c>
      <c r="X27" s="73">
        <f t="shared" si="18"/>
        <v>8.1169920106519567E-3</v>
      </c>
      <c r="Y27" s="73">
        <f t="shared" si="12"/>
        <v>4.5682972168749926E-2</v>
      </c>
      <c r="AA27" s="70">
        <f t="shared" si="0"/>
        <v>20</v>
      </c>
      <c r="AB27" s="70">
        <f t="shared" si="1"/>
        <v>64</v>
      </c>
      <c r="AC27" s="74">
        <f t="shared" si="13"/>
        <v>349.71491349734367</v>
      </c>
    </row>
    <row r="29" spans="1:29" x14ac:dyDescent="0.2">
      <c r="F29" s="63">
        <f>SUM(F8:F27)</f>
        <v>3.6048500000000004E-2</v>
      </c>
      <c r="J29" s="63">
        <f>SUM(J8:J27)</f>
        <v>2.7746E-2</v>
      </c>
      <c r="N29" s="63">
        <f>SUM(N8:N27)</f>
        <v>5.2060000000000009E-2</v>
      </c>
      <c r="P29" s="63">
        <f>SUM(P8:P27)</f>
        <v>7.5440911275435862</v>
      </c>
      <c r="T29" s="63">
        <f>SUM(T8:T27)</f>
        <v>6.5440911275435862</v>
      </c>
      <c r="Y29" s="63">
        <f>SUM(Y8:Y27)</f>
        <v>6.5983403083456196</v>
      </c>
      <c r="AC29" s="63">
        <f>SUM(AC8:AC27)</f>
        <v>12346.924624828229</v>
      </c>
    </row>
    <row r="31" spans="1:29" x14ac:dyDescent="0.2">
      <c r="A31" s="60"/>
    </row>
    <row r="32" spans="1:29" x14ac:dyDescent="0.2">
      <c r="A32" s="60"/>
    </row>
    <row r="33" spans="1:1" x14ac:dyDescent="0.2">
      <c r="A33" s="60"/>
    </row>
    <row r="34" spans="1:1" x14ac:dyDescent="0.2">
      <c r="A34" s="60"/>
    </row>
    <row r="35" spans="1:1" x14ac:dyDescent="0.2">
      <c r="A35" s="60"/>
    </row>
    <row r="36" spans="1:1" x14ac:dyDescent="0.2">
      <c r="A36" s="60"/>
    </row>
    <row r="37" spans="1:1" x14ac:dyDescent="0.2">
      <c r="A37" s="75"/>
    </row>
    <row r="38" spans="1:1" x14ac:dyDescent="0.2">
      <c r="A38" s="75"/>
    </row>
    <row r="39" spans="1:1" x14ac:dyDescent="0.2">
      <c r="A39" s="75"/>
    </row>
    <row r="40" spans="1:1" x14ac:dyDescent="0.2">
      <c r="A40" s="60"/>
    </row>
    <row r="42" spans="1:1" x14ac:dyDescent="0.2">
      <c r="A42" s="60"/>
    </row>
    <row r="44" spans="1:1" x14ac:dyDescent="0.2">
      <c r="A44" s="60"/>
    </row>
    <row r="45" spans="1:1" x14ac:dyDescent="0.2">
      <c r="A45" s="60"/>
    </row>
  </sheetData>
  <mergeCells count="5">
    <mergeCell ref="H6:J6"/>
    <mergeCell ref="L6:N6"/>
    <mergeCell ref="P6:T6"/>
    <mergeCell ref="D6:F6"/>
    <mergeCell ref="V6:Y6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Notes</vt:lpstr>
      <vt:lpstr>Death Only</vt:lpstr>
      <vt:lpstr>Death with Rider</vt:lpstr>
      <vt:lpstr>TPD</vt:lpstr>
      <vt:lpstr>Trauma</vt:lpstr>
      <vt:lpstr>Q1a</vt:lpstr>
      <vt:lpstr>Input</vt:lpstr>
      <vt:lpstr>Q1b</vt:lpstr>
      <vt:lpstr>Lapse_Y1</vt:lpstr>
      <vt:lpstr>Lapse_Y2</vt:lpstr>
      <vt:lpstr>Lapse_Y3</vt:lpstr>
      <vt:lpstr>Lapse_Y4</vt:lpstr>
      <vt:lpstr>Lapse_Y5</vt:lpstr>
      <vt:lpstr>Morb_Y1</vt:lpstr>
      <vt:lpstr>Morb_Y2</vt:lpstr>
      <vt:lpstr>Morb_Y3</vt:lpstr>
      <vt:lpstr>Mort_Y1</vt:lpstr>
      <vt:lpstr>Mort_Y2</vt:lpstr>
      <vt:lpstr>Mort_Y3</vt:lpstr>
      <vt:lpstr>TPD!Print_Area</vt:lpstr>
      <vt:lpstr>RFR</vt:lpstr>
      <vt:lpstr>SI_Death</vt:lpstr>
      <vt:lpstr>SI_TPD</vt:lpstr>
      <vt:lpstr>Start_Age</vt:lpstr>
    </vt:vector>
  </TitlesOfParts>
  <Company>Gen 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Eddy Fabrizio</dc:creator>
  <cp:lastModifiedBy>Carolina Vilches</cp:lastModifiedBy>
  <dcterms:created xsi:type="dcterms:W3CDTF">2012-05-20T22:48:01Z</dcterms:created>
  <dcterms:modified xsi:type="dcterms:W3CDTF">2018-07-02T01:05:43Z</dcterms:modified>
</cp:coreProperties>
</file>